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activeX/activeX5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4F462EB4-CD8A-4015-B7AD-FACC7B921187}" xr6:coauthVersionLast="47" xr6:coauthVersionMax="47" xr10:uidLastSave="{00000000-0000-0000-0000-000000000000}"/>
  <bookViews>
    <workbookView xWindow="-110" yWindow="-110" windowWidth="19420" windowHeight="10300" tabRatio="720" firstSheet="1" activeTab="9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Bankkonto!$A$27:$Z$1150</definedName>
    <definedName name="_xlnm._FilterDatabase" localSheetId="9" hidden="1">Daten!$Z$3:$AH$5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Daten!$D$4:$D$9</definedName>
    <definedName name="Liste_Parzelle" localSheetId="2">#REF!</definedName>
    <definedName name="Liste_Parzelle" localSheetId="9">Daten!$F$4:$F$18</definedName>
    <definedName name="Liste_Vereinsfunktion" localSheetId="2">#REF!</definedName>
    <definedName name="Liste_Vereinsfunktion" localSheetId="9">Daten!$B$4:$B$12</definedName>
    <definedName name="lst_EinnahmeAusgabe" localSheetId="2">Daten!$AB$4:$AB$5</definedName>
    <definedName name="lst_EinnahmeAusgabe" localSheetId="9">Daten!$Z$4:$Z$5</definedName>
    <definedName name="lst_Faelligkeit" localSheetId="2">Daten!$AE$4:$AE$9</definedName>
    <definedName name="lst_Faelligkeit" localSheetId="9">Daten!$AC$4:$AC$9</definedName>
    <definedName name="lst_JaNein" localSheetId="2">Daten!$AD$4:$AD$5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2">Daten!$AC$4:$AC$13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42" i="51" l="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C3" i="51" l="1" a="1"/>
  <c r="C3" i="51" s="1"/>
  <c r="C2" i="51"/>
  <c r="E2" i="51"/>
  <c r="Z1150" i="51"/>
  <c r="Y1150" i="51"/>
  <c r="X1150" i="51"/>
  <c r="W1150" i="51"/>
  <c r="V1150" i="51"/>
  <c r="U1150" i="51"/>
  <c r="T1150" i="51"/>
  <c r="S1150" i="51"/>
  <c r="R1150" i="51"/>
  <c r="Q1150" i="51"/>
  <c r="P1150" i="51"/>
  <c r="O1150" i="51"/>
  <c r="N1150" i="51"/>
  <c r="M1150" i="51"/>
  <c r="Z1149" i="51"/>
  <c r="Y1149" i="51"/>
  <c r="X1149" i="51"/>
  <c r="W1149" i="51"/>
  <c r="V1149" i="51"/>
  <c r="U1149" i="51"/>
  <c r="T1149" i="51"/>
  <c r="S1149" i="51"/>
  <c r="R1149" i="51"/>
  <c r="Q1149" i="51"/>
  <c r="P1149" i="51"/>
  <c r="O1149" i="51"/>
  <c r="N1149" i="51"/>
  <c r="M1149" i="51"/>
  <c r="Z1148" i="51"/>
  <c r="Y1148" i="51"/>
  <c r="X1148" i="51"/>
  <c r="W1148" i="51"/>
  <c r="V1148" i="51"/>
  <c r="U1148" i="51"/>
  <c r="T1148" i="51"/>
  <c r="S1148" i="51"/>
  <c r="R1148" i="51"/>
  <c r="Q1148" i="51"/>
  <c r="P1148" i="51"/>
  <c r="O1148" i="51"/>
  <c r="N1148" i="51"/>
  <c r="M1148" i="51"/>
  <c r="Z1147" i="51"/>
  <c r="Y1147" i="51"/>
  <c r="X1147" i="51"/>
  <c r="W1147" i="51"/>
  <c r="V1147" i="51"/>
  <c r="U1147" i="51"/>
  <c r="T1147" i="51"/>
  <c r="S1147" i="51"/>
  <c r="R1147" i="51"/>
  <c r="Q1147" i="51"/>
  <c r="P1147" i="51"/>
  <c r="O1147" i="51"/>
  <c r="N1147" i="51"/>
  <c r="M1147" i="51"/>
  <c r="Z1146" i="51"/>
  <c r="Y1146" i="51"/>
  <c r="X1146" i="51"/>
  <c r="W1146" i="51"/>
  <c r="V1146" i="51"/>
  <c r="U1146" i="51"/>
  <c r="T1146" i="51"/>
  <c r="S1146" i="51"/>
  <c r="R1146" i="51"/>
  <c r="Q1146" i="51"/>
  <c r="P1146" i="51"/>
  <c r="O1146" i="51"/>
  <c r="N1146" i="51"/>
  <c r="M1146" i="51"/>
  <c r="Z1145" i="51"/>
  <c r="Y1145" i="51"/>
  <c r="X1145" i="51"/>
  <c r="W1145" i="51"/>
  <c r="V1145" i="51"/>
  <c r="U1145" i="51"/>
  <c r="T1145" i="51"/>
  <c r="S1145" i="51"/>
  <c r="R1145" i="51"/>
  <c r="Q1145" i="51"/>
  <c r="P1145" i="51"/>
  <c r="O1145" i="51"/>
  <c r="N1145" i="51"/>
  <c r="M1145" i="51"/>
  <c r="Z1144" i="51"/>
  <c r="Y1144" i="51"/>
  <c r="X1144" i="51"/>
  <c r="W1144" i="51"/>
  <c r="V1144" i="51"/>
  <c r="U1144" i="51"/>
  <c r="T1144" i="51"/>
  <c r="S1144" i="51"/>
  <c r="R1144" i="51"/>
  <c r="Q1144" i="51"/>
  <c r="P1144" i="51"/>
  <c r="O1144" i="51"/>
  <c r="N1144" i="51"/>
  <c r="M1144" i="51"/>
  <c r="Z1143" i="51"/>
  <c r="Y1143" i="51"/>
  <c r="X1143" i="51"/>
  <c r="W1143" i="51"/>
  <c r="V1143" i="51"/>
  <c r="U1143" i="51"/>
  <c r="T1143" i="51"/>
  <c r="S1143" i="51"/>
  <c r="R1143" i="51"/>
  <c r="Q1143" i="51"/>
  <c r="P1143" i="51"/>
  <c r="O1143" i="51"/>
  <c r="N1143" i="51"/>
  <c r="M1143" i="51"/>
  <c r="Z1142" i="51"/>
  <c r="Y1142" i="51"/>
  <c r="X1142" i="51"/>
  <c r="W1142" i="51"/>
  <c r="V1142" i="51"/>
  <c r="U1142" i="51"/>
  <c r="T1142" i="51"/>
  <c r="S1142" i="51"/>
  <c r="R1142" i="51"/>
  <c r="Q1142" i="51"/>
  <c r="P1142" i="51"/>
  <c r="O1142" i="51"/>
  <c r="N1142" i="51"/>
  <c r="M1142" i="51"/>
  <c r="Z1141" i="51"/>
  <c r="Y1141" i="51"/>
  <c r="X1141" i="51"/>
  <c r="W1141" i="51"/>
  <c r="V1141" i="51"/>
  <c r="U1141" i="51"/>
  <c r="T1141" i="51"/>
  <c r="S1141" i="51"/>
  <c r="R1141" i="51"/>
  <c r="Q1141" i="51"/>
  <c r="P1141" i="51"/>
  <c r="O1141" i="51"/>
  <c r="N1141" i="51"/>
  <c r="M1141" i="51"/>
  <c r="Z1140" i="51"/>
  <c r="Y1140" i="51"/>
  <c r="X1140" i="51"/>
  <c r="W1140" i="51"/>
  <c r="V1140" i="51"/>
  <c r="U1140" i="51"/>
  <c r="T1140" i="51"/>
  <c r="S1140" i="51"/>
  <c r="R1140" i="51"/>
  <c r="Q1140" i="51"/>
  <c r="P1140" i="51"/>
  <c r="O1140" i="51"/>
  <c r="N1140" i="51"/>
  <c r="M1140" i="51"/>
  <c r="Z1139" i="51"/>
  <c r="Y1139" i="51"/>
  <c r="X1139" i="51"/>
  <c r="W1139" i="51"/>
  <c r="V1139" i="51"/>
  <c r="U1139" i="51"/>
  <c r="T1139" i="51"/>
  <c r="S1139" i="51"/>
  <c r="R1139" i="51"/>
  <c r="Q1139" i="51"/>
  <c r="P1139" i="51"/>
  <c r="O1139" i="51"/>
  <c r="N1139" i="51"/>
  <c r="M1139" i="51"/>
  <c r="Z1138" i="51"/>
  <c r="Y1138" i="51"/>
  <c r="X1138" i="51"/>
  <c r="W1138" i="51"/>
  <c r="V1138" i="51"/>
  <c r="U1138" i="51"/>
  <c r="T1138" i="51"/>
  <c r="S1138" i="51"/>
  <c r="R1138" i="51"/>
  <c r="Q1138" i="51"/>
  <c r="P1138" i="51"/>
  <c r="O1138" i="51"/>
  <c r="N1138" i="51"/>
  <c r="M1138" i="51"/>
  <c r="Z1137" i="51"/>
  <c r="Y1137" i="51"/>
  <c r="X1137" i="51"/>
  <c r="W1137" i="51"/>
  <c r="V1137" i="51"/>
  <c r="U1137" i="51"/>
  <c r="T1137" i="51"/>
  <c r="S1137" i="51"/>
  <c r="R1137" i="51"/>
  <c r="Q1137" i="51"/>
  <c r="P1137" i="51"/>
  <c r="O1137" i="51"/>
  <c r="N1137" i="51"/>
  <c r="M1137" i="51"/>
  <c r="Z1136" i="51"/>
  <c r="Y1136" i="51"/>
  <c r="X1136" i="51"/>
  <c r="W1136" i="51"/>
  <c r="V1136" i="51"/>
  <c r="U1136" i="51"/>
  <c r="T1136" i="51"/>
  <c r="S1136" i="51"/>
  <c r="R1136" i="51"/>
  <c r="Q1136" i="51"/>
  <c r="P1136" i="51"/>
  <c r="O1136" i="51"/>
  <c r="N1136" i="51"/>
  <c r="M1136" i="51"/>
  <c r="Z1135" i="51"/>
  <c r="Y1135" i="51"/>
  <c r="X1135" i="51"/>
  <c r="W1135" i="51"/>
  <c r="V1135" i="51"/>
  <c r="U1135" i="51"/>
  <c r="T1135" i="51"/>
  <c r="S1135" i="51"/>
  <c r="R1135" i="51"/>
  <c r="Q1135" i="51"/>
  <c r="P1135" i="51"/>
  <c r="O1135" i="51"/>
  <c r="N1135" i="51"/>
  <c r="M1135" i="51"/>
  <c r="Z1134" i="51"/>
  <c r="Y1134" i="51"/>
  <c r="X1134" i="51"/>
  <c r="W1134" i="51"/>
  <c r="V1134" i="51"/>
  <c r="U1134" i="51"/>
  <c r="T1134" i="51"/>
  <c r="S1134" i="51"/>
  <c r="R1134" i="51"/>
  <c r="Q1134" i="51"/>
  <c r="P1134" i="51"/>
  <c r="O1134" i="51"/>
  <c r="N1134" i="51"/>
  <c r="M1134" i="51"/>
  <c r="Z1133" i="51"/>
  <c r="Y1133" i="51"/>
  <c r="X1133" i="51"/>
  <c r="W1133" i="51"/>
  <c r="V1133" i="51"/>
  <c r="U1133" i="51"/>
  <c r="T1133" i="51"/>
  <c r="S1133" i="51"/>
  <c r="R1133" i="51"/>
  <c r="Q1133" i="51"/>
  <c r="P1133" i="51"/>
  <c r="O1133" i="51"/>
  <c r="N1133" i="51"/>
  <c r="M1133" i="51"/>
  <c r="Z1132" i="51"/>
  <c r="Y1132" i="51"/>
  <c r="X1132" i="51"/>
  <c r="W1132" i="51"/>
  <c r="V1132" i="51"/>
  <c r="U1132" i="51"/>
  <c r="T1132" i="51"/>
  <c r="S1132" i="51"/>
  <c r="R1132" i="51"/>
  <c r="Q1132" i="51"/>
  <c r="P1132" i="51"/>
  <c r="O1132" i="51"/>
  <c r="N1132" i="51"/>
  <c r="M1132" i="51"/>
  <c r="Z1131" i="51"/>
  <c r="Y1131" i="51"/>
  <c r="X1131" i="51"/>
  <c r="W1131" i="51"/>
  <c r="V1131" i="51"/>
  <c r="U1131" i="51"/>
  <c r="T1131" i="51"/>
  <c r="S1131" i="51"/>
  <c r="R1131" i="51"/>
  <c r="Q1131" i="51"/>
  <c r="P1131" i="51"/>
  <c r="O1131" i="51"/>
  <c r="N1131" i="51"/>
  <c r="M1131" i="51"/>
  <c r="Z1130" i="51"/>
  <c r="Y1130" i="51"/>
  <c r="X1130" i="51"/>
  <c r="W1130" i="51"/>
  <c r="V1130" i="51"/>
  <c r="U1130" i="51"/>
  <c r="T1130" i="51"/>
  <c r="S1130" i="51"/>
  <c r="R1130" i="51"/>
  <c r="Q1130" i="51"/>
  <c r="P1130" i="51"/>
  <c r="O1130" i="51"/>
  <c r="N1130" i="51"/>
  <c r="M1130" i="51"/>
  <c r="Z1129" i="51"/>
  <c r="Y1129" i="51"/>
  <c r="X1129" i="51"/>
  <c r="W1129" i="51"/>
  <c r="V1129" i="51"/>
  <c r="U1129" i="51"/>
  <c r="T1129" i="51"/>
  <c r="S1129" i="51"/>
  <c r="R1129" i="51"/>
  <c r="Q1129" i="51"/>
  <c r="P1129" i="51"/>
  <c r="O1129" i="51"/>
  <c r="N1129" i="51"/>
  <c r="M1129" i="51"/>
  <c r="Z1128" i="51"/>
  <c r="Y1128" i="51"/>
  <c r="X1128" i="51"/>
  <c r="W1128" i="51"/>
  <c r="V1128" i="51"/>
  <c r="U1128" i="51"/>
  <c r="T1128" i="51"/>
  <c r="S1128" i="51"/>
  <c r="R1128" i="51"/>
  <c r="Q1128" i="51"/>
  <c r="P1128" i="51"/>
  <c r="O1128" i="51"/>
  <c r="N1128" i="51"/>
  <c r="M1128" i="51"/>
  <c r="Z1127" i="51"/>
  <c r="Y1127" i="51"/>
  <c r="X1127" i="51"/>
  <c r="W1127" i="51"/>
  <c r="V1127" i="51"/>
  <c r="U1127" i="51"/>
  <c r="T1127" i="51"/>
  <c r="S1127" i="51"/>
  <c r="R1127" i="51"/>
  <c r="Q1127" i="51"/>
  <c r="P1127" i="51"/>
  <c r="O1127" i="51"/>
  <c r="N1127" i="51"/>
  <c r="M1127" i="51"/>
  <c r="Z1126" i="51"/>
  <c r="Y1126" i="51"/>
  <c r="X1126" i="51"/>
  <c r="W1126" i="51"/>
  <c r="V1126" i="51"/>
  <c r="U1126" i="51"/>
  <c r="T1126" i="51"/>
  <c r="S1126" i="51"/>
  <c r="R1126" i="51"/>
  <c r="Q1126" i="51"/>
  <c r="P1126" i="51"/>
  <c r="O1126" i="51"/>
  <c r="N1126" i="51"/>
  <c r="M1126" i="51"/>
  <c r="Z1125" i="51"/>
  <c r="Y1125" i="51"/>
  <c r="X1125" i="51"/>
  <c r="W1125" i="51"/>
  <c r="V1125" i="51"/>
  <c r="U1125" i="51"/>
  <c r="T1125" i="51"/>
  <c r="S1125" i="51"/>
  <c r="R1125" i="51"/>
  <c r="Q1125" i="51"/>
  <c r="P1125" i="51"/>
  <c r="O1125" i="51"/>
  <c r="N1125" i="51"/>
  <c r="M1125" i="51"/>
  <c r="Z1124" i="51"/>
  <c r="Y1124" i="51"/>
  <c r="X1124" i="51"/>
  <c r="W1124" i="51"/>
  <c r="V1124" i="51"/>
  <c r="U1124" i="51"/>
  <c r="T1124" i="51"/>
  <c r="S1124" i="51"/>
  <c r="R1124" i="51"/>
  <c r="Q1124" i="51"/>
  <c r="P1124" i="51"/>
  <c r="O1124" i="51"/>
  <c r="N1124" i="51"/>
  <c r="M1124" i="51"/>
  <c r="Z1123" i="51"/>
  <c r="Y1123" i="51"/>
  <c r="X1123" i="51"/>
  <c r="W1123" i="51"/>
  <c r="V1123" i="51"/>
  <c r="U1123" i="51"/>
  <c r="T1123" i="51"/>
  <c r="S1123" i="51"/>
  <c r="R1123" i="51"/>
  <c r="Q1123" i="51"/>
  <c r="P1123" i="51"/>
  <c r="O1123" i="51"/>
  <c r="N1123" i="51"/>
  <c r="M1123" i="51"/>
  <c r="Z1122" i="51"/>
  <c r="Y1122" i="51"/>
  <c r="X1122" i="51"/>
  <c r="W1122" i="51"/>
  <c r="V1122" i="51"/>
  <c r="U1122" i="51"/>
  <c r="T1122" i="51"/>
  <c r="S1122" i="51"/>
  <c r="R1122" i="51"/>
  <c r="Q1122" i="51"/>
  <c r="P1122" i="51"/>
  <c r="O1122" i="51"/>
  <c r="N1122" i="51"/>
  <c r="M1122" i="51"/>
  <c r="Z1121" i="51"/>
  <c r="Y1121" i="51"/>
  <c r="X1121" i="51"/>
  <c r="W1121" i="51"/>
  <c r="V1121" i="51"/>
  <c r="U1121" i="51"/>
  <c r="T1121" i="51"/>
  <c r="S1121" i="51"/>
  <c r="R1121" i="51"/>
  <c r="Q1121" i="51"/>
  <c r="P1121" i="51"/>
  <c r="O1121" i="51"/>
  <c r="N1121" i="51"/>
  <c r="M1121" i="51"/>
  <c r="Z1120" i="51"/>
  <c r="Y1120" i="51"/>
  <c r="X1120" i="51"/>
  <c r="W1120" i="51"/>
  <c r="V1120" i="51"/>
  <c r="U1120" i="51"/>
  <c r="T1120" i="51"/>
  <c r="S1120" i="51"/>
  <c r="R1120" i="51"/>
  <c r="Q1120" i="51"/>
  <c r="P1120" i="51"/>
  <c r="O1120" i="51"/>
  <c r="N1120" i="51"/>
  <c r="M1120" i="51"/>
  <c r="Z1119" i="51"/>
  <c r="Y1119" i="51"/>
  <c r="X1119" i="51"/>
  <c r="W1119" i="51"/>
  <c r="V1119" i="51"/>
  <c r="U1119" i="51"/>
  <c r="T1119" i="51"/>
  <c r="S1119" i="51"/>
  <c r="R1119" i="51"/>
  <c r="Q1119" i="51"/>
  <c r="P1119" i="51"/>
  <c r="O1119" i="51"/>
  <c r="N1119" i="51"/>
  <c r="M1119" i="51"/>
  <c r="Z1118" i="51"/>
  <c r="Y1118" i="51"/>
  <c r="X1118" i="51"/>
  <c r="W1118" i="51"/>
  <c r="V1118" i="51"/>
  <c r="U1118" i="51"/>
  <c r="T1118" i="51"/>
  <c r="S1118" i="51"/>
  <c r="R1118" i="51"/>
  <c r="Q1118" i="51"/>
  <c r="P1118" i="51"/>
  <c r="O1118" i="51"/>
  <c r="N1118" i="51"/>
  <c r="M1118" i="51"/>
  <c r="Z1117" i="51"/>
  <c r="Y1117" i="51"/>
  <c r="X1117" i="51"/>
  <c r="W1117" i="51"/>
  <c r="V1117" i="51"/>
  <c r="U1117" i="51"/>
  <c r="T1117" i="51"/>
  <c r="S1117" i="51"/>
  <c r="R1117" i="51"/>
  <c r="Q1117" i="51"/>
  <c r="P1117" i="51"/>
  <c r="O1117" i="51"/>
  <c r="N1117" i="51"/>
  <c r="M1117" i="51"/>
  <c r="Z1116" i="51"/>
  <c r="Y1116" i="51"/>
  <c r="X1116" i="51"/>
  <c r="W1116" i="51"/>
  <c r="V1116" i="51"/>
  <c r="U1116" i="51"/>
  <c r="T1116" i="51"/>
  <c r="S1116" i="51"/>
  <c r="R1116" i="51"/>
  <c r="Q1116" i="51"/>
  <c r="P1116" i="51"/>
  <c r="O1116" i="51"/>
  <c r="N1116" i="51"/>
  <c r="M1116" i="51"/>
  <c r="Z1115" i="51"/>
  <c r="Y1115" i="51"/>
  <c r="X1115" i="51"/>
  <c r="W1115" i="51"/>
  <c r="V1115" i="51"/>
  <c r="U1115" i="51"/>
  <c r="T1115" i="51"/>
  <c r="S1115" i="51"/>
  <c r="R1115" i="51"/>
  <c r="Q1115" i="51"/>
  <c r="P1115" i="51"/>
  <c r="O1115" i="51"/>
  <c r="N1115" i="51"/>
  <c r="M1115" i="51"/>
  <c r="Z1114" i="51"/>
  <c r="Y1114" i="51"/>
  <c r="X1114" i="51"/>
  <c r="W1114" i="51"/>
  <c r="V1114" i="51"/>
  <c r="U1114" i="51"/>
  <c r="T1114" i="51"/>
  <c r="S1114" i="51"/>
  <c r="R1114" i="51"/>
  <c r="Q1114" i="51"/>
  <c r="P1114" i="51"/>
  <c r="O1114" i="51"/>
  <c r="N1114" i="51"/>
  <c r="M1114" i="51"/>
  <c r="Z1113" i="51"/>
  <c r="Y1113" i="51"/>
  <c r="X1113" i="51"/>
  <c r="W1113" i="51"/>
  <c r="V1113" i="51"/>
  <c r="U1113" i="51"/>
  <c r="T1113" i="51"/>
  <c r="S1113" i="51"/>
  <c r="R1113" i="51"/>
  <c r="Q1113" i="51"/>
  <c r="P1113" i="51"/>
  <c r="O1113" i="51"/>
  <c r="N1113" i="51"/>
  <c r="M1113" i="51"/>
  <c r="Z1112" i="51"/>
  <c r="Y1112" i="51"/>
  <c r="X1112" i="51"/>
  <c r="W1112" i="51"/>
  <c r="V1112" i="51"/>
  <c r="U1112" i="51"/>
  <c r="T1112" i="51"/>
  <c r="S1112" i="51"/>
  <c r="R1112" i="51"/>
  <c r="Q1112" i="51"/>
  <c r="P1112" i="51"/>
  <c r="O1112" i="51"/>
  <c r="N1112" i="51"/>
  <c r="M1112" i="51"/>
  <c r="Z1111" i="51"/>
  <c r="Y1111" i="51"/>
  <c r="X1111" i="51"/>
  <c r="W1111" i="51"/>
  <c r="V1111" i="51"/>
  <c r="U1111" i="51"/>
  <c r="T1111" i="51"/>
  <c r="S1111" i="51"/>
  <c r="R1111" i="51"/>
  <c r="Q1111" i="51"/>
  <c r="P1111" i="51"/>
  <c r="O1111" i="51"/>
  <c r="N1111" i="51"/>
  <c r="M1111" i="51"/>
  <c r="Z1110" i="51"/>
  <c r="Y1110" i="51"/>
  <c r="X1110" i="51"/>
  <c r="W1110" i="51"/>
  <c r="V1110" i="51"/>
  <c r="U1110" i="51"/>
  <c r="T1110" i="51"/>
  <c r="S1110" i="51"/>
  <c r="R1110" i="51"/>
  <c r="Q1110" i="51"/>
  <c r="P1110" i="51"/>
  <c r="O1110" i="51"/>
  <c r="N1110" i="51"/>
  <c r="M1110" i="51"/>
  <c r="Z1109" i="51"/>
  <c r="Y1109" i="51"/>
  <c r="X1109" i="51"/>
  <c r="W1109" i="51"/>
  <c r="V1109" i="51"/>
  <c r="U1109" i="51"/>
  <c r="T1109" i="51"/>
  <c r="S1109" i="51"/>
  <c r="R1109" i="51"/>
  <c r="Q1109" i="51"/>
  <c r="P1109" i="51"/>
  <c r="O1109" i="51"/>
  <c r="N1109" i="51"/>
  <c r="M1109" i="51"/>
  <c r="Z1108" i="51"/>
  <c r="Y1108" i="51"/>
  <c r="X1108" i="51"/>
  <c r="W1108" i="51"/>
  <c r="V1108" i="51"/>
  <c r="U1108" i="51"/>
  <c r="T1108" i="51"/>
  <c r="S1108" i="51"/>
  <c r="R1108" i="51"/>
  <c r="Q1108" i="51"/>
  <c r="P1108" i="51"/>
  <c r="O1108" i="51"/>
  <c r="N1108" i="51"/>
  <c r="M1108" i="51"/>
  <c r="Z1107" i="51"/>
  <c r="Y1107" i="51"/>
  <c r="X1107" i="51"/>
  <c r="W1107" i="51"/>
  <c r="V1107" i="51"/>
  <c r="U1107" i="51"/>
  <c r="T1107" i="51"/>
  <c r="S1107" i="51"/>
  <c r="R1107" i="51"/>
  <c r="Q1107" i="51"/>
  <c r="P1107" i="51"/>
  <c r="O1107" i="51"/>
  <c r="N1107" i="51"/>
  <c r="M1107" i="51"/>
  <c r="Z1106" i="51"/>
  <c r="Y1106" i="51"/>
  <c r="X1106" i="51"/>
  <c r="W1106" i="51"/>
  <c r="V1106" i="51"/>
  <c r="U1106" i="51"/>
  <c r="T1106" i="51"/>
  <c r="S1106" i="51"/>
  <c r="R1106" i="51"/>
  <c r="Q1106" i="51"/>
  <c r="P1106" i="51"/>
  <c r="O1106" i="51"/>
  <c r="N1106" i="51"/>
  <c r="M1106" i="51"/>
  <c r="Z1105" i="51"/>
  <c r="Y1105" i="51"/>
  <c r="X1105" i="51"/>
  <c r="W1105" i="51"/>
  <c r="V1105" i="51"/>
  <c r="U1105" i="51"/>
  <c r="T1105" i="51"/>
  <c r="S1105" i="51"/>
  <c r="R1105" i="51"/>
  <c r="Q1105" i="51"/>
  <c r="P1105" i="51"/>
  <c r="O1105" i="51"/>
  <c r="N1105" i="51"/>
  <c r="M1105" i="51"/>
  <c r="Z1104" i="51"/>
  <c r="Y1104" i="51"/>
  <c r="X1104" i="51"/>
  <c r="W1104" i="51"/>
  <c r="V1104" i="51"/>
  <c r="U1104" i="51"/>
  <c r="T1104" i="51"/>
  <c r="S1104" i="51"/>
  <c r="R1104" i="51"/>
  <c r="Q1104" i="51"/>
  <c r="P1104" i="51"/>
  <c r="O1104" i="51"/>
  <c r="N1104" i="51"/>
  <c r="M1104" i="51"/>
  <c r="Z1103" i="51"/>
  <c r="Y1103" i="51"/>
  <c r="X1103" i="51"/>
  <c r="W1103" i="51"/>
  <c r="V1103" i="51"/>
  <c r="U1103" i="51"/>
  <c r="T1103" i="51"/>
  <c r="S1103" i="51"/>
  <c r="R1103" i="51"/>
  <c r="Q1103" i="51"/>
  <c r="P1103" i="51"/>
  <c r="O1103" i="51"/>
  <c r="N1103" i="51"/>
  <c r="M1103" i="51"/>
  <c r="Z1102" i="51"/>
  <c r="Y1102" i="51"/>
  <c r="X1102" i="51"/>
  <c r="W1102" i="51"/>
  <c r="V1102" i="51"/>
  <c r="U1102" i="51"/>
  <c r="T1102" i="51"/>
  <c r="S1102" i="51"/>
  <c r="R1102" i="51"/>
  <c r="Q1102" i="51"/>
  <c r="P1102" i="51"/>
  <c r="O1102" i="51"/>
  <c r="N1102" i="51"/>
  <c r="M1102" i="51"/>
  <c r="Z1101" i="51"/>
  <c r="Y1101" i="51"/>
  <c r="X1101" i="51"/>
  <c r="W1101" i="51"/>
  <c r="V1101" i="51"/>
  <c r="U1101" i="51"/>
  <c r="T1101" i="51"/>
  <c r="S1101" i="51"/>
  <c r="R1101" i="51"/>
  <c r="Q1101" i="51"/>
  <c r="P1101" i="51"/>
  <c r="O1101" i="51"/>
  <c r="N1101" i="51"/>
  <c r="M1101" i="51"/>
  <c r="Z1100" i="51"/>
  <c r="Y1100" i="51"/>
  <c r="X1100" i="51"/>
  <c r="W1100" i="51"/>
  <c r="V1100" i="51"/>
  <c r="U1100" i="51"/>
  <c r="T1100" i="51"/>
  <c r="S1100" i="51"/>
  <c r="R1100" i="51"/>
  <c r="Q1100" i="51"/>
  <c r="P1100" i="51"/>
  <c r="O1100" i="51"/>
  <c r="N1100" i="51"/>
  <c r="M1100" i="51"/>
  <c r="Z1099" i="51"/>
  <c r="Y1099" i="51"/>
  <c r="X1099" i="51"/>
  <c r="W1099" i="51"/>
  <c r="V1099" i="51"/>
  <c r="U1099" i="51"/>
  <c r="T1099" i="51"/>
  <c r="S1099" i="51"/>
  <c r="R1099" i="51"/>
  <c r="Q1099" i="51"/>
  <c r="P1099" i="51"/>
  <c r="O1099" i="51"/>
  <c r="N1099" i="51"/>
  <c r="M1099" i="51"/>
  <c r="Z1098" i="51"/>
  <c r="Y1098" i="51"/>
  <c r="X1098" i="51"/>
  <c r="W1098" i="51"/>
  <c r="V1098" i="51"/>
  <c r="U1098" i="51"/>
  <c r="T1098" i="51"/>
  <c r="S1098" i="51"/>
  <c r="R1098" i="51"/>
  <c r="Q1098" i="51"/>
  <c r="P1098" i="51"/>
  <c r="O1098" i="51"/>
  <c r="N1098" i="51"/>
  <c r="M1098" i="51"/>
  <c r="Z1097" i="51"/>
  <c r="Y1097" i="51"/>
  <c r="X1097" i="51"/>
  <c r="W1097" i="51"/>
  <c r="V1097" i="51"/>
  <c r="U1097" i="51"/>
  <c r="T1097" i="51"/>
  <c r="S1097" i="51"/>
  <c r="R1097" i="51"/>
  <c r="Q1097" i="51"/>
  <c r="P1097" i="51"/>
  <c r="O1097" i="51"/>
  <c r="N1097" i="51"/>
  <c r="M1097" i="51"/>
  <c r="Z1096" i="51"/>
  <c r="Y1096" i="51"/>
  <c r="X1096" i="51"/>
  <c r="W1096" i="51"/>
  <c r="V1096" i="51"/>
  <c r="U1096" i="51"/>
  <c r="T1096" i="51"/>
  <c r="S1096" i="51"/>
  <c r="R1096" i="51"/>
  <c r="Q1096" i="51"/>
  <c r="P1096" i="51"/>
  <c r="O1096" i="51"/>
  <c r="N1096" i="51"/>
  <c r="M1096" i="51"/>
  <c r="Z1095" i="51"/>
  <c r="Y1095" i="51"/>
  <c r="X1095" i="51"/>
  <c r="W1095" i="51"/>
  <c r="V1095" i="51"/>
  <c r="U1095" i="51"/>
  <c r="T1095" i="51"/>
  <c r="S1095" i="51"/>
  <c r="R1095" i="51"/>
  <c r="Q1095" i="51"/>
  <c r="P1095" i="51"/>
  <c r="O1095" i="51"/>
  <c r="N1095" i="51"/>
  <c r="M1095" i="51"/>
  <c r="Z1094" i="51"/>
  <c r="Y1094" i="51"/>
  <c r="X1094" i="51"/>
  <c r="W1094" i="51"/>
  <c r="V1094" i="51"/>
  <c r="U1094" i="51"/>
  <c r="T1094" i="51"/>
  <c r="S1094" i="51"/>
  <c r="R1094" i="51"/>
  <c r="Q1094" i="51"/>
  <c r="P1094" i="51"/>
  <c r="O1094" i="51"/>
  <c r="N1094" i="51"/>
  <c r="M1094" i="51"/>
  <c r="Z1093" i="51"/>
  <c r="Y1093" i="51"/>
  <c r="X1093" i="51"/>
  <c r="W1093" i="51"/>
  <c r="V1093" i="51"/>
  <c r="U1093" i="51"/>
  <c r="T1093" i="51"/>
  <c r="S1093" i="51"/>
  <c r="R1093" i="51"/>
  <c r="Q1093" i="51"/>
  <c r="P1093" i="51"/>
  <c r="O1093" i="51"/>
  <c r="N1093" i="51"/>
  <c r="M1093" i="51"/>
  <c r="Z1092" i="51"/>
  <c r="Y1092" i="51"/>
  <c r="X1092" i="51"/>
  <c r="W1092" i="51"/>
  <c r="V1092" i="51"/>
  <c r="U1092" i="51"/>
  <c r="T1092" i="51"/>
  <c r="S1092" i="51"/>
  <c r="R1092" i="51"/>
  <c r="Q1092" i="51"/>
  <c r="P1092" i="51"/>
  <c r="O1092" i="51"/>
  <c r="N1092" i="51"/>
  <c r="M1092" i="51"/>
  <c r="Z1091" i="51"/>
  <c r="Y1091" i="51"/>
  <c r="X1091" i="51"/>
  <c r="W1091" i="51"/>
  <c r="V1091" i="51"/>
  <c r="U1091" i="51"/>
  <c r="T1091" i="51"/>
  <c r="S1091" i="51"/>
  <c r="R1091" i="51"/>
  <c r="Q1091" i="51"/>
  <c r="P1091" i="51"/>
  <c r="O1091" i="51"/>
  <c r="N1091" i="51"/>
  <c r="M1091" i="51"/>
  <c r="Z1090" i="51"/>
  <c r="Y1090" i="51"/>
  <c r="X1090" i="51"/>
  <c r="W1090" i="51"/>
  <c r="V1090" i="51"/>
  <c r="U1090" i="51"/>
  <c r="T1090" i="51"/>
  <c r="S1090" i="51"/>
  <c r="R1090" i="51"/>
  <c r="Q1090" i="51"/>
  <c r="P1090" i="51"/>
  <c r="O1090" i="51"/>
  <c r="N1090" i="51"/>
  <c r="M1090" i="51"/>
  <c r="Z1089" i="51"/>
  <c r="Y1089" i="51"/>
  <c r="X1089" i="51"/>
  <c r="W1089" i="51"/>
  <c r="V1089" i="51"/>
  <c r="U1089" i="51"/>
  <c r="T1089" i="51"/>
  <c r="S1089" i="51"/>
  <c r="R1089" i="51"/>
  <c r="Q1089" i="51"/>
  <c r="P1089" i="51"/>
  <c r="O1089" i="51"/>
  <c r="N1089" i="51"/>
  <c r="M1089" i="51"/>
  <c r="Z1088" i="51"/>
  <c r="Y1088" i="51"/>
  <c r="X1088" i="51"/>
  <c r="W1088" i="51"/>
  <c r="V1088" i="51"/>
  <c r="U1088" i="51"/>
  <c r="T1088" i="51"/>
  <c r="S1088" i="51"/>
  <c r="R1088" i="51"/>
  <c r="Q1088" i="51"/>
  <c r="P1088" i="51"/>
  <c r="O1088" i="51"/>
  <c r="N1088" i="51"/>
  <c r="M1088" i="51"/>
  <c r="Z1087" i="51"/>
  <c r="Y1087" i="51"/>
  <c r="X1087" i="51"/>
  <c r="W1087" i="51"/>
  <c r="V1087" i="51"/>
  <c r="U1087" i="51"/>
  <c r="T1087" i="51"/>
  <c r="S1087" i="51"/>
  <c r="R1087" i="51"/>
  <c r="Q1087" i="51"/>
  <c r="P1087" i="51"/>
  <c r="O1087" i="51"/>
  <c r="N1087" i="51"/>
  <c r="M1087" i="51"/>
  <c r="Z1086" i="51"/>
  <c r="Y1086" i="51"/>
  <c r="X1086" i="51"/>
  <c r="W1086" i="51"/>
  <c r="V1086" i="51"/>
  <c r="U1086" i="51"/>
  <c r="T1086" i="51"/>
  <c r="S1086" i="51"/>
  <c r="R1086" i="51"/>
  <c r="Q1086" i="51"/>
  <c r="P1086" i="51"/>
  <c r="O1086" i="51"/>
  <c r="N1086" i="51"/>
  <c r="M1086" i="51"/>
  <c r="Z1085" i="51"/>
  <c r="Y1085" i="51"/>
  <c r="X1085" i="51"/>
  <c r="W1085" i="51"/>
  <c r="V1085" i="51"/>
  <c r="U1085" i="51"/>
  <c r="T1085" i="51"/>
  <c r="S1085" i="51"/>
  <c r="R1085" i="51"/>
  <c r="Q1085" i="51"/>
  <c r="P1085" i="51"/>
  <c r="O1085" i="51"/>
  <c r="N1085" i="51"/>
  <c r="M1085" i="51"/>
  <c r="Z1084" i="51"/>
  <c r="Y1084" i="51"/>
  <c r="X1084" i="51"/>
  <c r="W1084" i="51"/>
  <c r="V1084" i="51"/>
  <c r="U1084" i="51"/>
  <c r="T1084" i="51"/>
  <c r="S1084" i="51"/>
  <c r="R1084" i="51"/>
  <c r="Q1084" i="51"/>
  <c r="P1084" i="51"/>
  <c r="O1084" i="51"/>
  <c r="N1084" i="51"/>
  <c r="M1084" i="51"/>
  <c r="Z1083" i="51"/>
  <c r="Y1083" i="51"/>
  <c r="X1083" i="51"/>
  <c r="W1083" i="51"/>
  <c r="V1083" i="51"/>
  <c r="U1083" i="51"/>
  <c r="T1083" i="51"/>
  <c r="S1083" i="51"/>
  <c r="R1083" i="51"/>
  <c r="Q1083" i="51"/>
  <c r="P1083" i="51"/>
  <c r="O1083" i="51"/>
  <c r="N1083" i="51"/>
  <c r="M1083" i="51"/>
  <c r="Z1082" i="51"/>
  <c r="Y1082" i="51"/>
  <c r="X1082" i="51"/>
  <c r="W1082" i="51"/>
  <c r="V1082" i="51"/>
  <c r="U1082" i="51"/>
  <c r="T1082" i="51"/>
  <c r="S1082" i="51"/>
  <c r="R1082" i="51"/>
  <c r="Q1082" i="51"/>
  <c r="P1082" i="51"/>
  <c r="O1082" i="51"/>
  <c r="N1082" i="51"/>
  <c r="M1082" i="51"/>
  <c r="Z1081" i="51"/>
  <c r="Y1081" i="51"/>
  <c r="X1081" i="51"/>
  <c r="W1081" i="51"/>
  <c r="V1081" i="51"/>
  <c r="U1081" i="51"/>
  <c r="T1081" i="51"/>
  <c r="S1081" i="51"/>
  <c r="R1081" i="51"/>
  <c r="Q1081" i="51"/>
  <c r="P1081" i="51"/>
  <c r="O1081" i="51"/>
  <c r="N1081" i="51"/>
  <c r="M1081" i="51"/>
  <c r="Z1080" i="51"/>
  <c r="Y1080" i="51"/>
  <c r="X1080" i="51"/>
  <c r="W1080" i="51"/>
  <c r="V1080" i="51"/>
  <c r="U1080" i="51"/>
  <c r="T1080" i="51"/>
  <c r="S1080" i="51"/>
  <c r="R1080" i="51"/>
  <c r="Q1080" i="51"/>
  <c r="P1080" i="51"/>
  <c r="O1080" i="51"/>
  <c r="N1080" i="51"/>
  <c r="M1080" i="51"/>
  <c r="Z1079" i="51"/>
  <c r="Y1079" i="51"/>
  <c r="X1079" i="51"/>
  <c r="W1079" i="51"/>
  <c r="V1079" i="51"/>
  <c r="U1079" i="51"/>
  <c r="T1079" i="51"/>
  <c r="S1079" i="51"/>
  <c r="R1079" i="51"/>
  <c r="Q1079" i="51"/>
  <c r="P1079" i="51"/>
  <c r="O1079" i="51"/>
  <c r="N1079" i="51"/>
  <c r="M1079" i="51"/>
  <c r="Z1078" i="51"/>
  <c r="Y1078" i="51"/>
  <c r="X1078" i="51"/>
  <c r="W1078" i="51"/>
  <c r="V1078" i="51"/>
  <c r="U1078" i="51"/>
  <c r="T1078" i="51"/>
  <c r="S1078" i="51"/>
  <c r="R1078" i="51"/>
  <c r="Q1078" i="51"/>
  <c r="P1078" i="51"/>
  <c r="O1078" i="51"/>
  <c r="N1078" i="51"/>
  <c r="M1078" i="51"/>
  <c r="Z1077" i="51"/>
  <c r="Y1077" i="51"/>
  <c r="X1077" i="51"/>
  <c r="W1077" i="51"/>
  <c r="V1077" i="51"/>
  <c r="U1077" i="51"/>
  <c r="T1077" i="51"/>
  <c r="S1077" i="51"/>
  <c r="R1077" i="51"/>
  <c r="Q1077" i="51"/>
  <c r="P1077" i="51"/>
  <c r="O1077" i="51"/>
  <c r="N1077" i="51"/>
  <c r="M1077" i="51"/>
  <c r="Z1076" i="51"/>
  <c r="Y1076" i="51"/>
  <c r="X1076" i="51"/>
  <c r="W1076" i="51"/>
  <c r="V1076" i="51"/>
  <c r="U1076" i="51"/>
  <c r="T1076" i="51"/>
  <c r="S1076" i="51"/>
  <c r="R1076" i="51"/>
  <c r="Q1076" i="51"/>
  <c r="P1076" i="51"/>
  <c r="O1076" i="51"/>
  <c r="N1076" i="51"/>
  <c r="M1076" i="51"/>
  <c r="Z1075" i="51"/>
  <c r="Y1075" i="51"/>
  <c r="X1075" i="51"/>
  <c r="W1075" i="51"/>
  <c r="V1075" i="51"/>
  <c r="U1075" i="51"/>
  <c r="T1075" i="51"/>
  <c r="S1075" i="51"/>
  <c r="R1075" i="51"/>
  <c r="Q1075" i="51"/>
  <c r="P1075" i="51"/>
  <c r="O1075" i="51"/>
  <c r="N1075" i="51"/>
  <c r="M1075" i="51"/>
  <c r="Z1074" i="51"/>
  <c r="Y1074" i="51"/>
  <c r="X1074" i="51"/>
  <c r="W1074" i="51"/>
  <c r="V1074" i="51"/>
  <c r="U1074" i="51"/>
  <c r="T1074" i="51"/>
  <c r="S1074" i="51"/>
  <c r="R1074" i="51"/>
  <c r="Q1074" i="51"/>
  <c r="P1074" i="51"/>
  <c r="O1074" i="51"/>
  <c r="N1074" i="51"/>
  <c r="M1074" i="51"/>
  <c r="Z1073" i="51"/>
  <c r="Y1073" i="51"/>
  <c r="X1073" i="51"/>
  <c r="W1073" i="51"/>
  <c r="V1073" i="51"/>
  <c r="U1073" i="51"/>
  <c r="T1073" i="51"/>
  <c r="S1073" i="51"/>
  <c r="R1073" i="51"/>
  <c r="Q1073" i="51"/>
  <c r="P1073" i="51"/>
  <c r="O1073" i="51"/>
  <c r="N1073" i="51"/>
  <c r="M1073" i="51"/>
  <c r="Z1072" i="51"/>
  <c r="Y1072" i="51"/>
  <c r="X1072" i="51"/>
  <c r="W1072" i="51"/>
  <c r="V1072" i="51"/>
  <c r="U1072" i="51"/>
  <c r="T1072" i="51"/>
  <c r="S1072" i="51"/>
  <c r="R1072" i="51"/>
  <c r="Q1072" i="51"/>
  <c r="P1072" i="51"/>
  <c r="O1072" i="51"/>
  <c r="N1072" i="51"/>
  <c r="M1072" i="51"/>
  <c r="Z1071" i="51"/>
  <c r="Y1071" i="51"/>
  <c r="X1071" i="51"/>
  <c r="W1071" i="51"/>
  <c r="V1071" i="51"/>
  <c r="U1071" i="51"/>
  <c r="T1071" i="51"/>
  <c r="S1071" i="51"/>
  <c r="R1071" i="51"/>
  <c r="Q1071" i="51"/>
  <c r="P1071" i="51"/>
  <c r="O1071" i="51"/>
  <c r="N1071" i="51"/>
  <c r="M1071" i="51"/>
  <c r="Z1070" i="51"/>
  <c r="Y1070" i="51"/>
  <c r="X1070" i="51"/>
  <c r="W1070" i="51"/>
  <c r="V1070" i="51"/>
  <c r="U1070" i="51"/>
  <c r="T1070" i="51"/>
  <c r="S1070" i="51"/>
  <c r="R1070" i="51"/>
  <c r="Q1070" i="51"/>
  <c r="P1070" i="51"/>
  <c r="O1070" i="51"/>
  <c r="N1070" i="51"/>
  <c r="M1070" i="51"/>
  <c r="Z1069" i="51"/>
  <c r="Y1069" i="51"/>
  <c r="X1069" i="51"/>
  <c r="W1069" i="51"/>
  <c r="V1069" i="51"/>
  <c r="U1069" i="51"/>
  <c r="T1069" i="51"/>
  <c r="S1069" i="51"/>
  <c r="R1069" i="51"/>
  <c r="Q1069" i="51"/>
  <c r="P1069" i="51"/>
  <c r="O1069" i="51"/>
  <c r="N1069" i="51"/>
  <c r="M1069" i="51"/>
  <c r="Z1068" i="51"/>
  <c r="Y1068" i="51"/>
  <c r="X1068" i="51"/>
  <c r="W1068" i="51"/>
  <c r="V1068" i="51"/>
  <c r="U1068" i="51"/>
  <c r="T1068" i="51"/>
  <c r="S1068" i="51"/>
  <c r="R1068" i="51"/>
  <c r="Q1068" i="51"/>
  <c r="P1068" i="51"/>
  <c r="O1068" i="51"/>
  <c r="N1068" i="51"/>
  <c r="M1068" i="51"/>
  <c r="Z1067" i="51"/>
  <c r="Y1067" i="51"/>
  <c r="X1067" i="51"/>
  <c r="W1067" i="51"/>
  <c r="V1067" i="51"/>
  <c r="U1067" i="51"/>
  <c r="T1067" i="51"/>
  <c r="S1067" i="51"/>
  <c r="R1067" i="51"/>
  <c r="Q1067" i="51"/>
  <c r="P1067" i="51"/>
  <c r="O1067" i="51"/>
  <c r="N1067" i="51"/>
  <c r="M1067" i="51"/>
  <c r="Z1066" i="51"/>
  <c r="Y1066" i="51"/>
  <c r="X1066" i="51"/>
  <c r="W1066" i="51"/>
  <c r="V1066" i="51"/>
  <c r="U1066" i="51"/>
  <c r="T1066" i="51"/>
  <c r="S1066" i="51"/>
  <c r="R1066" i="51"/>
  <c r="Q1066" i="51"/>
  <c r="P1066" i="51"/>
  <c r="O1066" i="51"/>
  <c r="N1066" i="51"/>
  <c r="M1066" i="51"/>
  <c r="Z1065" i="51"/>
  <c r="Y1065" i="51"/>
  <c r="X1065" i="51"/>
  <c r="W1065" i="51"/>
  <c r="V1065" i="51"/>
  <c r="U1065" i="51"/>
  <c r="T1065" i="51"/>
  <c r="S1065" i="51"/>
  <c r="R1065" i="51"/>
  <c r="Q1065" i="51"/>
  <c r="P1065" i="51"/>
  <c r="O1065" i="51"/>
  <c r="N1065" i="51"/>
  <c r="M1065" i="51"/>
  <c r="Z1064" i="51"/>
  <c r="Y1064" i="51"/>
  <c r="X1064" i="51"/>
  <c r="W1064" i="51"/>
  <c r="V1064" i="51"/>
  <c r="U1064" i="51"/>
  <c r="T1064" i="51"/>
  <c r="S1064" i="51"/>
  <c r="R1064" i="51"/>
  <c r="Q1064" i="51"/>
  <c r="P1064" i="51"/>
  <c r="O1064" i="51"/>
  <c r="N1064" i="51"/>
  <c r="M1064" i="51"/>
  <c r="Z1063" i="51"/>
  <c r="Y1063" i="51"/>
  <c r="X1063" i="51"/>
  <c r="W1063" i="51"/>
  <c r="V1063" i="51"/>
  <c r="U1063" i="51"/>
  <c r="T1063" i="51"/>
  <c r="S1063" i="51"/>
  <c r="R1063" i="51"/>
  <c r="Q1063" i="51"/>
  <c r="P1063" i="51"/>
  <c r="O1063" i="51"/>
  <c r="N1063" i="51"/>
  <c r="M1063" i="51"/>
  <c r="Z1062" i="51"/>
  <c r="Y1062" i="51"/>
  <c r="X1062" i="51"/>
  <c r="W1062" i="51"/>
  <c r="V1062" i="51"/>
  <c r="U1062" i="51"/>
  <c r="T1062" i="51"/>
  <c r="S1062" i="51"/>
  <c r="R1062" i="51"/>
  <c r="Q1062" i="51"/>
  <c r="P1062" i="51"/>
  <c r="O1062" i="51"/>
  <c r="N1062" i="51"/>
  <c r="M1062" i="51"/>
  <c r="Z1061" i="51"/>
  <c r="Y1061" i="51"/>
  <c r="X1061" i="51"/>
  <c r="W1061" i="51"/>
  <c r="V1061" i="51"/>
  <c r="U1061" i="51"/>
  <c r="T1061" i="51"/>
  <c r="S1061" i="51"/>
  <c r="R1061" i="51"/>
  <c r="Q1061" i="51"/>
  <c r="P1061" i="51"/>
  <c r="O1061" i="51"/>
  <c r="N1061" i="51"/>
  <c r="M1061" i="51"/>
  <c r="Z1060" i="51"/>
  <c r="Y1060" i="51"/>
  <c r="X1060" i="51"/>
  <c r="W1060" i="51"/>
  <c r="V1060" i="51"/>
  <c r="U1060" i="51"/>
  <c r="T1060" i="51"/>
  <c r="S1060" i="51"/>
  <c r="R1060" i="51"/>
  <c r="Q1060" i="51"/>
  <c r="P1060" i="51"/>
  <c r="O1060" i="51"/>
  <c r="N1060" i="51"/>
  <c r="M1060" i="51"/>
  <c r="Z1059" i="51"/>
  <c r="Y1059" i="51"/>
  <c r="X1059" i="51"/>
  <c r="W1059" i="51"/>
  <c r="V1059" i="51"/>
  <c r="U1059" i="51"/>
  <c r="T1059" i="51"/>
  <c r="S1059" i="51"/>
  <c r="R1059" i="51"/>
  <c r="Q1059" i="51"/>
  <c r="P1059" i="51"/>
  <c r="O1059" i="51"/>
  <c r="N1059" i="51"/>
  <c r="M1059" i="51"/>
  <c r="Z1058" i="51"/>
  <c r="Y1058" i="51"/>
  <c r="X1058" i="51"/>
  <c r="W1058" i="51"/>
  <c r="V1058" i="51"/>
  <c r="U1058" i="51"/>
  <c r="T1058" i="51"/>
  <c r="S1058" i="51"/>
  <c r="R1058" i="51"/>
  <c r="Q1058" i="51"/>
  <c r="P1058" i="51"/>
  <c r="O1058" i="51"/>
  <c r="N1058" i="51"/>
  <c r="M1058" i="51"/>
  <c r="Z1057" i="51"/>
  <c r="Y1057" i="51"/>
  <c r="X1057" i="51"/>
  <c r="W1057" i="51"/>
  <c r="V1057" i="51"/>
  <c r="U1057" i="51"/>
  <c r="T1057" i="51"/>
  <c r="S1057" i="51"/>
  <c r="R1057" i="51"/>
  <c r="Q1057" i="51"/>
  <c r="P1057" i="51"/>
  <c r="O1057" i="51"/>
  <c r="N1057" i="51"/>
  <c r="M1057" i="51"/>
  <c r="Z1056" i="51"/>
  <c r="Y1056" i="51"/>
  <c r="X1056" i="51"/>
  <c r="W1056" i="51"/>
  <c r="V1056" i="51"/>
  <c r="U1056" i="51"/>
  <c r="T1056" i="51"/>
  <c r="S1056" i="51"/>
  <c r="R1056" i="51"/>
  <c r="Q1056" i="51"/>
  <c r="P1056" i="51"/>
  <c r="O1056" i="51"/>
  <c r="N1056" i="51"/>
  <c r="M1056" i="51"/>
  <c r="Z1055" i="51"/>
  <c r="Y1055" i="51"/>
  <c r="X1055" i="51"/>
  <c r="W1055" i="51"/>
  <c r="V1055" i="51"/>
  <c r="U1055" i="51"/>
  <c r="T1055" i="51"/>
  <c r="S1055" i="51"/>
  <c r="R1055" i="51"/>
  <c r="Q1055" i="51"/>
  <c r="P1055" i="51"/>
  <c r="O1055" i="51"/>
  <c r="N1055" i="51"/>
  <c r="M1055" i="51"/>
  <c r="Z1054" i="51"/>
  <c r="Y1054" i="51"/>
  <c r="X1054" i="51"/>
  <c r="W1054" i="51"/>
  <c r="V1054" i="51"/>
  <c r="U1054" i="51"/>
  <c r="T1054" i="51"/>
  <c r="S1054" i="51"/>
  <c r="R1054" i="51"/>
  <c r="Q1054" i="51"/>
  <c r="P1054" i="51"/>
  <c r="O1054" i="51"/>
  <c r="N1054" i="51"/>
  <c r="M1054" i="51"/>
  <c r="Z1053" i="51"/>
  <c r="Y1053" i="51"/>
  <c r="X1053" i="51"/>
  <c r="W1053" i="51"/>
  <c r="V1053" i="51"/>
  <c r="U1053" i="51"/>
  <c r="T1053" i="51"/>
  <c r="S1053" i="51"/>
  <c r="R1053" i="51"/>
  <c r="Q1053" i="51"/>
  <c r="P1053" i="51"/>
  <c r="O1053" i="51"/>
  <c r="N1053" i="51"/>
  <c r="M1053" i="51"/>
  <c r="Z1052" i="51"/>
  <c r="Y1052" i="51"/>
  <c r="X1052" i="51"/>
  <c r="W1052" i="51"/>
  <c r="V1052" i="51"/>
  <c r="U1052" i="51"/>
  <c r="T1052" i="51"/>
  <c r="S1052" i="51"/>
  <c r="R1052" i="51"/>
  <c r="Q1052" i="51"/>
  <c r="P1052" i="51"/>
  <c r="O1052" i="51"/>
  <c r="N1052" i="51"/>
  <c r="M1052" i="51"/>
  <c r="Z1051" i="51"/>
  <c r="Y1051" i="51"/>
  <c r="X1051" i="51"/>
  <c r="W1051" i="51"/>
  <c r="V1051" i="51"/>
  <c r="U1051" i="51"/>
  <c r="T1051" i="51"/>
  <c r="S1051" i="51"/>
  <c r="R1051" i="51"/>
  <c r="Q1051" i="51"/>
  <c r="P1051" i="51"/>
  <c r="O1051" i="51"/>
  <c r="N1051" i="51"/>
  <c r="M1051" i="51"/>
  <c r="Z1050" i="51"/>
  <c r="Y1050" i="51"/>
  <c r="X1050" i="51"/>
  <c r="W1050" i="51"/>
  <c r="V1050" i="51"/>
  <c r="U1050" i="51"/>
  <c r="T1050" i="51"/>
  <c r="S1050" i="51"/>
  <c r="R1050" i="51"/>
  <c r="Q1050" i="51"/>
  <c r="P1050" i="51"/>
  <c r="O1050" i="51"/>
  <c r="N1050" i="51"/>
  <c r="M1050" i="51"/>
  <c r="Z1049" i="51"/>
  <c r="Y1049" i="51"/>
  <c r="X1049" i="51"/>
  <c r="W1049" i="51"/>
  <c r="V1049" i="51"/>
  <c r="U1049" i="51"/>
  <c r="T1049" i="51"/>
  <c r="S1049" i="51"/>
  <c r="R1049" i="51"/>
  <c r="Q1049" i="51"/>
  <c r="P1049" i="51"/>
  <c r="O1049" i="51"/>
  <c r="N1049" i="51"/>
  <c r="M1049" i="51"/>
  <c r="Z1048" i="51"/>
  <c r="Y1048" i="51"/>
  <c r="X1048" i="51"/>
  <c r="W1048" i="51"/>
  <c r="V1048" i="51"/>
  <c r="U1048" i="51"/>
  <c r="T1048" i="51"/>
  <c r="S1048" i="51"/>
  <c r="R1048" i="51"/>
  <c r="Q1048" i="51"/>
  <c r="P1048" i="51"/>
  <c r="O1048" i="51"/>
  <c r="N1048" i="51"/>
  <c r="M1048" i="51"/>
  <c r="Z1047" i="51"/>
  <c r="Y1047" i="51"/>
  <c r="X1047" i="51"/>
  <c r="W1047" i="51"/>
  <c r="V1047" i="51"/>
  <c r="U1047" i="51"/>
  <c r="T1047" i="51"/>
  <c r="S1047" i="51"/>
  <c r="R1047" i="51"/>
  <c r="Q1047" i="51"/>
  <c r="P1047" i="51"/>
  <c r="O1047" i="51"/>
  <c r="N1047" i="51"/>
  <c r="M1047" i="51"/>
  <c r="Z1046" i="51"/>
  <c r="Y1046" i="51"/>
  <c r="X1046" i="51"/>
  <c r="W1046" i="51"/>
  <c r="V1046" i="51"/>
  <c r="U1046" i="51"/>
  <c r="T1046" i="51"/>
  <c r="S1046" i="51"/>
  <c r="R1046" i="51"/>
  <c r="Q1046" i="51"/>
  <c r="P1046" i="51"/>
  <c r="O1046" i="51"/>
  <c r="N1046" i="51"/>
  <c r="M1046" i="51"/>
  <c r="Z1045" i="51"/>
  <c r="Y1045" i="51"/>
  <c r="X1045" i="51"/>
  <c r="W1045" i="51"/>
  <c r="V1045" i="51"/>
  <c r="U1045" i="51"/>
  <c r="T1045" i="51"/>
  <c r="S1045" i="51"/>
  <c r="R1045" i="51"/>
  <c r="Q1045" i="51"/>
  <c r="P1045" i="51"/>
  <c r="O1045" i="51"/>
  <c r="N1045" i="51"/>
  <c r="M1045" i="51"/>
  <c r="Z1044" i="51"/>
  <c r="Y1044" i="51"/>
  <c r="X1044" i="51"/>
  <c r="W1044" i="51"/>
  <c r="V1044" i="51"/>
  <c r="U1044" i="51"/>
  <c r="T1044" i="51"/>
  <c r="S1044" i="51"/>
  <c r="R1044" i="51"/>
  <c r="Q1044" i="51"/>
  <c r="P1044" i="51"/>
  <c r="O1044" i="51"/>
  <c r="N1044" i="51"/>
  <c r="M1044" i="51"/>
  <c r="Z1043" i="51"/>
  <c r="Y1043" i="51"/>
  <c r="X1043" i="51"/>
  <c r="W1043" i="51"/>
  <c r="V1043" i="51"/>
  <c r="U1043" i="51"/>
  <c r="T1043" i="51"/>
  <c r="S1043" i="51"/>
  <c r="R1043" i="51"/>
  <c r="Q1043" i="51"/>
  <c r="P1043" i="51"/>
  <c r="O1043" i="51"/>
  <c r="N1043" i="51"/>
  <c r="M1043" i="51"/>
  <c r="Z1042" i="51"/>
  <c r="Y1042" i="51"/>
  <c r="X1042" i="51"/>
  <c r="W1042" i="51"/>
  <c r="V1042" i="51"/>
  <c r="U1042" i="51"/>
  <c r="T1042" i="51"/>
  <c r="S1042" i="51"/>
  <c r="R1042" i="51"/>
  <c r="Q1042" i="51"/>
  <c r="P1042" i="51"/>
  <c r="O1042" i="51"/>
  <c r="N1042" i="51"/>
  <c r="M1042" i="51"/>
  <c r="Z1041" i="51"/>
  <c r="Y1041" i="51"/>
  <c r="X1041" i="51"/>
  <c r="W1041" i="51"/>
  <c r="V1041" i="51"/>
  <c r="U1041" i="51"/>
  <c r="T1041" i="51"/>
  <c r="S1041" i="51"/>
  <c r="R1041" i="51"/>
  <c r="Q1041" i="51"/>
  <c r="P1041" i="51"/>
  <c r="O1041" i="51"/>
  <c r="N1041" i="51"/>
  <c r="M1041" i="51"/>
  <c r="Z1040" i="51"/>
  <c r="Y1040" i="51"/>
  <c r="X1040" i="51"/>
  <c r="W1040" i="51"/>
  <c r="V1040" i="51"/>
  <c r="U1040" i="51"/>
  <c r="T1040" i="51"/>
  <c r="S1040" i="51"/>
  <c r="R1040" i="51"/>
  <c r="Q1040" i="51"/>
  <c r="P1040" i="51"/>
  <c r="O1040" i="51"/>
  <c r="N1040" i="51"/>
  <c r="M1040" i="51"/>
  <c r="Z1039" i="51"/>
  <c r="Y1039" i="51"/>
  <c r="X1039" i="51"/>
  <c r="W1039" i="51"/>
  <c r="V1039" i="51"/>
  <c r="U1039" i="51"/>
  <c r="T1039" i="51"/>
  <c r="S1039" i="51"/>
  <c r="R1039" i="51"/>
  <c r="Q1039" i="51"/>
  <c r="P1039" i="51"/>
  <c r="O1039" i="51"/>
  <c r="N1039" i="51"/>
  <c r="M1039" i="51"/>
  <c r="Z1038" i="51"/>
  <c r="Y1038" i="51"/>
  <c r="X1038" i="51"/>
  <c r="W1038" i="51"/>
  <c r="V1038" i="51"/>
  <c r="U1038" i="51"/>
  <c r="T1038" i="51"/>
  <c r="S1038" i="51"/>
  <c r="R1038" i="51"/>
  <c r="Q1038" i="51"/>
  <c r="P1038" i="51"/>
  <c r="O1038" i="51"/>
  <c r="N1038" i="51"/>
  <c r="M1038" i="51"/>
  <c r="Z1037" i="51"/>
  <c r="Y1037" i="51"/>
  <c r="X1037" i="51"/>
  <c r="W1037" i="51"/>
  <c r="V1037" i="51"/>
  <c r="U1037" i="51"/>
  <c r="T1037" i="51"/>
  <c r="S1037" i="51"/>
  <c r="R1037" i="51"/>
  <c r="Q1037" i="51"/>
  <c r="P1037" i="51"/>
  <c r="O1037" i="51"/>
  <c r="N1037" i="51"/>
  <c r="M1037" i="51"/>
  <c r="Z1036" i="51"/>
  <c r="Y1036" i="51"/>
  <c r="X1036" i="51"/>
  <c r="W1036" i="51"/>
  <c r="V1036" i="51"/>
  <c r="U1036" i="51"/>
  <c r="T1036" i="51"/>
  <c r="S1036" i="51"/>
  <c r="R1036" i="51"/>
  <c r="Q1036" i="51"/>
  <c r="P1036" i="51"/>
  <c r="O1036" i="51"/>
  <c r="N1036" i="51"/>
  <c r="M1036" i="51"/>
  <c r="Z1035" i="51"/>
  <c r="Y1035" i="51"/>
  <c r="X1035" i="51"/>
  <c r="W1035" i="51"/>
  <c r="V1035" i="51"/>
  <c r="U1035" i="51"/>
  <c r="T1035" i="51"/>
  <c r="S1035" i="51"/>
  <c r="R1035" i="51"/>
  <c r="Q1035" i="51"/>
  <c r="P1035" i="51"/>
  <c r="O1035" i="51"/>
  <c r="N1035" i="51"/>
  <c r="M1035" i="51"/>
  <c r="Z1034" i="51"/>
  <c r="Y1034" i="51"/>
  <c r="X1034" i="51"/>
  <c r="W1034" i="51"/>
  <c r="V1034" i="51"/>
  <c r="U1034" i="51"/>
  <c r="T1034" i="51"/>
  <c r="S1034" i="51"/>
  <c r="R1034" i="51"/>
  <c r="Q1034" i="51"/>
  <c r="P1034" i="51"/>
  <c r="O1034" i="51"/>
  <c r="N1034" i="51"/>
  <c r="M1034" i="51"/>
  <c r="Z1033" i="51"/>
  <c r="Y1033" i="51"/>
  <c r="X1033" i="51"/>
  <c r="W1033" i="51"/>
  <c r="V1033" i="51"/>
  <c r="U1033" i="51"/>
  <c r="T1033" i="51"/>
  <c r="S1033" i="51"/>
  <c r="R1033" i="51"/>
  <c r="Q1033" i="51"/>
  <c r="P1033" i="51"/>
  <c r="O1033" i="51"/>
  <c r="N1033" i="51"/>
  <c r="M1033" i="51"/>
  <c r="Z1032" i="51"/>
  <c r="Y1032" i="51"/>
  <c r="X1032" i="51"/>
  <c r="W1032" i="51"/>
  <c r="V1032" i="51"/>
  <c r="U1032" i="51"/>
  <c r="T1032" i="51"/>
  <c r="S1032" i="51"/>
  <c r="R1032" i="51"/>
  <c r="Q1032" i="51"/>
  <c r="P1032" i="51"/>
  <c r="O1032" i="51"/>
  <c r="N1032" i="51"/>
  <c r="M1032" i="51"/>
  <c r="Z1031" i="51"/>
  <c r="Y1031" i="51"/>
  <c r="X1031" i="51"/>
  <c r="W1031" i="51"/>
  <c r="V1031" i="51"/>
  <c r="U1031" i="51"/>
  <c r="T1031" i="51"/>
  <c r="S1031" i="51"/>
  <c r="R1031" i="51"/>
  <c r="Q1031" i="51"/>
  <c r="P1031" i="51"/>
  <c r="O1031" i="51"/>
  <c r="N1031" i="51"/>
  <c r="M1031" i="51"/>
  <c r="Z1030" i="51"/>
  <c r="Y1030" i="51"/>
  <c r="X1030" i="51"/>
  <c r="W1030" i="51"/>
  <c r="V1030" i="51"/>
  <c r="U1030" i="51"/>
  <c r="T1030" i="51"/>
  <c r="S1030" i="51"/>
  <c r="R1030" i="51"/>
  <c r="Q1030" i="51"/>
  <c r="P1030" i="51"/>
  <c r="O1030" i="51"/>
  <c r="N1030" i="51"/>
  <c r="M1030" i="51"/>
  <c r="Z1029" i="51"/>
  <c r="Y1029" i="51"/>
  <c r="X1029" i="51"/>
  <c r="W1029" i="51"/>
  <c r="V1029" i="51"/>
  <c r="U1029" i="51"/>
  <c r="T1029" i="51"/>
  <c r="S1029" i="51"/>
  <c r="R1029" i="51"/>
  <c r="Q1029" i="51"/>
  <c r="P1029" i="51"/>
  <c r="O1029" i="51"/>
  <c r="N1029" i="51"/>
  <c r="M1029" i="51"/>
  <c r="Z1028" i="51"/>
  <c r="Y1028" i="51"/>
  <c r="X1028" i="51"/>
  <c r="W1028" i="51"/>
  <c r="V1028" i="51"/>
  <c r="U1028" i="51"/>
  <c r="T1028" i="51"/>
  <c r="S1028" i="51"/>
  <c r="R1028" i="51"/>
  <c r="Q1028" i="51"/>
  <c r="P1028" i="51"/>
  <c r="O1028" i="51"/>
  <c r="N1028" i="51"/>
  <c r="M1028" i="51"/>
  <c r="Z1027" i="51"/>
  <c r="Y1027" i="51"/>
  <c r="X1027" i="51"/>
  <c r="W1027" i="51"/>
  <c r="V1027" i="51"/>
  <c r="U1027" i="51"/>
  <c r="T1027" i="51"/>
  <c r="S1027" i="51"/>
  <c r="R1027" i="51"/>
  <c r="Q1027" i="51"/>
  <c r="P1027" i="51"/>
  <c r="O1027" i="51"/>
  <c r="N1027" i="51"/>
  <c r="M1027" i="51"/>
  <c r="Z1026" i="51"/>
  <c r="Y1026" i="51"/>
  <c r="X1026" i="51"/>
  <c r="W1026" i="51"/>
  <c r="V1026" i="51"/>
  <c r="U1026" i="51"/>
  <c r="T1026" i="51"/>
  <c r="S1026" i="51"/>
  <c r="R1026" i="51"/>
  <c r="Q1026" i="51"/>
  <c r="P1026" i="51"/>
  <c r="O1026" i="51"/>
  <c r="N1026" i="51"/>
  <c r="M1026" i="51"/>
  <c r="Z1025" i="51"/>
  <c r="Y1025" i="51"/>
  <c r="X1025" i="51"/>
  <c r="W1025" i="51"/>
  <c r="V1025" i="51"/>
  <c r="U1025" i="51"/>
  <c r="T1025" i="51"/>
  <c r="S1025" i="51"/>
  <c r="R1025" i="51"/>
  <c r="Q1025" i="51"/>
  <c r="P1025" i="51"/>
  <c r="O1025" i="51"/>
  <c r="N1025" i="51"/>
  <c r="M1025" i="51"/>
  <c r="Z1024" i="51"/>
  <c r="Y1024" i="51"/>
  <c r="X1024" i="51"/>
  <c r="W1024" i="51"/>
  <c r="V1024" i="51"/>
  <c r="U1024" i="51"/>
  <c r="T1024" i="51"/>
  <c r="S1024" i="51"/>
  <c r="R1024" i="51"/>
  <c r="Q1024" i="51"/>
  <c r="P1024" i="51"/>
  <c r="O1024" i="51"/>
  <c r="N1024" i="51"/>
  <c r="M1024" i="51"/>
  <c r="Z1023" i="51"/>
  <c r="Y1023" i="51"/>
  <c r="X1023" i="51"/>
  <c r="W1023" i="51"/>
  <c r="V1023" i="51"/>
  <c r="U1023" i="51"/>
  <c r="T1023" i="51"/>
  <c r="S1023" i="51"/>
  <c r="R1023" i="51"/>
  <c r="Q1023" i="51"/>
  <c r="P1023" i="51"/>
  <c r="O1023" i="51"/>
  <c r="N1023" i="51"/>
  <c r="M1023" i="51"/>
  <c r="Z1022" i="51"/>
  <c r="Y1022" i="51"/>
  <c r="X1022" i="51"/>
  <c r="W1022" i="51"/>
  <c r="V1022" i="51"/>
  <c r="U1022" i="51"/>
  <c r="T1022" i="51"/>
  <c r="S1022" i="51"/>
  <c r="R1022" i="51"/>
  <c r="Q1022" i="51"/>
  <c r="P1022" i="51"/>
  <c r="O1022" i="51"/>
  <c r="N1022" i="51"/>
  <c r="M1022" i="51"/>
  <c r="Z1021" i="51"/>
  <c r="Y1021" i="51"/>
  <c r="X1021" i="51"/>
  <c r="W1021" i="51"/>
  <c r="V1021" i="51"/>
  <c r="U1021" i="51"/>
  <c r="T1021" i="51"/>
  <c r="S1021" i="51"/>
  <c r="R1021" i="51"/>
  <c r="Q1021" i="51"/>
  <c r="P1021" i="51"/>
  <c r="O1021" i="51"/>
  <c r="N1021" i="51"/>
  <c r="M1021" i="51"/>
  <c r="Z1020" i="51"/>
  <c r="Y1020" i="51"/>
  <c r="X1020" i="51"/>
  <c r="W1020" i="51"/>
  <c r="V1020" i="51"/>
  <c r="U1020" i="51"/>
  <c r="T1020" i="51"/>
  <c r="S1020" i="51"/>
  <c r="R1020" i="51"/>
  <c r="Q1020" i="51"/>
  <c r="P1020" i="51"/>
  <c r="O1020" i="51"/>
  <c r="N1020" i="51"/>
  <c r="M1020" i="51"/>
  <c r="Z1019" i="51"/>
  <c r="Y1019" i="51"/>
  <c r="X1019" i="51"/>
  <c r="W1019" i="51"/>
  <c r="V1019" i="51"/>
  <c r="U1019" i="51"/>
  <c r="T1019" i="51"/>
  <c r="S1019" i="51"/>
  <c r="R1019" i="51"/>
  <c r="Q1019" i="51"/>
  <c r="P1019" i="51"/>
  <c r="O1019" i="51"/>
  <c r="N1019" i="51"/>
  <c r="M1019" i="51"/>
  <c r="Z1018" i="51"/>
  <c r="Y1018" i="51"/>
  <c r="X1018" i="51"/>
  <c r="W1018" i="51"/>
  <c r="V1018" i="51"/>
  <c r="U1018" i="51"/>
  <c r="T1018" i="51"/>
  <c r="S1018" i="51"/>
  <c r="R1018" i="51"/>
  <c r="Q1018" i="51"/>
  <c r="P1018" i="51"/>
  <c r="O1018" i="51"/>
  <c r="N1018" i="51"/>
  <c r="M1018" i="51"/>
  <c r="Z1017" i="51"/>
  <c r="Y1017" i="51"/>
  <c r="X1017" i="51"/>
  <c r="W1017" i="51"/>
  <c r="V1017" i="51"/>
  <c r="U1017" i="51"/>
  <c r="T1017" i="51"/>
  <c r="S1017" i="51"/>
  <c r="R1017" i="51"/>
  <c r="Q1017" i="51"/>
  <c r="P1017" i="51"/>
  <c r="O1017" i="51"/>
  <c r="N1017" i="51"/>
  <c r="M1017" i="51"/>
  <c r="Z1016" i="51"/>
  <c r="Y1016" i="51"/>
  <c r="X1016" i="51"/>
  <c r="W1016" i="51"/>
  <c r="V1016" i="51"/>
  <c r="U1016" i="51"/>
  <c r="T1016" i="51"/>
  <c r="S1016" i="51"/>
  <c r="R1016" i="51"/>
  <c r="Q1016" i="51"/>
  <c r="P1016" i="51"/>
  <c r="O1016" i="51"/>
  <c r="N1016" i="51"/>
  <c r="M1016" i="51"/>
  <c r="Z1015" i="51"/>
  <c r="Y1015" i="51"/>
  <c r="X1015" i="51"/>
  <c r="W1015" i="51"/>
  <c r="V1015" i="51"/>
  <c r="U1015" i="51"/>
  <c r="T1015" i="51"/>
  <c r="S1015" i="51"/>
  <c r="R1015" i="51"/>
  <c r="Q1015" i="51"/>
  <c r="P1015" i="51"/>
  <c r="O1015" i="51"/>
  <c r="N1015" i="51"/>
  <c r="M1015" i="51"/>
  <c r="Z1014" i="51"/>
  <c r="Y1014" i="51"/>
  <c r="X1014" i="51"/>
  <c r="W1014" i="51"/>
  <c r="V1014" i="51"/>
  <c r="U1014" i="51"/>
  <c r="T1014" i="51"/>
  <c r="S1014" i="51"/>
  <c r="R1014" i="51"/>
  <c r="Q1014" i="51"/>
  <c r="P1014" i="51"/>
  <c r="O1014" i="51"/>
  <c r="N1014" i="51"/>
  <c r="M1014" i="51"/>
  <c r="Z1013" i="51"/>
  <c r="Y1013" i="51"/>
  <c r="X1013" i="51"/>
  <c r="W1013" i="51"/>
  <c r="V1013" i="51"/>
  <c r="U1013" i="51"/>
  <c r="T1013" i="51"/>
  <c r="S1013" i="51"/>
  <c r="R1013" i="51"/>
  <c r="Q1013" i="51"/>
  <c r="P1013" i="51"/>
  <c r="O1013" i="51"/>
  <c r="N1013" i="51"/>
  <c r="M1013" i="51"/>
  <c r="Z1012" i="51"/>
  <c r="Y1012" i="51"/>
  <c r="X1012" i="51"/>
  <c r="W1012" i="51"/>
  <c r="V1012" i="51"/>
  <c r="U1012" i="51"/>
  <c r="T1012" i="51"/>
  <c r="S1012" i="51"/>
  <c r="R1012" i="51"/>
  <c r="Q1012" i="51"/>
  <c r="P1012" i="51"/>
  <c r="O1012" i="51"/>
  <c r="N1012" i="51"/>
  <c r="M1012" i="51"/>
  <c r="Z1011" i="51"/>
  <c r="Y1011" i="51"/>
  <c r="X1011" i="51"/>
  <c r="W1011" i="51"/>
  <c r="V1011" i="51"/>
  <c r="U1011" i="51"/>
  <c r="T1011" i="51"/>
  <c r="S1011" i="51"/>
  <c r="R1011" i="51"/>
  <c r="Q1011" i="51"/>
  <c r="P1011" i="51"/>
  <c r="O1011" i="51"/>
  <c r="N1011" i="51"/>
  <c r="M1011" i="51"/>
  <c r="Z1010" i="51"/>
  <c r="Y1010" i="51"/>
  <c r="X1010" i="51"/>
  <c r="W1010" i="51"/>
  <c r="V1010" i="51"/>
  <c r="U1010" i="51"/>
  <c r="T1010" i="51"/>
  <c r="S1010" i="51"/>
  <c r="R1010" i="51"/>
  <c r="Q1010" i="51"/>
  <c r="P1010" i="51"/>
  <c r="O1010" i="51"/>
  <c r="N1010" i="51"/>
  <c r="M1010" i="51"/>
  <c r="Z1009" i="51"/>
  <c r="Y1009" i="51"/>
  <c r="X1009" i="51"/>
  <c r="W1009" i="51"/>
  <c r="V1009" i="51"/>
  <c r="U1009" i="51"/>
  <c r="T1009" i="51"/>
  <c r="S1009" i="51"/>
  <c r="R1009" i="51"/>
  <c r="Q1009" i="51"/>
  <c r="P1009" i="51"/>
  <c r="O1009" i="51"/>
  <c r="N1009" i="51"/>
  <c r="M1009" i="51"/>
  <c r="Z1008" i="51"/>
  <c r="Y1008" i="51"/>
  <c r="X1008" i="51"/>
  <c r="W1008" i="51"/>
  <c r="V1008" i="51"/>
  <c r="U1008" i="51"/>
  <c r="T1008" i="51"/>
  <c r="S1008" i="51"/>
  <c r="R1008" i="51"/>
  <c r="Q1008" i="51"/>
  <c r="P1008" i="51"/>
  <c r="O1008" i="51"/>
  <c r="N1008" i="51"/>
  <c r="M1008" i="51"/>
  <c r="Z1007" i="51"/>
  <c r="Y1007" i="51"/>
  <c r="X1007" i="51"/>
  <c r="W1007" i="51"/>
  <c r="V1007" i="51"/>
  <c r="U1007" i="51"/>
  <c r="T1007" i="51"/>
  <c r="S1007" i="51"/>
  <c r="R1007" i="51"/>
  <c r="Q1007" i="51"/>
  <c r="P1007" i="51"/>
  <c r="O1007" i="51"/>
  <c r="N1007" i="51"/>
  <c r="M1007" i="51"/>
  <c r="Z1006" i="51"/>
  <c r="Y1006" i="51"/>
  <c r="X1006" i="51"/>
  <c r="W1006" i="51"/>
  <c r="V1006" i="51"/>
  <c r="U1006" i="51"/>
  <c r="T1006" i="51"/>
  <c r="S1006" i="51"/>
  <c r="R1006" i="51"/>
  <c r="Q1006" i="51"/>
  <c r="P1006" i="51"/>
  <c r="O1006" i="51"/>
  <c r="N1006" i="51"/>
  <c r="M1006" i="51"/>
  <c r="Z1005" i="51"/>
  <c r="Y1005" i="51"/>
  <c r="X1005" i="51"/>
  <c r="W1005" i="51"/>
  <c r="V1005" i="51"/>
  <c r="U1005" i="51"/>
  <c r="T1005" i="51"/>
  <c r="S1005" i="51"/>
  <c r="R1005" i="51"/>
  <c r="Q1005" i="51"/>
  <c r="P1005" i="51"/>
  <c r="O1005" i="51"/>
  <c r="N1005" i="51"/>
  <c r="M1005" i="51"/>
  <c r="Z1004" i="51"/>
  <c r="Y1004" i="51"/>
  <c r="X1004" i="51"/>
  <c r="W1004" i="51"/>
  <c r="V1004" i="51"/>
  <c r="U1004" i="51"/>
  <c r="T1004" i="51"/>
  <c r="S1004" i="51"/>
  <c r="R1004" i="51"/>
  <c r="Q1004" i="51"/>
  <c r="P1004" i="51"/>
  <c r="O1004" i="51"/>
  <c r="N1004" i="51"/>
  <c r="M1004" i="51"/>
  <c r="Z1003" i="51"/>
  <c r="Y1003" i="51"/>
  <c r="X1003" i="51"/>
  <c r="W1003" i="51"/>
  <c r="V1003" i="51"/>
  <c r="U1003" i="51"/>
  <c r="T1003" i="51"/>
  <c r="S1003" i="51"/>
  <c r="R1003" i="51"/>
  <c r="Q1003" i="51"/>
  <c r="P1003" i="51"/>
  <c r="O1003" i="51"/>
  <c r="N1003" i="51"/>
  <c r="M1003" i="51"/>
  <c r="Z1002" i="51"/>
  <c r="Y1002" i="51"/>
  <c r="X1002" i="51"/>
  <c r="W1002" i="51"/>
  <c r="V1002" i="51"/>
  <c r="U1002" i="51"/>
  <c r="T1002" i="51"/>
  <c r="S1002" i="51"/>
  <c r="R1002" i="51"/>
  <c r="Q1002" i="51"/>
  <c r="P1002" i="51"/>
  <c r="O1002" i="51"/>
  <c r="N1002" i="51"/>
  <c r="M1002" i="51"/>
  <c r="Z1001" i="51"/>
  <c r="Y1001" i="51"/>
  <c r="X1001" i="51"/>
  <c r="W1001" i="51"/>
  <c r="V1001" i="51"/>
  <c r="U1001" i="51"/>
  <c r="T1001" i="51"/>
  <c r="S1001" i="51"/>
  <c r="R1001" i="51"/>
  <c r="Q1001" i="51"/>
  <c r="P1001" i="51"/>
  <c r="O1001" i="51"/>
  <c r="N1001" i="51"/>
  <c r="M1001" i="51"/>
  <c r="Z1000" i="51"/>
  <c r="Y1000" i="51"/>
  <c r="X1000" i="51"/>
  <c r="W1000" i="51"/>
  <c r="V1000" i="51"/>
  <c r="U1000" i="51"/>
  <c r="T1000" i="51"/>
  <c r="S1000" i="51"/>
  <c r="R1000" i="51"/>
  <c r="Q1000" i="51"/>
  <c r="P1000" i="51"/>
  <c r="O1000" i="51"/>
  <c r="N1000" i="51"/>
  <c r="M1000" i="51"/>
  <c r="Z999" i="51"/>
  <c r="Y999" i="51"/>
  <c r="X999" i="51"/>
  <c r="W999" i="51"/>
  <c r="V999" i="51"/>
  <c r="U999" i="51"/>
  <c r="T999" i="51"/>
  <c r="S999" i="51"/>
  <c r="R999" i="51"/>
  <c r="Q999" i="51"/>
  <c r="P999" i="51"/>
  <c r="O999" i="51"/>
  <c r="N999" i="51"/>
  <c r="M999" i="51"/>
  <c r="Z998" i="51"/>
  <c r="Y998" i="51"/>
  <c r="X998" i="51"/>
  <c r="W998" i="51"/>
  <c r="V998" i="51"/>
  <c r="U998" i="51"/>
  <c r="T998" i="51"/>
  <c r="S998" i="51"/>
  <c r="R998" i="51"/>
  <c r="Q998" i="51"/>
  <c r="P998" i="51"/>
  <c r="O998" i="51"/>
  <c r="N998" i="51"/>
  <c r="M998" i="51"/>
  <c r="Z997" i="51"/>
  <c r="Y997" i="51"/>
  <c r="X997" i="51"/>
  <c r="W997" i="51"/>
  <c r="V997" i="51"/>
  <c r="U997" i="51"/>
  <c r="T997" i="51"/>
  <c r="S997" i="51"/>
  <c r="R997" i="51"/>
  <c r="Q997" i="51"/>
  <c r="P997" i="51"/>
  <c r="O997" i="51"/>
  <c r="N997" i="51"/>
  <c r="M997" i="51"/>
  <c r="Z996" i="51"/>
  <c r="Y996" i="51"/>
  <c r="X996" i="51"/>
  <c r="W996" i="51"/>
  <c r="V996" i="51"/>
  <c r="U996" i="51"/>
  <c r="T996" i="51"/>
  <c r="S996" i="51"/>
  <c r="R996" i="51"/>
  <c r="Q996" i="51"/>
  <c r="P996" i="51"/>
  <c r="O996" i="51"/>
  <c r="N996" i="51"/>
  <c r="M996" i="51"/>
  <c r="Z995" i="51"/>
  <c r="Y995" i="51"/>
  <c r="X995" i="51"/>
  <c r="W995" i="51"/>
  <c r="V995" i="51"/>
  <c r="U995" i="51"/>
  <c r="T995" i="51"/>
  <c r="S995" i="51"/>
  <c r="R995" i="51"/>
  <c r="Q995" i="51"/>
  <c r="P995" i="51"/>
  <c r="O995" i="51"/>
  <c r="N995" i="51"/>
  <c r="M995" i="51"/>
  <c r="Z994" i="51"/>
  <c r="Y994" i="51"/>
  <c r="X994" i="51"/>
  <c r="W994" i="51"/>
  <c r="V994" i="51"/>
  <c r="U994" i="51"/>
  <c r="T994" i="51"/>
  <c r="S994" i="51"/>
  <c r="R994" i="51"/>
  <c r="Q994" i="51"/>
  <c r="P994" i="51"/>
  <c r="O994" i="51"/>
  <c r="N994" i="51"/>
  <c r="M994" i="51"/>
  <c r="Z993" i="51"/>
  <c r="Y993" i="51"/>
  <c r="X993" i="51"/>
  <c r="W993" i="51"/>
  <c r="V993" i="51"/>
  <c r="U993" i="51"/>
  <c r="T993" i="51"/>
  <c r="S993" i="51"/>
  <c r="R993" i="51"/>
  <c r="Q993" i="51"/>
  <c r="P993" i="51"/>
  <c r="O993" i="51"/>
  <c r="N993" i="51"/>
  <c r="M993" i="51"/>
  <c r="Z992" i="51"/>
  <c r="Y992" i="51"/>
  <c r="X992" i="51"/>
  <c r="W992" i="51"/>
  <c r="V992" i="51"/>
  <c r="U992" i="51"/>
  <c r="T992" i="51"/>
  <c r="S992" i="51"/>
  <c r="R992" i="51"/>
  <c r="Q992" i="51"/>
  <c r="P992" i="51"/>
  <c r="O992" i="51"/>
  <c r="N992" i="51"/>
  <c r="M992" i="51"/>
  <c r="Z991" i="51"/>
  <c r="Y991" i="51"/>
  <c r="X991" i="51"/>
  <c r="W991" i="51"/>
  <c r="V991" i="51"/>
  <c r="U991" i="51"/>
  <c r="T991" i="51"/>
  <c r="S991" i="51"/>
  <c r="R991" i="51"/>
  <c r="Q991" i="51"/>
  <c r="P991" i="51"/>
  <c r="O991" i="51"/>
  <c r="N991" i="51"/>
  <c r="M991" i="51"/>
  <c r="Z990" i="51"/>
  <c r="Y990" i="51"/>
  <c r="X990" i="51"/>
  <c r="W990" i="51"/>
  <c r="V990" i="51"/>
  <c r="U990" i="51"/>
  <c r="T990" i="51"/>
  <c r="S990" i="51"/>
  <c r="R990" i="51"/>
  <c r="Q990" i="51"/>
  <c r="P990" i="51"/>
  <c r="O990" i="51"/>
  <c r="N990" i="51"/>
  <c r="M990" i="51"/>
  <c r="Z989" i="51"/>
  <c r="Y989" i="51"/>
  <c r="X989" i="51"/>
  <c r="W989" i="51"/>
  <c r="V989" i="51"/>
  <c r="U989" i="51"/>
  <c r="T989" i="51"/>
  <c r="S989" i="51"/>
  <c r="R989" i="51"/>
  <c r="Q989" i="51"/>
  <c r="P989" i="51"/>
  <c r="O989" i="51"/>
  <c r="N989" i="51"/>
  <c r="M989" i="51"/>
  <c r="Z988" i="51"/>
  <c r="Y988" i="51"/>
  <c r="X988" i="51"/>
  <c r="W988" i="51"/>
  <c r="V988" i="51"/>
  <c r="U988" i="51"/>
  <c r="T988" i="51"/>
  <c r="S988" i="51"/>
  <c r="R988" i="51"/>
  <c r="Q988" i="51"/>
  <c r="P988" i="51"/>
  <c r="O988" i="51"/>
  <c r="N988" i="51"/>
  <c r="M988" i="51"/>
  <c r="Z987" i="51"/>
  <c r="Y987" i="51"/>
  <c r="X987" i="51"/>
  <c r="W987" i="51"/>
  <c r="V987" i="51"/>
  <c r="U987" i="51"/>
  <c r="T987" i="51"/>
  <c r="S987" i="51"/>
  <c r="R987" i="51"/>
  <c r="Q987" i="51"/>
  <c r="P987" i="51"/>
  <c r="O987" i="51"/>
  <c r="N987" i="51"/>
  <c r="M987" i="51"/>
  <c r="Z986" i="51"/>
  <c r="Y986" i="51"/>
  <c r="X986" i="51"/>
  <c r="W986" i="51"/>
  <c r="V986" i="51"/>
  <c r="U986" i="51"/>
  <c r="T986" i="51"/>
  <c r="S986" i="51"/>
  <c r="R986" i="51"/>
  <c r="Q986" i="51"/>
  <c r="P986" i="51"/>
  <c r="O986" i="51"/>
  <c r="N986" i="51"/>
  <c r="M986" i="51"/>
  <c r="Z985" i="51"/>
  <c r="Y985" i="51"/>
  <c r="X985" i="51"/>
  <c r="W985" i="51"/>
  <c r="V985" i="51"/>
  <c r="U985" i="51"/>
  <c r="T985" i="51"/>
  <c r="S985" i="51"/>
  <c r="R985" i="51"/>
  <c r="Q985" i="51"/>
  <c r="P985" i="51"/>
  <c r="O985" i="51"/>
  <c r="N985" i="51"/>
  <c r="M985" i="51"/>
  <c r="Z984" i="51"/>
  <c r="Y984" i="51"/>
  <c r="X984" i="51"/>
  <c r="W984" i="51"/>
  <c r="V984" i="51"/>
  <c r="U984" i="51"/>
  <c r="T984" i="51"/>
  <c r="S984" i="51"/>
  <c r="R984" i="51"/>
  <c r="Q984" i="51"/>
  <c r="P984" i="51"/>
  <c r="O984" i="51"/>
  <c r="N984" i="51"/>
  <c r="M984" i="51"/>
  <c r="Z983" i="51"/>
  <c r="Y983" i="51"/>
  <c r="X983" i="51"/>
  <c r="W983" i="51"/>
  <c r="V983" i="51"/>
  <c r="U983" i="51"/>
  <c r="T983" i="51"/>
  <c r="S983" i="51"/>
  <c r="R983" i="51"/>
  <c r="Q983" i="51"/>
  <c r="P983" i="51"/>
  <c r="O983" i="51"/>
  <c r="N983" i="51"/>
  <c r="M983" i="51"/>
  <c r="Z982" i="51"/>
  <c r="Y982" i="51"/>
  <c r="X982" i="51"/>
  <c r="W982" i="51"/>
  <c r="V982" i="51"/>
  <c r="U982" i="51"/>
  <c r="T982" i="51"/>
  <c r="S982" i="51"/>
  <c r="R982" i="51"/>
  <c r="Q982" i="51"/>
  <c r="P982" i="51"/>
  <c r="O982" i="51"/>
  <c r="N982" i="51"/>
  <c r="M982" i="51"/>
  <c r="Z981" i="51"/>
  <c r="Y981" i="51"/>
  <c r="X981" i="51"/>
  <c r="W981" i="51"/>
  <c r="V981" i="51"/>
  <c r="U981" i="51"/>
  <c r="T981" i="51"/>
  <c r="S981" i="51"/>
  <c r="R981" i="51"/>
  <c r="Q981" i="51"/>
  <c r="P981" i="51"/>
  <c r="O981" i="51"/>
  <c r="N981" i="51"/>
  <c r="M981" i="51"/>
  <c r="Z980" i="51"/>
  <c r="Y980" i="51"/>
  <c r="X980" i="51"/>
  <c r="W980" i="51"/>
  <c r="V980" i="51"/>
  <c r="U980" i="51"/>
  <c r="T980" i="51"/>
  <c r="S980" i="51"/>
  <c r="R980" i="51"/>
  <c r="Q980" i="51"/>
  <c r="P980" i="51"/>
  <c r="O980" i="51"/>
  <c r="N980" i="51"/>
  <c r="M980" i="51"/>
  <c r="Z979" i="51"/>
  <c r="Y979" i="51"/>
  <c r="X979" i="51"/>
  <c r="W979" i="51"/>
  <c r="V979" i="51"/>
  <c r="U979" i="51"/>
  <c r="T979" i="51"/>
  <c r="S979" i="51"/>
  <c r="R979" i="51"/>
  <c r="Q979" i="51"/>
  <c r="P979" i="51"/>
  <c r="O979" i="51"/>
  <c r="N979" i="51"/>
  <c r="M979" i="51"/>
  <c r="Z978" i="51"/>
  <c r="Y978" i="51"/>
  <c r="X978" i="51"/>
  <c r="W978" i="51"/>
  <c r="V978" i="51"/>
  <c r="U978" i="51"/>
  <c r="T978" i="51"/>
  <c r="S978" i="51"/>
  <c r="R978" i="51"/>
  <c r="Q978" i="51"/>
  <c r="P978" i="51"/>
  <c r="O978" i="51"/>
  <c r="N978" i="51"/>
  <c r="M978" i="51"/>
  <c r="Z977" i="51"/>
  <c r="Y977" i="51"/>
  <c r="X977" i="51"/>
  <c r="W977" i="51"/>
  <c r="V977" i="51"/>
  <c r="U977" i="51"/>
  <c r="T977" i="51"/>
  <c r="S977" i="51"/>
  <c r="R977" i="51"/>
  <c r="Q977" i="51"/>
  <c r="P977" i="51"/>
  <c r="O977" i="51"/>
  <c r="N977" i="51"/>
  <c r="M977" i="51"/>
  <c r="Z976" i="51"/>
  <c r="Y976" i="51"/>
  <c r="X976" i="51"/>
  <c r="W976" i="51"/>
  <c r="V976" i="51"/>
  <c r="U976" i="51"/>
  <c r="T976" i="51"/>
  <c r="S976" i="51"/>
  <c r="R976" i="51"/>
  <c r="Q976" i="51"/>
  <c r="P976" i="51"/>
  <c r="O976" i="51"/>
  <c r="N976" i="51"/>
  <c r="M976" i="51"/>
  <c r="Z975" i="51"/>
  <c r="Y975" i="51"/>
  <c r="X975" i="51"/>
  <c r="W975" i="51"/>
  <c r="V975" i="51"/>
  <c r="U975" i="51"/>
  <c r="T975" i="51"/>
  <c r="S975" i="51"/>
  <c r="R975" i="51"/>
  <c r="Q975" i="51"/>
  <c r="P975" i="51"/>
  <c r="O975" i="51"/>
  <c r="N975" i="51"/>
  <c r="M975" i="51"/>
  <c r="Z974" i="51"/>
  <c r="Y974" i="51"/>
  <c r="X974" i="51"/>
  <c r="W974" i="51"/>
  <c r="V974" i="51"/>
  <c r="U974" i="51"/>
  <c r="T974" i="51"/>
  <c r="S974" i="51"/>
  <c r="R974" i="51"/>
  <c r="Q974" i="51"/>
  <c r="P974" i="51"/>
  <c r="O974" i="51"/>
  <c r="N974" i="51"/>
  <c r="M974" i="51"/>
  <c r="Z973" i="51"/>
  <c r="Y973" i="51"/>
  <c r="X973" i="51"/>
  <c r="W973" i="51"/>
  <c r="V973" i="51"/>
  <c r="U973" i="51"/>
  <c r="T973" i="51"/>
  <c r="S973" i="51"/>
  <c r="R973" i="51"/>
  <c r="Q973" i="51"/>
  <c r="P973" i="51"/>
  <c r="O973" i="51"/>
  <c r="N973" i="51"/>
  <c r="M973" i="51"/>
  <c r="Z972" i="51"/>
  <c r="Y972" i="51"/>
  <c r="X972" i="51"/>
  <c r="W972" i="51"/>
  <c r="V972" i="51"/>
  <c r="U972" i="51"/>
  <c r="T972" i="51"/>
  <c r="S972" i="51"/>
  <c r="R972" i="51"/>
  <c r="Q972" i="51"/>
  <c r="P972" i="51"/>
  <c r="O972" i="51"/>
  <c r="N972" i="51"/>
  <c r="M972" i="51"/>
  <c r="Z971" i="51"/>
  <c r="Y971" i="51"/>
  <c r="X971" i="51"/>
  <c r="W971" i="51"/>
  <c r="V971" i="51"/>
  <c r="U971" i="51"/>
  <c r="T971" i="51"/>
  <c r="S971" i="51"/>
  <c r="R971" i="51"/>
  <c r="Q971" i="51"/>
  <c r="P971" i="51"/>
  <c r="O971" i="51"/>
  <c r="N971" i="51"/>
  <c r="M971" i="51"/>
  <c r="Z970" i="51"/>
  <c r="Y970" i="51"/>
  <c r="X970" i="51"/>
  <c r="W970" i="51"/>
  <c r="V970" i="51"/>
  <c r="U970" i="51"/>
  <c r="T970" i="51"/>
  <c r="S970" i="51"/>
  <c r="R970" i="51"/>
  <c r="Q970" i="51"/>
  <c r="P970" i="51"/>
  <c r="O970" i="51"/>
  <c r="N970" i="51"/>
  <c r="M970" i="51"/>
  <c r="Z969" i="51"/>
  <c r="Y969" i="51"/>
  <c r="X969" i="51"/>
  <c r="W969" i="51"/>
  <c r="V969" i="51"/>
  <c r="U969" i="51"/>
  <c r="T969" i="51"/>
  <c r="S969" i="51"/>
  <c r="R969" i="51"/>
  <c r="Q969" i="51"/>
  <c r="P969" i="51"/>
  <c r="O969" i="51"/>
  <c r="N969" i="51"/>
  <c r="M969" i="51"/>
  <c r="Z968" i="51"/>
  <c r="Y968" i="51"/>
  <c r="X968" i="51"/>
  <c r="W968" i="51"/>
  <c r="V968" i="51"/>
  <c r="U968" i="51"/>
  <c r="T968" i="51"/>
  <c r="S968" i="51"/>
  <c r="R968" i="51"/>
  <c r="Q968" i="51"/>
  <c r="P968" i="51"/>
  <c r="O968" i="51"/>
  <c r="N968" i="51"/>
  <c r="M968" i="51"/>
  <c r="Z967" i="51"/>
  <c r="Y967" i="51"/>
  <c r="X967" i="51"/>
  <c r="W967" i="51"/>
  <c r="V967" i="51"/>
  <c r="U967" i="51"/>
  <c r="T967" i="51"/>
  <c r="S967" i="51"/>
  <c r="R967" i="51"/>
  <c r="Q967" i="51"/>
  <c r="P967" i="51"/>
  <c r="O967" i="51"/>
  <c r="N967" i="51"/>
  <c r="M967" i="51"/>
  <c r="Z966" i="51"/>
  <c r="Y966" i="51"/>
  <c r="X966" i="51"/>
  <c r="W966" i="51"/>
  <c r="V966" i="51"/>
  <c r="U966" i="51"/>
  <c r="T966" i="51"/>
  <c r="S966" i="51"/>
  <c r="R966" i="51"/>
  <c r="Q966" i="51"/>
  <c r="P966" i="51"/>
  <c r="O966" i="51"/>
  <c r="N966" i="51"/>
  <c r="M966" i="51"/>
  <c r="Z965" i="51"/>
  <c r="Y965" i="51"/>
  <c r="X965" i="51"/>
  <c r="W965" i="51"/>
  <c r="V965" i="51"/>
  <c r="U965" i="51"/>
  <c r="T965" i="51"/>
  <c r="S965" i="51"/>
  <c r="R965" i="51"/>
  <c r="Q965" i="51"/>
  <c r="P965" i="51"/>
  <c r="O965" i="51"/>
  <c r="N965" i="51"/>
  <c r="M965" i="51"/>
  <c r="Z964" i="51"/>
  <c r="Y964" i="51"/>
  <c r="X964" i="51"/>
  <c r="W964" i="51"/>
  <c r="V964" i="51"/>
  <c r="U964" i="51"/>
  <c r="T964" i="51"/>
  <c r="S964" i="51"/>
  <c r="R964" i="51"/>
  <c r="Q964" i="51"/>
  <c r="P964" i="51"/>
  <c r="O964" i="51"/>
  <c r="N964" i="51"/>
  <c r="M964" i="51"/>
  <c r="Z963" i="51"/>
  <c r="Y963" i="51"/>
  <c r="X963" i="51"/>
  <c r="W963" i="51"/>
  <c r="V963" i="51"/>
  <c r="U963" i="51"/>
  <c r="T963" i="51"/>
  <c r="S963" i="51"/>
  <c r="R963" i="51"/>
  <c r="Q963" i="51"/>
  <c r="P963" i="51"/>
  <c r="O963" i="51"/>
  <c r="N963" i="51"/>
  <c r="M963" i="51"/>
  <c r="Z962" i="51"/>
  <c r="Y962" i="51"/>
  <c r="X962" i="51"/>
  <c r="W962" i="51"/>
  <c r="V962" i="51"/>
  <c r="U962" i="51"/>
  <c r="T962" i="51"/>
  <c r="S962" i="51"/>
  <c r="R962" i="51"/>
  <c r="Q962" i="51"/>
  <c r="P962" i="51"/>
  <c r="O962" i="51"/>
  <c r="N962" i="51"/>
  <c r="M962" i="51"/>
  <c r="Z961" i="51"/>
  <c r="Y961" i="51"/>
  <c r="X961" i="51"/>
  <c r="W961" i="51"/>
  <c r="V961" i="51"/>
  <c r="U961" i="51"/>
  <c r="T961" i="51"/>
  <c r="S961" i="51"/>
  <c r="R961" i="51"/>
  <c r="Q961" i="51"/>
  <c r="P961" i="51"/>
  <c r="O961" i="51"/>
  <c r="N961" i="51"/>
  <c r="M961" i="51"/>
  <c r="Z960" i="51"/>
  <c r="Y960" i="51"/>
  <c r="X960" i="51"/>
  <c r="W960" i="51"/>
  <c r="V960" i="51"/>
  <c r="U960" i="51"/>
  <c r="T960" i="51"/>
  <c r="S960" i="51"/>
  <c r="R960" i="51"/>
  <c r="Q960" i="51"/>
  <c r="P960" i="51"/>
  <c r="O960" i="51"/>
  <c r="N960" i="51"/>
  <c r="M960" i="51"/>
  <c r="Z959" i="51"/>
  <c r="Y959" i="51"/>
  <c r="X959" i="51"/>
  <c r="W959" i="51"/>
  <c r="V959" i="51"/>
  <c r="U959" i="51"/>
  <c r="T959" i="51"/>
  <c r="S959" i="51"/>
  <c r="R959" i="51"/>
  <c r="Q959" i="51"/>
  <c r="P959" i="51"/>
  <c r="O959" i="51"/>
  <c r="N959" i="51"/>
  <c r="M959" i="51"/>
  <c r="Z958" i="51"/>
  <c r="Y958" i="51"/>
  <c r="X958" i="51"/>
  <c r="W958" i="51"/>
  <c r="V958" i="51"/>
  <c r="U958" i="51"/>
  <c r="T958" i="51"/>
  <c r="S958" i="51"/>
  <c r="R958" i="51"/>
  <c r="Q958" i="51"/>
  <c r="P958" i="51"/>
  <c r="O958" i="51"/>
  <c r="N958" i="51"/>
  <c r="M958" i="51"/>
  <c r="Z957" i="51"/>
  <c r="Y957" i="51"/>
  <c r="X957" i="51"/>
  <c r="W957" i="51"/>
  <c r="V957" i="51"/>
  <c r="U957" i="51"/>
  <c r="T957" i="51"/>
  <c r="S957" i="51"/>
  <c r="R957" i="51"/>
  <c r="Q957" i="51"/>
  <c r="P957" i="51"/>
  <c r="O957" i="51"/>
  <c r="N957" i="51"/>
  <c r="M957" i="51"/>
  <c r="Z956" i="51"/>
  <c r="Y956" i="51"/>
  <c r="X956" i="51"/>
  <c r="W956" i="51"/>
  <c r="V956" i="51"/>
  <c r="U956" i="51"/>
  <c r="T956" i="51"/>
  <c r="S956" i="51"/>
  <c r="R956" i="51"/>
  <c r="Q956" i="51"/>
  <c r="P956" i="51"/>
  <c r="O956" i="51"/>
  <c r="N956" i="51"/>
  <c r="M956" i="51"/>
  <c r="Z955" i="51"/>
  <c r="Y955" i="51"/>
  <c r="X955" i="51"/>
  <c r="W955" i="51"/>
  <c r="V955" i="51"/>
  <c r="U955" i="51"/>
  <c r="T955" i="51"/>
  <c r="S955" i="51"/>
  <c r="R955" i="51"/>
  <c r="Q955" i="51"/>
  <c r="P955" i="51"/>
  <c r="O955" i="51"/>
  <c r="N955" i="51"/>
  <c r="M955" i="51"/>
  <c r="Z954" i="51"/>
  <c r="Y954" i="51"/>
  <c r="X954" i="51"/>
  <c r="W954" i="51"/>
  <c r="V954" i="51"/>
  <c r="U954" i="51"/>
  <c r="T954" i="51"/>
  <c r="S954" i="51"/>
  <c r="R954" i="51"/>
  <c r="Q954" i="51"/>
  <c r="P954" i="51"/>
  <c r="O954" i="51"/>
  <c r="N954" i="51"/>
  <c r="M954" i="51"/>
  <c r="Z953" i="51"/>
  <c r="Y953" i="51"/>
  <c r="X953" i="51"/>
  <c r="W953" i="51"/>
  <c r="V953" i="51"/>
  <c r="U953" i="51"/>
  <c r="T953" i="51"/>
  <c r="S953" i="51"/>
  <c r="R953" i="51"/>
  <c r="Q953" i="51"/>
  <c r="P953" i="51"/>
  <c r="O953" i="51"/>
  <c r="N953" i="51"/>
  <c r="M953" i="51"/>
  <c r="Z952" i="51"/>
  <c r="Y952" i="51"/>
  <c r="X952" i="51"/>
  <c r="W952" i="51"/>
  <c r="V952" i="51"/>
  <c r="U952" i="51"/>
  <c r="T952" i="51"/>
  <c r="S952" i="51"/>
  <c r="R952" i="51"/>
  <c r="Q952" i="51"/>
  <c r="P952" i="51"/>
  <c r="O952" i="51"/>
  <c r="N952" i="51"/>
  <c r="M952" i="51"/>
  <c r="Z951" i="51"/>
  <c r="Y951" i="51"/>
  <c r="X951" i="51"/>
  <c r="W951" i="51"/>
  <c r="V951" i="51"/>
  <c r="U951" i="51"/>
  <c r="T951" i="51"/>
  <c r="S951" i="51"/>
  <c r="R951" i="51"/>
  <c r="Q951" i="51"/>
  <c r="P951" i="51"/>
  <c r="O951" i="51"/>
  <c r="N951" i="51"/>
  <c r="M951" i="51"/>
  <c r="Z950" i="51"/>
  <c r="Y950" i="51"/>
  <c r="X950" i="51"/>
  <c r="W950" i="51"/>
  <c r="V950" i="51"/>
  <c r="U950" i="51"/>
  <c r="T950" i="51"/>
  <c r="S950" i="51"/>
  <c r="R950" i="51"/>
  <c r="Q950" i="51"/>
  <c r="P950" i="51"/>
  <c r="O950" i="51"/>
  <c r="N950" i="51"/>
  <c r="M950" i="51"/>
  <c r="Z949" i="51"/>
  <c r="Y949" i="51"/>
  <c r="X949" i="51"/>
  <c r="W949" i="51"/>
  <c r="V949" i="51"/>
  <c r="U949" i="51"/>
  <c r="T949" i="51"/>
  <c r="S949" i="51"/>
  <c r="R949" i="51"/>
  <c r="Q949" i="51"/>
  <c r="P949" i="51"/>
  <c r="O949" i="51"/>
  <c r="N949" i="51"/>
  <c r="M949" i="51"/>
  <c r="Z948" i="51"/>
  <c r="Y948" i="51"/>
  <c r="X948" i="51"/>
  <c r="W948" i="51"/>
  <c r="V948" i="51"/>
  <c r="U948" i="51"/>
  <c r="T948" i="51"/>
  <c r="S948" i="51"/>
  <c r="R948" i="51"/>
  <c r="Q948" i="51"/>
  <c r="P948" i="51"/>
  <c r="O948" i="51"/>
  <c r="N948" i="51"/>
  <c r="M948" i="51"/>
  <c r="Z947" i="51"/>
  <c r="Y947" i="51"/>
  <c r="X947" i="51"/>
  <c r="W947" i="51"/>
  <c r="V947" i="51"/>
  <c r="U947" i="51"/>
  <c r="T947" i="51"/>
  <c r="S947" i="51"/>
  <c r="R947" i="51"/>
  <c r="Q947" i="51"/>
  <c r="P947" i="51"/>
  <c r="O947" i="51"/>
  <c r="N947" i="51"/>
  <c r="M947" i="51"/>
  <c r="Z946" i="51"/>
  <c r="Y946" i="51"/>
  <c r="X946" i="51"/>
  <c r="W946" i="51"/>
  <c r="V946" i="51"/>
  <c r="U946" i="51"/>
  <c r="T946" i="51"/>
  <c r="S946" i="51"/>
  <c r="R946" i="51"/>
  <c r="Q946" i="51"/>
  <c r="P946" i="51"/>
  <c r="O946" i="51"/>
  <c r="N946" i="51"/>
  <c r="M946" i="51"/>
  <c r="Z945" i="51"/>
  <c r="Y945" i="51"/>
  <c r="X945" i="51"/>
  <c r="W945" i="51"/>
  <c r="V945" i="51"/>
  <c r="U945" i="51"/>
  <c r="T945" i="51"/>
  <c r="S945" i="51"/>
  <c r="R945" i="51"/>
  <c r="Q945" i="51"/>
  <c r="P945" i="51"/>
  <c r="O945" i="51"/>
  <c r="N945" i="51"/>
  <c r="M945" i="51"/>
  <c r="Z944" i="51"/>
  <c r="Y944" i="51"/>
  <c r="X944" i="51"/>
  <c r="W944" i="51"/>
  <c r="V944" i="51"/>
  <c r="U944" i="51"/>
  <c r="T944" i="51"/>
  <c r="S944" i="51"/>
  <c r="R944" i="51"/>
  <c r="Q944" i="51"/>
  <c r="P944" i="51"/>
  <c r="O944" i="51"/>
  <c r="N944" i="51"/>
  <c r="M944" i="51"/>
  <c r="Z943" i="51"/>
  <c r="Y943" i="51"/>
  <c r="X943" i="51"/>
  <c r="W943" i="51"/>
  <c r="V943" i="51"/>
  <c r="U943" i="51"/>
  <c r="T943" i="51"/>
  <c r="S943" i="51"/>
  <c r="R943" i="51"/>
  <c r="Q943" i="51"/>
  <c r="P943" i="51"/>
  <c r="O943" i="51"/>
  <c r="N943" i="51"/>
  <c r="M943" i="51"/>
  <c r="Z942" i="51"/>
  <c r="Y942" i="51"/>
  <c r="X942" i="51"/>
  <c r="W942" i="51"/>
  <c r="V942" i="51"/>
  <c r="U942" i="51"/>
  <c r="T942" i="51"/>
  <c r="S942" i="51"/>
  <c r="R942" i="51"/>
  <c r="Q942" i="51"/>
  <c r="P942" i="51"/>
  <c r="O942" i="51"/>
  <c r="N942" i="51"/>
  <c r="M942" i="51"/>
  <c r="Z941" i="51"/>
  <c r="Y941" i="51"/>
  <c r="X941" i="51"/>
  <c r="W941" i="51"/>
  <c r="V941" i="51"/>
  <c r="U941" i="51"/>
  <c r="T941" i="51"/>
  <c r="S941" i="51"/>
  <c r="R941" i="51"/>
  <c r="Q941" i="51"/>
  <c r="P941" i="51"/>
  <c r="O941" i="51"/>
  <c r="N941" i="51"/>
  <c r="M941" i="51"/>
  <c r="Z940" i="51"/>
  <c r="Y940" i="51"/>
  <c r="X940" i="51"/>
  <c r="W940" i="51"/>
  <c r="V940" i="51"/>
  <c r="U940" i="51"/>
  <c r="T940" i="51"/>
  <c r="S940" i="51"/>
  <c r="R940" i="51"/>
  <c r="Q940" i="51"/>
  <c r="P940" i="51"/>
  <c r="O940" i="51"/>
  <c r="N940" i="51"/>
  <c r="M940" i="51"/>
  <c r="Z939" i="51"/>
  <c r="Y939" i="51"/>
  <c r="X939" i="51"/>
  <c r="W939" i="51"/>
  <c r="V939" i="51"/>
  <c r="U939" i="51"/>
  <c r="T939" i="51"/>
  <c r="S939" i="51"/>
  <c r="R939" i="51"/>
  <c r="Q939" i="51"/>
  <c r="P939" i="51"/>
  <c r="O939" i="51"/>
  <c r="N939" i="51"/>
  <c r="M939" i="51"/>
  <c r="Z938" i="51"/>
  <c r="Y938" i="51"/>
  <c r="X938" i="51"/>
  <c r="W938" i="51"/>
  <c r="V938" i="51"/>
  <c r="U938" i="51"/>
  <c r="T938" i="51"/>
  <c r="S938" i="51"/>
  <c r="R938" i="51"/>
  <c r="Q938" i="51"/>
  <c r="P938" i="51"/>
  <c r="O938" i="51"/>
  <c r="N938" i="51"/>
  <c r="M938" i="51"/>
  <c r="Z937" i="51"/>
  <c r="Y937" i="51"/>
  <c r="X937" i="51"/>
  <c r="W937" i="51"/>
  <c r="V937" i="51"/>
  <c r="U937" i="51"/>
  <c r="T937" i="51"/>
  <c r="S937" i="51"/>
  <c r="R937" i="51"/>
  <c r="Q937" i="51"/>
  <c r="P937" i="51"/>
  <c r="O937" i="51"/>
  <c r="N937" i="51"/>
  <c r="M937" i="51"/>
  <c r="Z936" i="51"/>
  <c r="Y936" i="51"/>
  <c r="X936" i="51"/>
  <c r="W936" i="51"/>
  <c r="V936" i="51"/>
  <c r="U936" i="51"/>
  <c r="T936" i="51"/>
  <c r="S936" i="51"/>
  <c r="R936" i="51"/>
  <c r="Q936" i="51"/>
  <c r="P936" i="51"/>
  <c r="O936" i="51"/>
  <c r="N936" i="51"/>
  <c r="M936" i="51"/>
  <c r="Z935" i="51"/>
  <c r="Y935" i="51"/>
  <c r="X935" i="51"/>
  <c r="W935" i="51"/>
  <c r="V935" i="51"/>
  <c r="U935" i="51"/>
  <c r="T935" i="51"/>
  <c r="S935" i="51"/>
  <c r="R935" i="51"/>
  <c r="Q935" i="51"/>
  <c r="P935" i="51"/>
  <c r="O935" i="51"/>
  <c r="N935" i="51"/>
  <c r="M935" i="51"/>
  <c r="Z934" i="51"/>
  <c r="Y934" i="51"/>
  <c r="X934" i="51"/>
  <c r="W934" i="51"/>
  <c r="V934" i="51"/>
  <c r="U934" i="51"/>
  <c r="T934" i="51"/>
  <c r="S934" i="51"/>
  <c r="R934" i="51"/>
  <c r="Q934" i="51"/>
  <c r="P934" i="51"/>
  <c r="O934" i="51"/>
  <c r="N934" i="51"/>
  <c r="M934" i="51"/>
  <c r="Z933" i="51"/>
  <c r="Y933" i="51"/>
  <c r="X933" i="51"/>
  <c r="W933" i="51"/>
  <c r="V933" i="51"/>
  <c r="U933" i="51"/>
  <c r="T933" i="51"/>
  <c r="S933" i="51"/>
  <c r="R933" i="51"/>
  <c r="Q933" i="51"/>
  <c r="P933" i="51"/>
  <c r="O933" i="51"/>
  <c r="N933" i="51"/>
  <c r="M933" i="51"/>
  <c r="Z932" i="51"/>
  <c r="Y932" i="51"/>
  <c r="X932" i="51"/>
  <c r="W932" i="51"/>
  <c r="V932" i="51"/>
  <c r="U932" i="51"/>
  <c r="T932" i="51"/>
  <c r="S932" i="51"/>
  <c r="R932" i="51"/>
  <c r="Q932" i="51"/>
  <c r="P932" i="51"/>
  <c r="O932" i="51"/>
  <c r="N932" i="51"/>
  <c r="M932" i="51"/>
  <c r="Z931" i="51"/>
  <c r="Y931" i="51"/>
  <c r="X931" i="51"/>
  <c r="W931" i="51"/>
  <c r="V931" i="51"/>
  <c r="U931" i="51"/>
  <c r="T931" i="51"/>
  <c r="S931" i="51"/>
  <c r="R931" i="51"/>
  <c r="Q931" i="51"/>
  <c r="P931" i="51"/>
  <c r="O931" i="51"/>
  <c r="N931" i="51"/>
  <c r="M931" i="51"/>
  <c r="Z930" i="51"/>
  <c r="Y930" i="51"/>
  <c r="X930" i="51"/>
  <c r="W930" i="51"/>
  <c r="V930" i="51"/>
  <c r="U930" i="51"/>
  <c r="T930" i="51"/>
  <c r="S930" i="51"/>
  <c r="R930" i="51"/>
  <c r="Q930" i="51"/>
  <c r="P930" i="51"/>
  <c r="O930" i="51"/>
  <c r="N930" i="51"/>
  <c r="M930" i="51"/>
  <c r="Z929" i="51"/>
  <c r="Y929" i="51"/>
  <c r="X929" i="51"/>
  <c r="W929" i="51"/>
  <c r="V929" i="51"/>
  <c r="U929" i="51"/>
  <c r="T929" i="51"/>
  <c r="S929" i="51"/>
  <c r="R929" i="51"/>
  <c r="Q929" i="51"/>
  <c r="P929" i="51"/>
  <c r="O929" i="51"/>
  <c r="N929" i="51"/>
  <c r="M929" i="51"/>
  <c r="Z928" i="51"/>
  <c r="Y928" i="51"/>
  <c r="X928" i="51"/>
  <c r="W928" i="51"/>
  <c r="V928" i="51"/>
  <c r="U928" i="51"/>
  <c r="T928" i="51"/>
  <c r="S928" i="51"/>
  <c r="R928" i="51"/>
  <c r="Q928" i="51"/>
  <c r="P928" i="51"/>
  <c r="O928" i="51"/>
  <c r="N928" i="51"/>
  <c r="M928" i="51"/>
  <c r="Z927" i="51"/>
  <c r="Y927" i="51"/>
  <c r="X927" i="51"/>
  <c r="W927" i="51"/>
  <c r="V927" i="51"/>
  <c r="U927" i="51"/>
  <c r="T927" i="51"/>
  <c r="S927" i="51"/>
  <c r="R927" i="51"/>
  <c r="Q927" i="51"/>
  <c r="P927" i="51"/>
  <c r="O927" i="51"/>
  <c r="N927" i="51"/>
  <c r="M927" i="51"/>
  <c r="Z926" i="51"/>
  <c r="Y926" i="51"/>
  <c r="X926" i="51"/>
  <c r="W926" i="51"/>
  <c r="V926" i="51"/>
  <c r="U926" i="51"/>
  <c r="T926" i="51"/>
  <c r="S926" i="51"/>
  <c r="R926" i="51"/>
  <c r="Q926" i="51"/>
  <c r="P926" i="51"/>
  <c r="O926" i="51"/>
  <c r="N926" i="51"/>
  <c r="M926" i="51"/>
  <c r="Z925" i="51"/>
  <c r="Y925" i="51"/>
  <c r="X925" i="51"/>
  <c r="W925" i="51"/>
  <c r="V925" i="51"/>
  <c r="U925" i="51"/>
  <c r="T925" i="51"/>
  <c r="S925" i="51"/>
  <c r="R925" i="51"/>
  <c r="Q925" i="51"/>
  <c r="P925" i="51"/>
  <c r="O925" i="51"/>
  <c r="N925" i="51"/>
  <c r="M925" i="51"/>
  <c r="Z924" i="51"/>
  <c r="Y924" i="51"/>
  <c r="X924" i="51"/>
  <c r="W924" i="51"/>
  <c r="V924" i="51"/>
  <c r="U924" i="51"/>
  <c r="T924" i="51"/>
  <c r="S924" i="51"/>
  <c r="R924" i="51"/>
  <c r="Q924" i="51"/>
  <c r="P924" i="51"/>
  <c r="O924" i="51"/>
  <c r="N924" i="51"/>
  <c r="M924" i="51"/>
  <c r="Z923" i="51"/>
  <c r="Y923" i="51"/>
  <c r="X923" i="51"/>
  <c r="W923" i="51"/>
  <c r="V923" i="51"/>
  <c r="U923" i="51"/>
  <c r="T923" i="51"/>
  <c r="S923" i="51"/>
  <c r="R923" i="51"/>
  <c r="Q923" i="51"/>
  <c r="P923" i="51"/>
  <c r="O923" i="51"/>
  <c r="N923" i="51"/>
  <c r="M923" i="51"/>
  <c r="Z922" i="51"/>
  <c r="Y922" i="51"/>
  <c r="X922" i="51"/>
  <c r="W922" i="51"/>
  <c r="V922" i="51"/>
  <c r="U922" i="51"/>
  <c r="T922" i="51"/>
  <c r="S922" i="51"/>
  <c r="R922" i="51"/>
  <c r="Q922" i="51"/>
  <c r="P922" i="51"/>
  <c r="O922" i="51"/>
  <c r="N922" i="51"/>
  <c r="M922" i="51"/>
  <c r="Z921" i="51"/>
  <c r="Y921" i="51"/>
  <c r="X921" i="51"/>
  <c r="W921" i="51"/>
  <c r="V921" i="51"/>
  <c r="U921" i="51"/>
  <c r="T921" i="51"/>
  <c r="S921" i="51"/>
  <c r="R921" i="51"/>
  <c r="Q921" i="51"/>
  <c r="P921" i="51"/>
  <c r="O921" i="51"/>
  <c r="N921" i="51"/>
  <c r="M921" i="51"/>
  <c r="Z920" i="51"/>
  <c r="Y920" i="51"/>
  <c r="X920" i="51"/>
  <c r="W920" i="51"/>
  <c r="V920" i="51"/>
  <c r="U920" i="51"/>
  <c r="T920" i="51"/>
  <c r="S920" i="51"/>
  <c r="R920" i="51"/>
  <c r="Q920" i="51"/>
  <c r="P920" i="51"/>
  <c r="O920" i="51"/>
  <c r="N920" i="51"/>
  <c r="M920" i="51"/>
  <c r="Z919" i="51"/>
  <c r="Y919" i="51"/>
  <c r="X919" i="51"/>
  <c r="W919" i="51"/>
  <c r="V919" i="51"/>
  <c r="U919" i="51"/>
  <c r="T919" i="51"/>
  <c r="S919" i="51"/>
  <c r="R919" i="51"/>
  <c r="Q919" i="51"/>
  <c r="P919" i="51"/>
  <c r="O919" i="51"/>
  <c r="N919" i="51"/>
  <c r="M919" i="51"/>
  <c r="Z918" i="51"/>
  <c r="Y918" i="51"/>
  <c r="X918" i="51"/>
  <c r="W918" i="51"/>
  <c r="V918" i="51"/>
  <c r="U918" i="51"/>
  <c r="T918" i="51"/>
  <c r="S918" i="51"/>
  <c r="R918" i="51"/>
  <c r="Q918" i="51"/>
  <c r="P918" i="51"/>
  <c r="O918" i="51"/>
  <c r="N918" i="51"/>
  <c r="M918" i="51"/>
  <c r="Z917" i="51"/>
  <c r="Y917" i="51"/>
  <c r="X917" i="51"/>
  <c r="W917" i="51"/>
  <c r="V917" i="51"/>
  <c r="U917" i="51"/>
  <c r="T917" i="51"/>
  <c r="S917" i="51"/>
  <c r="R917" i="51"/>
  <c r="Q917" i="51"/>
  <c r="P917" i="51"/>
  <c r="O917" i="51"/>
  <c r="N917" i="51"/>
  <c r="M917" i="51"/>
  <c r="Z916" i="51"/>
  <c r="Y916" i="51"/>
  <c r="X916" i="51"/>
  <c r="W916" i="51"/>
  <c r="V916" i="51"/>
  <c r="U916" i="51"/>
  <c r="T916" i="51"/>
  <c r="S916" i="51"/>
  <c r="R916" i="51"/>
  <c r="Q916" i="51"/>
  <c r="P916" i="51"/>
  <c r="O916" i="51"/>
  <c r="N916" i="51"/>
  <c r="M916" i="51"/>
  <c r="Z915" i="51"/>
  <c r="Y915" i="51"/>
  <c r="X915" i="51"/>
  <c r="W915" i="51"/>
  <c r="V915" i="51"/>
  <c r="U915" i="51"/>
  <c r="T915" i="51"/>
  <c r="S915" i="51"/>
  <c r="R915" i="51"/>
  <c r="Q915" i="51"/>
  <c r="P915" i="51"/>
  <c r="O915" i="51"/>
  <c r="N915" i="51"/>
  <c r="M915" i="51"/>
  <c r="Z914" i="51"/>
  <c r="Y914" i="51"/>
  <c r="X914" i="51"/>
  <c r="W914" i="51"/>
  <c r="V914" i="51"/>
  <c r="U914" i="51"/>
  <c r="T914" i="51"/>
  <c r="S914" i="51"/>
  <c r="R914" i="51"/>
  <c r="Q914" i="51"/>
  <c r="P914" i="51"/>
  <c r="O914" i="51"/>
  <c r="N914" i="51"/>
  <c r="M914" i="51"/>
  <c r="Z913" i="51"/>
  <c r="Y913" i="51"/>
  <c r="X913" i="51"/>
  <c r="W913" i="51"/>
  <c r="V913" i="51"/>
  <c r="U913" i="51"/>
  <c r="T913" i="51"/>
  <c r="S913" i="51"/>
  <c r="R913" i="51"/>
  <c r="Q913" i="51"/>
  <c r="P913" i="51"/>
  <c r="O913" i="51"/>
  <c r="N913" i="51"/>
  <c r="M913" i="51"/>
  <c r="Z912" i="51"/>
  <c r="Y912" i="51"/>
  <c r="X912" i="51"/>
  <c r="W912" i="51"/>
  <c r="V912" i="51"/>
  <c r="U912" i="51"/>
  <c r="T912" i="51"/>
  <c r="S912" i="51"/>
  <c r="R912" i="51"/>
  <c r="Q912" i="51"/>
  <c r="P912" i="51"/>
  <c r="O912" i="51"/>
  <c r="N912" i="51"/>
  <c r="M912" i="51"/>
  <c r="Z911" i="51"/>
  <c r="Y911" i="51"/>
  <c r="X911" i="51"/>
  <c r="W911" i="51"/>
  <c r="V911" i="51"/>
  <c r="U911" i="51"/>
  <c r="T911" i="51"/>
  <c r="S911" i="51"/>
  <c r="R911" i="51"/>
  <c r="Q911" i="51"/>
  <c r="P911" i="51"/>
  <c r="O911" i="51"/>
  <c r="N911" i="51"/>
  <c r="M911" i="51"/>
  <c r="Z910" i="51"/>
  <c r="Y910" i="51"/>
  <c r="X910" i="51"/>
  <c r="W910" i="51"/>
  <c r="V910" i="51"/>
  <c r="U910" i="51"/>
  <c r="T910" i="51"/>
  <c r="S910" i="51"/>
  <c r="R910" i="51"/>
  <c r="Q910" i="51"/>
  <c r="P910" i="51"/>
  <c r="O910" i="51"/>
  <c r="N910" i="51"/>
  <c r="M910" i="51"/>
  <c r="Z909" i="51"/>
  <c r="Y909" i="51"/>
  <c r="X909" i="51"/>
  <c r="W909" i="51"/>
  <c r="V909" i="51"/>
  <c r="U909" i="51"/>
  <c r="T909" i="51"/>
  <c r="S909" i="51"/>
  <c r="R909" i="51"/>
  <c r="Q909" i="51"/>
  <c r="P909" i="51"/>
  <c r="O909" i="51"/>
  <c r="N909" i="51"/>
  <c r="M909" i="51"/>
  <c r="Z908" i="51"/>
  <c r="Y908" i="51"/>
  <c r="X908" i="51"/>
  <c r="W908" i="51"/>
  <c r="V908" i="51"/>
  <c r="U908" i="51"/>
  <c r="T908" i="51"/>
  <c r="S908" i="51"/>
  <c r="R908" i="51"/>
  <c r="Q908" i="51"/>
  <c r="P908" i="51"/>
  <c r="O908" i="51"/>
  <c r="N908" i="51"/>
  <c r="M908" i="51"/>
  <c r="Z907" i="51"/>
  <c r="Y907" i="51"/>
  <c r="X907" i="51"/>
  <c r="W907" i="51"/>
  <c r="V907" i="51"/>
  <c r="U907" i="51"/>
  <c r="T907" i="51"/>
  <c r="S907" i="51"/>
  <c r="R907" i="51"/>
  <c r="Q907" i="51"/>
  <c r="P907" i="51"/>
  <c r="O907" i="51"/>
  <c r="N907" i="51"/>
  <c r="M907" i="51"/>
  <c r="Z906" i="51"/>
  <c r="Y906" i="51"/>
  <c r="X906" i="51"/>
  <c r="W906" i="51"/>
  <c r="V906" i="51"/>
  <c r="U906" i="51"/>
  <c r="T906" i="51"/>
  <c r="S906" i="51"/>
  <c r="R906" i="51"/>
  <c r="Q906" i="51"/>
  <c r="P906" i="51"/>
  <c r="O906" i="51"/>
  <c r="N906" i="51"/>
  <c r="M906" i="51"/>
  <c r="Z905" i="51"/>
  <c r="Y905" i="51"/>
  <c r="X905" i="51"/>
  <c r="W905" i="51"/>
  <c r="V905" i="51"/>
  <c r="U905" i="51"/>
  <c r="T905" i="51"/>
  <c r="S905" i="51"/>
  <c r="R905" i="51"/>
  <c r="Q905" i="51"/>
  <c r="P905" i="51"/>
  <c r="O905" i="51"/>
  <c r="N905" i="51"/>
  <c r="M905" i="51"/>
  <c r="Z904" i="51"/>
  <c r="Y904" i="51"/>
  <c r="X904" i="51"/>
  <c r="W904" i="51"/>
  <c r="V904" i="51"/>
  <c r="U904" i="51"/>
  <c r="T904" i="51"/>
  <c r="S904" i="51"/>
  <c r="R904" i="51"/>
  <c r="Q904" i="51"/>
  <c r="P904" i="51"/>
  <c r="O904" i="51"/>
  <c r="N904" i="51"/>
  <c r="M904" i="51"/>
  <c r="Z903" i="51"/>
  <c r="Y903" i="51"/>
  <c r="X903" i="51"/>
  <c r="W903" i="51"/>
  <c r="V903" i="51"/>
  <c r="U903" i="51"/>
  <c r="T903" i="51"/>
  <c r="S903" i="51"/>
  <c r="R903" i="51"/>
  <c r="Q903" i="51"/>
  <c r="P903" i="51"/>
  <c r="O903" i="51"/>
  <c r="N903" i="51"/>
  <c r="M903" i="51"/>
  <c r="Z902" i="51"/>
  <c r="Y902" i="51"/>
  <c r="X902" i="51"/>
  <c r="W902" i="51"/>
  <c r="V902" i="51"/>
  <c r="U902" i="51"/>
  <c r="T902" i="51"/>
  <c r="S902" i="51"/>
  <c r="R902" i="51"/>
  <c r="Q902" i="51"/>
  <c r="P902" i="51"/>
  <c r="O902" i="51"/>
  <c r="N902" i="51"/>
  <c r="M902" i="51"/>
  <c r="Z901" i="51"/>
  <c r="Y901" i="51"/>
  <c r="X901" i="51"/>
  <c r="W901" i="51"/>
  <c r="V901" i="51"/>
  <c r="U901" i="51"/>
  <c r="T901" i="51"/>
  <c r="S901" i="51"/>
  <c r="R901" i="51"/>
  <c r="Q901" i="51"/>
  <c r="P901" i="51"/>
  <c r="O901" i="51"/>
  <c r="N901" i="51"/>
  <c r="M901" i="51"/>
  <c r="Z900" i="51"/>
  <c r="Y900" i="51"/>
  <c r="X900" i="51"/>
  <c r="W900" i="51"/>
  <c r="V900" i="51"/>
  <c r="U900" i="51"/>
  <c r="T900" i="51"/>
  <c r="S900" i="51"/>
  <c r="R900" i="51"/>
  <c r="Q900" i="51"/>
  <c r="P900" i="51"/>
  <c r="O900" i="51"/>
  <c r="N900" i="51"/>
  <c r="M900" i="51"/>
  <c r="Z899" i="51"/>
  <c r="Y899" i="51"/>
  <c r="X899" i="51"/>
  <c r="W899" i="51"/>
  <c r="V899" i="51"/>
  <c r="U899" i="51"/>
  <c r="T899" i="51"/>
  <c r="S899" i="51"/>
  <c r="R899" i="51"/>
  <c r="Q899" i="51"/>
  <c r="P899" i="51"/>
  <c r="O899" i="51"/>
  <c r="N899" i="51"/>
  <c r="M899" i="51"/>
  <c r="Z898" i="51"/>
  <c r="Y898" i="51"/>
  <c r="X898" i="51"/>
  <c r="W898" i="51"/>
  <c r="V898" i="51"/>
  <c r="U898" i="51"/>
  <c r="T898" i="51"/>
  <c r="S898" i="51"/>
  <c r="R898" i="51"/>
  <c r="Q898" i="51"/>
  <c r="P898" i="51"/>
  <c r="O898" i="51"/>
  <c r="N898" i="51"/>
  <c r="M898" i="51"/>
  <c r="Z897" i="51"/>
  <c r="Y897" i="51"/>
  <c r="X897" i="51"/>
  <c r="W897" i="51"/>
  <c r="V897" i="51"/>
  <c r="U897" i="51"/>
  <c r="T897" i="51"/>
  <c r="S897" i="51"/>
  <c r="R897" i="51"/>
  <c r="Q897" i="51"/>
  <c r="P897" i="51"/>
  <c r="O897" i="51"/>
  <c r="N897" i="51"/>
  <c r="M897" i="51"/>
  <c r="Z896" i="51"/>
  <c r="Y896" i="51"/>
  <c r="X896" i="51"/>
  <c r="W896" i="51"/>
  <c r="V896" i="51"/>
  <c r="U896" i="51"/>
  <c r="T896" i="51"/>
  <c r="S896" i="51"/>
  <c r="R896" i="51"/>
  <c r="Q896" i="51"/>
  <c r="P896" i="51"/>
  <c r="O896" i="51"/>
  <c r="N896" i="51"/>
  <c r="M896" i="51"/>
  <c r="Z895" i="51"/>
  <c r="Y895" i="51"/>
  <c r="X895" i="51"/>
  <c r="W895" i="51"/>
  <c r="V895" i="51"/>
  <c r="U895" i="51"/>
  <c r="T895" i="51"/>
  <c r="S895" i="51"/>
  <c r="R895" i="51"/>
  <c r="Q895" i="51"/>
  <c r="P895" i="51"/>
  <c r="O895" i="51"/>
  <c r="N895" i="51"/>
  <c r="M895" i="51"/>
  <c r="Z894" i="51"/>
  <c r="Y894" i="51"/>
  <c r="X894" i="51"/>
  <c r="W894" i="51"/>
  <c r="V894" i="51"/>
  <c r="U894" i="51"/>
  <c r="T894" i="51"/>
  <c r="S894" i="51"/>
  <c r="R894" i="51"/>
  <c r="Q894" i="51"/>
  <c r="P894" i="51"/>
  <c r="O894" i="51"/>
  <c r="N894" i="51"/>
  <c r="M894" i="51"/>
  <c r="Z893" i="51"/>
  <c r="Y893" i="51"/>
  <c r="X893" i="51"/>
  <c r="W893" i="51"/>
  <c r="V893" i="51"/>
  <c r="U893" i="51"/>
  <c r="T893" i="51"/>
  <c r="S893" i="51"/>
  <c r="R893" i="51"/>
  <c r="Q893" i="51"/>
  <c r="P893" i="51"/>
  <c r="O893" i="51"/>
  <c r="N893" i="51"/>
  <c r="M893" i="51"/>
  <c r="Z892" i="51"/>
  <c r="Y892" i="51"/>
  <c r="X892" i="51"/>
  <c r="W892" i="51"/>
  <c r="V892" i="51"/>
  <c r="U892" i="51"/>
  <c r="T892" i="51"/>
  <c r="S892" i="51"/>
  <c r="R892" i="51"/>
  <c r="Q892" i="51"/>
  <c r="P892" i="51"/>
  <c r="O892" i="51"/>
  <c r="N892" i="51"/>
  <c r="M892" i="51"/>
  <c r="Z891" i="51"/>
  <c r="Y891" i="51"/>
  <c r="X891" i="51"/>
  <c r="W891" i="51"/>
  <c r="V891" i="51"/>
  <c r="U891" i="51"/>
  <c r="T891" i="51"/>
  <c r="S891" i="51"/>
  <c r="R891" i="51"/>
  <c r="Q891" i="51"/>
  <c r="P891" i="51"/>
  <c r="O891" i="51"/>
  <c r="N891" i="51"/>
  <c r="M891" i="51"/>
  <c r="Z890" i="51"/>
  <c r="Y890" i="51"/>
  <c r="X890" i="51"/>
  <c r="W890" i="51"/>
  <c r="V890" i="51"/>
  <c r="U890" i="51"/>
  <c r="T890" i="51"/>
  <c r="S890" i="51"/>
  <c r="R890" i="51"/>
  <c r="Q890" i="51"/>
  <c r="P890" i="51"/>
  <c r="O890" i="51"/>
  <c r="N890" i="51"/>
  <c r="M890" i="51"/>
  <c r="Z889" i="51"/>
  <c r="Y889" i="51"/>
  <c r="X889" i="51"/>
  <c r="W889" i="51"/>
  <c r="V889" i="51"/>
  <c r="U889" i="51"/>
  <c r="T889" i="51"/>
  <c r="S889" i="51"/>
  <c r="R889" i="51"/>
  <c r="Q889" i="51"/>
  <c r="P889" i="51"/>
  <c r="O889" i="51"/>
  <c r="N889" i="51"/>
  <c r="M889" i="51"/>
  <c r="Z888" i="51"/>
  <c r="Y888" i="51"/>
  <c r="X888" i="51"/>
  <c r="W888" i="51"/>
  <c r="V888" i="51"/>
  <c r="U888" i="51"/>
  <c r="T888" i="51"/>
  <c r="S888" i="51"/>
  <c r="R888" i="51"/>
  <c r="Q888" i="51"/>
  <c r="P888" i="51"/>
  <c r="O888" i="51"/>
  <c r="N888" i="51"/>
  <c r="M888" i="51"/>
  <c r="Z887" i="51"/>
  <c r="Y887" i="51"/>
  <c r="X887" i="51"/>
  <c r="W887" i="51"/>
  <c r="V887" i="51"/>
  <c r="U887" i="51"/>
  <c r="T887" i="51"/>
  <c r="S887" i="51"/>
  <c r="R887" i="51"/>
  <c r="Q887" i="51"/>
  <c r="P887" i="51"/>
  <c r="O887" i="51"/>
  <c r="N887" i="51"/>
  <c r="M887" i="51"/>
  <c r="Z886" i="51"/>
  <c r="Y886" i="51"/>
  <c r="X886" i="51"/>
  <c r="W886" i="51"/>
  <c r="V886" i="51"/>
  <c r="U886" i="51"/>
  <c r="T886" i="51"/>
  <c r="S886" i="51"/>
  <c r="R886" i="51"/>
  <c r="Q886" i="51"/>
  <c r="P886" i="51"/>
  <c r="O886" i="51"/>
  <c r="N886" i="51"/>
  <c r="M886" i="51"/>
  <c r="Z885" i="51"/>
  <c r="Y885" i="51"/>
  <c r="X885" i="51"/>
  <c r="W885" i="51"/>
  <c r="V885" i="51"/>
  <c r="U885" i="51"/>
  <c r="T885" i="51"/>
  <c r="S885" i="51"/>
  <c r="R885" i="51"/>
  <c r="Q885" i="51"/>
  <c r="P885" i="51"/>
  <c r="O885" i="51"/>
  <c r="N885" i="51"/>
  <c r="M885" i="51"/>
  <c r="Z884" i="51"/>
  <c r="Y884" i="51"/>
  <c r="X884" i="51"/>
  <c r="W884" i="51"/>
  <c r="V884" i="51"/>
  <c r="U884" i="51"/>
  <c r="T884" i="51"/>
  <c r="S884" i="51"/>
  <c r="R884" i="51"/>
  <c r="Q884" i="51"/>
  <c r="P884" i="51"/>
  <c r="O884" i="51"/>
  <c r="N884" i="51"/>
  <c r="M884" i="51"/>
  <c r="Z883" i="51"/>
  <c r="Y883" i="51"/>
  <c r="X883" i="51"/>
  <c r="W883" i="51"/>
  <c r="V883" i="51"/>
  <c r="U883" i="51"/>
  <c r="T883" i="51"/>
  <c r="S883" i="51"/>
  <c r="R883" i="51"/>
  <c r="Q883" i="51"/>
  <c r="P883" i="51"/>
  <c r="O883" i="51"/>
  <c r="N883" i="51"/>
  <c r="M883" i="51"/>
  <c r="Z882" i="51"/>
  <c r="Y882" i="51"/>
  <c r="X882" i="51"/>
  <c r="W882" i="51"/>
  <c r="V882" i="51"/>
  <c r="U882" i="51"/>
  <c r="T882" i="51"/>
  <c r="S882" i="51"/>
  <c r="R882" i="51"/>
  <c r="Q882" i="51"/>
  <c r="P882" i="51"/>
  <c r="O882" i="51"/>
  <c r="N882" i="51"/>
  <c r="M882" i="51"/>
  <c r="Z881" i="51"/>
  <c r="Y881" i="51"/>
  <c r="X881" i="51"/>
  <c r="W881" i="51"/>
  <c r="V881" i="51"/>
  <c r="U881" i="51"/>
  <c r="T881" i="51"/>
  <c r="S881" i="51"/>
  <c r="R881" i="51"/>
  <c r="Q881" i="51"/>
  <c r="P881" i="51"/>
  <c r="O881" i="51"/>
  <c r="N881" i="51"/>
  <c r="M881" i="51"/>
  <c r="Z880" i="51"/>
  <c r="Y880" i="51"/>
  <c r="X880" i="51"/>
  <c r="W880" i="51"/>
  <c r="V880" i="51"/>
  <c r="U880" i="51"/>
  <c r="T880" i="51"/>
  <c r="S880" i="51"/>
  <c r="R880" i="51"/>
  <c r="Q880" i="51"/>
  <c r="P880" i="51"/>
  <c r="O880" i="51"/>
  <c r="N880" i="51"/>
  <c r="M880" i="51"/>
  <c r="Z879" i="51"/>
  <c r="Y879" i="51"/>
  <c r="X879" i="51"/>
  <c r="W879" i="51"/>
  <c r="V879" i="51"/>
  <c r="U879" i="51"/>
  <c r="T879" i="51"/>
  <c r="S879" i="51"/>
  <c r="R879" i="51"/>
  <c r="Q879" i="51"/>
  <c r="P879" i="51"/>
  <c r="O879" i="51"/>
  <c r="N879" i="51"/>
  <c r="M879" i="51"/>
  <c r="Z878" i="51"/>
  <c r="Y878" i="51"/>
  <c r="X878" i="51"/>
  <c r="W878" i="51"/>
  <c r="V878" i="51"/>
  <c r="U878" i="51"/>
  <c r="T878" i="51"/>
  <c r="S878" i="51"/>
  <c r="R878" i="51"/>
  <c r="Q878" i="51"/>
  <c r="P878" i="51"/>
  <c r="O878" i="51"/>
  <c r="N878" i="51"/>
  <c r="M878" i="51"/>
  <c r="Z877" i="51"/>
  <c r="Y877" i="51"/>
  <c r="X877" i="51"/>
  <c r="W877" i="51"/>
  <c r="V877" i="51"/>
  <c r="U877" i="51"/>
  <c r="T877" i="51"/>
  <c r="S877" i="51"/>
  <c r="R877" i="51"/>
  <c r="Q877" i="51"/>
  <c r="P877" i="51"/>
  <c r="O877" i="51"/>
  <c r="N877" i="51"/>
  <c r="M877" i="51"/>
  <c r="Z876" i="51"/>
  <c r="Y876" i="51"/>
  <c r="X876" i="51"/>
  <c r="W876" i="51"/>
  <c r="V876" i="51"/>
  <c r="U876" i="51"/>
  <c r="T876" i="51"/>
  <c r="S876" i="51"/>
  <c r="R876" i="51"/>
  <c r="Q876" i="51"/>
  <c r="P876" i="51"/>
  <c r="O876" i="51"/>
  <c r="N876" i="51"/>
  <c r="M876" i="51"/>
  <c r="Z875" i="51"/>
  <c r="Y875" i="51"/>
  <c r="X875" i="51"/>
  <c r="W875" i="51"/>
  <c r="V875" i="51"/>
  <c r="U875" i="51"/>
  <c r="T875" i="51"/>
  <c r="S875" i="51"/>
  <c r="R875" i="51"/>
  <c r="Q875" i="51"/>
  <c r="P875" i="51"/>
  <c r="O875" i="51"/>
  <c r="N875" i="51"/>
  <c r="M875" i="51"/>
  <c r="Z874" i="51"/>
  <c r="Y874" i="51"/>
  <c r="X874" i="51"/>
  <c r="W874" i="51"/>
  <c r="V874" i="51"/>
  <c r="U874" i="51"/>
  <c r="T874" i="51"/>
  <c r="S874" i="51"/>
  <c r="R874" i="51"/>
  <c r="Q874" i="51"/>
  <c r="P874" i="51"/>
  <c r="O874" i="51"/>
  <c r="N874" i="51"/>
  <c r="M874" i="51"/>
  <c r="Z873" i="51"/>
  <c r="Y873" i="51"/>
  <c r="X873" i="51"/>
  <c r="W873" i="51"/>
  <c r="V873" i="51"/>
  <c r="U873" i="51"/>
  <c r="T873" i="51"/>
  <c r="S873" i="51"/>
  <c r="R873" i="51"/>
  <c r="Q873" i="51"/>
  <c r="P873" i="51"/>
  <c r="O873" i="51"/>
  <c r="N873" i="51"/>
  <c r="M873" i="51"/>
  <c r="Z872" i="51"/>
  <c r="Y872" i="51"/>
  <c r="X872" i="51"/>
  <c r="W872" i="51"/>
  <c r="V872" i="51"/>
  <c r="U872" i="51"/>
  <c r="T872" i="51"/>
  <c r="S872" i="51"/>
  <c r="R872" i="51"/>
  <c r="Q872" i="51"/>
  <c r="P872" i="51"/>
  <c r="O872" i="51"/>
  <c r="N872" i="51"/>
  <c r="M872" i="51"/>
  <c r="Z871" i="51"/>
  <c r="Y871" i="51"/>
  <c r="X871" i="51"/>
  <c r="W871" i="51"/>
  <c r="V871" i="51"/>
  <c r="U871" i="51"/>
  <c r="T871" i="51"/>
  <c r="S871" i="51"/>
  <c r="R871" i="51"/>
  <c r="Q871" i="51"/>
  <c r="P871" i="51"/>
  <c r="O871" i="51"/>
  <c r="N871" i="51"/>
  <c r="M871" i="51"/>
  <c r="Z870" i="51"/>
  <c r="Y870" i="51"/>
  <c r="X870" i="51"/>
  <c r="W870" i="51"/>
  <c r="V870" i="51"/>
  <c r="U870" i="51"/>
  <c r="T870" i="51"/>
  <c r="S870" i="51"/>
  <c r="R870" i="51"/>
  <c r="Q870" i="51"/>
  <c r="P870" i="51"/>
  <c r="O870" i="51"/>
  <c r="N870" i="51"/>
  <c r="M870" i="51"/>
  <c r="Z869" i="51"/>
  <c r="Y869" i="51"/>
  <c r="X869" i="51"/>
  <c r="W869" i="51"/>
  <c r="V869" i="51"/>
  <c r="U869" i="51"/>
  <c r="T869" i="51"/>
  <c r="S869" i="51"/>
  <c r="R869" i="51"/>
  <c r="Q869" i="51"/>
  <c r="P869" i="51"/>
  <c r="O869" i="51"/>
  <c r="N869" i="51"/>
  <c r="M869" i="51"/>
  <c r="Z868" i="51"/>
  <c r="Y868" i="51"/>
  <c r="X868" i="51"/>
  <c r="W868" i="51"/>
  <c r="V868" i="51"/>
  <c r="U868" i="51"/>
  <c r="T868" i="51"/>
  <c r="S868" i="51"/>
  <c r="R868" i="51"/>
  <c r="Q868" i="51"/>
  <c r="P868" i="51"/>
  <c r="O868" i="51"/>
  <c r="N868" i="51"/>
  <c r="M868" i="51"/>
  <c r="Z867" i="51"/>
  <c r="Y867" i="51"/>
  <c r="X867" i="51"/>
  <c r="W867" i="51"/>
  <c r="V867" i="51"/>
  <c r="U867" i="51"/>
  <c r="T867" i="51"/>
  <c r="S867" i="51"/>
  <c r="R867" i="51"/>
  <c r="Q867" i="51"/>
  <c r="P867" i="51"/>
  <c r="O867" i="51"/>
  <c r="N867" i="51"/>
  <c r="M867" i="51"/>
  <c r="Z866" i="51"/>
  <c r="Y866" i="51"/>
  <c r="X866" i="51"/>
  <c r="W866" i="51"/>
  <c r="V866" i="51"/>
  <c r="U866" i="51"/>
  <c r="T866" i="51"/>
  <c r="S866" i="51"/>
  <c r="R866" i="51"/>
  <c r="Q866" i="51"/>
  <c r="P866" i="51"/>
  <c r="O866" i="51"/>
  <c r="N866" i="51"/>
  <c r="M866" i="51"/>
  <c r="Z865" i="51"/>
  <c r="Y865" i="51"/>
  <c r="X865" i="51"/>
  <c r="W865" i="51"/>
  <c r="V865" i="51"/>
  <c r="U865" i="51"/>
  <c r="T865" i="51"/>
  <c r="S865" i="51"/>
  <c r="R865" i="51"/>
  <c r="Q865" i="51"/>
  <c r="P865" i="51"/>
  <c r="O865" i="51"/>
  <c r="N865" i="51"/>
  <c r="M865" i="51"/>
  <c r="Z864" i="51"/>
  <c r="Y864" i="51"/>
  <c r="X864" i="51"/>
  <c r="W864" i="51"/>
  <c r="V864" i="51"/>
  <c r="U864" i="51"/>
  <c r="T864" i="51"/>
  <c r="S864" i="51"/>
  <c r="R864" i="51"/>
  <c r="Q864" i="51"/>
  <c r="P864" i="51"/>
  <c r="O864" i="51"/>
  <c r="N864" i="51"/>
  <c r="M864" i="51"/>
  <c r="Z863" i="51"/>
  <c r="Y863" i="51"/>
  <c r="X863" i="51"/>
  <c r="W863" i="51"/>
  <c r="V863" i="51"/>
  <c r="U863" i="51"/>
  <c r="T863" i="51"/>
  <c r="S863" i="51"/>
  <c r="R863" i="51"/>
  <c r="Q863" i="51"/>
  <c r="P863" i="51"/>
  <c r="O863" i="51"/>
  <c r="N863" i="51"/>
  <c r="M863" i="51"/>
  <c r="Z862" i="51"/>
  <c r="Y862" i="51"/>
  <c r="X862" i="51"/>
  <c r="W862" i="51"/>
  <c r="V862" i="51"/>
  <c r="U862" i="51"/>
  <c r="T862" i="51"/>
  <c r="S862" i="51"/>
  <c r="R862" i="51"/>
  <c r="Q862" i="51"/>
  <c r="P862" i="51"/>
  <c r="O862" i="51"/>
  <c r="N862" i="51"/>
  <c r="M862" i="51"/>
  <c r="Z861" i="51"/>
  <c r="Y861" i="51"/>
  <c r="X861" i="51"/>
  <c r="W861" i="51"/>
  <c r="V861" i="51"/>
  <c r="U861" i="51"/>
  <c r="T861" i="51"/>
  <c r="S861" i="51"/>
  <c r="R861" i="51"/>
  <c r="Q861" i="51"/>
  <c r="P861" i="51"/>
  <c r="O861" i="51"/>
  <c r="N861" i="51"/>
  <c r="M861" i="51"/>
  <c r="Z860" i="51"/>
  <c r="Y860" i="51"/>
  <c r="X860" i="51"/>
  <c r="W860" i="51"/>
  <c r="V860" i="51"/>
  <c r="U860" i="51"/>
  <c r="T860" i="51"/>
  <c r="S860" i="51"/>
  <c r="R860" i="51"/>
  <c r="Q860" i="51"/>
  <c r="P860" i="51"/>
  <c r="O860" i="51"/>
  <c r="N860" i="51"/>
  <c r="M860" i="51"/>
  <c r="Z859" i="51"/>
  <c r="Y859" i="51"/>
  <c r="X859" i="51"/>
  <c r="W859" i="51"/>
  <c r="V859" i="51"/>
  <c r="U859" i="51"/>
  <c r="T859" i="51"/>
  <c r="S859" i="51"/>
  <c r="R859" i="51"/>
  <c r="Q859" i="51"/>
  <c r="P859" i="51"/>
  <c r="O859" i="51"/>
  <c r="N859" i="51"/>
  <c r="M859" i="51"/>
  <c r="Z858" i="51"/>
  <c r="Y858" i="51"/>
  <c r="X858" i="51"/>
  <c r="W858" i="51"/>
  <c r="V858" i="51"/>
  <c r="U858" i="51"/>
  <c r="T858" i="51"/>
  <c r="S858" i="51"/>
  <c r="R858" i="51"/>
  <c r="Q858" i="51"/>
  <c r="P858" i="51"/>
  <c r="O858" i="51"/>
  <c r="N858" i="51"/>
  <c r="M858" i="51"/>
  <c r="Z857" i="51"/>
  <c r="Y857" i="51"/>
  <c r="X857" i="51"/>
  <c r="W857" i="51"/>
  <c r="V857" i="51"/>
  <c r="U857" i="51"/>
  <c r="T857" i="51"/>
  <c r="S857" i="51"/>
  <c r="R857" i="51"/>
  <c r="Q857" i="51"/>
  <c r="P857" i="51"/>
  <c r="O857" i="51"/>
  <c r="N857" i="51"/>
  <c r="M857" i="51"/>
  <c r="Z856" i="51"/>
  <c r="Y856" i="51"/>
  <c r="X856" i="51"/>
  <c r="W856" i="51"/>
  <c r="V856" i="51"/>
  <c r="U856" i="51"/>
  <c r="T856" i="51"/>
  <c r="S856" i="51"/>
  <c r="R856" i="51"/>
  <c r="Q856" i="51"/>
  <c r="P856" i="51"/>
  <c r="O856" i="51"/>
  <c r="N856" i="51"/>
  <c r="M856" i="51"/>
  <c r="Z855" i="51"/>
  <c r="Y855" i="51"/>
  <c r="X855" i="51"/>
  <c r="W855" i="51"/>
  <c r="V855" i="51"/>
  <c r="U855" i="51"/>
  <c r="T855" i="51"/>
  <c r="S855" i="51"/>
  <c r="R855" i="51"/>
  <c r="Q855" i="51"/>
  <c r="P855" i="51"/>
  <c r="O855" i="51"/>
  <c r="N855" i="51"/>
  <c r="M855" i="51"/>
  <c r="Z854" i="51"/>
  <c r="Y854" i="51"/>
  <c r="X854" i="51"/>
  <c r="W854" i="51"/>
  <c r="V854" i="51"/>
  <c r="U854" i="51"/>
  <c r="T854" i="51"/>
  <c r="S854" i="51"/>
  <c r="R854" i="51"/>
  <c r="Q854" i="51"/>
  <c r="P854" i="51"/>
  <c r="O854" i="51"/>
  <c r="N854" i="51"/>
  <c r="M854" i="51"/>
  <c r="Z853" i="51"/>
  <c r="Y853" i="51"/>
  <c r="X853" i="51"/>
  <c r="W853" i="51"/>
  <c r="V853" i="51"/>
  <c r="U853" i="51"/>
  <c r="T853" i="51"/>
  <c r="S853" i="51"/>
  <c r="R853" i="51"/>
  <c r="Q853" i="51"/>
  <c r="P853" i="51"/>
  <c r="O853" i="51"/>
  <c r="N853" i="51"/>
  <c r="M853" i="51"/>
  <c r="Z852" i="51"/>
  <c r="Y852" i="51"/>
  <c r="X852" i="51"/>
  <c r="W852" i="51"/>
  <c r="V852" i="51"/>
  <c r="U852" i="51"/>
  <c r="T852" i="51"/>
  <c r="S852" i="51"/>
  <c r="R852" i="51"/>
  <c r="Q852" i="51"/>
  <c r="P852" i="51"/>
  <c r="O852" i="51"/>
  <c r="N852" i="51"/>
  <c r="M852" i="51"/>
  <c r="Z851" i="51"/>
  <c r="Y851" i="51"/>
  <c r="X851" i="51"/>
  <c r="W851" i="51"/>
  <c r="V851" i="51"/>
  <c r="U851" i="51"/>
  <c r="T851" i="51"/>
  <c r="S851" i="51"/>
  <c r="R851" i="51"/>
  <c r="Q851" i="51"/>
  <c r="P851" i="51"/>
  <c r="O851" i="51"/>
  <c r="N851" i="51"/>
  <c r="M851" i="51"/>
  <c r="Z850" i="51"/>
  <c r="Y850" i="51"/>
  <c r="X850" i="51"/>
  <c r="W850" i="51"/>
  <c r="V850" i="51"/>
  <c r="U850" i="51"/>
  <c r="T850" i="51"/>
  <c r="S850" i="51"/>
  <c r="R850" i="51"/>
  <c r="Q850" i="51"/>
  <c r="P850" i="51"/>
  <c r="O850" i="51"/>
  <c r="N850" i="51"/>
  <c r="M850" i="51"/>
  <c r="Z849" i="51"/>
  <c r="Y849" i="51"/>
  <c r="X849" i="51"/>
  <c r="W849" i="51"/>
  <c r="V849" i="51"/>
  <c r="U849" i="51"/>
  <c r="T849" i="51"/>
  <c r="S849" i="51"/>
  <c r="R849" i="51"/>
  <c r="Q849" i="51"/>
  <c r="P849" i="51"/>
  <c r="O849" i="51"/>
  <c r="N849" i="51"/>
  <c r="M849" i="51"/>
  <c r="Z848" i="51"/>
  <c r="Y848" i="51"/>
  <c r="X848" i="51"/>
  <c r="W848" i="51"/>
  <c r="V848" i="51"/>
  <c r="U848" i="51"/>
  <c r="T848" i="51"/>
  <c r="S848" i="51"/>
  <c r="R848" i="51"/>
  <c r="Q848" i="51"/>
  <c r="P848" i="51"/>
  <c r="O848" i="51"/>
  <c r="N848" i="51"/>
  <c r="M848" i="51"/>
  <c r="Z847" i="51"/>
  <c r="Y847" i="51"/>
  <c r="X847" i="51"/>
  <c r="W847" i="51"/>
  <c r="V847" i="51"/>
  <c r="U847" i="51"/>
  <c r="T847" i="51"/>
  <c r="S847" i="51"/>
  <c r="R847" i="51"/>
  <c r="Q847" i="51"/>
  <c r="P847" i="51"/>
  <c r="O847" i="51"/>
  <c r="N847" i="51"/>
  <c r="M847" i="51"/>
  <c r="Z846" i="51"/>
  <c r="Y846" i="51"/>
  <c r="X846" i="51"/>
  <c r="W846" i="51"/>
  <c r="V846" i="51"/>
  <c r="U846" i="51"/>
  <c r="T846" i="51"/>
  <c r="S846" i="51"/>
  <c r="R846" i="51"/>
  <c r="Q846" i="51"/>
  <c r="P846" i="51"/>
  <c r="O846" i="51"/>
  <c r="N846" i="51"/>
  <c r="M846" i="51"/>
  <c r="Z845" i="51"/>
  <c r="Y845" i="51"/>
  <c r="X845" i="51"/>
  <c r="W845" i="51"/>
  <c r="V845" i="51"/>
  <c r="U845" i="51"/>
  <c r="T845" i="51"/>
  <c r="S845" i="51"/>
  <c r="R845" i="51"/>
  <c r="Q845" i="51"/>
  <c r="P845" i="51"/>
  <c r="O845" i="51"/>
  <c r="N845" i="51"/>
  <c r="M845" i="51"/>
  <c r="Z844" i="51"/>
  <c r="Y844" i="51"/>
  <c r="X844" i="51"/>
  <c r="W844" i="51"/>
  <c r="V844" i="51"/>
  <c r="U844" i="51"/>
  <c r="T844" i="51"/>
  <c r="S844" i="51"/>
  <c r="R844" i="51"/>
  <c r="Q844" i="51"/>
  <c r="P844" i="51"/>
  <c r="O844" i="51"/>
  <c r="N844" i="51"/>
  <c r="M844" i="51"/>
  <c r="Z843" i="51"/>
  <c r="Y843" i="51"/>
  <c r="X843" i="51"/>
  <c r="W843" i="51"/>
  <c r="V843" i="51"/>
  <c r="U843" i="51"/>
  <c r="T843" i="51"/>
  <c r="S843" i="51"/>
  <c r="R843" i="51"/>
  <c r="Q843" i="51"/>
  <c r="P843" i="51"/>
  <c r="O843" i="51"/>
  <c r="N843" i="51"/>
  <c r="M843" i="51"/>
  <c r="Z842" i="51"/>
  <c r="Y842" i="51"/>
  <c r="X842" i="51"/>
  <c r="W842" i="51"/>
  <c r="V842" i="51"/>
  <c r="U842" i="51"/>
  <c r="T842" i="51"/>
  <c r="S842" i="51"/>
  <c r="R842" i="51"/>
  <c r="Q842" i="51"/>
  <c r="P842" i="51"/>
  <c r="O842" i="51"/>
  <c r="N842" i="51"/>
  <c r="M842" i="51"/>
  <c r="Z841" i="51"/>
  <c r="Y841" i="51"/>
  <c r="X841" i="51"/>
  <c r="W841" i="51"/>
  <c r="V841" i="51"/>
  <c r="U841" i="51"/>
  <c r="T841" i="51"/>
  <c r="S841" i="51"/>
  <c r="R841" i="51"/>
  <c r="Q841" i="51"/>
  <c r="P841" i="51"/>
  <c r="O841" i="51"/>
  <c r="N841" i="51"/>
  <c r="M841" i="51"/>
  <c r="Z840" i="51"/>
  <c r="Y840" i="51"/>
  <c r="X840" i="51"/>
  <c r="W840" i="51"/>
  <c r="V840" i="51"/>
  <c r="U840" i="51"/>
  <c r="T840" i="51"/>
  <c r="S840" i="51"/>
  <c r="R840" i="51"/>
  <c r="Q840" i="51"/>
  <c r="P840" i="51"/>
  <c r="O840" i="51"/>
  <c r="N840" i="51"/>
  <c r="M840" i="51"/>
  <c r="Z839" i="51"/>
  <c r="Y839" i="51"/>
  <c r="X839" i="51"/>
  <c r="W839" i="51"/>
  <c r="V839" i="51"/>
  <c r="U839" i="51"/>
  <c r="T839" i="51"/>
  <c r="S839" i="51"/>
  <c r="R839" i="51"/>
  <c r="Q839" i="51"/>
  <c r="P839" i="51"/>
  <c r="O839" i="51"/>
  <c r="N839" i="51"/>
  <c r="M839" i="51"/>
  <c r="Z838" i="51"/>
  <c r="Y838" i="51"/>
  <c r="X838" i="51"/>
  <c r="W838" i="51"/>
  <c r="V838" i="51"/>
  <c r="U838" i="51"/>
  <c r="T838" i="51"/>
  <c r="S838" i="51"/>
  <c r="R838" i="51"/>
  <c r="Q838" i="51"/>
  <c r="P838" i="51"/>
  <c r="O838" i="51"/>
  <c r="N838" i="51"/>
  <c r="M838" i="51"/>
  <c r="Z837" i="51"/>
  <c r="Y837" i="51"/>
  <c r="X837" i="51"/>
  <c r="W837" i="51"/>
  <c r="V837" i="51"/>
  <c r="U837" i="51"/>
  <c r="T837" i="51"/>
  <c r="S837" i="51"/>
  <c r="R837" i="51"/>
  <c r="Q837" i="51"/>
  <c r="P837" i="51"/>
  <c r="O837" i="51"/>
  <c r="N837" i="51"/>
  <c r="M837" i="51"/>
  <c r="Z836" i="51"/>
  <c r="Y836" i="51"/>
  <c r="X836" i="51"/>
  <c r="W836" i="51"/>
  <c r="V836" i="51"/>
  <c r="U836" i="51"/>
  <c r="T836" i="51"/>
  <c r="S836" i="51"/>
  <c r="R836" i="51"/>
  <c r="Q836" i="51"/>
  <c r="P836" i="51"/>
  <c r="O836" i="51"/>
  <c r="N836" i="51"/>
  <c r="M836" i="51"/>
  <c r="Z835" i="51"/>
  <c r="Y835" i="51"/>
  <c r="X835" i="51"/>
  <c r="W835" i="51"/>
  <c r="V835" i="51"/>
  <c r="U835" i="51"/>
  <c r="T835" i="51"/>
  <c r="S835" i="51"/>
  <c r="R835" i="51"/>
  <c r="Q835" i="51"/>
  <c r="P835" i="51"/>
  <c r="O835" i="51"/>
  <c r="N835" i="51"/>
  <c r="M835" i="51"/>
  <c r="Z834" i="51"/>
  <c r="Y834" i="51"/>
  <c r="X834" i="51"/>
  <c r="W834" i="51"/>
  <c r="V834" i="51"/>
  <c r="U834" i="51"/>
  <c r="T834" i="51"/>
  <c r="S834" i="51"/>
  <c r="R834" i="51"/>
  <c r="Q834" i="51"/>
  <c r="P834" i="51"/>
  <c r="O834" i="51"/>
  <c r="N834" i="51"/>
  <c r="M834" i="51"/>
  <c r="Z833" i="51"/>
  <c r="Y833" i="51"/>
  <c r="X833" i="51"/>
  <c r="W833" i="51"/>
  <c r="V833" i="51"/>
  <c r="U833" i="51"/>
  <c r="T833" i="51"/>
  <c r="S833" i="51"/>
  <c r="R833" i="51"/>
  <c r="Q833" i="51"/>
  <c r="P833" i="51"/>
  <c r="O833" i="51"/>
  <c r="N833" i="51"/>
  <c r="M833" i="51"/>
  <c r="Z832" i="51"/>
  <c r="Y832" i="51"/>
  <c r="X832" i="51"/>
  <c r="W832" i="51"/>
  <c r="V832" i="51"/>
  <c r="U832" i="51"/>
  <c r="T832" i="51"/>
  <c r="S832" i="51"/>
  <c r="R832" i="51"/>
  <c r="Q832" i="51"/>
  <c r="P832" i="51"/>
  <c r="O832" i="51"/>
  <c r="N832" i="51"/>
  <c r="M832" i="51"/>
  <c r="Z831" i="51"/>
  <c r="Y831" i="51"/>
  <c r="X831" i="51"/>
  <c r="W831" i="51"/>
  <c r="V831" i="51"/>
  <c r="U831" i="51"/>
  <c r="T831" i="51"/>
  <c r="S831" i="51"/>
  <c r="R831" i="51"/>
  <c r="Q831" i="51"/>
  <c r="P831" i="51"/>
  <c r="O831" i="51"/>
  <c r="N831" i="51"/>
  <c r="M831" i="51"/>
  <c r="Z830" i="51"/>
  <c r="Y830" i="51"/>
  <c r="X830" i="51"/>
  <c r="W830" i="51"/>
  <c r="V830" i="51"/>
  <c r="U830" i="51"/>
  <c r="T830" i="51"/>
  <c r="S830" i="51"/>
  <c r="R830" i="51"/>
  <c r="Q830" i="51"/>
  <c r="P830" i="51"/>
  <c r="O830" i="51"/>
  <c r="N830" i="51"/>
  <c r="M830" i="51"/>
  <c r="Z829" i="51"/>
  <c r="Y829" i="51"/>
  <c r="X829" i="51"/>
  <c r="W829" i="51"/>
  <c r="V829" i="51"/>
  <c r="U829" i="51"/>
  <c r="T829" i="51"/>
  <c r="S829" i="51"/>
  <c r="R829" i="51"/>
  <c r="Q829" i="51"/>
  <c r="P829" i="51"/>
  <c r="O829" i="51"/>
  <c r="N829" i="51"/>
  <c r="M829" i="51"/>
  <c r="Z828" i="51"/>
  <c r="Y828" i="51"/>
  <c r="X828" i="51"/>
  <c r="W828" i="51"/>
  <c r="V828" i="51"/>
  <c r="U828" i="51"/>
  <c r="T828" i="51"/>
  <c r="S828" i="51"/>
  <c r="R828" i="51"/>
  <c r="Q828" i="51"/>
  <c r="P828" i="51"/>
  <c r="O828" i="51"/>
  <c r="N828" i="51"/>
  <c r="M828" i="51"/>
  <c r="Z827" i="51"/>
  <c r="Y827" i="51"/>
  <c r="X827" i="51"/>
  <c r="W827" i="51"/>
  <c r="V827" i="51"/>
  <c r="U827" i="51"/>
  <c r="T827" i="51"/>
  <c r="S827" i="51"/>
  <c r="R827" i="51"/>
  <c r="Q827" i="51"/>
  <c r="P827" i="51"/>
  <c r="O827" i="51"/>
  <c r="N827" i="51"/>
  <c r="M827" i="51"/>
  <c r="Z826" i="51"/>
  <c r="Y826" i="51"/>
  <c r="X826" i="51"/>
  <c r="W826" i="51"/>
  <c r="V826" i="51"/>
  <c r="U826" i="51"/>
  <c r="T826" i="51"/>
  <c r="S826" i="51"/>
  <c r="R826" i="51"/>
  <c r="Q826" i="51"/>
  <c r="P826" i="51"/>
  <c r="O826" i="51"/>
  <c r="N826" i="51"/>
  <c r="M826" i="51"/>
  <c r="Z825" i="51"/>
  <c r="Y825" i="51"/>
  <c r="X825" i="51"/>
  <c r="W825" i="51"/>
  <c r="V825" i="51"/>
  <c r="U825" i="51"/>
  <c r="T825" i="51"/>
  <c r="S825" i="51"/>
  <c r="R825" i="51"/>
  <c r="Q825" i="51"/>
  <c r="P825" i="51"/>
  <c r="O825" i="51"/>
  <c r="N825" i="51"/>
  <c r="M825" i="51"/>
  <c r="Z824" i="51"/>
  <c r="Y824" i="51"/>
  <c r="X824" i="51"/>
  <c r="W824" i="51"/>
  <c r="V824" i="51"/>
  <c r="U824" i="51"/>
  <c r="T824" i="51"/>
  <c r="S824" i="51"/>
  <c r="R824" i="51"/>
  <c r="Q824" i="51"/>
  <c r="P824" i="51"/>
  <c r="O824" i="51"/>
  <c r="N824" i="51"/>
  <c r="M824" i="51"/>
  <c r="Z823" i="51"/>
  <c r="Y823" i="51"/>
  <c r="X823" i="51"/>
  <c r="W823" i="51"/>
  <c r="V823" i="51"/>
  <c r="U823" i="51"/>
  <c r="T823" i="51"/>
  <c r="S823" i="51"/>
  <c r="R823" i="51"/>
  <c r="Q823" i="51"/>
  <c r="P823" i="51"/>
  <c r="O823" i="51"/>
  <c r="N823" i="51"/>
  <c r="M823" i="51"/>
  <c r="Z822" i="51"/>
  <c r="Y822" i="51"/>
  <c r="X822" i="51"/>
  <c r="W822" i="51"/>
  <c r="V822" i="51"/>
  <c r="U822" i="51"/>
  <c r="T822" i="51"/>
  <c r="S822" i="51"/>
  <c r="R822" i="51"/>
  <c r="Q822" i="51"/>
  <c r="P822" i="51"/>
  <c r="O822" i="51"/>
  <c r="N822" i="51"/>
  <c r="M822" i="51"/>
  <c r="Z821" i="51"/>
  <c r="Y821" i="51"/>
  <c r="X821" i="51"/>
  <c r="W821" i="51"/>
  <c r="V821" i="51"/>
  <c r="U821" i="51"/>
  <c r="T821" i="51"/>
  <c r="S821" i="51"/>
  <c r="R821" i="51"/>
  <c r="Q821" i="51"/>
  <c r="P821" i="51"/>
  <c r="O821" i="51"/>
  <c r="N821" i="51"/>
  <c r="M821" i="51"/>
  <c r="Z820" i="51"/>
  <c r="Y820" i="51"/>
  <c r="X820" i="51"/>
  <c r="W820" i="51"/>
  <c r="V820" i="51"/>
  <c r="U820" i="51"/>
  <c r="T820" i="51"/>
  <c r="S820" i="51"/>
  <c r="R820" i="51"/>
  <c r="Q820" i="51"/>
  <c r="P820" i="51"/>
  <c r="O820" i="51"/>
  <c r="N820" i="51"/>
  <c r="M820" i="51"/>
  <c r="Z819" i="51"/>
  <c r="Y819" i="51"/>
  <c r="X819" i="51"/>
  <c r="W819" i="51"/>
  <c r="V819" i="51"/>
  <c r="U819" i="51"/>
  <c r="T819" i="51"/>
  <c r="S819" i="51"/>
  <c r="R819" i="51"/>
  <c r="Q819" i="51"/>
  <c r="P819" i="51"/>
  <c r="O819" i="51"/>
  <c r="N819" i="51"/>
  <c r="M819" i="51"/>
  <c r="Z818" i="51"/>
  <c r="Y818" i="51"/>
  <c r="X818" i="51"/>
  <c r="W818" i="51"/>
  <c r="V818" i="51"/>
  <c r="U818" i="51"/>
  <c r="T818" i="51"/>
  <c r="S818" i="51"/>
  <c r="R818" i="51"/>
  <c r="Q818" i="51"/>
  <c r="P818" i="51"/>
  <c r="O818" i="51"/>
  <c r="N818" i="51"/>
  <c r="M818" i="51"/>
  <c r="Z817" i="51"/>
  <c r="Y817" i="51"/>
  <c r="X817" i="51"/>
  <c r="W817" i="51"/>
  <c r="V817" i="51"/>
  <c r="U817" i="51"/>
  <c r="T817" i="51"/>
  <c r="S817" i="51"/>
  <c r="R817" i="51"/>
  <c r="Q817" i="51"/>
  <c r="P817" i="51"/>
  <c r="O817" i="51"/>
  <c r="N817" i="51"/>
  <c r="M817" i="51"/>
  <c r="Z816" i="51"/>
  <c r="Y816" i="51"/>
  <c r="X816" i="51"/>
  <c r="W816" i="51"/>
  <c r="V816" i="51"/>
  <c r="U816" i="51"/>
  <c r="T816" i="51"/>
  <c r="S816" i="51"/>
  <c r="R816" i="51"/>
  <c r="Q816" i="51"/>
  <c r="P816" i="51"/>
  <c r="O816" i="51"/>
  <c r="N816" i="51"/>
  <c r="M816" i="51"/>
  <c r="Z815" i="51"/>
  <c r="Y815" i="51"/>
  <c r="X815" i="51"/>
  <c r="W815" i="51"/>
  <c r="V815" i="51"/>
  <c r="U815" i="51"/>
  <c r="T815" i="51"/>
  <c r="S815" i="51"/>
  <c r="R815" i="51"/>
  <c r="Q815" i="51"/>
  <c r="P815" i="51"/>
  <c r="O815" i="51"/>
  <c r="N815" i="51"/>
  <c r="M815" i="51"/>
  <c r="Z814" i="51"/>
  <c r="Y814" i="51"/>
  <c r="X814" i="51"/>
  <c r="W814" i="51"/>
  <c r="V814" i="51"/>
  <c r="U814" i="51"/>
  <c r="T814" i="51"/>
  <c r="S814" i="51"/>
  <c r="R814" i="51"/>
  <c r="Q814" i="51"/>
  <c r="P814" i="51"/>
  <c r="O814" i="51"/>
  <c r="N814" i="51"/>
  <c r="M814" i="51"/>
  <c r="Z813" i="51"/>
  <c r="Y813" i="51"/>
  <c r="X813" i="51"/>
  <c r="W813" i="51"/>
  <c r="V813" i="51"/>
  <c r="U813" i="51"/>
  <c r="T813" i="51"/>
  <c r="S813" i="51"/>
  <c r="R813" i="51"/>
  <c r="Q813" i="51"/>
  <c r="P813" i="51"/>
  <c r="O813" i="51"/>
  <c r="N813" i="51"/>
  <c r="M813" i="51"/>
  <c r="Z812" i="51"/>
  <c r="Y812" i="51"/>
  <c r="X812" i="51"/>
  <c r="W812" i="51"/>
  <c r="V812" i="51"/>
  <c r="U812" i="51"/>
  <c r="T812" i="51"/>
  <c r="S812" i="51"/>
  <c r="R812" i="51"/>
  <c r="Q812" i="51"/>
  <c r="P812" i="51"/>
  <c r="O812" i="51"/>
  <c r="N812" i="51"/>
  <c r="M812" i="51"/>
  <c r="Z811" i="51"/>
  <c r="Y811" i="51"/>
  <c r="X811" i="51"/>
  <c r="W811" i="51"/>
  <c r="V811" i="51"/>
  <c r="U811" i="51"/>
  <c r="T811" i="51"/>
  <c r="S811" i="51"/>
  <c r="R811" i="51"/>
  <c r="Q811" i="51"/>
  <c r="P811" i="51"/>
  <c r="O811" i="51"/>
  <c r="N811" i="51"/>
  <c r="M811" i="51"/>
  <c r="Z810" i="51"/>
  <c r="Y810" i="51"/>
  <c r="X810" i="51"/>
  <c r="W810" i="51"/>
  <c r="V810" i="51"/>
  <c r="U810" i="51"/>
  <c r="T810" i="51"/>
  <c r="S810" i="51"/>
  <c r="R810" i="51"/>
  <c r="Q810" i="51"/>
  <c r="P810" i="51"/>
  <c r="O810" i="51"/>
  <c r="N810" i="51"/>
  <c r="M810" i="51"/>
  <c r="Z809" i="51"/>
  <c r="Y809" i="51"/>
  <c r="X809" i="51"/>
  <c r="W809" i="51"/>
  <c r="V809" i="51"/>
  <c r="U809" i="51"/>
  <c r="T809" i="51"/>
  <c r="S809" i="51"/>
  <c r="R809" i="51"/>
  <c r="Q809" i="51"/>
  <c r="P809" i="51"/>
  <c r="O809" i="51"/>
  <c r="N809" i="51"/>
  <c r="M809" i="51"/>
  <c r="Z808" i="51"/>
  <c r="Y808" i="51"/>
  <c r="X808" i="51"/>
  <c r="W808" i="51"/>
  <c r="V808" i="51"/>
  <c r="U808" i="51"/>
  <c r="T808" i="51"/>
  <c r="S808" i="51"/>
  <c r="R808" i="51"/>
  <c r="Q808" i="51"/>
  <c r="P808" i="51"/>
  <c r="O808" i="51"/>
  <c r="N808" i="51"/>
  <c r="M808" i="51"/>
  <c r="Z807" i="51"/>
  <c r="Y807" i="51"/>
  <c r="X807" i="51"/>
  <c r="W807" i="51"/>
  <c r="V807" i="51"/>
  <c r="U807" i="51"/>
  <c r="T807" i="51"/>
  <c r="S807" i="51"/>
  <c r="R807" i="51"/>
  <c r="Q807" i="51"/>
  <c r="P807" i="51"/>
  <c r="O807" i="51"/>
  <c r="N807" i="51"/>
  <c r="M807" i="51"/>
  <c r="Z806" i="51"/>
  <c r="Y806" i="51"/>
  <c r="X806" i="51"/>
  <c r="W806" i="51"/>
  <c r="V806" i="51"/>
  <c r="U806" i="51"/>
  <c r="T806" i="51"/>
  <c r="S806" i="51"/>
  <c r="R806" i="51"/>
  <c r="Q806" i="51"/>
  <c r="P806" i="51"/>
  <c r="O806" i="51"/>
  <c r="N806" i="51"/>
  <c r="M806" i="51"/>
  <c r="Z805" i="51"/>
  <c r="Y805" i="51"/>
  <c r="X805" i="51"/>
  <c r="W805" i="51"/>
  <c r="V805" i="51"/>
  <c r="U805" i="51"/>
  <c r="T805" i="51"/>
  <c r="S805" i="51"/>
  <c r="R805" i="51"/>
  <c r="Q805" i="51"/>
  <c r="P805" i="51"/>
  <c r="O805" i="51"/>
  <c r="N805" i="51"/>
  <c r="M805" i="51"/>
  <c r="Z804" i="51"/>
  <c r="Y804" i="51"/>
  <c r="X804" i="51"/>
  <c r="W804" i="51"/>
  <c r="V804" i="51"/>
  <c r="U804" i="51"/>
  <c r="T804" i="51"/>
  <c r="S804" i="51"/>
  <c r="R804" i="51"/>
  <c r="Q804" i="51"/>
  <c r="P804" i="51"/>
  <c r="O804" i="51"/>
  <c r="N804" i="51"/>
  <c r="M804" i="51"/>
  <c r="Z803" i="51"/>
  <c r="Y803" i="51"/>
  <c r="X803" i="51"/>
  <c r="W803" i="51"/>
  <c r="V803" i="51"/>
  <c r="U803" i="51"/>
  <c r="T803" i="51"/>
  <c r="S803" i="51"/>
  <c r="R803" i="51"/>
  <c r="Q803" i="51"/>
  <c r="P803" i="51"/>
  <c r="O803" i="51"/>
  <c r="N803" i="51"/>
  <c r="M803" i="51"/>
  <c r="Z802" i="51"/>
  <c r="Y802" i="51"/>
  <c r="X802" i="51"/>
  <c r="W802" i="51"/>
  <c r="V802" i="51"/>
  <c r="U802" i="51"/>
  <c r="T802" i="51"/>
  <c r="S802" i="51"/>
  <c r="R802" i="51"/>
  <c r="Q802" i="51"/>
  <c r="P802" i="51"/>
  <c r="O802" i="51"/>
  <c r="N802" i="51"/>
  <c r="M802" i="51"/>
  <c r="Z801" i="51"/>
  <c r="Y801" i="51"/>
  <c r="X801" i="51"/>
  <c r="W801" i="51"/>
  <c r="V801" i="51"/>
  <c r="U801" i="51"/>
  <c r="T801" i="51"/>
  <c r="S801" i="51"/>
  <c r="R801" i="51"/>
  <c r="Q801" i="51"/>
  <c r="P801" i="51"/>
  <c r="O801" i="51"/>
  <c r="N801" i="51"/>
  <c r="M801" i="51"/>
  <c r="Z800" i="51"/>
  <c r="Y800" i="51"/>
  <c r="X800" i="51"/>
  <c r="W800" i="51"/>
  <c r="V800" i="51"/>
  <c r="U800" i="51"/>
  <c r="T800" i="51"/>
  <c r="S800" i="51"/>
  <c r="R800" i="51"/>
  <c r="Q800" i="51"/>
  <c r="P800" i="51"/>
  <c r="O800" i="51"/>
  <c r="N800" i="51"/>
  <c r="M800" i="51"/>
  <c r="Z799" i="51"/>
  <c r="Y799" i="51"/>
  <c r="X799" i="51"/>
  <c r="W799" i="51"/>
  <c r="V799" i="51"/>
  <c r="U799" i="51"/>
  <c r="T799" i="51"/>
  <c r="S799" i="51"/>
  <c r="R799" i="51"/>
  <c r="Q799" i="51"/>
  <c r="P799" i="51"/>
  <c r="O799" i="51"/>
  <c r="N799" i="51"/>
  <c r="M799" i="51"/>
  <c r="Z798" i="51"/>
  <c r="Y798" i="51"/>
  <c r="X798" i="51"/>
  <c r="W798" i="51"/>
  <c r="V798" i="51"/>
  <c r="U798" i="51"/>
  <c r="T798" i="51"/>
  <c r="S798" i="51"/>
  <c r="R798" i="51"/>
  <c r="Q798" i="51"/>
  <c r="P798" i="51"/>
  <c r="O798" i="51"/>
  <c r="N798" i="51"/>
  <c r="M798" i="51"/>
  <c r="Z797" i="51"/>
  <c r="Y797" i="51"/>
  <c r="X797" i="51"/>
  <c r="W797" i="51"/>
  <c r="V797" i="51"/>
  <c r="U797" i="51"/>
  <c r="T797" i="51"/>
  <c r="S797" i="51"/>
  <c r="R797" i="51"/>
  <c r="Q797" i="51"/>
  <c r="P797" i="51"/>
  <c r="O797" i="51"/>
  <c r="N797" i="51"/>
  <c r="M797" i="51"/>
  <c r="Z796" i="51"/>
  <c r="Y796" i="51"/>
  <c r="X796" i="51"/>
  <c r="W796" i="51"/>
  <c r="V796" i="51"/>
  <c r="U796" i="51"/>
  <c r="T796" i="51"/>
  <c r="S796" i="51"/>
  <c r="R796" i="51"/>
  <c r="Q796" i="51"/>
  <c r="P796" i="51"/>
  <c r="O796" i="51"/>
  <c r="N796" i="51"/>
  <c r="M796" i="51"/>
  <c r="Z795" i="51"/>
  <c r="Y795" i="51"/>
  <c r="X795" i="51"/>
  <c r="W795" i="51"/>
  <c r="V795" i="51"/>
  <c r="U795" i="51"/>
  <c r="T795" i="51"/>
  <c r="S795" i="51"/>
  <c r="R795" i="51"/>
  <c r="Q795" i="51"/>
  <c r="P795" i="51"/>
  <c r="O795" i="51"/>
  <c r="N795" i="51"/>
  <c r="M795" i="51"/>
  <c r="Z794" i="51"/>
  <c r="Y794" i="51"/>
  <c r="X794" i="51"/>
  <c r="W794" i="51"/>
  <c r="V794" i="51"/>
  <c r="U794" i="51"/>
  <c r="T794" i="51"/>
  <c r="S794" i="51"/>
  <c r="R794" i="51"/>
  <c r="Q794" i="51"/>
  <c r="P794" i="51"/>
  <c r="O794" i="51"/>
  <c r="N794" i="51"/>
  <c r="M794" i="51"/>
  <c r="Z793" i="51"/>
  <c r="Y793" i="51"/>
  <c r="X793" i="51"/>
  <c r="W793" i="51"/>
  <c r="V793" i="51"/>
  <c r="U793" i="51"/>
  <c r="T793" i="51"/>
  <c r="S793" i="51"/>
  <c r="R793" i="51"/>
  <c r="Q793" i="51"/>
  <c r="P793" i="51"/>
  <c r="O793" i="51"/>
  <c r="N793" i="51"/>
  <c r="M793" i="51"/>
  <c r="Z792" i="51"/>
  <c r="Y792" i="51"/>
  <c r="X792" i="51"/>
  <c r="W792" i="51"/>
  <c r="V792" i="51"/>
  <c r="U792" i="51"/>
  <c r="T792" i="51"/>
  <c r="S792" i="51"/>
  <c r="R792" i="51"/>
  <c r="Q792" i="51"/>
  <c r="P792" i="51"/>
  <c r="O792" i="51"/>
  <c r="N792" i="51"/>
  <c r="M792" i="51"/>
  <c r="Z791" i="51"/>
  <c r="Y791" i="51"/>
  <c r="X791" i="51"/>
  <c r="W791" i="51"/>
  <c r="V791" i="51"/>
  <c r="U791" i="51"/>
  <c r="T791" i="51"/>
  <c r="S791" i="51"/>
  <c r="R791" i="51"/>
  <c r="Q791" i="51"/>
  <c r="P791" i="51"/>
  <c r="O791" i="51"/>
  <c r="N791" i="51"/>
  <c r="M791" i="51"/>
  <c r="Z790" i="51"/>
  <c r="Y790" i="51"/>
  <c r="X790" i="51"/>
  <c r="W790" i="51"/>
  <c r="V790" i="51"/>
  <c r="U790" i="51"/>
  <c r="T790" i="51"/>
  <c r="S790" i="51"/>
  <c r="R790" i="51"/>
  <c r="Q790" i="51"/>
  <c r="P790" i="51"/>
  <c r="O790" i="51"/>
  <c r="N790" i="51"/>
  <c r="M790" i="51"/>
  <c r="Z789" i="51"/>
  <c r="Y789" i="51"/>
  <c r="X789" i="51"/>
  <c r="W789" i="51"/>
  <c r="V789" i="51"/>
  <c r="U789" i="51"/>
  <c r="T789" i="51"/>
  <c r="S789" i="51"/>
  <c r="R789" i="51"/>
  <c r="Q789" i="51"/>
  <c r="P789" i="51"/>
  <c r="O789" i="51"/>
  <c r="N789" i="51"/>
  <c r="M789" i="51"/>
  <c r="Z788" i="51"/>
  <c r="Y788" i="51"/>
  <c r="X788" i="51"/>
  <c r="W788" i="51"/>
  <c r="V788" i="51"/>
  <c r="U788" i="51"/>
  <c r="T788" i="51"/>
  <c r="S788" i="51"/>
  <c r="R788" i="51"/>
  <c r="Q788" i="51"/>
  <c r="P788" i="51"/>
  <c r="O788" i="51"/>
  <c r="N788" i="51"/>
  <c r="M788" i="51"/>
  <c r="Z787" i="51"/>
  <c r="Y787" i="51"/>
  <c r="X787" i="51"/>
  <c r="W787" i="51"/>
  <c r="V787" i="51"/>
  <c r="U787" i="51"/>
  <c r="T787" i="51"/>
  <c r="S787" i="51"/>
  <c r="R787" i="51"/>
  <c r="Q787" i="51"/>
  <c r="P787" i="51"/>
  <c r="O787" i="51"/>
  <c r="N787" i="51"/>
  <c r="M787" i="51"/>
  <c r="Z786" i="51"/>
  <c r="Y786" i="51"/>
  <c r="X786" i="51"/>
  <c r="W786" i="51"/>
  <c r="V786" i="51"/>
  <c r="U786" i="51"/>
  <c r="T786" i="51"/>
  <c r="S786" i="51"/>
  <c r="R786" i="51"/>
  <c r="Q786" i="51"/>
  <c r="P786" i="51"/>
  <c r="O786" i="51"/>
  <c r="N786" i="51"/>
  <c r="M786" i="51"/>
  <c r="Z785" i="51"/>
  <c r="Y785" i="51"/>
  <c r="X785" i="51"/>
  <c r="W785" i="51"/>
  <c r="V785" i="51"/>
  <c r="U785" i="51"/>
  <c r="T785" i="51"/>
  <c r="S785" i="51"/>
  <c r="R785" i="51"/>
  <c r="Q785" i="51"/>
  <c r="P785" i="51"/>
  <c r="O785" i="51"/>
  <c r="N785" i="51"/>
  <c r="M785" i="51"/>
  <c r="Z784" i="51"/>
  <c r="Y784" i="51"/>
  <c r="X784" i="51"/>
  <c r="W784" i="51"/>
  <c r="V784" i="51"/>
  <c r="U784" i="51"/>
  <c r="T784" i="51"/>
  <c r="S784" i="51"/>
  <c r="R784" i="51"/>
  <c r="Q784" i="51"/>
  <c r="P784" i="51"/>
  <c r="O784" i="51"/>
  <c r="N784" i="51"/>
  <c r="M784" i="51"/>
  <c r="Z783" i="51"/>
  <c r="Y783" i="51"/>
  <c r="X783" i="51"/>
  <c r="W783" i="51"/>
  <c r="V783" i="51"/>
  <c r="U783" i="51"/>
  <c r="T783" i="51"/>
  <c r="S783" i="51"/>
  <c r="R783" i="51"/>
  <c r="Q783" i="51"/>
  <c r="P783" i="51"/>
  <c r="O783" i="51"/>
  <c r="N783" i="51"/>
  <c r="M783" i="51"/>
  <c r="Z782" i="51"/>
  <c r="Y782" i="51"/>
  <c r="X782" i="51"/>
  <c r="W782" i="51"/>
  <c r="V782" i="51"/>
  <c r="U782" i="51"/>
  <c r="T782" i="51"/>
  <c r="S782" i="51"/>
  <c r="R782" i="51"/>
  <c r="Q782" i="51"/>
  <c r="P782" i="51"/>
  <c r="O782" i="51"/>
  <c r="N782" i="51"/>
  <c r="M782" i="51"/>
  <c r="Z781" i="51"/>
  <c r="Y781" i="51"/>
  <c r="X781" i="51"/>
  <c r="W781" i="51"/>
  <c r="V781" i="51"/>
  <c r="U781" i="51"/>
  <c r="T781" i="51"/>
  <c r="S781" i="51"/>
  <c r="R781" i="51"/>
  <c r="Q781" i="51"/>
  <c r="P781" i="51"/>
  <c r="O781" i="51"/>
  <c r="N781" i="51"/>
  <c r="M781" i="51"/>
  <c r="Z780" i="51"/>
  <c r="Y780" i="51"/>
  <c r="X780" i="51"/>
  <c r="W780" i="51"/>
  <c r="V780" i="51"/>
  <c r="U780" i="51"/>
  <c r="T780" i="51"/>
  <c r="S780" i="51"/>
  <c r="R780" i="51"/>
  <c r="Q780" i="51"/>
  <c r="P780" i="51"/>
  <c r="O780" i="51"/>
  <c r="N780" i="51"/>
  <c r="M780" i="51"/>
  <c r="Z779" i="51"/>
  <c r="Y779" i="51"/>
  <c r="X779" i="51"/>
  <c r="W779" i="51"/>
  <c r="V779" i="51"/>
  <c r="U779" i="51"/>
  <c r="T779" i="51"/>
  <c r="S779" i="51"/>
  <c r="R779" i="51"/>
  <c r="Q779" i="51"/>
  <c r="P779" i="51"/>
  <c r="O779" i="51"/>
  <c r="N779" i="51"/>
  <c r="M779" i="51"/>
  <c r="Z778" i="51"/>
  <c r="Y778" i="51"/>
  <c r="X778" i="51"/>
  <c r="W778" i="51"/>
  <c r="V778" i="51"/>
  <c r="U778" i="51"/>
  <c r="T778" i="51"/>
  <c r="S778" i="51"/>
  <c r="R778" i="51"/>
  <c r="Q778" i="51"/>
  <c r="P778" i="51"/>
  <c r="O778" i="51"/>
  <c r="N778" i="51"/>
  <c r="M778" i="51"/>
  <c r="Z777" i="51"/>
  <c r="Y777" i="51"/>
  <c r="X777" i="51"/>
  <c r="W777" i="51"/>
  <c r="V777" i="51"/>
  <c r="U777" i="51"/>
  <c r="T777" i="51"/>
  <c r="S777" i="51"/>
  <c r="R777" i="51"/>
  <c r="Q777" i="51"/>
  <c r="P777" i="51"/>
  <c r="O777" i="51"/>
  <c r="N777" i="51"/>
  <c r="M777" i="51"/>
  <c r="Z776" i="51"/>
  <c r="Y776" i="51"/>
  <c r="X776" i="51"/>
  <c r="W776" i="51"/>
  <c r="V776" i="51"/>
  <c r="U776" i="51"/>
  <c r="T776" i="51"/>
  <c r="S776" i="51"/>
  <c r="R776" i="51"/>
  <c r="Q776" i="51"/>
  <c r="P776" i="51"/>
  <c r="O776" i="51"/>
  <c r="N776" i="51"/>
  <c r="M776" i="51"/>
  <c r="Z775" i="51"/>
  <c r="Y775" i="51"/>
  <c r="X775" i="51"/>
  <c r="W775" i="51"/>
  <c r="V775" i="51"/>
  <c r="U775" i="51"/>
  <c r="T775" i="51"/>
  <c r="S775" i="51"/>
  <c r="R775" i="51"/>
  <c r="Q775" i="51"/>
  <c r="P775" i="51"/>
  <c r="O775" i="51"/>
  <c r="N775" i="51"/>
  <c r="M775" i="51"/>
  <c r="Z774" i="51"/>
  <c r="Y774" i="51"/>
  <c r="X774" i="51"/>
  <c r="W774" i="51"/>
  <c r="V774" i="51"/>
  <c r="U774" i="51"/>
  <c r="T774" i="51"/>
  <c r="S774" i="51"/>
  <c r="R774" i="51"/>
  <c r="Q774" i="51"/>
  <c r="P774" i="51"/>
  <c r="O774" i="51"/>
  <c r="N774" i="51"/>
  <c r="M774" i="51"/>
  <c r="Z773" i="51"/>
  <c r="Y773" i="51"/>
  <c r="X773" i="51"/>
  <c r="W773" i="51"/>
  <c r="V773" i="51"/>
  <c r="U773" i="51"/>
  <c r="T773" i="51"/>
  <c r="S773" i="51"/>
  <c r="R773" i="51"/>
  <c r="Q773" i="51"/>
  <c r="P773" i="51"/>
  <c r="O773" i="51"/>
  <c r="N773" i="51"/>
  <c r="M773" i="51"/>
  <c r="Z772" i="51"/>
  <c r="Y772" i="51"/>
  <c r="X772" i="51"/>
  <c r="W772" i="51"/>
  <c r="V772" i="51"/>
  <c r="U772" i="51"/>
  <c r="T772" i="51"/>
  <c r="S772" i="51"/>
  <c r="R772" i="51"/>
  <c r="Q772" i="51"/>
  <c r="P772" i="51"/>
  <c r="O772" i="51"/>
  <c r="N772" i="51"/>
  <c r="M772" i="51"/>
  <c r="Z771" i="51"/>
  <c r="Y771" i="51"/>
  <c r="X771" i="51"/>
  <c r="W771" i="51"/>
  <c r="V771" i="51"/>
  <c r="U771" i="51"/>
  <c r="T771" i="51"/>
  <c r="S771" i="51"/>
  <c r="R771" i="51"/>
  <c r="Q771" i="51"/>
  <c r="P771" i="51"/>
  <c r="O771" i="51"/>
  <c r="N771" i="51"/>
  <c r="M771" i="51"/>
  <c r="Z770" i="51"/>
  <c r="Y770" i="51"/>
  <c r="X770" i="51"/>
  <c r="W770" i="51"/>
  <c r="V770" i="51"/>
  <c r="U770" i="51"/>
  <c r="T770" i="51"/>
  <c r="S770" i="51"/>
  <c r="R770" i="51"/>
  <c r="Q770" i="51"/>
  <c r="P770" i="51"/>
  <c r="O770" i="51"/>
  <c r="N770" i="51"/>
  <c r="M770" i="51"/>
  <c r="Z769" i="51"/>
  <c r="Y769" i="51"/>
  <c r="X769" i="51"/>
  <c r="W769" i="51"/>
  <c r="V769" i="51"/>
  <c r="U769" i="51"/>
  <c r="T769" i="51"/>
  <c r="S769" i="51"/>
  <c r="R769" i="51"/>
  <c r="Q769" i="51"/>
  <c r="P769" i="51"/>
  <c r="O769" i="51"/>
  <c r="N769" i="51"/>
  <c r="M769" i="51"/>
  <c r="Z768" i="51"/>
  <c r="Y768" i="51"/>
  <c r="X768" i="51"/>
  <c r="W768" i="51"/>
  <c r="V768" i="51"/>
  <c r="U768" i="51"/>
  <c r="T768" i="51"/>
  <c r="S768" i="51"/>
  <c r="R768" i="51"/>
  <c r="Q768" i="51"/>
  <c r="P768" i="51"/>
  <c r="O768" i="51"/>
  <c r="N768" i="51"/>
  <c r="M768" i="51"/>
  <c r="Z767" i="51"/>
  <c r="Y767" i="51"/>
  <c r="X767" i="51"/>
  <c r="W767" i="51"/>
  <c r="V767" i="51"/>
  <c r="U767" i="51"/>
  <c r="T767" i="51"/>
  <c r="S767" i="51"/>
  <c r="R767" i="51"/>
  <c r="Q767" i="51"/>
  <c r="P767" i="51"/>
  <c r="O767" i="51"/>
  <c r="N767" i="51"/>
  <c r="M767" i="51"/>
  <c r="Z766" i="51"/>
  <c r="Y766" i="51"/>
  <c r="X766" i="51"/>
  <c r="W766" i="51"/>
  <c r="V766" i="51"/>
  <c r="U766" i="51"/>
  <c r="T766" i="51"/>
  <c r="S766" i="51"/>
  <c r="R766" i="51"/>
  <c r="Q766" i="51"/>
  <c r="P766" i="51"/>
  <c r="O766" i="51"/>
  <c r="N766" i="51"/>
  <c r="M766" i="51"/>
  <c r="Z765" i="51"/>
  <c r="Y765" i="51"/>
  <c r="X765" i="51"/>
  <c r="W765" i="51"/>
  <c r="V765" i="51"/>
  <c r="U765" i="51"/>
  <c r="T765" i="51"/>
  <c r="S765" i="51"/>
  <c r="R765" i="51"/>
  <c r="Q765" i="51"/>
  <c r="P765" i="51"/>
  <c r="O765" i="51"/>
  <c r="N765" i="51"/>
  <c r="M765" i="51"/>
  <c r="Z764" i="51"/>
  <c r="Y764" i="51"/>
  <c r="X764" i="51"/>
  <c r="W764" i="51"/>
  <c r="V764" i="51"/>
  <c r="U764" i="51"/>
  <c r="T764" i="51"/>
  <c r="S764" i="51"/>
  <c r="R764" i="51"/>
  <c r="Q764" i="51"/>
  <c r="P764" i="51"/>
  <c r="O764" i="51"/>
  <c r="N764" i="51"/>
  <c r="M764" i="51"/>
  <c r="Z763" i="51"/>
  <c r="Y763" i="51"/>
  <c r="X763" i="51"/>
  <c r="W763" i="51"/>
  <c r="V763" i="51"/>
  <c r="U763" i="51"/>
  <c r="T763" i="51"/>
  <c r="S763" i="51"/>
  <c r="R763" i="51"/>
  <c r="Q763" i="51"/>
  <c r="P763" i="51"/>
  <c r="O763" i="51"/>
  <c r="N763" i="51"/>
  <c r="M763" i="51"/>
  <c r="Z762" i="51"/>
  <c r="Y762" i="51"/>
  <c r="X762" i="51"/>
  <c r="W762" i="51"/>
  <c r="V762" i="51"/>
  <c r="U762" i="51"/>
  <c r="T762" i="51"/>
  <c r="S762" i="51"/>
  <c r="R762" i="51"/>
  <c r="Q762" i="51"/>
  <c r="P762" i="51"/>
  <c r="O762" i="51"/>
  <c r="N762" i="51"/>
  <c r="M762" i="51"/>
  <c r="Z761" i="51"/>
  <c r="Y761" i="51"/>
  <c r="X761" i="51"/>
  <c r="W761" i="51"/>
  <c r="V761" i="51"/>
  <c r="U761" i="51"/>
  <c r="T761" i="51"/>
  <c r="S761" i="51"/>
  <c r="R761" i="51"/>
  <c r="Q761" i="51"/>
  <c r="P761" i="51"/>
  <c r="O761" i="51"/>
  <c r="N761" i="51"/>
  <c r="M761" i="51"/>
  <c r="Z760" i="51"/>
  <c r="Y760" i="51"/>
  <c r="X760" i="51"/>
  <c r="W760" i="51"/>
  <c r="V760" i="51"/>
  <c r="U760" i="51"/>
  <c r="T760" i="51"/>
  <c r="S760" i="51"/>
  <c r="R760" i="51"/>
  <c r="Q760" i="51"/>
  <c r="P760" i="51"/>
  <c r="O760" i="51"/>
  <c r="N760" i="51"/>
  <c r="M760" i="51"/>
  <c r="Z759" i="51"/>
  <c r="Y759" i="51"/>
  <c r="X759" i="51"/>
  <c r="W759" i="51"/>
  <c r="V759" i="51"/>
  <c r="U759" i="51"/>
  <c r="T759" i="51"/>
  <c r="S759" i="51"/>
  <c r="R759" i="51"/>
  <c r="Q759" i="51"/>
  <c r="P759" i="51"/>
  <c r="O759" i="51"/>
  <c r="N759" i="51"/>
  <c r="M759" i="51"/>
  <c r="Z758" i="51"/>
  <c r="Y758" i="51"/>
  <c r="X758" i="51"/>
  <c r="W758" i="51"/>
  <c r="V758" i="51"/>
  <c r="U758" i="51"/>
  <c r="T758" i="51"/>
  <c r="S758" i="51"/>
  <c r="R758" i="51"/>
  <c r="Q758" i="51"/>
  <c r="P758" i="51"/>
  <c r="O758" i="51"/>
  <c r="N758" i="51"/>
  <c r="M758" i="51"/>
  <c r="Z757" i="51"/>
  <c r="Y757" i="51"/>
  <c r="X757" i="51"/>
  <c r="W757" i="51"/>
  <c r="V757" i="51"/>
  <c r="U757" i="51"/>
  <c r="T757" i="51"/>
  <c r="S757" i="51"/>
  <c r="R757" i="51"/>
  <c r="Q757" i="51"/>
  <c r="P757" i="51"/>
  <c r="O757" i="51"/>
  <c r="N757" i="51"/>
  <c r="M757" i="51"/>
  <c r="Z756" i="51"/>
  <c r="Y756" i="51"/>
  <c r="X756" i="51"/>
  <c r="W756" i="51"/>
  <c r="V756" i="51"/>
  <c r="U756" i="51"/>
  <c r="T756" i="51"/>
  <c r="S756" i="51"/>
  <c r="R756" i="51"/>
  <c r="Q756" i="51"/>
  <c r="P756" i="51"/>
  <c r="O756" i="51"/>
  <c r="N756" i="51"/>
  <c r="M756" i="51"/>
  <c r="Z755" i="51"/>
  <c r="Y755" i="51"/>
  <c r="X755" i="51"/>
  <c r="W755" i="51"/>
  <c r="V755" i="51"/>
  <c r="U755" i="51"/>
  <c r="T755" i="51"/>
  <c r="S755" i="51"/>
  <c r="R755" i="51"/>
  <c r="Q755" i="51"/>
  <c r="P755" i="51"/>
  <c r="O755" i="51"/>
  <c r="N755" i="51"/>
  <c r="M755" i="51"/>
  <c r="Z754" i="51"/>
  <c r="Y754" i="51"/>
  <c r="X754" i="51"/>
  <c r="W754" i="51"/>
  <c r="V754" i="51"/>
  <c r="U754" i="51"/>
  <c r="T754" i="51"/>
  <c r="S754" i="51"/>
  <c r="R754" i="51"/>
  <c r="Q754" i="51"/>
  <c r="P754" i="51"/>
  <c r="O754" i="51"/>
  <c r="N754" i="51"/>
  <c r="M754" i="51"/>
  <c r="Z753" i="51"/>
  <c r="Y753" i="51"/>
  <c r="X753" i="51"/>
  <c r="W753" i="51"/>
  <c r="V753" i="51"/>
  <c r="U753" i="51"/>
  <c r="T753" i="51"/>
  <c r="S753" i="51"/>
  <c r="R753" i="51"/>
  <c r="Q753" i="51"/>
  <c r="P753" i="51"/>
  <c r="O753" i="51"/>
  <c r="N753" i="51"/>
  <c r="M753" i="51"/>
  <c r="Z752" i="51"/>
  <c r="Y752" i="51"/>
  <c r="X752" i="51"/>
  <c r="W752" i="51"/>
  <c r="V752" i="51"/>
  <c r="U752" i="51"/>
  <c r="T752" i="51"/>
  <c r="S752" i="51"/>
  <c r="R752" i="51"/>
  <c r="Q752" i="51"/>
  <c r="P752" i="51"/>
  <c r="O752" i="51"/>
  <c r="N752" i="51"/>
  <c r="M752" i="51"/>
  <c r="Z751" i="51"/>
  <c r="Y751" i="51"/>
  <c r="X751" i="51"/>
  <c r="W751" i="51"/>
  <c r="V751" i="51"/>
  <c r="U751" i="51"/>
  <c r="T751" i="51"/>
  <c r="S751" i="51"/>
  <c r="R751" i="51"/>
  <c r="Q751" i="51"/>
  <c r="P751" i="51"/>
  <c r="O751" i="51"/>
  <c r="N751" i="51"/>
  <c r="M751" i="51"/>
  <c r="Z750" i="51"/>
  <c r="Y750" i="51"/>
  <c r="X750" i="51"/>
  <c r="W750" i="51"/>
  <c r="V750" i="51"/>
  <c r="U750" i="51"/>
  <c r="T750" i="51"/>
  <c r="S750" i="51"/>
  <c r="R750" i="51"/>
  <c r="Q750" i="51"/>
  <c r="P750" i="51"/>
  <c r="O750" i="51"/>
  <c r="N750" i="51"/>
  <c r="M750" i="51"/>
  <c r="Z749" i="51"/>
  <c r="Y749" i="51"/>
  <c r="X749" i="51"/>
  <c r="W749" i="51"/>
  <c r="V749" i="51"/>
  <c r="U749" i="51"/>
  <c r="T749" i="51"/>
  <c r="S749" i="51"/>
  <c r="R749" i="51"/>
  <c r="Q749" i="51"/>
  <c r="P749" i="51"/>
  <c r="O749" i="51"/>
  <c r="N749" i="51"/>
  <c r="M749" i="51"/>
  <c r="Z748" i="51"/>
  <c r="Y748" i="51"/>
  <c r="X748" i="51"/>
  <c r="W748" i="51"/>
  <c r="V748" i="51"/>
  <c r="U748" i="51"/>
  <c r="T748" i="51"/>
  <c r="S748" i="51"/>
  <c r="R748" i="51"/>
  <c r="Q748" i="51"/>
  <c r="P748" i="51"/>
  <c r="O748" i="51"/>
  <c r="N748" i="51"/>
  <c r="M748" i="51"/>
  <c r="Z747" i="51"/>
  <c r="Y747" i="51"/>
  <c r="X747" i="51"/>
  <c r="W747" i="51"/>
  <c r="V747" i="51"/>
  <c r="U747" i="51"/>
  <c r="T747" i="51"/>
  <c r="S747" i="51"/>
  <c r="R747" i="51"/>
  <c r="Q747" i="51"/>
  <c r="P747" i="51"/>
  <c r="O747" i="51"/>
  <c r="N747" i="51"/>
  <c r="M747" i="51"/>
  <c r="Z746" i="51"/>
  <c r="Y746" i="51"/>
  <c r="X746" i="51"/>
  <c r="W746" i="51"/>
  <c r="V746" i="51"/>
  <c r="U746" i="51"/>
  <c r="T746" i="51"/>
  <c r="S746" i="51"/>
  <c r="R746" i="51"/>
  <c r="Q746" i="51"/>
  <c r="P746" i="51"/>
  <c r="O746" i="51"/>
  <c r="N746" i="51"/>
  <c r="M746" i="51"/>
  <c r="Z745" i="51"/>
  <c r="Y745" i="51"/>
  <c r="X745" i="51"/>
  <c r="W745" i="51"/>
  <c r="V745" i="51"/>
  <c r="U745" i="51"/>
  <c r="T745" i="51"/>
  <c r="S745" i="51"/>
  <c r="R745" i="51"/>
  <c r="Q745" i="51"/>
  <c r="P745" i="51"/>
  <c r="O745" i="51"/>
  <c r="N745" i="51"/>
  <c r="M745" i="51"/>
  <c r="Z744" i="51"/>
  <c r="Y744" i="51"/>
  <c r="X744" i="51"/>
  <c r="W744" i="51"/>
  <c r="V744" i="51"/>
  <c r="U744" i="51"/>
  <c r="T744" i="51"/>
  <c r="S744" i="51"/>
  <c r="R744" i="51"/>
  <c r="Q744" i="51"/>
  <c r="P744" i="51"/>
  <c r="O744" i="51"/>
  <c r="N744" i="51"/>
  <c r="M744" i="51"/>
  <c r="Z743" i="51"/>
  <c r="Y743" i="51"/>
  <c r="X743" i="51"/>
  <c r="W743" i="51"/>
  <c r="V743" i="51"/>
  <c r="U743" i="51"/>
  <c r="T743" i="51"/>
  <c r="S743" i="51"/>
  <c r="R743" i="51"/>
  <c r="Q743" i="51"/>
  <c r="P743" i="51"/>
  <c r="O743" i="51"/>
  <c r="N743" i="51"/>
  <c r="M743" i="51"/>
  <c r="Z742" i="51"/>
  <c r="Y742" i="51"/>
  <c r="X742" i="51"/>
  <c r="W742" i="51"/>
  <c r="V742" i="51"/>
  <c r="U742" i="51"/>
  <c r="T742" i="51"/>
  <c r="S742" i="51"/>
  <c r="R742" i="51"/>
  <c r="Q742" i="51"/>
  <c r="P742" i="51"/>
  <c r="O742" i="51"/>
  <c r="N742" i="51"/>
  <c r="M742" i="51"/>
  <c r="Z741" i="51"/>
  <c r="Y741" i="51"/>
  <c r="X741" i="51"/>
  <c r="W741" i="51"/>
  <c r="V741" i="51"/>
  <c r="U741" i="51"/>
  <c r="T741" i="51"/>
  <c r="S741" i="51"/>
  <c r="R741" i="51"/>
  <c r="Q741" i="51"/>
  <c r="P741" i="51"/>
  <c r="O741" i="51"/>
  <c r="N741" i="51"/>
  <c r="M741" i="51"/>
  <c r="Z740" i="51"/>
  <c r="Y740" i="51"/>
  <c r="X740" i="51"/>
  <c r="W740" i="51"/>
  <c r="V740" i="51"/>
  <c r="U740" i="51"/>
  <c r="T740" i="51"/>
  <c r="S740" i="51"/>
  <c r="R740" i="51"/>
  <c r="Q740" i="51"/>
  <c r="P740" i="51"/>
  <c r="O740" i="51"/>
  <c r="N740" i="51"/>
  <c r="M740" i="51"/>
  <c r="Z739" i="51"/>
  <c r="Y739" i="51"/>
  <c r="X739" i="51"/>
  <c r="W739" i="51"/>
  <c r="V739" i="51"/>
  <c r="U739" i="51"/>
  <c r="T739" i="51"/>
  <c r="S739" i="51"/>
  <c r="R739" i="51"/>
  <c r="Q739" i="51"/>
  <c r="P739" i="51"/>
  <c r="O739" i="51"/>
  <c r="N739" i="51"/>
  <c r="M739" i="51"/>
  <c r="Z738" i="51"/>
  <c r="Y738" i="51"/>
  <c r="X738" i="51"/>
  <c r="W738" i="51"/>
  <c r="V738" i="51"/>
  <c r="U738" i="51"/>
  <c r="T738" i="51"/>
  <c r="S738" i="51"/>
  <c r="R738" i="51"/>
  <c r="Q738" i="51"/>
  <c r="P738" i="51"/>
  <c r="O738" i="51"/>
  <c r="N738" i="51"/>
  <c r="M738" i="51"/>
  <c r="Z737" i="51"/>
  <c r="Y737" i="51"/>
  <c r="X737" i="51"/>
  <c r="W737" i="51"/>
  <c r="V737" i="51"/>
  <c r="U737" i="51"/>
  <c r="T737" i="51"/>
  <c r="S737" i="51"/>
  <c r="R737" i="51"/>
  <c r="Q737" i="51"/>
  <c r="P737" i="51"/>
  <c r="O737" i="51"/>
  <c r="N737" i="51"/>
  <c r="M737" i="51"/>
  <c r="Z736" i="51"/>
  <c r="Y736" i="51"/>
  <c r="X736" i="51"/>
  <c r="W736" i="51"/>
  <c r="V736" i="51"/>
  <c r="U736" i="51"/>
  <c r="T736" i="51"/>
  <c r="S736" i="51"/>
  <c r="R736" i="51"/>
  <c r="Q736" i="51"/>
  <c r="P736" i="51"/>
  <c r="O736" i="51"/>
  <c r="N736" i="51"/>
  <c r="M736" i="51"/>
  <c r="Z735" i="51"/>
  <c r="Y735" i="51"/>
  <c r="X735" i="51"/>
  <c r="W735" i="51"/>
  <c r="V735" i="51"/>
  <c r="U735" i="51"/>
  <c r="T735" i="51"/>
  <c r="S735" i="51"/>
  <c r="R735" i="51"/>
  <c r="Q735" i="51"/>
  <c r="P735" i="51"/>
  <c r="O735" i="51"/>
  <c r="N735" i="51"/>
  <c r="M735" i="51"/>
  <c r="Z734" i="51"/>
  <c r="Y734" i="51"/>
  <c r="X734" i="51"/>
  <c r="W734" i="51"/>
  <c r="V734" i="51"/>
  <c r="U734" i="51"/>
  <c r="T734" i="51"/>
  <c r="S734" i="51"/>
  <c r="R734" i="51"/>
  <c r="Q734" i="51"/>
  <c r="P734" i="51"/>
  <c r="O734" i="51"/>
  <c r="N734" i="51"/>
  <c r="M734" i="51"/>
  <c r="Z733" i="51"/>
  <c r="Y733" i="51"/>
  <c r="X733" i="51"/>
  <c r="W733" i="51"/>
  <c r="V733" i="51"/>
  <c r="U733" i="51"/>
  <c r="T733" i="51"/>
  <c r="S733" i="51"/>
  <c r="R733" i="51"/>
  <c r="Q733" i="51"/>
  <c r="P733" i="51"/>
  <c r="O733" i="51"/>
  <c r="N733" i="51"/>
  <c r="M733" i="51"/>
  <c r="Z732" i="51"/>
  <c r="Y732" i="51"/>
  <c r="X732" i="51"/>
  <c r="W732" i="51"/>
  <c r="V732" i="51"/>
  <c r="U732" i="51"/>
  <c r="T732" i="51"/>
  <c r="S732" i="51"/>
  <c r="R732" i="51"/>
  <c r="Q732" i="51"/>
  <c r="P732" i="51"/>
  <c r="O732" i="51"/>
  <c r="N732" i="51"/>
  <c r="M732" i="51"/>
  <c r="Z731" i="51"/>
  <c r="Y731" i="51"/>
  <c r="X731" i="51"/>
  <c r="W731" i="51"/>
  <c r="V731" i="51"/>
  <c r="U731" i="51"/>
  <c r="T731" i="51"/>
  <c r="S731" i="51"/>
  <c r="R731" i="51"/>
  <c r="Q731" i="51"/>
  <c r="P731" i="51"/>
  <c r="O731" i="51"/>
  <c r="N731" i="51"/>
  <c r="M731" i="51"/>
  <c r="Z730" i="51"/>
  <c r="Y730" i="51"/>
  <c r="X730" i="51"/>
  <c r="W730" i="51"/>
  <c r="V730" i="51"/>
  <c r="U730" i="51"/>
  <c r="T730" i="51"/>
  <c r="S730" i="51"/>
  <c r="R730" i="51"/>
  <c r="Q730" i="51"/>
  <c r="P730" i="51"/>
  <c r="O730" i="51"/>
  <c r="N730" i="51"/>
  <c r="M730" i="51"/>
  <c r="Z729" i="51"/>
  <c r="Y729" i="51"/>
  <c r="X729" i="51"/>
  <c r="W729" i="51"/>
  <c r="V729" i="51"/>
  <c r="U729" i="51"/>
  <c r="T729" i="51"/>
  <c r="S729" i="51"/>
  <c r="R729" i="51"/>
  <c r="Q729" i="51"/>
  <c r="P729" i="51"/>
  <c r="O729" i="51"/>
  <c r="N729" i="51"/>
  <c r="M729" i="51"/>
  <c r="Z728" i="51"/>
  <c r="Y728" i="51"/>
  <c r="X728" i="51"/>
  <c r="W728" i="51"/>
  <c r="V728" i="51"/>
  <c r="U728" i="51"/>
  <c r="T728" i="51"/>
  <c r="S728" i="51"/>
  <c r="R728" i="51"/>
  <c r="Q728" i="51"/>
  <c r="P728" i="51"/>
  <c r="O728" i="51"/>
  <c r="N728" i="51"/>
  <c r="M728" i="51"/>
  <c r="Z727" i="51"/>
  <c r="Y727" i="51"/>
  <c r="X727" i="51"/>
  <c r="W727" i="51"/>
  <c r="V727" i="51"/>
  <c r="U727" i="51"/>
  <c r="T727" i="51"/>
  <c r="S727" i="51"/>
  <c r="R727" i="51"/>
  <c r="Q727" i="51"/>
  <c r="P727" i="51"/>
  <c r="O727" i="51"/>
  <c r="N727" i="51"/>
  <c r="M727" i="51"/>
  <c r="Z726" i="51"/>
  <c r="Y726" i="51"/>
  <c r="X726" i="51"/>
  <c r="W726" i="51"/>
  <c r="V726" i="51"/>
  <c r="U726" i="51"/>
  <c r="T726" i="51"/>
  <c r="S726" i="51"/>
  <c r="R726" i="51"/>
  <c r="Q726" i="51"/>
  <c r="P726" i="51"/>
  <c r="O726" i="51"/>
  <c r="N726" i="51"/>
  <c r="M726" i="51"/>
  <c r="Z725" i="51"/>
  <c r="Y725" i="51"/>
  <c r="X725" i="51"/>
  <c r="W725" i="51"/>
  <c r="V725" i="51"/>
  <c r="U725" i="51"/>
  <c r="T725" i="51"/>
  <c r="S725" i="51"/>
  <c r="R725" i="51"/>
  <c r="Q725" i="51"/>
  <c r="P725" i="51"/>
  <c r="O725" i="51"/>
  <c r="N725" i="51"/>
  <c r="M725" i="51"/>
  <c r="Z724" i="51"/>
  <c r="Y724" i="51"/>
  <c r="X724" i="51"/>
  <c r="W724" i="51"/>
  <c r="V724" i="51"/>
  <c r="U724" i="51"/>
  <c r="T724" i="51"/>
  <c r="S724" i="51"/>
  <c r="R724" i="51"/>
  <c r="Q724" i="51"/>
  <c r="P724" i="51"/>
  <c r="O724" i="51"/>
  <c r="N724" i="51"/>
  <c r="M724" i="51"/>
  <c r="Z723" i="51"/>
  <c r="Y723" i="51"/>
  <c r="X723" i="51"/>
  <c r="W723" i="51"/>
  <c r="V723" i="51"/>
  <c r="U723" i="51"/>
  <c r="T723" i="51"/>
  <c r="S723" i="51"/>
  <c r="R723" i="51"/>
  <c r="Q723" i="51"/>
  <c r="P723" i="51"/>
  <c r="O723" i="51"/>
  <c r="N723" i="51"/>
  <c r="M723" i="51"/>
  <c r="Z722" i="51"/>
  <c r="Y722" i="51"/>
  <c r="X722" i="51"/>
  <c r="W722" i="51"/>
  <c r="V722" i="51"/>
  <c r="U722" i="51"/>
  <c r="T722" i="51"/>
  <c r="S722" i="51"/>
  <c r="R722" i="51"/>
  <c r="Q722" i="51"/>
  <c r="P722" i="51"/>
  <c r="O722" i="51"/>
  <c r="N722" i="51"/>
  <c r="M722" i="51"/>
  <c r="Z721" i="51"/>
  <c r="Y721" i="51"/>
  <c r="X721" i="51"/>
  <c r="W721" i="51"/>
  <c r="V721" i="51"/>
  <c r="U721" i="51"/>
  <c r="T721" i="51"/>
  <c r="S721" i="51"/>
  <c r="R721" i="51"/>
  <c r="Q721" i="51"/>
  <c r="P721" i="51"/>
  <c r="O721" i="51"/>
  <c r="N721" i="51"/>
  <c r="M721" i="51"/>
  <c r="Z720" i="51"/>
  <c r="Y720" i="51"/>
  <c r="X720" i="51"/>
  <c r="W720" i="51"/>
  <c r="V720" i="51"/>
  <c r="U720" i="51"/>
  <c r="T720" i="51"/>
  <c r="S720" i="51"/>
  <c r="R720" i="51"/>
  <c r="Q720" i="51"/>
  <c r="P720" i="51"/>
  <c r="O720" i="51"/>
  <c r="N720" i="51"/>
  <c r="M720" i="51"/>
  <c r="Z719" i="51"/>
  <c r="Y719" i="51"/>
  <c r="X719" i="51"/>
  <c r="W719" i="51"/>
  <c r="V719" i="51"/>
  <c r="U719" i="51"/>
  <c r="T719" i="51"/>
  <c r="S719" i="51"/>
  <c r="R719" i="51"/>
  <c r="Q719" i="51"/>
  <c r="P719" i="51"/>
  <c r="O719" i="51"/>
  <c r="N719" i="51"/>
  <c r="M719" i="51"/>
  <c r="Z718" i="51"/>
  <c r="Y718" i="51"/>
  <c r="X718" i="51"/>
  <c r="W718" i="51"/>
  <c r="V718" i="51"/>
  <c r="U718" i="51"/>
  <c r="T718" i="51"/>
  <c r="S718" i="51"/>
  <c r="R718" i="51"/>
  <c r="Q718" i="51"/>
  <c r="P718" i="51"/>
  <c r="O718" i="51"/>
  <c r="N718" i="51"/>
  <c r="M718" i="51"/>
  <c r="Z717" i="51"/>
  <c r="Y717" i="51"/>
  <c r="X717" i="51"/>
  <c r="W717" i="51"/>
  <c r="V717" i="51"/>
  <c r="U717" i="51"/>
  <c r="T717" i="51"/>
  <c r="S717" i="51"/>
  <c r="R717" i="51"/>
  <c r="Q717" i="51"/>
  <c r="P717" i="51"/>
  <c r="O717" i="51"/>
  <c r="N717" i="51"/>
  <c r="M717" i="51"/>
  <c r="Z716" i="51"/>
  <c r="Y716" i="51"/>
  <c r="X716" i="51"/>
  <c r="W716" i="51"/>
  <c r="V716" i="51"/>
  <c r="U716" i="51"/>
  <c r="T716" i="51"/>
  <c r="S716" i="51"/>
  <c r="R716" i="51"/>
  <c r="Q716" i="51"/>
  <c r="P716" i="51"/>
  <c r="O716" i="51"/>
  <c r="N716" i="51"/>
  <c r="M716" i="51"/>
  <c r="Z715" i="51"/>
  <c r="Y715" i="51"/>
  <c r="X715" i="51"/>
  <c r="W715" i="51"/>
  <c r="V715" i="51"/>
  <c r="U715" i="51"/>
  <c r="T715" i="51"/>
  <c r="S715" i="51"/>
  <c r="R715" i="51"/>
  <c r="Q715" i="51"/>
  <c r="P715" i="51"/>
  <c r="O715" i="51"/>
  <c r="N715" i="51"/>
  <c r="M715" i="51"/>
  <c r="Z714" i="51"/>
  <c r="Y714" i="51"/>
  <c r="X714" i="51"/>
  <c r="W714" i="51"/>
  <c r="V714" i="51"/>
  <c r="U714" i="51"/>
  <c r="T714" i="51"/>
  <c r="S714" i="51"/>
  <c r="R714" i="51"/>
  <c r="Q714" i="51"/>
  <c r="P714" i="51"/>
  <c r="O714" i="51"/>
  <c r="N714" i="51"/>
  <c r="M714" i="51"/>
  <c r="Z713" i="51"/>
  <c r="Y713" i="51"/>
  <c r="X713" i="51"/>
  <c r="W713" i="51"/>
  <c r="V713" i="51"/>
  <c r="U713" i="51"/>
  <c r="T713" i="51"/>
  <c r="S713" i="51"/>
  <c r="R713" i="51"/>
  <c r="Q713" i="51"/>
  <c r="P713" i="51"/>
  <c r="O713" i="51"/>
  <c r="N713" i="51"/>
  <c r="M713" i="51"/>
  <c r="Z712" i="51"/>
  <c r="Y712" i="51"/>
  <c r="X712" i="51"/>
  <c r="W712" i="51"/>
  <c r="V712" i="51"/>
  <c r="U712" i="51"/>
  <c r="T712" i="51"/>
  <c r="S712" i="51"/>
  <c r="R712" i="51"/>
  <c r="Q712" i="51"/>
  <c r="P712" i="51"/>
  <c r="O712" i="51"/>
  <c r="N712" i="51"/>
  <c r="M712" i="51"/>
  <c r="Z711" i="51"/>
  <c r="Y711" i="51"/>
  <c r="X711" i="51"/>
  <c r="W711" i="51"/>
  <c r="V711" i="51"/>
  <c r="U711" i="51"/>
  <c r="T711" i="51"/>
  <c r="S711" i="51"/>
  <c r="R711" i="51"/>
  <c r="Q711" i="51"/>
  <c r="P711" i="51"/>
  <c r="O711" i="51"/>
  <c r="N711" i="51"/>
  <c r="M711" i="51"/>
  <c r="Z710" i="51"/>
  <c r="Y710" i="51"/>
  <c r="X710" i="51"/>
  <c r="W710" i="51"/>
  <c r="V710" i="51"/>
  <c r="U710" i="51"/>
  <c r="T710" i="51"/>
  <c r="S710" i="51"/>
  <c r="R710" i="51"/>
  <c r="Q710" i="51"/>
  <c r="P710" i="51"/>
  <c r="O710" i="51"/>
  <c r="N710" i="51"/>
  <c r="M710" i="51"/>
  <c r="Z709" i="51"/>
  <c r="Y709" i="51"/>
  <c r="X709" i="51"/>
  <c r="W709" i="51"/>
  <c r="V709" i="51"/>
  <c r="U709" i="51"/>
  <c r="T709" i="51"/>
  <c r="S709" i="51"/>
  <c r="R709" i="51"/>
  <c r="Q709" i="51"/>
  <c r="P709" i="51"/>
  <c r="O709" i="51"/>
  <c r="N709" i="51"/>
  <c r="M709" i="51"/>
  <c r="Z708" i="51"/>
  <c r="Y708" i="51"/>
  <c r="X708" i="51"/>
  <c r="W708" i="51"/>
  <c r="V708" i="51"/>
  <c r="U708" i="51"/>
  <c r="T708" i="51"/>
  <c r="S708" i="51"/>
  <c r="R708" i="51"/>
  <c r="Q708" i="51"/>
  <c r="P708" i="51"/>
  <c r="O708" i="51"/>
  <c r="N708" i="51"/>
  <c r="M708" i="51"/>
  <c r="Z707" i="51"/>
  <c r="Y707" i="51"/>
  <c r="X707" i="51"/>
  <c r="W707" i="51"/>
  <c r="V707" i="51"/>
  <c r="U707" i="51"/>
  <c r="T707" i="51"/>
  <c r="S707" i="51"/>
  <c r="R707" i="51"/>
  <c r="Q707" i="51"/>
  <c r="P707" i="51"/>
  <c r="O707" i="51"/>
  <c r="N707" i="51"/>
  <c r="M707" i="51"/>
  <c r="Z706" i="51"/>
  <c r="Y706" i="51"/>
  <c r="X706" i="51"/>
  <c r="W706" i="51"/>
  <c r="V706" i="51"/>
  <c r="U706" i="51"/>
  <c r="T706" i="51"/>
  <c r="S706" i="51"/>
  <c r="R706" i="51"/>
  <c r="Q706" i="51"/>
  <c r="P706" i="51"/>
  <c r="O706" i="51"/>
  <c r="N706" i="51"/>
  <c r="M706" i="51"/>
  <c r="Z705" i="51"/>
  <c r="Y705" i="51"/>
  <c r="X705" i="51"/>
  <c r="W705" i="51"/>
  <c r="V705" i="51"/>
  <c r="U705" i="51"/>
  <c r="T705" i="51"/>
  <c r="S705" i="51"/>
  <c r="R705" i="51"/>
  <c r="Q705" i="51"/>
  <c r="P705" i="51"/>
  <c r="O705" i="51"/>
  <c r="N705" i="51"/>
  <c r="M705" i="51"/>
  <c r="Z704" i="51"/>
  <c r="Y704" i="51"/>
  <c r="X704" i="51"/>
  <c r="W704" i="51"/>
  <c r="V704" i="51"/>
  <c r="U704" i="51"/>
  <c r="T704" i="51"/>
  <c r="S704" i="51"/>
  <c r="R704" i="51"/>
  <c r="Q704" i="51"/>
  <c r="P704" i="51"/>
  <c r="O704" i="51"/>
  <c r="N704" i="51"/>
  <c r="M704" i="51"/>
  <c r="Z703" i="51"/>
  <c r="Y703" i="51"/>
  <c r="X703" i="51"/>
  <c r="W703" i="51"/>
  <c r="V703" i="51"/>
  <c r="U703" i="51"/>
  <c r="T703" i="51"/>
  <c r="S703" i="51"/>
  <c r="R703" i="51"/>
  <c r="Q703" i="51"/>
  <c r="P703" i="51"/>
  <c r="O703" i="51"/>
  <c r="N703" i="51"/>
  <c r="M703" i="51"/>
  <c r="Z702" i="51"/>
  <c r="Y702" i="51"/>
  <c r="X702" i="51"/>
  <c r="W702" i="51"/>
  <c r="V702" i="51"/>
  <c r="U702" i="51"/>
  <c r="T702" i="51"/>
  <c r="S702" i="51"/>
  <c r="R702" i="51"/>
  <c r="Q702" i="51"/>
  <c r="P702" i="51"/>
  <c r="O702" i="51"/>
  <c r="N702" i="51"/>
  <c r="M702" i="51"/>
  <c r="Z701" i="51"/>
  <c r="Y701" i="51"/>
  <c r="X701" i="51"/>
  <c r="W701" i="51"/>
  <c r="V701" i="51"/>
  <c r="U701" i="51"/>
  <c r="T701" i="51"/>
  <c r="S701" i="51"/>
  <c r="R701" i="51"/>
  <c r="Q701" i="51"/>
  <c r="P701" i="51"/>
  <c r="O701" i="51"/>
  <c r="N701" i="51"/>
  <c r="M701" i="51"/>
  <c r="Z700" i="51"/>
  <c r="Y700" i="51"/>
  <c r="X700" i="51"/>
  <c r="W700" i="51"/>
  <c r="V700" i="51"/>
  <c r="U700" i="51"/>
  <c r="T700" i="51"/>
  <c r="S700" i="51"/>
  <c r="R700" i="51"/>
  <c r="Q700" i="51"/>
  <c r="P700" i="51"/>
  <c r="O700" i="51"/>
  <c r="N700" i="51"/>
  <c r="M700" i="51"/>
  <c r="Z699" i="51"/>
  <c r="Y699" i="51"/>
  <c r="X699" i="51"/>
  <c r="W699" i="51"/>
  <c r="V699" i="51"/>
  <c r="U699" i="51"/>
  <c r="T699" i="51"/>
  <c r="S699" i="51"/>
  <c r="R699" i="51"/>
  <c r="Q699" i="51"/>
  <c r="P699" i="51"/>
  <c r="O699" i="51"/>
  <c r="N699" i="51"/>
  <c r="M699" i="51"/>
  <c r="Z698" i="51"/>
  <c r="Y698" i="51"/>
  <c r="X698" i="51"/>
  <c r="W698" i="51"/>
  <c r="V698" i="51"/>
  <c r="U698" i="51"/>
  <c r="T698" i="51"/>
  <c r="S698" i="51"/>
  <c r="R698" i="51"/>
  <c r="Q698" i="51"/>
  <c r="P698" i="51"/>
  <c r="O698" i="51"/>
  <c r="N698" i="51"/>
  <c r="M698" i="51"/>
  <c r="Z697" i="51"/>
  <c r="Y697" i="51"/>
  <c r="X697" i="51"/>
  <c r="W697" i="51"/>
  <c r="V697" i="51"/>
  <c r="U697" i="51"/>
  <c r="T697" i="51"/>
  <c r="S697" i="51"/>
  <c r="R697" i="51"/>
  <c r="Q697" i="51"/>
  <c r="P697" i="51"/>
  <c r="O697" i="51"/>
  <c r="N697" i="51"/>
  <c r="M697" i="51"/>
  <c r="Z696" i="51"/>
  <c r="Y696" i="51"/>
  <c r="X696" i="51"/>
  <c r="W696" i="51"/>
  <c r="V696" i="51"/>
  <c r="U696" i="51"/>
  <c r="T696" i="51"/>
  <c r="S696" i="51"/>
  <c r="R696" i="51"/>
  <c r="Q696" i="51"/>
  <c r="P696" i="51"/>
  <c r="O696" i="51"/>
  <c r="N696" i="51"/>
  <c r="M696" i="51"/>
  <c r="Z695" i="51"/>
  <c r="Y695" i="51"/>
  <c r="X695" i="51"/>
  <c r="W695" i="51"/>
  <c r="V695" i="51"/>
  <c r="U695" i="51"/>
  <c r="T695" i="51"/>
  <c r="S695" i="51"/>
  <c r="R695" i="51"/>
  <c r="Q695" i="51"/>
  <c r="P695" i="51"/>
  <c r="O695" i="51"/>
  <c r="N695" i="51"/>
  <c r="M695" i="51"/>
  <c r="Z694" i="51"/>
  <c r="Y694" i="51"/>
  <c r="X694" i="51"/>
  <c r="W694" i="51"/>
  <c r="V694" i="51"/>
  <c r="U694" i="51"/>
  <c r="T694" i="51"/>
  <c r="S694" i="51"/>
  <c r="R694" i="51"/>
  <c r="Q694" i="51"/>
  <c r="P694" i="51"/>
  <c r="O694" i="51"/>
  <c r="N694" i="51"/>
  <c r="M694" i="51"/>
  <c r="Z693" i="51"/>
  <c r="Y693" i="51"/>
  <c r="X693" i="51"/>
  <c r="W693" i="51"/>
  <c r="V693" i="51"/>
  <c r="U693" i="51"/>
  <c r="T693" i="51"/>
  <c r="S693" i="51"/>
  <c r="R693" i="51"/>
  <c r="Q693" i="51"/>
  <c r="P693" i="51"/>
  <c r="O693" i="51"/>
  <c r="N693" i="51"/>
  <c r="M693" i="51"/>
  <c r="Z692" i="51"/>
  <c r="Y692" i="51"/>
  <c r="X692" i="51"/>
  <c r="W692" i="51"/>
  <c r="V692" i="51"/>
  <c r="U692" i="51"/>
  <c r="T692" i="51"/>
  <c r="S692" i="51"/>
  <c r="R692" i="51"/>
  <c r="Q692" i="51"/>
  <c r="P692" i="51"/>
  <c r="O692" i="51"/>
  <c r="N692" i="51"/>
  <c r="M692" i="51"/>
  <c r="Z691" i="51"/>
  <c r="Y691" i="51"/>
  <c r="X691" i="51"/>
  <c r="W691" i="51"/>
  <c r="V691" i="51"/>
  <c r="U691" i="51"/>
  <c r="T691" i="51"/>
  <c r="S691" i="51"/>
  <c r="R691" i="51"/>
  <c r="Q691" i="51"/>
  <c r="P691" i="51"/>
  <c r="O691" i="51"/>
  <c r="N691" i="51"/>
  <c r="M691" i="51"/>
  <c r="Z690" i="51"/>
  <c r="Y690" i="51"/>
  <c r="X690" i="51"/>
  <c r="W690" i="51"/>
  <c r="V690" i="51"/>
  <c r="U690" i="51"/>
  <c r="T690" i="51"/>
  <c r="S690" i="51"/>
  <c r="R690" i="51"/>
  <c r="Q690" i="51"/>
  <c r="P690" i="51"/>
  <c r="O690" i="51"/>
  <c r="N690" i="51"/>
  <c r="M690" i="51"/>
  <c r="Z689" i="51"/>
  <c r="Y689" i="51"/>
  <c r="X689" i="51"/>
  <c r="W689" i="51"/>
  <c r="V689" i="51"/>
  <c r="U689" i="51"/>
  <c r="T689" i="51"/>
  <c r="S689" i="51"/>
  <c r="R689" i="51"/>
  <c r="Q689" i="51"/>
  <c r="P689" i="51"/>
  <c r="O689" i="51"/>
  <c r="N689" i="51"/>
  <c r="M689" i="51"/>
  <c r="Z688" i="51"/>
  <c r="Y688" i="51"/>
  <c r="X688" i="51"/>
  <c r="W688" i="51"/>
  <c r="V688" i="51"/>
  <c r="U688" i="51"/>
  <c r="T688" i="51"/>
  <c r="S688" i="51"/>
  <c r="R688" i="51"/>
  <c r="Q688" i="51"/>
  <c r="P688" i="51"/>
  <c r="O688" i="51"/>
  <c r="N688" i="51"/>
  <c r="M688" i="51"/>
  <c r="Z687" i="51"/>
  <c r="Y687" i="51"/>
  <c r="X687" i="51"/>
  <c r="W687" i="51"/>
  <c r="V687" i="51"/>
  <c r="U687" i="51"/>
  <c r="T687" i="51"/>
  <c r="S687" i="51"/>
  <c r="R687" i="51"/>
  <c r="Q687" i="51"/>
  <c r="P687" i="51"/>
  <c r="O687" i="51"/>
  <c r="N687" i="51"/>
  <c r="M687" i="51"/>
  <c r="Z686" i="51"/>
  <c r="Y686" i="51"/>
  <c r="X686" i="51"/>
  <c r="W686" i="51"/>
  <c r="V686" i="51"/>
  <c r="U686" i="51"/>
  <c r="T686" i="51"/>
  <c r="S686" i="51"/>
  <c r="R686" i="51"/>
  <c r="Q686" i="51"/>
  <c r="P686" i="51"/>
  <c r="O686" i="51"/>
  <c r="N686" i="51"/>
  <c r="M686" i="51"/>
  <c r="Z685" i="51"/>
  <c r="Y685" i="51"/>
  <c r="X685" i="51"/>
  <c r="W685" i="51"/>
  <c r="V685" i="51"/>
  <c r="U685" i="51"/>
  <c r="T685" i="51"/>
  <c r="S685" i="51"/>
  <c r="R685" i="51"/>
  <c r="Q685" i="51"/>
  <c r="P685" i="51"/>
  <c r="O685" i="51"/>
  <c r="N685" i="51"/>
  <c r="M685" i="51"/>
  <c r="Z684" i="51"/>
  <c r="Y684" i="51"/>
  <c r="X684" i="51"/>
  <c r="W684" i="51"/>
  <c r="V684" i="51"/>
  <c r="U684" i="51"/>
  <c r="T684" i="51"/>
  <c r="S684" i="51"/>
  <c r="R684" i="51"/>
  <c r="Q684" i="51"/>
  <c r="P684" i="51"/>
  <c r="O684" i="51"/>
  <c r="N684" i="51"/>
  <c r="M684" i="51"/>
  <c r="Z683" i="51"/>
  <c r="Y683" i="51"/>
  <c r="X683" i="51"/>
  <c r="W683" i="51"/>
  <c r="V683" i="51"/>
  <c r="U683" i="51"/>
  <c r="T683" i="51"/>
  <c r="S683" i="51"/>
  <c r="R683" i="51"/>
  <c r="Q683" i="51"/>
  <c r="P683" i="51"/>
  <c r="O683" i="51"/>
  <c r="N683" i="51"/>
  <c r="M683" i="51"/>
  <c r="Z682" i="51"/>
  <c r="Y682" i="51"/>
  <c r="X682" i="51"/>
  <c r="W682" i="51"/>
  <c r="V682" i="51"/>
  <c r="U682" i="51"/>
  <c r="T682" i="51"/>
  <c r="S682" i="51"/>
  <c r="R682" i="51"/>
  <c r="Q682" i="51"/>
  <c r="P682" i="51"/>
  <c r="O682" i="51"/>
  <c r="N682" i="51"/>
  <c r="M682" i="51"/>
  <c r="Z681" i="51"/>
  <c r="Y681" i="51"/>
  <c r="X681" i="51"/>
  <c r="W681" i="51"/>
  <c r="V681" i="51"/>
  <c r="U681" i="51"/>
  <c r="T681" i="51"/>
  <c r="S681" i="51"/>
  <c r="R681" i="51"/>
  <c r="Q681" i="51"/>
  <c r="P681" i="51"/>
  <c r="O681" i="51"/>
  <c r="N681" i="51"/>
  <c r="M681" i="51"/>
  <c r="Z680" i="51"/>
  <c r="Y680" i="51"/>
  <c r="X680" i="51"/>
  <c r="W680" i="51"/>
  <c r="V680" i="51"/>
  <c r="U680" i="51"/>
  <c r="T680" i="51"/>
  <c r="S680" i="51"/>
  <c r="R680" i="51"/>
  <c r="Q680" i="51"/>
  <c r="P680" i="51"/>
  <c r="O680" i="51"/>
  <c r="N680" i="51"/>
  <c r="M680" i="51"/>
  <c r="Z679" i="51"/>
  <c r="Y679" i="51"/>
  <c r="X679" i="51"/>
  <c r="W679" i="51"/>
  <c r="V679" i="51"/>
  <c r="U679" i="51"/>
  <c r="T679" i="51"/>
  <c r="S679" i="51"/>
  <c r="R679" i="51"/>
  <c r="Q679" i="51"/>
  <c r="P679" i="51"/>
  <c r="O679" i="51"/>
  <c r="N679" i="51"/>
  <c r="M679" i="51"/>
  <c r="Z678" i="51"/>
  <c r="Y678" i="51"/>
  <c r="X678" i="51"/>
  <c r="W678" i="51"/>
  <c r="V678" i="51"/>
  <c r="U678" i="51"/>
  <c r="T678" i="51"/>
  <c r="S678" i="51"/>
  <c r="R678" i="51"/>
  <c r="Q678" i="51"/>
  <c r="P678" i="51"/>
  <c r="O678" i="51"/>
  <c r="N678" i="51"/>
  <c r="M678" i="51"/>
  <c r="Z677" i="51"/>
  <c r="Y677" i="51"/>
  <c r="X677" i="51"/>
  <c r="W677" i="51"/>
  <c r="V677" i="51"/>
  <c r="U677" i="51"/>
  <c r="T677" i="51"/>
  <c r="S677" i="51"/>
  <c r="R677" i="51"/>
  <c r="Q677" i="51"/>
  <c r="P677" i="51"/>
  <c r="O677" i="51"/>
  <c r="N677" i="51"/>
  <c r="M677" i="51"/>
  <c r="Z676" i="51"/>
  <c r="Y676" i="51"/>
  <c r="X676" i="51"/>
  <c r="W676" i="51"/>
  <c r="V676" i="51"/>
  <c r="U676" i="51"/>
  <c r="T676" i="51"/>
  <c r="S676" i="51"/>
  <c r="R676" i="51"/>
  <c r="Q676" i="51"/>
  <c r="P676" i="51"/>
  <c r="O676" i="51"/>
  <c r="N676" i="51"/>
  <c r="M676" i="51"/>
  <c r="Z675" i="51"/>
  <c r="Y675" i="51"/>
  <c r="X675" i="51"/>
  <c r="W675" i="51"/>
  <c r="V675" i="51"/>
  <c r="U675" i="51"/>
  <c r="T675" i="51"/>
  <c r="S675" i="51"/>
  <c r="R675" i="51"/>
  <c r="Q675" i="51"/>
  <c r="P675" i="51"/>
  <c r="O675" i="51"/>
  <c r="N675" i="51"/>
  <c r="M675" i="51"/>
  <c r="Z674" i="51"/>
  <c r="Y674" i="51"/>
  <c r="X674" i="51"/>
  <c r="W674" i="51"/>
  <c r="V674" i="51"/>
  <c r="U674" i="51"/>
  <c r="T674" i="51"/>
  <c r="S674" i="51"/>
  <c r="R674" i="51"/>
  <c r="Q674" i="51"/>
  <c r="P674" i="51"/>
  <c r="O674" i="51"/>
  <c r="N674" i="51"/>
  <c r="M674" i="51"/>
  <c r="Z673" i="51"/>
  <c r="Y673" i="51"/>
  <c r="X673" i="51"/>
  <c r="W673" i="51"/>
  <c r="V673" i="51"/>
  <c r="U673" i="51"/>
  <c r="T673" i="51"/>
  <c r="S673" i="51"/>
  <c r="R673" i="51"/>
  <c r="Q673" i="51"/>
  <c r="P673" i="51"/>
  <c r="O673" i="51"/>
  <c r="N673" i="51"/>
  <c r="M673" i="51"/>
  <c r="Z672" i="51"/>
  <c r="Y672" i="51"/>
  <c r="X672" i="51"/>
  <c r="W672" i="51"/>
  <c r="V672" i="51"/>
  <c r="U672" i="51"/>
  <c r="T672" i="51"/>
  <c r="S672" i="51"/>
  <c r="R672" i="51"/>
  <c r="Q672" i="51"/>
  <c r="P672" i="51"/>
  <c r="O672" i="51"/>
  <c r="N672" i="51"/>
  <c r="M672" i="51"/>
  <c r="Z671" i="51"/>
  <c r="Y671" i="51"/>
  <c r="X671" i="51"/>
  <c r="W671" i="51"/>
  <c r="V671" i="51"/>
  <c r="U671" i="51"/>
  <c r="T671" i="51"/>
  <c r="S671" i="51"/>
  <c r="R671" i="51"/>
  <c r="Q671" i="51"/>
  <c r="P671" i="51"/>
  <c r="O671" i="51"/>
  <c r="N671" i="51"/>
  <c r="M671" i="51"/>
  <c r="Z670" i="51"/>
  <c r="Y670" i="51"/>
  <c r="X670" i="51"/>
  <c r="W670" i="51"/>
  <c r="V670" i="51"/>
  <c r="U670" i="51"/>
  <c r="T670" i="51"/>
  <c r="S670" i="51"/>
  <c r="R670" i="51"/>
  <c r="Q670" i="51"/>
  <c r="P670" i="51"/>
  <c r="O670" i="51"/>
  <c r="N670" i="51"/>
  <c r="M670" i="51"/>
  <c r="Z669" i="51"/>
  <c r="Y669" i="51"/>
  <c r="X669" i="51"/>
  <c r="W669" i="51"/>
  <c r="V669" i="51"/>
  <c r="U669" i="51"/>
  <c r="T669" i="51"/>
  <c r="S669" i="51"/>
  <c r="R669" i="51"/>
  <c r="Q669" i="51"/>
  <c r="P669" i="51"/>
  <c r="O669" i="51"/>
  <c r="N669" i="51"/>
  <c r="M669" i="51"/>
  <c r="Z668" i="51"/>
  <c r="Y668" i="51"/>
  <c r="X668" i="51"/>
  <c r="W668" i="51"/>
  <c r="V668" i="51"/>
  <c r="U668" i="51"/>
  <c r="T668" i="51"/>
  <c r="S668" i="51"/>
  <c r="R668" i="51"/>
  <c r="Q668" i="51"/>
  <c r="P668" i="51"/>
  <c r="O668" i="51"/>
  <c r="N668" i="51"/>
  <c r="M668" i="51"/>
  <c r="Z667" i="51"/>
  <c r="Y667" i="51"/>
  <c r="X667" i="51"/>
  <c r="W667" i="51"/>
  <c r="V667" i="51"/>
  <c r="U667" i="51"/>
  <c r="T667" i="51"/>
  <c r="S667" i="51"/>
  <c r="R667" i="51"/>
  <c r="Q667" i="51"/>
  <c r="P667" i="51"/>
  <c r="O667" i="51"/>
  <c r="N667" i="51"/>
  <c r="M667" i="51"/>
  <c r="Z666" i="51"/>
  <c r="Y666" i="51"/>
  <c r="X666" i="51"/>
  <c r="W666" i="51"/>
  <c r="V666" i="51"/>
  <c r="U666" i="51"/>
  <c r="T666" i="51"/>
  <c r="S666" i="51"/>
  <c r="R666" i="51"/>
  <c r="Q666" i="51"/>
  <c r="P666" i="51"/>
  <c r="O666" i="51"/>
  <c r="N666" i="51"/>
  <c r="M666" i="51"/>
  <c r="Z665" i="51"/>
  <c r="Y665" i="51"/>
  <c r="X665" i="51"/>
  <c r="W665" i="51"/>
  <c r="V665" i="51"/>
  <c r="U665" i="51"/>
  <c r="T665" i="51"/>
  <c r="S665" i="51"/>
  <c r="R665" i="51"/>
  <c r="Q665" i="51"/>
  <c r="P665" i="51"/>
  <c r="O665" i="51"/>
  <c r="N665" i="51"/>
  <c r="M665" i="51"/>
  <c r="Z664" i="51"/>
  <c r="Y664" i="51"/>
  <c r="X664" i="51"/>
  <c r="W664" i="51"/>
  <c r="V664" i="51"/>
  <c r="U664" i="51"/>
  <c r="T664" i="51"/>
  <c r="S664" i="51"/>
  <c r="R664" i="51"/>
  <c r="Q664" i="51"/>
  <c r="P664" i="51"/>
  <c r="O664" i="51"/>
  <c r="N664" i="51"/>
  <c r="M664" i="51"/>
  <c r="Z663" i="51"/>
  <c r="Y663" i="51"/>
  <c r="X663" i="51"/>
  <c r="W663" i="51"/>
  <c r="V663" i="51"/>
  <c r="U663" i="51"/>
  <c r="T663" i="51"/>
  <c r="S663" i="51"/>
  <c r="R663" i="51"/>
  <c r="Q663" i="51"/>
  <c r="P663" i="51"/>
  <c r="O663" i="51"/>
  <c r="N663" i="51"/>
  <c r="M663" i="51"/>
  <c r="Z662" i="51"/>
  <c r="Y662" i="51"/>
  <c r="X662" i="51"/>
  <c r="W662" i="51"/>
  <c r="V662" i="51"/>
  <c r="U662" i="51"/>
  <c r="T662" i="51"/>
  <c r="S662" i="51"/>
  <c r="R662" i="51"/>
  <c r="Q662" i="51"/>
  <c r="P662" i="51"/>
  <c r="O662" i="51"/>
  <c r="N662" i="51"/>
  <c r="M662" i="51"/>
  <c r="Z661" i="51"/>
  <c r="Y661" i="51"/>
  <c r="X661" i="51"/>
  <c r="W661" i="51"/>
  <c r="V661" i="51"/>
  <c r="U661" i="51"/>
  <c r="T661" i="51"/>
  <c r="S661" i="51"/>
  <c r="R661" i="51"/>
  <c r="Q661" i="51"/>
  <c r="P661" i="51"/>
  <c r="O661" i="51"/>
  <c r="N661" i="51"/>
  <c r="M661" i="51"/>
  <c r="Z660" i="51"/>
  <c r="Y660" i="51"/>
  <c r="X660" i="51"/>
  <c r="W660" i="51"/>
  <c r="V660" i="51"/>
  <c r="U660" i="51"/>
  <c r="T660" i="51"/>
  <c r="S660" i="51"/>
  <c r="R660" i="51"/>
  <c r="Q660" i="51"/>
  <c r="P660" i="51"/>
  <c r="O660" i="51"/>
  <c r="N660" i="51"/>
  <c r="M660" i="51"/>
  <c r="Z659" i="51"/>
  <c r="Y659" i="51"/>
  <c r="X659" i="51"/>
  <c r="W659" i="51"/>
  <c r="V659" i="51"/>
  <c r="U659" i="51"/>
  <c r="T659" i="51"/>
  <c r="S659" i="51"/>
  <c r="R659" i="51"/>
  <c r="Q659" i="51"/>
  <c r="P659" i="51"/>
  <c r="O659" i="51"/>
  <c r="N659" i="51"/>
  <c r="M659" i="51"/>
  <c r="Z658" i="51"/>
  <c r="Y658" i="51"/>
  <c r="X658" i="51"/>
  <c r="W658" i="51"/>
  <c r="V658" i="51"/>
  <c r="U658" i="51"/>
  <c r="T658" i="51"/>
  <c r="S658" i="51"/>
  <c r="R658" i="51"/>
  <c r="Q658" i="51"/>
  <c r="P658" i="51"/>
  <c r="O658" i="51"/>
  <c r="N658" i="51"/>
  <c r="M658" i="51"/>
  <c r="Z657" i="51"/>
  <c r="Y657" i="51"/>
  <c r="X657" i="51"/>
  <c r="W657" i="51"/>
  <c r="V657" i="51"/>
  <c r="U657" i="51"/>
  <c r="T657" i="51"/>
  <c r="S657" i="51"/>
  <c r="R657" i="51"/>
  <c r="Q657" i="51"/>
  <c r="P657" i="51"/>
  <c r="O657" i="51"/>
  <c r="N657" i="51"/>
  <c r="M657" i="51"/>
  <c r="Z656" i="51"/>
  <c r="Y656" i="51"/>
  <c r="X656" i="51"/>
  <c r="W656" i="51"/>
  <c r="V656" i="51"/>
  <c r="U656" i="51"/>
  <c r="T656" i="51"/>
  <c r="S656" i="51"/>
  <c r="R656" i="51"/>
  <c r="Q656" i="51"/>
  <c r="P656" i="51"/>
  <c r="O656" i="51"/>
  <c r="N656" i="51"/>
  <c r="M656" i="51"/>
  <c r="Z655" i="51"/>
  <c r="Y655" i="51"/>
  <c r="X655" i="51"/>
  <c r="W655" i="51"/>
  <c r="V655" i="51"/>
  <c r="U655" i="51"/>
  <c r="T655" i="51"/>
  <c r="S655" i="51"/>
  <c r="R655" i="51"/>
  <c r="Q655" i="51"/>
  <c r="P655" i="51"/>
  <c r="O655" i="51"/>
  <c r="N655" i="51"/>
  <c r="M655" i="51"/>
  <c r="Z654" i="51"/>
  <c r="Y654" i="51"/>
  <c r="X654" i="51"/>
  <c r="W654" i="51"/>
  <c r="V654" i="51"/>
  <c r="U654" i="51"/>
  <c r="T654" i="51"/>
  <c r="S654" i="51"/>
  <c r="R654" i="51"/>
  <c r="Q654" i="51"/>
  <c r="P654" i="51"/>
  <c r="O654" i="51"/>
  <c r="N654" i="51"/>
  <c r="M654" i="51"/>
  <c r="Z653" i="51"/>
  <c r="Y653" i="51"/>
  <c r="X653" i="51"/>
  <c r="W653" i="51"/>
  <c r="V653" i="51"/>
  <c r="U653" i="51"/>
  <c r="T653" i="51"/>
  <c r="S653" i="51"/>
  <c r="R653" i="51"/>
  <c r="Q653" i="51"/>
  <c r="P653" i="51"/>
  <c r="O653" i="51"/>
  <c r="N653" i="51"/>
  <c r="M653" i="51"/>
  <c r="Z652" i="51"/>
  <c r="Y652" i="51"/>
  <c r="X652" i="51"/>
  <c r="W652" i="51"/>
  <c r="V652" i="51"/>
  <c r="U652" i="51"/>
  <c r="T652" i="51"/>
  <c r="S652" i="51"/>
  <c r="R652" i="51"/>
  <c r="Q652" i="51"/>
  <c r="P652" i="51"/>
  <c r="O652" i="51"/>
  <c r="N652" i="51"/>
  <c r="M652" i="51"/>
  <c r="Z651" i="51"/>
  <c r="Y651" i="51"/>
  <c r="X651" i="51"/>
  <c r="W651" i="51"/>
  <c r="V651" i="51"/>
  <c r="U651" i="51"/>
  <c r="T651" i="51"/>
  <c r="S651" i="51"/>
  <c r="R651" i="51"/>
  <c r="Q651" i="51"/>
  <c r="P651" i="51"/>
  <c r="O651" i="51"/>
  <c r="N651" i="51"/>
  <c r="M651" i="51"/>
  <c r="Z650" i="51"/>
  <c r="Y650" i="51"/>
  <c r="X650" i="51"/>
  <c r="W650" i="51"/>
  <c r="V650" i="51"/>
  <c r="U650" i="51"/>
  <c r="T650" i="51"/>
  <c r="S650" i="51"/>
  <c r="R650" i="51"/>
  <c r="Q650" i="51"/>
  <c r="P650" i="51"/>
  <c r="O650" i="51"/>
  <c r="N650" i="51"/>
  <c r="M650" i="51"/>
  <c r="Z649" i="51"/>
  <c r="Y649" i="51"/>
  <c r="X649" i="51"/>
  <c r="W649" i="51"/>
  <c r="V649" i="51"/>
  <c r="U649" i="51"/>
  <c r="T649" i="51"/>
  <c r="S649" i="51"/>
  <c r="R649" i="51"/>
  <c r="Q649" i="51"/>
  <c r="P649" i="51"/>
  <c r="O649" i="51"/>
  <c r="N649" i="51"/>
  <c r="M649" i="51"/>
  <c r="Z648" i="51"/>
  <c r="Y648" i="51"/>
  <c r="X648" i="51"/>
  <c r="W648" i="51"/>
  <c r="V648" i="51"/>
  <c r="U648" i="51"/>
  <c r="T648" i="51"/>
  <c r="S648" i="51"/>
  <c r="R648" i="51"/>
  <c r="Q648" i="51"/>
  <c r="P648" i="51"/>
  <c r="O648" i="51"/>
  <c r="N648" i="51"/>
  <c r="M648" i="51"/>
  <c r="Z647" i="51"/>
  <c r="Y647" i="51"/>
  <c r="X647" i="51"/>
  <c r="W647" i="51"/>
  <c r="V647" i="51"/>
  <c r="U647" i="51"/>
  <c r="T647" i="51"/>
  <c r="S647" i="51"/>
  <c r="R647" i="51"/>
  <c r="Q647" i="51"/>
  <c r="P647" i="51"/>
  <c r="O647" i="51"/>
  <c r="N647" i="51"/>
  <c r="M647" i="51"/>
  <c r="Z646" i="51"/>
  <c r="Y646" i="51"/>
  <c r="X646" i="51"/>
  <c r="W646" i="51"/>
  <c r="V646" i="51"/>
  <c r="U646" i="51"/>
  <c r="T646" i="51"/>
  <c r="S646" i="51"/>
  <c r="R646" i="51"/>
  <c r="Q646" i="51"/>
  <c r="P646" i="51"/>
  <c r="O646" i="51"/>
  <c r="N646" i="51"/>
  <c r="M646" i="51"/>
  <c r="Z645" i="51"/>
  <c r="Y645" i="51"/>
  <c r="X645" i="51"/>
  <c r="W645" i="51"/>
  <c r="V645" i="51"/>
  <c r="U645" i="51"/>
  <c r="T645" i="51"/>
  <c r="S645" i="51"/>
  <c r="R645" i="51"/>
  <c r="Q645" i="51"/>
  <c r="P645" i="51"/>
  <c r="O645" i="51"/>
  <c r="N645" i="51"/>
  <c r="M645" i="51"/>
  <c r="Z644" i="51"/>
  <c r="Y644" i="51"/>
  <c r="X644" i="51"/>
  <c r="W644" i="51"/>
  <c r="V644" i="51"/>
  <c r="U644" i="51"/>
  <c r="T644" i="51"/>
  <c r="S644" i="51"/>
  <c r="R644" i="51"/>
  <c r="Q644" i="51"/>
  <c r="P644" i="51"/>
  <c r="O644" i="51"/>
  <c r="N644" i="51"/>
  <c r="M644" i="51"/>
  <c r="Z643" i="51"/>
  <c r="Y643" i="51"/>
  <c r="X643" i="51"/>
  <c r="W643" i="51"/>
  <c r="V643" i="51"/>
  <c r="U643" i="51"/>
  <c r="T643" i="51"/>
  <c r="S643" i="51"/>
  <c r="R643" i="51"/>
  <c r="Q643" i="51"/>
  <c r="P643" i="51"/>
  <c r="O643" i="51"/>
  <c r="N643" i="51"/>
  <c r="M643" i="51"/>
  <c r="Z642" i="51"/>
  <c r="Y642" i="51"/>
  <c r="X642" i="51"/>
  <c r="W642" i="51"/>
  <c r="V642" i="51"/>
  <c r="U642" i="51"/>
  <c r="T642" i="51"/>
  <c r="S642" i="51"/>
  <c r="R642" i="51"/>
  <c r="Q642" i="51"/>
  <c r="P642" i="51"/>
  <c r="O642" i="51"/>
  <c r="N642" i="51"/>
  <c r="M642" i="51"/>
  <c r="Z641" i="51"/>
  <c r="Y641" i="51"/>
  <c r="X641" i="51"/>
  <c r="W641" i="51"/>
  <c r="V641" i="51"/>
  <c r="U641" i="51"/>
  <c r="T641" i="51"/>
  <c r="S641" i="51"/>
  <c r="R641" i="51"/>
  <c r="Q641" i="51"/>
  <c r="P641" i="51"/>
  <c r="O641" i="51"/>
  <c r="N641" i="51"/>
  <c r="M641" i="51"/>
  <c r="Z640" i="51"/>
  <c r="Y640" i="51"/>
  <c r="X640" i="51"/>
  <c r="W640" i="51"/>
  <c r="V640" i="51"/>
  <c r="U640" i="51"/>
  <c r="T640" i="51"/>
  <c r="S640" i="51"/>
  <c r="R640" i="51"/>
  <c r="Q640" i="51"/>
  <c r="P640" i="51"/>
  <c r="O640" i="51"/>
  <c r="N640" i="51"/>
  <c r="M640" i="51"/>
  <c r="Z639" i="51"/>
  <c r="Y639" i="51"/>
  <c r="X639" i="51"/>
  <c r="W639" i="51"/>
  <c r="V639" i="51"/>
  <c r="U639" i="51"/>
  <c r="T639" i="51"/>
  <c r="S639" i="51"/>
  <c r="R639" i="51"/>
  <c r="Q639" i="51"/>
  <c r="P639" i="51"/>
  <c r="O639" i="51"/>
  <c r="N639" i="51"/>
  <c r="M639" i="51"/>
  <c r="Z638" i="51"/>
  <c r="Y638" i="51"/>
  <c r="X638" i="51"/>
  <c r="W638" i="51"/>
  <c r="V638" i="51"/>
  <c r="U638" i="51"/>
  <c r="T638" i="51"/>
  <c r="S638" i="51"/>
  <c r="R638" i="51"/>
  <c r="Q638" i="51"/>
  <c r="P638" i="51"/>
  <c r="O638" i="51"/>
  <c r="N638" i="51"/>
  <c r="M638" i="51"/>
  <c r="Z637" i="51"/>
  <c r="Y637" i="51"/>
  <c r="X637" i="51"/>
  <c r="W637" i="51"/>
  <c r="V637" i="51"/>
  <c r="U637" i="51"/>
  <c r="T637" i="51"/>
  <c r="S637" i="51"/>
  <c r="R637" i="51"/>
  <c r="Q637" i="51"/>
  <c r="P637" i="51"/>
  <c r="O637" i="51"/>
  <c r="N637" i="51"/>
  <c r="M637" i="51"/>
  <c r="Z636" i="51"/>
  <c r="Y636" i="51"/>
  <c r="X636" i="51"/>
  <c r="W636" i="51"/>
  <c r="V636" i="51"/>
  <c r="U636" i="51"/>
  <c r="T636" i="51"/>
  <c r="S636" i="51"/>
  <c r="R636" i="51"/>
  <c r="Q636" i="51"/>
  <c r="P636" i="51"/>
  <c r="O636" i="51"/>
  <c r="N636" i="51"/>
  <c r="M636" i="51"/>
  <c r="Z635" i="51"/>
  <c r="Y635" i="51"/>
  <c r="X635" i="51"/>
  <c r="W635" i="51"/>
  <c r="V635" i="51"/>
  <c r="U635" i="51"/>
  <c r="T635" i="51"/>
  <c r="S635" i="51"/>
  <c r="R635" i="51"/>
  <c r="Q635" i="51"/>
  <c r="P635" i="51"/>
  <c r="O635" i="51"/>
  <c r="N635" i="51"/>
  <c r="M635" i="51"/>
  <c r="Z634" i="51"/>
  <c r="Y634" i="51"/>
  <c r="X634" i="51"/>
  <c r="W634" i="51"/>
  <c r="V634" i="51"/>
  <c r="U634" i="51"/>
  <c r="T634" i="51"/>
  <c r="S634" i="51"/>
  <c r="R634" i="51"/>
  <c r="Q634" i="51"/>
  <c r="P634" i="51"/>
  <c r="O634" i="51"/>
  <c r="N634" i="51"/>
  <c r="M634" i="51"/>
  <c r="Z633" i="51"/>
  <c r="Y633" i="51"/>
  <c r="X633" i="51"/>
  <c r="W633" i="51"/>
  <c r="V633" i="51"/>
  <c r="U633" i="51"/>
  <c r="T633" i="51"/>
  <c r="S633" i="51"/>
  <c r="R633" i="51"/>
  <c r="Q633" i="51"/>
  <c r="P633" i="51"/>
  <c r="O633" i="51"/>
  <c r="N633" i="51"/>
  <c r="M633" i="51"/>
  <c r="Z632" i="51"/>
  <c r="Y632" i="51"/>
  <c r="X632" i="51"/>
  <c r="W632" i="51"/>
  <c r="V632" i="51"/>
  <c r="U632" i="51"/>
  <c r="T632" i="51"/>
  <c r="S632" i="51"/>
  <c r="R632" i="51"/>
  <c r="Q632" i="51"/>
  <c r="P632" i="51"/>
  <c r="O632" i="51"/>
  <c r="N632" i="51"/>
  <c r="M632" i="51"/>
  <c r="Z631" i="51"/>
  <c r="Y631" i="51"/>
  <c r="X631" i="51"/>
  <c r="W631" i="51"/>
  <c r="V631" i="51"/>
  <c r="U631" i="51"/>
  <c r="T631" i="51"/>
  <c r="S631" i="51"/>
  <c r="R631" i="51"/>
  <c r="Q631" i="51"/>
  <c r="P631" i="51"/>
  <c r="O631" i="51"/>
  <c r="N631" i="51"/>
  <c r="M631" i="51"/>
  <c r="Z630" i="51"/>
  <c r="Y630" i="51"/>
  <c r="X630" i="51"/>
  <c r="W630" i="51"/>
  <c r="V630" i="51"/>
  <c r="U630" i="51"/>
  <c r="T630" i="51"/>
  <c r="S630" i="51"/>
  <c r="R630" i="51"/>
  <c r="Q630" i="51"/>
  <c r="P630" i="51"/>
  <c r="O630" i="51"/>
  <c r="N630" i="51"/>
  <c r="M630" i="51"/>
  <c r="Z629" i="51"/>
  <c r="Y629" i="51"/>
  <c r="X629" i="51"/>
  <c r="W629" i="51"/>
  <c r="V629" i="51"/>
  <c r="U629" i="51"/>
  <c r="T629" i="51"/>
  <c r="S629" i="51"/>
  <c r="R629" i="51"/>
  <c r="Q629" i="51"/>
  <c r="P629" i="51"/>
  <c r="O629" i="51"/>
  <c r="N629" i="51"/>
  <c r="M629" i="51"/>
  <c r="Z628" i="51"/>
  <c r="Y628" i="51"/>
  <c r="X628" i="51"/>
  <c r="W628" i="51"/>
  <c r="V628" i="51"/>
  <c r="U628" i="51"/>
  <c r="T628" i="51"/>
  <c r="S628" i="51"/>
  <c r="R628" i="51"/>
  <c r="Q628" i="51"/>
  <c r="P628" i="51"/>
  <c r="O628" i="51"/>
  <c r="N628" i="51"/>
  <c r="M628" i="51"/>
  <c r="Z627" i="51"/>
  <c r="Y627" i="51"/>
  <c r="X627" i="51"/>
  <c r="W627" i="51"/>
  <c r="V627" i="51"/>
  <c r="U627" i="51"/>
  <c r="T627" i="51"/>
  <c r="S627" i="51"/>
  <c r="R627" i="51"/>
  <c r="Q627" i="51"/>
  <c r="P627" i="51"/>
  <c r="O627" i="51"/>
  <c r="N627" i="51"/>
  <c r="M627" i="51"/>
  <c r="Z626" i="51"/>
  <c r="Y626" i="51"/>
  <c r="X626" i="51"/>
  <c r="W626" i="51"/>
  <c r="V626" i="51"/>
  <c r="U626" i="51"/>
  <c r="T626" i="51"/>
  <c r="S626" i="51"/>
  <c r="R626" i="51"/>
  <c r="Q626" i="51"/>
  <c r="P626" i="51"/>
  <c r="O626" i="51"/>
  <c r="N626" i="51"/>
  <c r="M626" i="51"/>
  <c r="Z625" i="51"/>
  <c r="Y625" i="51"/>
  <c r="X625" i="51"/>
  <c r="W625" i="51"/>
  <c r="V625" i="51"/>
  <c r="U625" i="51"/>
  <c r="T625" i="51"/>
  <c r="S625" i="51"/>
  <c r="R625" i="51"/>
  <c r="Q625" i="51"/>
  <c r="P625" i="51"/>
  <c r="O625" i="51"/>
  <c r="N625" i="51"/>
  <c r="M625" i="51"/>
  <c r="Z624" i="51"/>
  <c r="Y624" i="51"/>
  <c r="X624" i="51"/>
  <c r="W624" i="51"/>
  <c r="V624" i="51"/>
  <c r="U624" i="51"/>
  <c r="T624" i="51"/>
  <c r="S624" i="51"/>
  <c r="R624" i="51"/>
  <c r="Q624" i="51"/>
  <c r="P624" i="51"/>
  <c r="O624" i="51"/>
  <c r="N624" i="51"/>
  <c r="M624" i="51"/>
  <c r="Z623" i="51"/>
  <c r="Y623" i="51"/>
  <c r="X623" i="51"/>
  <c r="W623" i="51"/>
  <c r="V623" i="51"/>
  <c r="U623" i="51"/>
  <c r="T623" i="51"/>
  <c r="S623" i="51"/>
  <c r="R623" i="51"/>
  <c r="Q623" i="51"/>
  <c r="P623" i="51"/>
  <c r="O623" i="51"/>
  <c r="N623" i="51"/>
  <c r="M623" i="51"/>
  <c r="Z622" i="51"/>
  <c r="Y622" i="51"/>
  <c r="X622" i="51"/>
  <c r="W622" i="51"/>
  <c r="V622" i="51"/>
  <c r="U622" i="51"/>
  <c r="T622" i="51"/>
  <c r="S622" i="51"/>
  <c r="R622" i="51"/>
  <c r="Q622" i="51"/>
  <c r="P622" i="51"/>
  <c r="O622" i="51"/>
  <c r="N622" i="51"/>
  <c r="M622" i="51"/>
  <c r="Z621" i="51"/>
  <c r="Y621" i="51"/>
  <c r="X621" i="51"/>
  <c r="W621" i="51"/>
  <c r="V621" i="51"/>
  <c r="U621" i="51"/>
  <c r="T621" i="51"/>
  <c r="S621" i="51"/>
  <c r="R621" i="51"/>
  <c r="Q621" i="51"/>
  <c r="P621" i="51"/>
  <c r="O621" i="51"/>
  <c r="N621" i="51"/>
  <c r="M621" i="51"/>
  <c r="Z620" i="51"/>
  <c r="Y620" i="51"/>
  <c r="X620" i="51"/>
  <c r="W620" i="51"/>
  <c r="V620" i="51"/>
  <c r="U620" i="51"/>
  <c r="T620" i="51"/>
  <c r="S620" i="51"/>
  <c r="R620" i="51"/>
  <c r="Q620" i="51"/>
  <c r="P620" i="51"/>
  <c r="O620" i="51"/>
  <c r="N620" i="51"/>
  <c r="M620" i="51"/>
  <c r="Z619" i="51"/>
  <c r="Y619" i="51"/>
  <c r="X619" i="51"/>
  <c r="W619" i="51"/>
  <c r="V619" i="51"/>
  <c r="U619" i="51"/>
  <c r="T619" i="51"/>
  <c r="S619" i="51"/>
  <c r="R619" i="51"/>
  <c r="Q619" i="51"/>
  <c r="P619" i="51"/>
  <c r="O619" i="51"/>
  <c r="N619" i="51"/>
  <c r="M619" i="51"/>
  <c r="Z618" i="51"/>
  <c r="Y618" i="51"/>
  <c r="X618" i="51"/>
  <c r="W618" i="51"/>
  <c r="V618" i="51"/>
  <c r="U618" i="51"/>
  <c r="T618" i="51"/>
  <c r="S618" i="51"/>
  <c r="R618" i="51"/>
  <c r="Q618" i="51"/>
  <c r="P618" i="51"/>
  <c r="O618" i="51"/>
  <c r="N618" i="51"/>
  <c r="M618" i="51"/>
  <c r="Z617" i="51"/>
  <c r="Y617" i="51"/>
  <c r="X617" i="51"/>
  <c r="W617" i="51"/>
  <c r="V617" i="51"/>
  <c r="U617" i="51"/>
  <c r="T617" i="51"/>
  <c r="S617" i="51"/>
  <c r="R617" i="51"/>
  <c r="Q617" i="51"/>
  <c r="P617" i="51"/>
  <c r="O617" i="51"/>
  <c r="N617" i="51"/>
  <c r="M617" i="51"/>
  <c r="Z616" i="51"/>
  <c r="Y616" i="51"/>
  <c r="X616" i="51"/>
  <c r="W616" i="51"/>
  <c r="V616" i="51"/>
  <c r="U616" i="51"/>
  <c r="T616" i="51"/>
  <c r="S616" i="51"/>
  <c r="R616" i="51"/>
  <c r="Q616" i="51"/>
  <c r="P616" i="51"/>
  <c r="O616" i="51"/>
  <c r="N616" i="51"/>
  <c r="M616" i="51"/>
  <c r="Z615" i="51"/>
  <c r="Y615" i="51"/>
  <c r="X615" i="51"/>
  <c r="W615" i="51"/>
  <c r="V615" i="51"/>
  <c r="U615" i="51"/>
  <c r="T615" i="51"/>
  <c r="S615" i="51"/>
  <c r="R615" i="51"/>
  <c r="Q615" i="51"/>
  <c r="P615" i="51"/>
  <c r="O615" i="51"/>
  <c r="N615" i="51"/>
  <c r="M615" i="51"/>
  <c r="Z614" i="51"/>
  <c r="Y614" i="51"/>
  <c r="X614" i="51"/>
  <c r="W614" i="51"/>
  <c r="V614" i="51"/>
  <c r="U614" i="51"/>
  <c r="T614" i="51"/>
  <c r="S614" i="51"/>
  <c r="R614" i="51"/>
  <c r="Q614" i="51"/>
  <c r="P614" i="51"/>
  <c r="O614" i="51"/>
  <c r="N614" i="51"/>
  <c r="M614" i="51"/>
  <c r="Z613" i="51"/>
  <c r="Y613" i="51"/>
  <c r="X613" i="51"/>
  <c r="W613" i="51"/>
  <c r="V613" i="51"/>
  <c r="U613" i="51"/>
  <c r="T613" i="51"/>
  <c r="S613" i="51"/>
  <c r="R613" i="51"/>
  <c r="Q613" i="51"/>
  <c r="P613" i="51"/>
  <c r="O613" i="51"/>
  <c r="N613" i="51"/>
  <c r="M613" i="51"/>
  <c r="Z612" i="51"/>
  <c r="Y612" i="51"/>
  <c r="X612" i="51"/>
  <c r="W612" i="51"/>
  <c r="V612" i="51"/>
  <c r="U612" i="51"/>
  <c r="T612" i="51"/>
  <c r="S612" i="51"/>
  <c r="R612" i="51"/>
  <c r="Q612" i="51"/>
  <c r="P612" i="51"/>
  <c r="O612" i="51"/>
  <c r="N612" i="51"/>
  <c r="M612" i="51"/>
  <c r="Z611" i="51"/>
  <c r="Y611" i="51"/>
  <c r="X611" i="51"/>
  <c r="W611" i="51"/>
  <c r="V611" i="51"/>
  <c r="U611" i="51"/>
  <c r="T611" i="51"/>
  <c r="S611" i="51"/>
  <c r="R611" i="51"/>
  <c r="Q611" i="51"/>
  <c r="P611" i="51"/>
  <c r="O611" i="51"/>
  <c r="N611" i="51"/>
  <c r="M611" i="51"/>
  <c r="Z610" i="51"/>
  <c r="Y610" i="51"/>
  <c r="X610" i="51"/>
  <c r="W610" i="51"/>
  <c r="V610" i="51"/>
  <c r="U610" i="51"/>
  <c r="T610" i="51"/>
  <c r="S610" i="51"/>
  <c r="R610" i="51"/>
  <c r="Q610" i="51"/>
  <c r="P610" i="51"/>
  <c r="O610" i="51"/>
  <c r="N610" i="51"/>
  <c r="M610" i="51"/>
  <c r="Z609" i="51"/>
  <c r="Y609" i="51"/>
  <c r="X609" i="51"/>
  <c r="W609" i="51"/>
  <c r="V609" i="51"/>
  <c r="U609" i="51"/>
  <c r="T609" i="51"/>
  <c r="S609" i="51"/>
  <c r="R609" i="51"/>
  <c r="Q609" i="51"/>
  <c r="P609" i="51"/>
  <c r="O609" i="51"/>
  <c r="N609" i="51"/>
  <c r="M609" i="51"/>
  <c r="Z608" i="51"/>
  <c r="Y608" i="51"/>
  <c r="X608" i="51"/>
  <c r="W608" i="51"/>
  <c r="V608" i="51"/>
  <c r="U608" i="51"/>
  <c r="T608" i="51"/>
  <c r="S608" i="51"/>
  <c r="R608" i="51"/>
  <c r="Q608" i="51"/>
  <c r="P608" i="51"/>
  <c r="O608" i="51"/>
  <c r="N608" i="51"/>
  <c r="M608" i="51"/>
  <c r="Z607" i="51"/>
  <c r="Y607" i="51"/>
  <c r="X607" i="51"/>
  <c r="W607" i="51"/>
  <c r="V607" i="51"/>
  <c r="U607" i="51"/>
  <c r="T607" i="51"/>
  <c r="S607" i="51"/>
  <c r="R607" i="51"/>
  <c r="Q607" i="51"/>
  <c r="P607" i="51"/>
  <c r="O607" i="51"/>
  <c r="N607" i="51"/>
  <c r="M607" i="51"/>
  <c r="Z606" i="51"/>
  <c r="Y606" i="51"/>
  <c r="X606" i="51"/>
  <c r="W606" i="51"/>
  <c r="V606" i="51"/>
  <c r="U606" i="51"/>
  <c r="T606" i="51"/>
  <c r="S606" i="51"/>
  <c r="R606" i="51"/>
  <c r="Q606" i="51"/>
  <c r="P606" i="51"/>
  <c r="O606" i="51"/>
  <c r="N606" i="51"/>
  <c r="M606" i="51"/>
  <c r="Z605" i="51"/>
  <c r="Y605" i="51"/>
  <c r="X605" i="51"/>
  <c r="W605" i="51"/>
  <c r="V605" i="51"/>
  <c r="U605" i="51"/>
  <c r="T605" i="51"/>
  <c r="S605" i="51"/>
  <c r="R605" i="51"/>
  <c r="Q605" i="51"/>
  <c r="P605" i="51"/>
  <c r="O605" i="51"/>
  <c r="N605" i="51"/>
  <c r="M605" i="51"/>
  <c r="Z604" i="51"/>
  <c r="Y604" i="51"/>
  <c r="X604" i="51"/>
  <c r="W604" i="51"/>
  <c r="V604" i="51"/>
  <c r="U604" i="51"/>
  <c r="T604" i="51"/>
  <c r="S604" i="51"/>
  <c r="R604" i="51"/>
  <c r="Q604" i="51"/>
  <c r="P604" i="51"/>
  <c r="O604" i="51"/>
  <c r="N604" i="51"/>
  <c r="M604" i="51"/>
  <c r="Z603" i="51"/>
  <c r="Y603" i="51"/>
  <c r="X603" i="51"/>
  <c r="W603" i="51"/>
  <c r="V603" i="51"/>
  <c r="U603" i="51"/>
  <c r="T603" i="51"/>
  <c r="S603" i="51"/>
  <c r="R603" i="51"/>
  <c r="Q603" i="51"/>
  <c r="P603" i="51"/>
  <c r="O603" i="51"/>
  <c r="N603" i="51"/>
  <c r="M603" i="51"/>
  <c r="Z602" i="51"/>
  <c r="Y602" i="51"/>
  <c r="X602" i="51"/>
  <c r="W602" i="51"/>
  <c r="V602" i="51"/>
  <c r="U602" i="51"/>
  <c r="T602" i="51"/>
  <c r="S602" i="51"/>
  <c r="R602" i="51"/>
  <c r="Q602" i="51"/>
  <c r="P602" i="51"/>
  <c r="O602" i="51"/>
  <c r="N602" i="51"/>
  <c r="M602" i="51"/>
  <c r="Z601" i="51"/>
  <c r="Y601" i="51"/>
  <c r="X601" i="51"/>
  <c r="W601" i="51"/>
  <c r="V601" i="51"/>
  <c r="U601" i="51"/>
  <c r="T601" i="51"/>
  <c r="S601" i="51"/>
  <c r="R601" i="51"/>
  <c r="Q601" i="51"/>
  <c r="P601" i="51"/>
  <c r="O601" i="51"/>
  <c r="N601" i="51"/>
  <c r="M601" i="51"/>
  <c r="Z600" i="51"/>
  <c r="Y600" i="51"/>
  <c r="X600" i="51"/>
  <c r="W600" i="51"/>
  <c r="V600" i="51"/>
  <c r="U600" i="51"/>
  <c r="T600" i="51"/>
  <c r="S600" i="51"/>
  <c r="R600" i="51"/>
  <c r="Q600" i="51"/>
  <c r="P600" i="51"/>
  <c r="O600" i="51"/>
  <c r="N600" i="51"/>
  <c r="M600" i="51"/>
  <c r="Z599" i="51"/>
  <c r="Y599" i="51"/>
  <c r="X599" i="51"/>
  <c r="W599" i="51"/>
  <c r="V599" i="51"/>
  <c r="U599" i="51"/>
  <c r="T599" i="51"/>
  <c r="S599" i="51"/>
  <c r="R599" i="51"/>
  <c r="Q599" i="51"/>
  <c r="P599" i="51"/>
  <c r="O599" i="51"/>
  <c r="N599" i="51"/>
  <c r="M599" i="51"/>
  <c r="Z598" i="51"/>
  <c r="Y598" i="51"/>
  <c r="X598" i="51"/>
  <c r="W598" i="51"/>
  <c r="V598" i="51"/>
  <c r="U598" i="51"/>
  <c r="T598" i="51"/>
  <c r="S598" i="51"/>
  <c r="R598" i="51"/>
  <c r="Q598" i="51"/>
  <c r="P598" i="51"/>
  <c r="O598" i="51"/>
  <c r="N598" i="51"/>
  <c r="M598" i="51"/>
  <c r="Z597" i="51"/>
  <c r="Y597" i="51"/>
  <c r="X597" i="51"/>
  <c r="W597" i="51"/>
  <c r="V597" i="51"/>
  <c r="U597" i="51"/>
  <c r="T597" i="51"/>
  <c r="S597" i="51"/>
  <c r="R597" i="51"/>
  <c r="Q597" i="51"/>
  <c r="P597" i="51"/>
  <c r="O597" i="51"/>
  <c r="N597" i="51"/>
  <c r="M597" i="51"/>
  <c r="Z596" i="51"/>
  <c r="Y596" i="51"/>
  <c r="X596" i="51"/>
  <c r="W596" i="51"/>
  <c r="V596" i="51"/>
  <c r="U596" i="51"/>
  <c r="T596" i="51"/>
  <c r="S596" i="51"/>
  <c r="R596" i="51"/>
  <c r="Q596" i="51"/>
  <c r="P596" i="51"/>
  <c r="O596" i="51"/>
  <c r="N596" i="51"/>
  <c r="M596" i="51"/>
  <c r="Z595" i="51"/>
  <c r="Y595" i="51"/>
  <c r="X595" i="51"/>
  <c r="W595" i="51"/>
  <c r="V595" i="51"/>
  <c r="U595" i="51"/>
  <c r="T595" i="51"/>
  <c r="S595" i="51"/>
  <c r="R595" i="51"/>
  <c r="Q595" i="51"/>
  <c r="P595" i="51"/>
  <c r="O595" i="51"/>
  <c r="N595" i="51"/>
  <c r="M595" i="51"/>
  <c r="Z594" i="51"/>
  <c r="Y594" i="51"/>
  <c r="X594" i="51"/>
  <c r="W594" i="51"/>
  <c r="V594" i="51"/>
  <c r="U594" i="51"/>
  <c r="T594" i="51"/>
  <c r="S594" i="51"/>
  <c r="R594" i="51"/>
  <c r="Q594" i="51"/>
  <c r="P594" i="51"/>
  <c r="O594" i="51"/>
  <c r="N594" i="51"/>
  <c r="M594" i="51"/>
  <c r="Z593" i="51"/>
  <c r="Y593" i="51"/>
  <c r="X593" i="51"/>
  <c r="W593" i="51"/>
  <c r="V593" i="51"/>
  <c r="U593" i="51"/>
  <c r="T593" i="51"/>
  <c r="S593" i="51"/>
  <c r="R593" i="51"/>
  <c r="Q593" i="51"/>
  <c r="P593" i="51"/>
  <c r="O593" i="51"/>
  <c r="N593" i="51"/>
  <c r="M593" i="51"/>
  <c r="Z592" i="51"/>
  <c r="Y592" i="51"/>
  <c r="X592" i="51"/>
  <c r="W592" i="51"/>
  <c r="V592" i="51"/>
  <c r="U592" i="51"/>
  <c r="T592" i="51"/>
  <c r="S592" i="51"/>
  <c r="R592" i="51"/>
  <c r="Q592" i="51"/>
  <c r="P592" i="51"/>
  <c r="O592" i="51"/>
  <c r="N592" i="51"/>
  <c r="M592" i="51"/>
  <c r="Z591" i="51"/>
  <c r="Y591" i="51"/>
  <c r="X591" i="51"/>
  <c r="W591" i="51"/>
  <c r="V591" i="51"/>
  <c r="U591" i="51"/>
  <c r="T591" i="51"/>
  <c r="S591" i="51"/>
  <c r="R591" i="51"/>
  <c r="Q591" i="51"/>
  <c r="P591" i="51"/>
  <c r="O591" i="51"/>
  <c r="N591" i="51"/>
  <c r="M591" i="51"/>
  <c r="Z590" i="51"/>
  <c r="Y590" i="51"/>
  <c r="X590" i="51"/>
  <c r="W590" i="51"/>
  <c r="V590" i="51"/>
  <c r="U590" i="51"/>
  <c r="T590" i="51"/>
  <c r="S590" i="51"/>
  <c r="R590" i="51"/>
  <c r="Q590" i="51"/>
  <c r="P590" i="51"/>
  <c r="O590" i="51"/>
  <c r="N590" i="51"/>
  <c r="M590" i="51"/>
  <c r="Z589" i="51"/>
  <c r="Y589" i="51"/>
  <c r="X589" i="51"/>
  <c r="W589" i="51"/>
  <c r="V589" i="51"/>
  <c r="U589" i="51"/>
  <c r="T589" i="51"/>
  <c r="S589" i="51"/>
  <c r="R589" i="51"/>
  <c r="Q589" i="51"/>
  <c r="P589" i="51"/>
  <c r="O589" i="51"/>
  <c r="N589" i="51"/>
  <c r="M589" i="51"/>
  <c r="Z588" i="51"/>
  <c r="Y588" i="51"/>
  <c r="X588" i="51"/>
  <c r="W588" i="51"/>
  <c r="V588" i="51"/>
  <c r="U588" i="51"/>
  <c r="T588" i="51"/>
  <c r="S588" i="51"/>
  <c r="R588" i="51"/>
  <c r="Q588" i="51"/>
  <c r="P588" i="51"/>
  <c r="O588" i="51"/>
  <c r="N588" i="51"/>
  <c r="M588" i="51"/>
  <c r="Z587" i="51"/>
  <c r="Y587" i="51"/>
  <c r="X587" i="51"/>
  <c r="W587" i="51"/>
  <c r="V587" i="51"/>
  <c r="U587" i="51"/>
  <c r="T587" i="51"/>
  <c r="S587" i="51"/>
  <c r="R587" i="51"/>
  <c r="Q587" i="51"/>
  <c r="P587" i="51"/>
  <c r="O587" i="51"/>
  <c r="N587" i="51"/>
  <c r="M587" i="51"/>
  <c r="Z586" i="51"/>
  <c r="Y586" i="51"/>
  <c r="X586" i="51"/>
  <c r="W586" i="51"/>
  <c r="V586" i="51"/>
  <c r="U586" i="51"/>
  <c r="T586" i="51"/>
  <c r="S586" i="51"/>
  <c r="R586" i="51"/>
  <c r="Q586" i="51"/>
  <c r="P586" i="51"/>
  <c r="O586" i="51"/>
  <c r="N586" i="51"/>
  <c r="M586" i="51"/>
  <c r="Z585" i="51"/>
  <c r="Y585" i="51"/>
  <c r="X585" i="51"/>
  <c r="W585" i="51"/>
  <c r="V585" i="51"/>
  <c r="U585" i="51"/>
  <c r="T585" i="51"/>
  <c r="S585" i="51"/>
  <c r="R585" i="51"/>
  <c r="Q585" i="51"/>
  <c r="P585" i="51"/>
  <c r="O585" i="51"/>
  <c r="N585" i="51"/>
  <c r="M585" i="51"/>
  <c r="Z584" i="51"/>
  <c r="Y584" i="51"/>
  <c r="X584" i="51"/>
  <c r="W584" i="51"/>
  <c r="V584" i="51"/>
  <c r="U584" i="51"/>
  <c r="T584" i="51"/>
  <c r="S584" i="51"/>
  <c r="R584" i="51"/>
  <c r="Q584" i="51"/>
  <c r="P584" i="51"/>
  <c r="O584" i="51"/>
  <c r="N584" i="51"/>
  <c r="M584" i="51"/>
  <c r="Z583" i="51"/>
  <c r="Y583" i="51"/>
  <c r="X583" i="51"/>
  <c r="W583" i="51"/>
  <c r="V583" i="51"/>
  <c r="U583" i="51"/>
  <c r="T583" i="51"/>
  <c r="S583" i="51"/>
  <c r="R583" i="51"/>
  <c r="Q583" i="51"/>
  <c r="P583" i="51"/>
  <c r="O583" i="51"/>
  <c r="N583" i="51"/>
  <c r="M583" i="51"/>
  <c r="Z582" i="51"/>
  <c r="Y582" i="51"/>
  <c r="X582" i="51"/>
  <c r="W582" i="51"/>
  <c r="V582" i="51"/>
  <c r="U582" i="51"/>
  <c r="T582" i="51"/>
  <c r="S582" i="51"/>
  <c r="R582" i="51"/>
  <c r="Q582" i="51"/>
  <c r="P582" i="51"/>
  <c r="O582" i="51"/>
  <c r="N582" i="51"/>
  <c r="M582" i="51"/>
  <c r="Z581" i="51"/>
  <c r="Y581" i="51"/>
  <c r="X581" i="51"/>
  <c r="W581" i="51"/>
  <c r="V581" i="51"/>
  <c r="U581" i="51"/>
  <c r="T581" i="51"/>
  <c r="S581" i="51"/>
  <c r="R581" i="51"/>
  <c r="Q581" i="51"/>
  <c r="P581" i="51"/>
  <c r="O581" i="51"/>
  <c r="N581" i="51"/>
  <c r="M581" i="51"/>
  <c r="Z580" i="51"/>
  <c r="Y580" i="51"/>
  <c r="X580" i="51"/>
  <c r="W580" i="51"/>
  <c r="V580" i="51"/>
  <c r="U580" i="51"/>
  <c r="T580" i="51"/>
  <c r="S580" i="51"/>
  <c r="R580" i="51"/>
  <c r="Q580" i="51"/>
  <c r="P580" i="51"/>
  <c r="O580" i="51"/>
  <c r="N580" i="51"/>
  <c r="M580" i="51"/>
  <c r="Z579" i="51"/>
  <c r="Y579" i="51"/>
  <c r="X579" i="51"/>
  <c r="W579" i="51"/>
  <c r="V579" i="51"/>
  <c r="U579" i="51"/>
  <c r="T579" i="51"/>
  <c r="S579" i="51"/>
  <c r="R579" i="51"/>
  <c r="Q579" i="51"/>
  <c r="P579" i="51"/>
  <c r="O579" i="51"/>
  <c r="N579" i="51"/>
  <c r="M579" i="51"/>
  <c r="Z578" i="51"/>
  <c r="Y578" i="51"/>
  <c r="X578" i="51"/>
  <c r="W578" i="51"/>
  <c r="V578" i="51"/>
  <c r="U578" i="51"/>
  <c r="T578" i="51"/>
  <c r="S578" i="51"/>
  <c r="R578" i="51"/>
  <c r="Q578" i="51"/>
  <c r="P578" i="51"/>
  <c r="O578" i="51"/>
  <c r="N578" i="51"/>
  <c r="M578" i="51"/>
  <c r="Z577" i="51"/>
  <c r="Y577" i="51"/>
  <c r="X577" i="51"/>
  <c r="W577" i="51"/>
  <c r="V577" i="51"/>
  <c r="U577" i="51"/>
  <c r="T577" i="51"/>
  <c r="S577" i="51"/>
  <c r="R577" i="51"/>
  <c r="Q577" i="51"/>
  <c r="P577" i="51"/>
  <c r="O577" i="51"/>
  <c r="N577" i="51"/>
  <c r="M577" i="51"/>
  <c r="Z576" i="51"/>
  <c r="Y576" i="51"/>
  <c r="X576" i="51"/>
  <c r="W576" i="51"/>
  <c r="V576" i="51"/>
  <c r="U576" i="51"/>
  <c r="T576" i="51"/>
  <c r="S576" i="51"/>
  <c r="R576" i="51"/>
  <c r="Q576" i="51"/>
  <c r="P576" i="51"/>
  <c r="O576" i="51"/>
  <c r="N576" i="51"/>
  <c r="M576" i="51"/>
  <c r="Z575" i="51"/>
  <c r="Y575" i="51"/>
  <c r="X575" i="51"/>
  <c r="W575" i="51"/>
  <c r="V575" i="51"/>
  <c r="U575" i="51"/>
  <c r="T575" i="51"/>
  <c r="S575" i="51"/>
  <c r="R575" i="51"/>
  <c r="Q575" i="51"/>
  <c r="P575" i="51"/>
  <c r="O575" i="51"/>
  <c r="N575" i="51"/>
  <c r="M575" i="51"/>
  <c r="Z574" i="51"/>
  <c r="Y574" i="51"/>
  <c r="X574" i="51"/>
  <c r="W574" i="51"/>
  <c r="V574" i="51"/>
  <c r="U574" i="51"/>
  <c r="T574" i="51"/>
  <c r="S574" i="51"/>
  <c r="R574" i="51"/>
  <c r="Q574" i="51"/>
  <c r="P574" i="51"/>
  <c r="O574" i="51"/>
  <c r="N574" i="51"/>
  <c r="M574" i="51"/>
  <c r="Z573" i="51"/>
  <c r="Y573" i="51"/>
  <c r="X573" i="51"/>
  <c r="W573" i="51"/>
  <c r="V573" i="51"/>
  <c r="U573" i="51"/>
  <c r="T573" i="51"/>
  <c r="S573" i="51"/>
  <c r="R573" i="51"/>
  <c r="Q573" i="51"/>
  <c r="P573" i="51"/>
  <c r="O573" i="51"/>
  <c r="N573" i="51"/>
  <c r="M573" i="51"/>
  <c r="Z572" i="51"/>
  <c r="Y572" i="51"/>
  <c r="X572" i="51"/>
  <c r="W572" i="51"/>
  <c r="V572" i="51"/>
  <c r="U572" i="51"/>
  <c r="T572" i="51"/>
  <c r="S572" i="51"/>
  <c r="R572" i="51"/>
  <c r="Q572" i="51"/>
  <c r="P572" i="51"/>
  <c r="O572" i="51"/>
  <c r="N572" i="51"/>
  <c r="M572" i="51"/>
  <c r="Z571" i="51"/>
  <c r="Y571" i="51"/>
  <c r="X571" i="51"/>
  <c r="W571" i="51"/>
  <c r="V571" i="51"/>
  <c r="U571" i="51"/>
  <c r="T571" i="51"/>
  <c r="S571" i="51"/>
  <c r="R571" i="51"/>
  <c r="Q571" i="51"/>
  <c r="P571" i="51"/>
  <c r="O571" i="51"/>
  <c r="N571" i="51"/>
  <c r="M571" i="51"/>
  <c r="Z570" i="51"/>
  <c r="Y570" i="51"/>
  <c r="X570" i="51"/>
  <c r="W570" i="51"/>
  <c r="V570" i="51"/>
  <c r="U570" i="51"/>
  <c r="T570" i="51"/>
  <c r="S570" i="51"/>
  <c r="R570" i="51"/>
  <c r="Q570" i="51"/>
  <c r="P570" i="51"/>
  <c r="O570" i="51"/>
  <c r="N570" i="51"/>
  <c r="M570" i="51"/>
  <c r="Z569" i="51"/>
  <c r="Y569" i="51"/>
  <c r="X569" i="51"/>
  <c r="W569" i="51"/>
  <c r="V569" i="51"/>
  <c r="U569" i="51"/>
  <c r="T569" i="51"/>
  <c r="S569" i="51"/>
  <c r="R569" i="51"/>
  <c r="Q569" i="51"/>
  <c r="P569" i="51"/>
  <c r="O569" i="51"/>
  <c r="N569" i="51"/>
  <c r="M569" i="51"/>
  <c r="Z568" i="51"/>
  <c r="Y568" i="51"/>
  <c r="X568" i="51"/>
  <c r="W568" i="51"/>
  <c r="V568" i="51"/>
  <c r="U568" i="51"/>
  <c r="T568" i="51"/>
  <c r="S568" i="51"/>
  <c r="R568" i="51"/>
  <c r="Q568" i="51"/>
  <c r="P568" i="51"/>
  <c r="O568" i="51"/>
  <c r="N568" i="51"/>
  <c r="M568" i="51"/>
  <c r="Z567" i="51"/>
  <c r="Y567" i="51"/>
  <c r="X567" i="51"/>
  <c r="W567" i="51"/>
  <c r="V567" i="51"/>
  <c r="U567" i="51"/>
  <c r="T567" i="51"/>
  <c r="S567" i="51"/>
  <c r="R567" i="51"/>
  <c r="Q567" i="51"/>
  <c r="P567" i="51"/>
  <c r="O567" i="51"/>
  <c r="N567" i="51"/>
  <c r="M567" i="51"/>
  <c r="Z566" i="51"/>
  <c r="Y566" i="51"/>
  <c r="X566" i="51"/>
  <c r="W566" i="51"/>
  <c r="V566" i="51"/>
  <c r="U566" i="51"/>
  <c r="T566" i="51"/>
  <c r="S566" i="51"/>
  <c r="R566" i="51"/>
  <c r="Q566" i="51"/>
  <c r="P566" i="51"/>
  <c r="O566" i="51"/>
  <c r="N566" i="51"/>
  <c r="M566" i="51"/>
  <c r="Z565" i="51"/>
  <c r="Y565" i="51"/>
  <c r="X565" i="51"/>
  <c r="W565" i="51"/>
  <c r="V565" i="51"/>
  <c r="U565" i="51"/>
  <c r="T565" i="51"/>
  <c r="S565" i="51"/>
  <c r="R565" i="51"/>
  <c r="Q565" i="51"/>
  <c r="P565" i="51"/>
  <c r="O565" i="51"/>
  <c r="N565" i="51"/>
  <c r="M565" i="51"/>
  <c r="Z564" i="51"/>
  <c r="Y564" i="51"/>
  <c r="X564" i="51"/>
  <c r="W564" i="51"/>
  <c r="V564" i="51"/>
  <c r="U564" i="51"/>
  <c r="T564" i="51"/>
  <c r="S564" i="51"/>
  <c r="R564" i="51"/>
  <c r="Q564" i="51"/>
  <c r="P564" i="51"/>
  <c r="O564" i="51"/>
  <c r="N564" i="51"/>
  <c r="M564" i="51"/>
  <c r="Z563" i="51"/>
  <c r="Y563" i="51"/>
  <c r="X563" i="51"/>
  <c r="W563" i="51"/>
  <c r="V563" i="51"/>
  <c r="U563" i="51"/>
  <c r="T563" i="51"/>
  <c r="S563" i="51"/>
  <c r="R563" i="51"/>
  <c r="Q563" i="51"/>
  <c r="P563" i="51"/>
  <c r="O563" i="51"/>
  <c r="N563" i="51"/>
  <c r="M563" i="51"/>
  <c r="Z562" i="51"/>
  <c r="Y562" i="51"/>
  <c r="X562" i="51"/>
  <c r="W562" i="51"/>
  <c r="V562" i="51"/>
  <c r="U562" i="51"/>
  <c r="T562" i="51"/>
  <c r="S562" i="51"/>
  <c r="R562" i="51"/>
  <c r="Q562" i="51"/>
  <c r="P562" i="51"/>
  <c r="O562" i="51"/>
  <c r="N562" i="51"/>
  <c r="M562" i="51"/>
  <c r="Z561" i="51"/>
  <c r="Y561" i="51"/>
  <c r="X561" i="51"/>
  <c r="W561" i="51"/>
  <c r="V561" i="51"/>
  <c r="U561" i="51"/>
  <c r="T561" i="51"/>
  <c r="S561" i="51"/>
  <c r="R561" i="51"/>
  <c r="Q561" i="51"/>
  <c r="P561" i="51"/>
  <c r="O561" i="51"/>
  <c r="N561" i="51"/>
  <c r="M561" i="51"/>
  <c r="Z560" i="51"/>
  <c r="Y560" i="51"/>
  <c r="X560" i="51"/>
  <c r="W560" i="51"/>
  <c r="V560" i="51"/>
  <c r="U560" i="51"/>
  <c r="T560" i="51"/>
  <c r="S560" i="51"/>
  <c r="R560" i="51"/>
  <c r="Q560" i="51"/>
  <c r="P560" i="51"/>
  <c r="O560" i="51"/>
  <c r="N560" i="51"/>
  <c r="M560" i="51"/>
  <c r="Z559" i="51"/>
  <c r="Y559" i="51"/>
  <c r="X559" i="51"/>
  <c r="W559" i="51"/>
  <c r="V559" i="51"/>
  <c r="U559" i="51"/>
  <c r="T559" i="51"/>
  <c r="S559" i="51"/>
  <c r="R559" i="51"/>
  <c r="Q559" i="51"/>
  <c r="P559" i="51"/>
  <c r="O559" i="51"/>
  <c r="N559" i="51"/>
  <c r="M559" i="51"/>
  <c r="Z558" i="51"/>
  <c r="Y558" i="51"/>
  <c r="X558" i="51"/>
  <c r="W558" i="51"/>
  <c r="V558" i="51"/>
  <c r="U558" i="51"/>
  <c r="T558" i="51"/>
  <c r="S558" i="51"/>
  <c r="R558" i="51"/>
  <c r="Q558" i="51"/>
  <c r="P558" i="51"/>
  <c r="O558" i="51"/>
  <c r="N558" i="51"/>
  <c r="M558" i="51"/>
  <c r="Z557" i="51"/>
  <c r="Y557" i="51"/>
  <c r="X557" i="51"/>
  <c r="W557" i="51"/>
  <c r="V557" i="51"/>
  <c r="U557" i="51"/>
  <c r="T557" i="51"/>
  <c r="S557" i="51"/>
  <c r="R557" i="51"/>
  <c r="Q557" i="51"/>
  <c r="P557" i="51"/>
  <c r="O557" i="51"/>
  <c r="N557" i="51"/>
  <c r="M557" i="51"/>
  <c r="Z556" i="51"/>
  <c r="Y556" i="51"/>
  <c r="X556" i="51"/>
  <c r="W556" i="51"/>
  <c r="V556" i="51"/>
  <c r="U556" i="51"/>
  <c r="T556" i="51"/>
  <c r="S556" i="51"/>
  <c r="R556" i="51"/>
  <c r="Q556" i="51"/>
  <c r="P556" i="51"/>
  <c r="O556" i="51"/>
  <c r="N556" i="51"/>
  <c r="M556" i="51"/>
  <c r="Z555" i="51"/>
  <c r="Y555" i="51"/>
  <c r="X555" i="51"/>
  <c r="W555" i="51"/>
  <c r="V555" i="51"/>
  <c r="U555" i="51"/>
  <c r="T555" i="51"/>
  <c r="S555" i="51"/>
  <c r="R555" i="51"/>
  <c r="Q555" i="51"/>
  <c r="P555" i="51"/>
  <c r="O555" i="51"/>
  <c r="N555" i="51"/>
  <c r="M555" i="51"/>
  <c r="Z554" i="51"/>
  <c r="Y554" i="51"/>
  <c r="X554" i="51"/>
  <c r="W554" i="51"/>
  <c r="V554" i="51"/>
  <c r="U554" i="51"/>
  <c r="T554" i="51"/>
  <c r="S554" i="51"/>
  <c r="R554" i="51"/>
  <c r="Q554" i="51"/>
  <c r="P554" i="51"/>
  <c r="O554" i="51"/>
  <c r="N554" i="51"/>
  <c r="M554" i="51"/>
  <c r="Z553" i="51"/>
  <c r="Y553" i="51"/>
  <c r="X553" i="51"/>
  <c r="W553" i="51"/>
  <c r="V553" i="51"/>
  <c r="U553" i="51"/>
  <c r="T553" i="51"/>
  <c r="S553" i="51"/>
  <c r="R553" i="51"/>
  <c r="Q553" i="51"/>
  <c r="P553" i="51"/>
  <c r="O553" i="51"/>
  <c r="N553" i="51"/>
  <c r="M553" i="51"/>
  <c r="Z552" i="51"/>
  <c r="Y552" i="51"/>
  <c r="X552" i="51"/>
  <c r="W552" i="51"/>
  <c r="V552" i="51"/>
  <c r="U552" i="51"/>
  <c r="T552" i="51"/>
  <c r="S552" i="51"/>
  <c r="R552" i="51"/>
  <c r="Q552" i="51"/>
  <c r="P552" i="51"/>
  <c r="O552" i="51"/>
  <c r="N552" i="51"/>
  <c r="M552" i="51"/>
  <c r="Z551" i="51"/>
  <c r="Y551" i="51"/>
  <c r="X551" i="51"/>
  <c r="W551" i="51"/>
  <c r="V551" i="51"/>
  <c r="U551" i="51"/>
  <c r="T551" i="51"/>
  <c r="S551" i="51"/>
  <c r="R551" i="51"/>
  <c r="Q551" i="51"/>
  <c r="P551" i="51"/>
  <c r="O551" i="51"/>
  <c r="N551" i="51"/>
  <c r="M551" i="51"/>
  <c r="Z550" i="51"/>
  <c r="Y550" i="51"/>
  <c r="X550" i="51"/>
  <c r="W550" i="51"/>
  <c r="V550" i="51"/>
  <c r="U550" i="51"/>
  <c r="T550" i="51"/>
  <c r="S550" i="51"/>
  <c r="R550" i="51"/>
  <c r="Q550" i="51"/>
  <c r="P550" i="51"/>
  <c r="O550" i="51"/>
  <c r="N550" i="51"/>
  <c r="M550" i="51"/>
  <c r="Z549" i="51"/>
  <c r="Y549" i="51"/>
  <c r="X549" i="51"/>
  <c r="W549" i="51"/>
  <c r="V549" i="51"/>
  <c r="U549" i="51"/>
  <c r="T549" i="51"/>
  <c r="S549" i="51"/>
  <c r="R549" i="51"/>
  <c r="Q549" i="51"/>
  <c r="P549" i="51"/>
  <c r="O549" i="51"/>
  <c r="N549" i="51"/>
  <c r="M549" i="51"/>
  <c r="Z548" i="51"/>
  <c r="Y548" i="51"/>
  <c r="X548" i="51"/>
  <c r="W548" i="51"/>
  <c r="V548" i="51"/>
  <c r="U548" i="51"/>
  <c r="T548" i="51"/>
  <c r="S548" i="51"/>
  <c r="R548" i="51"/>
  <c r="Q548" i="51"/>
  <c r="P548" i="51"/>
  <c r="O548" i="51"/>
  <c r="N548" i="51"/>
  <c r="M548" i="51"/>
  <c r="Z547" i="51"/>
  <c r="Y547" i="51"/>
  <c r="X547" i="51"/>
  <c r="W547" i="51"/>
  <c r="V547" i="51"/>
  <c r="U547" i="51"/>
  <c r="T547" i="51"/>
  <c r="S547" i="51"/>
  <c r="R547" i="51"/>
  <c r="Q547" i="51"/>
  <c r="P547" i="51"/>
  <c r="O547" i="51"/>
  <c r="N547" i="51"/>
  <c r="M547" i="51"/>
  <c r="Z546" i="51"/>
  <c r="Y546" i="51"/>
  <c r="X546" i="51"/>
  <c r="W546" i="51"/>
  <c r="V546" i="51"/>
  <c r="U546" i="51"/>
  <c r="T546" i="51"/>
  <c r="S546" i="51"/>
  <c r="R546" i="51"/>
  <c r="Q546" i="51"/>
  <c r="P546" i="51"/>
  <c r="O546" i="51"/>
  <c r="N546" i="51"/>
  <c r="M546" i="51"/>
  <c r="Z545" i="51"/>
  <c r="Y545" i="51"/>
  <c r="X545" i="51"/>
  <c r="W545" i="51"/>
  <c r="V545" i="51"/>
  <c r="U545" i="51"/>
  <c r="T545" i="51"/>
  <c r="S545" i="51"/>
  <c r="R545" i="51"/>
  <c r="Q545" i="51"/>
  <c r="P545" i="51"/>
  <c r="O545" i="51"/>
  <c r="N545" i="51"/>
  <c r="M545" i="51"/>
  <c r="Z544" i="51"/>
  <c r="Y544" i="51"/>
  <c r="X544" i="51"/>
  <c r="W544" i="51"/>
  <c r="V544" i="51"/>
  <c r="U544" i="51"/>
  <c r="T544" i="51"/>
  <c r="S544" i="51"/>
  <c r="R544" i="51"/>
  <c r="Q544" i="51"/>
  <c r="P544" i="51"/>
  <c r="O544" i="51"/>
  <c r="N544" i="51"/>
  <c r="M544" i="51"/>
  <c r="Z543" i="51"/>
  <c r="Y543" i="51"/>
  <c r="X543" i="51"/>
  <c r="W543" i="51"/>
  <c r="V543" i="51"/>
  <c r="U543" i="51"/>
  <c r="T543" i="51"/>
  <c r="S543" i="51"/>
  <c r="R543" i="51"/>
  <c r="Q543" i="51"/>
  <c r="P543" i="51"/>
  <c r="O543" i="51"/>
  <c r="N543" i="51"/>
  <c r="M543" i="51"/>
  <c r="Z542" i="51"/>
  <c r="Y542" i="51"/>
  <c r="X542" i="51"/>
  <c r="W542" i="51"/>
  <c r="V542" i="51"/>
  <c r="U542" i="51"/>
  <c r="T542" i="51"/>
  <c r="S542" i="51"/>
  <c r="R542" i="51"/>
  <c r="Q542" i="51"/>
  <c r="P542" i="51"/>
  <c r="O542" i="51"/>
  <c r="N542" i="51"/>
  <c r="M542" i="51"/>
  <c r="Z541" i="51"/>
  <c r="Y541" i="51"/>
  <c r="X541" i="51"/>
  <c r="W541" i="51"/>
  <c r="V541" i="51"/>
  <c r="U541" i="51"/>
  <c r="T541" i="51"/>
  <c r="S541" i="51"/>
  <c r="R541" i="51"/>
  <c r="Q541" i="51"/>
  <c r="P541" i="51"/>
  <c r="O541" i="51"/>
  <c r="N541" i="51"/>
  <c r="M541" i="51"/>
  <c r="Z540" i="51"/>
  <c r="Y540" i="51"/>
  <c r="X540" i="51"/>
  <c r="W540" i="51"/>
  <c r="V540" i="51"/>
  <c r="U540" i="51"/>
  <c r="T540" i="51"/>
  <c r="S540" i="51"/>
  <c r="R540" i="51"/>
  <c r="Q540" i="51"/>
  <c r="P540" i="51"/>
  <c r="O540" i="51"/>
  <c r="N540" i="51"/>
  <c r="M540" i="51"/>
  <c r="Z539" i="51"/>
  <c r="Y539" i="51"/>
  <c r="X539" i="51"/>
  <c r="W539" i="51"/>
  <c r="V539" i="51"/>
  <c r="U539" i="51"/>
  <c r="T539" i="51"/>
  <c r="S539" i="51"/>
  <c r="R539" i="51"/>
  <c r="Q539" i="51"/>
  <c r="P539" i="51"/>
  <c r="O539" i="51"/>
  <c r="N539" i="51"/>
  <c r="M539" i="51"/>
  <c r="Z538" i="51"/>
  <c r="Y538" i="51"/>
  <c r="X538" i="51"/>
  <c r="W538" i="51"/>
  <c r="V538" i="51"/>
  <c r="U538" i="51"/>
  <c r="T538" i="51"/>
  <c r="S538" i="51"/>
  <c r="R538" i="51"/>
  <c r="Q538" i="51"/>
  <c r="P538" i="51"/>
  <c r="O538" i="51"/>
  <c r="N538" i="51"/>
  <c r="M538" i="51"/>
  <c r="Z537" i="51"/>
  <c r="Y537" i="51"/>
  <c r="X537" i="51"/>
  <c r="W537" i="51"/>
  <c r="V537" i="51"/>
  <c r="U537" i="51"/>
  <c r="T537" i="51"/>
  <c r="S537" i="51"/>
  <c r="R537" i="51"/>
  <c r="Q537" i="51"/>
  <c r="P537" i="51"/>
  <c r="O537" i="51"/>
  <c r="N537" i="51"/>
  <c r="M537" i="51"/>
  <c r="Z536" i="51"/>
  <c r="Y536" i="51"/>
  <c r="X536" i="51"/>
  <c r="W536" i="51"/>
  <c r="V536" i="51"/>
  <c r="U536" i="51"/>
  <c r="T536" i="51"/>
  <c r="S536" i="51"/>
  <c r="R536" i="51"/>
  <c r="Q536" i="51"/>
  <c r="P536" i="51"/>
  <c r="O536" i="51"/>
  <c r="N536" i="51"/>
  <c r="M536" i="51"/>
  <c r="Z535" i="51"/>
  <c r="Y535" i="51"/>
  <c r="X535" i="51"/>
  <c r="W535" i="51"/>
  <c r="V535" i="51"/>
  <c r="U535" i="51"/>
  <c r="T535" i="51"/>
  <c r="S535" i="51"/>
  <c r="R535" i="51"/>
  <c r="Q535" i="51"/>
  <c r="P535" i="51"/>
  <c r="O535" i="51"/>
  <c r="N535" i="51"/>
  <c r="M535" i="51"/>
  <c r="Z534" i="51"/>
  <c r="Y534" i="51"/>
  <c r="X534" i="51"/>
  <c r="W534" i="51"/>
  <c r="V534" i="51"/>
  <c r="U534" i="51"/>
  <c r="T534" i="51"/>
  <c r="S534" i="51"/>
  <c r="R534" i="51"/>
  <c r="Q534" i="51"/>
  <c r="P534" i="51"/>
  <c r="O534" i="51"/>
  <c r="N534" i="51"/>
  <c r="M534" i="51"/>
  <c r="Z533" i="51"/>
  <c r="Y533" i="51"/>
  <c r="X533" i="51"/>
  <c r="W533" i="51"/>
  <c r="V533" i="51"/>
  <c r="U533" i="51"/>
  <c r="T533" i="51"/>
  <c r="S533" i="51"/>
  <c r="R533" i="51"/>
  <c r="Q533" i="51"/>
  <c r="P533" i="51"/>
  <c r="O533" i="51"/>
  <c r="N533" i="51"/>
  <c r="M533" i="51"/>
  <c r="Z532" i="51"/>
  <c r="Y532" i="51"/>
  <c r="X532" i="51"/>
  <c r="W532" i="51"/>
  <c r="V532" i="51"/>
  <c r="U532" i="51"/>
  <c r="T532" i="51"/>
  <c r="S532" i="51"/>
  <c r="R532" i="51"/>
  <c r="Q532" i="51"/>
  <c r="P532" i="51"/>
  <c r="O532" i="51"/>
  <c r="N532" i="51"/>
  <c r="M532" i="51"/>
  <c r="Z531" i="51"/>
  <c r="Y531" i="51"/>
  <c r="X531" i="51"/>
  <c r="W531" i="51"/>
  <c r="V531" i="51"/>
  <c r="U531" i="51"/>
  <c r="T531" i="51"/>
  <c r="S531" i="51"/>
  <c r="R531" i="51"/>
  <c r="Q531" i="51"/>
  <c r="P531" i="51"/>
  <c r="O531" i="51"/>
  <c r="N531" i="51"/>
  <c r="M531" i="51"/>
  <c r="Z530" i="51"/>
  <c r="Y530" i="51"/>
  <c r="X530" i="51"/>
  <c r="W530" i="51"/>
  <c r="V530" i="51"/>
  <c r="U530" i="51"/>
  <c r="T530" i="51"/>
  <c r="S530" i="51"/>
  <c r="R530" i="51"/>
  <c r="Q530" i="51"/>
  <c r="P530" i="51"/>
  <c r="O530" i="51"/>
  <c r="N530" i="51"/>
  <c r="M530" i="51"/>
  <c r="Z529" i="51"/>
  <c r="Y529" i="51"/>
  <c r="X529" i="51"/>
  <c r="W529" i="51"/>
  <c r="V529" i="51"/>
  <c r="U529" i="51"/>
  <c r="T529" i="51"/>
  <c r="S529" i="51"/>
  <c r="R529" i="51"/>
  <c r="Q529" i="51"/>
  <c r="P529" i="51"/>
  <c r="O529" i="51"/>
  <c r="N529" i="51"/>
  <c r="M529" i="51"/>
  <c r="Z528" i="51"/>
  <c r="Y528" i="51"/>
  <c r="X528" i="51"/>
  <c r="W528" i="51"/>
  <c r="V528" i="51"/>
  <c r="U528" i="51"/>
  <c r="T528" i="51"/>
  <c r="S528" i="51"/>
  <c r="R528" i="51"/>
  <c r="Q528" i="51"/>
  <c r="P528" i="51"/>
  <c r="O528" i="51"/>
  <c r="N528" i="51"/>
  <c r="M528" i="51"/>
  <c r="Z527" i="51"/>
  <c r="Y527" i="51"/>
  <c r="X527" i="51"/>
  <c r="W527" i="51"/>
  <c r="V527" i="51"/>
  <c r="U527" i="51"/>
  <c r="T527" i="51"/>
  <c r="S527" i="51"/>
  <c r="R527" i="51"/>
  <c r="Q527" i="51"/>
  <c r="P527" i="51"/>
  <c r="O527" i="51"/>
  <c r="N527" i="51"/>
  <c r="M527" i="51"/>
  <c r="Z526" i="51"/>
  <c r="Y526" i="51"/>
  <c r="X526" i="51"/>
  <c r="W526" i="51"/>
  <c r="V526" i="51"/>
  <c r="U526" i="51"/>
  <c r="T526" i="51"/>
  <c r="S526" i="51"/>
  <c r="R526" i="51"/>
  <c r="Q526" i="51"/>
  <c r="P526" i="51"/>
  <c r="O526" i="51"/>
  <c r="N526" i="51"/>
  <c r="M526" i="51"/>
  <c r="Z525" i="51"/>
  <c r="Y525" i="51"/>
  <c r="X525" i="51"/>
  <c r="W525" i="51"/>
  <c r="V525" i="51"/>
  <c r="U525" i="51"/>
  <c r="T525" i="51"/>
  <c r="S525" i="51"/>
  <c r="R525" i="51"/>
  <c r="Q525" i="51"/>
  <c r="P525" i="51"/>
  <c r="O525" i="51"/>
  <c r="N525" i="51"/>
  <c r="M525" i="51"/>
  <c r="Z524" i="51"/>
  <c r="Y524" i="51"/>
  <c r="X524" i="51"/>
  <c r="W524" i="51"/>
  <c r="V524" i="51"/>
  <c r="U524" i="51"/>
  <c r="T524" i="51"/>
  <c r="S524" i="51"/>
  <c r="R524" i="51"/>
  <c r="Q524" i="51"/>
  <c r="P524" i="51"/>
  <c r="O524" i="51"/>
  <c r="N524" i="51"/>
  <c r="M524" i="51"/>
  <c r="Z523" i="51"/>
  <c r="Y523" i="51"/>
  <c r="X523" i="51"/>
  <c r="W523" i="51"/>
  <c r="V523" i="51"/>
  <c r="U523" i="51"/>
  <c r="T523" i="51"/>
  <c r="S523" i="51"/>
  <c r="R523" i="51"/>
  <c r="Q523" i="51"/>
  <c r="P523" i="51"/>
  <c r="O523" i="51"/>
  <c r="N523" i="51"/>
  <c r="M523" i="51"/>
  <c r="Z522" i="51"/>
  <c r="Y522" i="51"/>
  <c r="X522" i="51"/>
  <c r="W522" i="51"/>
  <c r="V522" i="51"/>
  <c r="U522" i="51"/>
  <c r="T522" i="51"/>
  <c r="S522" i="51"/>
  <c r="R522" i="51"/>
  <c r="Q522" i="51"/>
  <c r="P522" i="51"/>
  <c r="O522" i="51"/>
  <c r="N522" i="51"/>
  <c r="M522" i="51"/>
  <c r="Z521" i="51"/>
  <c r="Y521" i="51"/>
  <c r="X521" i="51"/>
  <c r="W521" i="51"/>
  <c r="V521" i="51"/>
  <c r="U521" i="51"/>
  <c r="T521" i="51"/>
  <c r="S521" i="51"/>
  <c r="R521" i="51"/>
  <c r="Q521" i="51"/>
  <c r="P521" i="51"/>
  <c r="O521" i="51"/>
  <c r="N521" i="51"/>
  <c r="M521" i="51"/>
  <c r="Z520" i="51"/>
  <c r="Y520" i="51"/>
  <c r="X520" i="51"/>
  <c r="W520" i="51"/>
  <c r="V520" i="51"/>
  <c r="U520" i="51"/>
  <c r="T520" i="51"/>
  <c r="S520" i="51"/>
  <c r="R520" i="51"/>
  <c r="Q520" i="51"/>
  <c r="P520" i="51"/>
  <c r="O520" i="51"/>
  <c r="N520" i="51"/>
  <c r="M520" i="51"/>
  <c r="Z519" i="51"/>
  <c r="Y519" i="51"/>
  <c r="X519" i="51"/>
  <c r="W519" i="51"/>
  <c r="V519" i="51"/>
  <c r="U519" i="51"/>
  <c r="T519" i="51"/>
  <c r="S519" i="51"/>
  <c r="R519" i="51"/>
  <c r="Q519" i="51"/>
  <c r="P519" i="51"/>
  <c r="O519" i="51"/>
  <c r="N519" i="51"/>
  <c r="M519" i="51"/>
  <c r="Z518" i="51"/>
  <c r="Y518" i="51"/>
  <c r="X518" i="51"/>
  <c r="W518" i="51"/>
  <c r="V518" i="51"/>
  <c r="U518" i="51"/>
  <c r="T518" i="51"/>
  <c r="S518" i="51"/>
  <c r="R518" i="51"/>
  <c r="Q518" i="51"/>
  <c r="P518" i="51"/>
  <c r="O518" i="51"/>
  <c r="N518" i="51"/>
  <c r="M518" i="51"/>
  <c r="Z517" i="51"/>
  <c r="Y517" i="51"/>
  <c r="X517" i="51"/>
  <c r="W517" i="51"/>
  <c r="V517" i="51"/>
  <c r="U517" i="51"/>
  <c r="T517" i="51"/>
  <c r="S517" i="51"/>
  <c r="R517" i="51"/>
  <c r="Q517" i="51"/>
  <c r="P517" i="51"/>
  <c r="O517" i="51"/>
  <c r="N517" i="51"/>
  <c r="M517" i="51"/>
  <c r="Z516" i="51"/>
  <c r="Y516" i="51"/>
  <c r="X516" i="51"/>
  <c r="W516" i="51"/>
  <c r="V516" i="51"/>
  <c r="U516" i="51"/>
  <c r="T516" i="51"/>
  <c r="S516" i="51"/>
  <c r="R516" i="51"/>
  <c r="Q516" i="51"/>
  <c r="P516" i="51"/>
  <c r="O516" i="51"/>
  <c r="N516" i="51"/>
  <c r="M516" i="51"/>
  <c r="Z515" i="51"/>
  <c r="Y515" i="51"/>
  <c r="X515" i="51"/>
  <c r="W515" i="51"/>
  <c r="V515" i="51"/>
  <c r="U515" i="51"/>
  <c r="T515" i="51"/>
  <c r="S515" i="51"/>
  <c r="R515" i="51"/>
  <c r="Q515" i="51"/>
  <c r="P515" i="51"/>
  <c r="O515" i="51"/>
  <c r="N515" i="51"/>
  <c r="M515" i="51"/>
  <c r="Z514" i="51"/>
  <c r="Y514" i="51"/>
  <c r="X514" i="51"/>
  <c r="W514" i="51"/>
  <c r="V514" i="51"/>
  <c r="U514" i="51"/>
  <c r="T514" i="51"/>
  <c r="S514" i="51"/>
  <c r="R514" i="51"/>
  <c r="Q514" i="51"/>
  <c r="P514" i="51"/>
  <c r="O514" i="51"/>
  <c r="N514" i="51"/>
  <c r="M514" i="51"/>
  <c r="Z513" i="51"/>
  <c r="Y513" i="51"/>
  <c r="X513" i="51"/>
  <c r="W513" i="51"/>
  <c r="V513" i="51"/>
  <c r="U513" i="51"/>
  <c r="T513" i="51"/>
  <c r="S513" i="51"/>
  <c r="R513" i="51"/>
  <c r="Q513" i="51"/>
  <c r="P513" i="51"/>
  <c r="O513" i="51"/>
  <c r="N513" i="51"/>
  <c r="M513" i="51"/>
  <c r="Z512" i="51"/>
  <c r="Y512" i="51"/>
  <c r="X512" i="51"/>
  <c r="W512" i="51"/>
  <c r="V512" i="51"/>
  <c r="U512" i="51"/>
  <c r="T512" i="51"/>
  <c r="S512" i="51"/>
  <c r="R512" i="51"/>
  <c r="Q512" i="51"/>
  <c r="P512" i="51"/>
  <c r="O512" i="51"/>
  <c r="N512" i="51"/>
  <c r="M512" i="51"/>
  <c r="Z511" i="51"/>
  <c r="Y511" i="51"/>
  <c r="X511" i="51"/>
  <c r="W511" i="51"/>
  <c r="V511" i="51"/>
  <c r="U511" i="51"/>
  <c r="T511" i="51"/>
  <c r="S511" i="51"/>
  <c r="R511" i="51"/>
  <c r="Q511" i="51"/>
  <c r="P511" i="51"/>
  <c r="O511" i="51"/>
  <c r="N511" i="51"/>
  <c r="M511" i="51"/>
  <c r="Z510" i="51"/>
  <c r="Y510" i="51"/>
  <c r="X510" i="51"/>
  <c r="W510" i="51"/>
  <c r="V510" i="51"/>
  <c r="U510" i="51"/>
  <c r="T510" i="51"/>
  <c r="S510" i="51"/>
  <c r="R510" i="51"/>
  <c r="Q510" i="51"/>
  <c r="P510" i="51"/>
  <c r="O510" i="51"/>
  <c r="N510" i="51"/>
  <c r="M510" i="51"/>
  <c r="Z509" i="51"/>
  <c r="Y509" i="51"/>
  <c r="X509" i="51"/>
  <c r="W509" i="51"/>
  <c r="V509" i="51"/>
  <c r="U509" i="51"/>
  <c r="T509" i="51"/>
  <c r="S509" i="51"/>
  <c r="R509" i="51"/>
  <c r="Q509" i="51"/>
  <c r="P509" i="51"/>
  <c r="O509" i="51"/>
  <c r="N509" i="51"/>
  <c r="M509" i="51"/>
  <c r="Z508" i="51"/>
  <c r="Y508" i="51"/>
  <c r="X508" i="51"/>
  <c r="W508" i="51"/>
  <c r="V508" i="51"/>
  <c r="U508" i="51"/>
  <c r="T508" i="51"/>
  <c r="S508" i="51"/>
  <c r="R508" i="51"/>
  <c r="Q508" i="51"/>
  <c r="P508" i="51"/>
  <c r="O508" i="51"/>
  <c r="N508" i="51"/>
  <c r="M508" i="51"/>
  <c r="Z507" i="51"/>
  <c r="Y507" i="51"/>
  <c r="X507" i="51"/>
  <c r="W507" i="51"/>
  <c r="V507" i="51"/>
  <c r="U507" i="51"/>
  <c r="T507" i="51"/>
  <c r="S507" i="51"/>
  <c r="R507" i="51"/>
  <c r="Q507" i="51"/>
  <c r="P507" i="51"/>
  <c r="O507" i="51"/>
  <c r="N507" i="51"/>
  <c r="M507" i="51"/>
  <c r="Z506" i="51"/>
  <c r="Y506" i="51"/>
  <c r="X506" i="51"/>
  <c r="W506" i="51"/>
  <c r="V506" i="51"/>
  <c r="U506" i="51"/>
  <c r="T506" i="51"/>
  <c r="S506" i="51"/>
  <c r="R506" i="51"/>
  <c r="Q506" i="51"/>
  <c r="P506" i="51"/>
  <c r="O506" i="51"/>
  <c r="N506" i="51"/>
  <c r="M506" i="51"/>
  <c r="Z505" i="51"/>
  <c r="Y505" i="51"/>
  <c r="X505" i="51"/>
  <c r="W505" i="51"/>
  <c r="V505" i="51"/>
  <c r="U505" i="51"/>
  <c r="T505" i="51"/>
  <c r="S505" i="51"/>
  <c r="R505" i="51"/>
  <c r="Q505" i="51"/>
  <c r="P505" i="51"/>
  <c r="O505" i="51"/>
  <c r="N505" i="51"/>
  <c r="M505" i="51"/>
  <c r="Z504" i="51"/>
  <c r="Y504" i="51"/>
  <c r="X504" i="51"/>
  <c r="W504" i="51"/>
  <c r="V504" i="51"/>
  <c r="U504" i="51"/>
  <c r="T504" i="51"/>
  <c r="S504" i="51"/>
  <c r="R504" i="51"/>
  <c r="Q504" i="51"/>
  <c r="P504" i="51"/>
  <c r="O504" i="51"/>
  <c r="N504" i="51"/>
  <c r="M504" i="51"/>
  <c r="Z503" i="51"/>
  <c r="Y503" i="51"/>
  <c r="X503" i="51"/>
  <c r="W503" i="51"/>
  <c r="V503" i="51"/>
  <c r="U503" i="51"/>
  <c r="T503" i="51"/>
  <c r="S503" i="51"/>
  <c r="R503" i="51"/>
  <c r="Q503" i="51"/>
  <c r="P503" i="51"/>
  <c r="O503" i="51"/>
  <c r="N503" i="51"/>
  <c r="M503" i="51"/>
  <c r="Z502" i="51"/>
  <c r="Y502" i="51"/>
  <c r="X502" i="51"/>
  <c r="W502" i="51"/>
  <c r="V502" i="51"/>
  <c r="U502" i="51"/>
  <c r="T502" i="51"/>
  <c r="S502" i="51"/>
  <c r="R502" i="51"/>
  <c r="Q502" i="51"/>
  <c r="P502" i="51"/>
  <c r="O502" i="51"/>
  <c r="N502" i="51"/>
  <c r="M502" i="51"/>
  <c r="Z501" i="51"/>
  <c r="Y501" i="51"/>
  <c r="X501" i="51"/>
  <c r="W501" i="51"/>
  <c r="V501" i="51"/>
  <c r="U501" i="51"/>
  <c r="T501" i="51"/>
  <c r="S501" i="51"/>
  <c r="R501" i="51"/>
  <c r="Q501" i="51"/>
  <c r="P501" i="51"/>
  <c r="O501" i="51"/>
  <c r="N501" i="51"/>
  <c r="M501" i="51"/>
  <c r="Z500" i="51"/>
  <c r="Y500" i="51"/>
  <c r="X500" i="51"/>
  <c r="W500" i="51"/>
  <c r="V500" i="51"/>
  <c r="U500" i="51"/>
  <c r="T500" i="51"/>
  <c r="S500" i="51"/>
  <c r="R500" i="51"/>
  <c r="Q500" i="51"/>
  <c r="P500" i="51"/>
  <c r="O500" i="51"/>
  <c r="N500" i="51"/>
  <c r="M500" i="51"/>
  <c r="Z499" i="51"/>
  <c r="Y499" i="51"/>
  <c r="X499" i="51"/>
  <c r="W499" i="51"/>
  <c r="V499" i="51"/>
  <c r="U499" i="51"/>
  <c r="T499" i="51"/>
  <c r="S499" i="51"/>
  <c r="R499" i="51"/>
  <c r="Q499" i="51"/>
  <c r="P499" i="51"/>
  <c r="O499" i="51"/>
  <c r="N499" i="51"/>
  <c r="M499" i="51"/>
  <c r="Z498" i="51"/>
  <c r="Y498" i="51"/>
  <c r="X498" i="51"/>
  <c r="W498" i="51"/>
  <c r="V498" i="51"/>
  <c r="U498" i="51"/>
  <c r="T498" i="51"/>
  <c r="S498" i="51"/>
  <c r="R498" i="51"/>
  <c r="Q498" i="51"/>
  <c r="P498" i="51"/>
  <c r="O498" i="51"/>
  <c r="N498" i="51"/>
  <c r="M498" i="51"/>
  <c r="Z497" i="51"/>
  <c r="Y497" i="51"/>
  <c r="X497" i="51"/>
  <c r="W497" i="51"/>
  <c r="V497" i="51"/>
  <c r="U497" i="51"/>
  <c r="T497" i="51"/>
  <c r="S497" i="51"/>
  <c r="R497" i="51"/>
  <c r="Q497" i="51"/>
  <c r="P497" i="51"/>
  <c r="O497" i="51"/>
  <c r="N497" i="51"/>
  <c r="M497" i="51"/>
  <c r="Z496" i="51"/>
  <c r="Y496" i="51"/>
  <c r="X496" i="51"/>
  <c r="W496" i="51"/>
  <c r="V496" i="51"/>
  <c r="U496" i="51"/>
  <c r="T496" i="51"/>
  <c r="S496" i="51"/>
  <c r="R496" i="51"/>
  <c r="Q496" i="51"/>
  <c r="P496" i="51"/>
  <c r="O496" i="51"/>
  <c r="N496" i="51"/>
  <c r="M496" i="51"/>
  <c r="Z495" i="51"/>
  <c r="Y495" i="51"/>
  <c r="X495" i="51"/>
  <c r="W495" i="51"/>
  <c r="V495" i="51"/>
  <c r="U495" i="51"/>
  <c r="T495" i="51"/>
  <c r="S495" i="51"/>
  <c r="R495" i="51"/>
  <c r="Q495" i="51"/>
  <c r="P495" i="51"/>
  <c r="O495" i="51"/>
  <c r="N495" i="51"/>
  <c r="M495" i="51"/>
  <c r="Z494" i="51"/>
  <c r="Y494" i="51"/>
  <c r="X494" i="51"/>
  <c r="W494" i="51"/>
  <c r="V494" i="51"/>
  <c r="U494" i="51"/>
  <c r="T494" i="51"/>
  <c r="S494" i="51"/>
  <c r="R494" i="51"/>
  <c r="Q494" i="51"/>
  <c r="P494" i="51"/>
  <c r="O494" i="51"/>
  <c r="N494" i="51"/>
  <c r="M494" i="51"/>
  <c r="Z493" i="51"/>
  <c r="Y493" i="51"/>
  <c r="X493" i="51"/>
  <c r="W493" i="51"/>
  <c r="V493" i="51"/>
  <c r="U493" i="51"/>
  <c r="T493" i="51"/>
  <c r="S493" i="51"/>
  <c r="R493" i="51"/>
  <c r="Q493" i="51"/>
  <c r="P493" i="51"/>
  <c r="O493" i="51"/>
  <c r="N493" i="51"/>
  <c r="M493" i="51"/>
  <c r="Z492" i="51"/>
  <c r="Y492" i="51"/>
  <c r="X492" i="51"/>
  <c r="W492" i="51"/>
  <c r="V492" i="51"/>
  <c r="U492" i="51"/>
  <c r="T492" i="51"/>
  <c r="S492" i="51"/>
  <c r="R492" i="51"/>
  <c r="Q492" i="51"/>
  <c r="P492" i="51"/>
  <c r="O492" i="51"/>
  <c r="N492" i="51"/>
  <c r="M492" i="51"/>
  <c r="Z491" i="51"/>
  <c r="Y491" i="51"/>
  <c r="X491" i="51"/>
  <c r="W491" i="51"/>
  <c r="V491" i="51"/>
  <c r="U491" i="51"/>
  <c r="T491" i="51"/>
  <c r="S491" i="51"/>
  <c r="R491" i="51"/>
  <c r="Q491" i="51"/>
  <c r="P491" i="51"/>
  <c r="O491" i="51"/>
  <c r="N491" i="51"/>
  <c r="M491" i="51"/>
  <c r="Z490" i="51"/>
  <c r="Y490" i="51"/>
  <c r="X490" i="51"/>
  <c r="W490" i="51"/>
  <c r="V490" i="51"/>
  <c r="U490" i="51"/>
  <c r="T490" i="51"/>
  <c r="S490" i="51"/>
  <c r="R490" i="51"/>
  <c r="Q490" i="51"/>
  <c r="P490" i="51"/>
  <c r="O490" i="51"/>
  <c r="N490" i="51"/>
  <c r="M490" i="51"/>
  <c r="Z489" i="51"/>
  <c r="Y489" i="51"/>
  <c r="X489" i="51"/>
  <c r="W489" i="51"/>
  <c r="V489" i="51"/>
  <c r="U489" i="51"/>
  <c r="T489" i="51"/>
  <c r="S489" i="51"/>
  <c r="R489" i="51"/>
  <c r="Q489" i="51"/>
  <c r="P489" i="51"/>
  <c r="O489" i="51"/>
  <c r="N489" i="51"/>
  <c r="M489" i="51"/>
  <c r="Z488" i="51"/>
  <c r="Y488" i="51"/>
  <c r="X488" i="51"/>
  <c r="W488" i="51"/>
  <c r="V488" i="51"/>
  <c r="U488" i="51"/>
  <c r="T488" i="51"/>
  <c r="S488" i="51"/>
  <c r="R488" i="51"/>
  <c r="Q488" i="51"/>
  <c r="P488" i="51"/>
  <c r="O488" i="51"/>
  <c r="N488" i="51"/>
  <c r="M488" i="51"/>
  <c r="Z487" i="51"/>
  <c r="Y487" i="51"/>
  <c r="X487" i="51"/>
  <c r="W487" i="51"/>
  <c r="V487" i="51"/>
  <c r="U487" i="51"/>
  <c r="T487" i="51"/>
  <c r="S487" i="51"/>
  <c r="R487" i="51"/>
  <c r="Q487" i="51"/>
  <c r="P487" i="51"/>
  <c r="O487" i="51"/>
  <c r="N487" i="51"/>
  <c r="M487" i="51"/>
  <c r="Z486" i="51"/>
  <c r="Y486" i="51"/>
  <c r="X486" i="51"/>
  <c r="W486" i="51"/>
  <c r="V486" i="51"/>
  <c r="U486" i="51"/>
  <c r="T486" i="51"/>
  <c r="S486" i="51"/>
  <c r="R486" i="51"/>
  <c r="Q486" i="51"/>
  <c r="P486" i="51"/>
  <c r="O486" i="51"/>
  <c r="N486" i="51"/>
  <c r="M486" i="51"/>
  <c r="Z485" i="51"/>
  <c r="Y485" i="51"/>
  <c r="X485" i="51"/>
  <c r="W485" i="51"/>
  <c r="V485" i="51"/>
  <c r="U485" i="51"/>
  <c r="T485" i="51"/>
  <c r="S485" i="51"/>
  <c r="R485" i="51"/>
  <c r="Q485" i="51"/>
  <c r="P485" i="51"/>
  <c r="O485" i="51"/>
  <c r="N485" i="51"/>
  <c r="M485" i="51"/>
  <c r="Z484" i="51"/>
  <c r="Y484" i="51"/>
  <c r="X484" i="51"/>
  <c r="W484" i="51"/>
  <c r="V484" i="51"/>
  <c r="U484" i="51"/>
  <c r="T484" i="51"/>
  <c r="S484" i="51"/>
  <c r="R484" i="51"/>
  <c r="Q484" i="51"/>
  <c r="P484" i="51"/>
  <c r="O484" i="51"/>
  <c r="N484" i="51"/>
  <c r="M484" i="51"/>
  <c r="Z483" i="51"/>
  <c r="Y483" i="51"/>
  <c r="X483" i="51"/>
  <c r="W483" i="51"/>
  <c r="V483" i="51"/>
  <c r="U483" i="51"/>
  <c r="T483" i="51"/>
  <c r="S483" i="51"/>
  <c r="R483" i="51"/>
  <c r="Q483" i="51"/>
  <c r="P483" i="51"/>
  <c r="O483" i="51"/>
  <c r="N483" i="51"/>
  <c r="M483" i="51"/>
  <c r="Z482" i="51"/>
  <c r="Y482" i="51"/>
  <c r="X482" i="51"/>
  <c r="W482" i="51"/>
  <c r="V482" i="51"/>
  <c r="U482" i="51"/>
  <c r="T482" i="51"/>
  <c r="S482" i="51"/>
  <c r="R482" i="51"/>
  <c r="Q482" i="51"/>
  <c r="P482" i="51"/>
  <c r="O482" i="51"/>
  <c r="N482" i="51"/>
  <c r="M482" i="51"/>
  <c r="Z481" i="51"/>
  <c r="Y481" i="51"/>
  <c r="X481" i="51"/>
  <c r="W481" i="51"/>
  <c r="V481" i="51"/>
  <c r="U481" i="51"/>
  <c r="T481" i="51"/>
  <c r="S481" i="51"/>
  <c r="R481" i="51"/>
  <c r="Q481" i="51"/>
  <c r="P481" i="51"/>
  <c r="O481" i="51"/>
  <c r="N481" i="51"/>
  <c r="M481" i="51"/>
  <c r="Z480" i="51"/>
  <c r="Y480" i="51"/>
  <c r="X480" i="51"/>
  <c r="W480" i="51"/>
  <c r="V480" i="51"/>
  <c r="U480" i="51"/>
  <c r="T480" i="51"/>
  <c r="S480" i="51"/>
  <c r="R480" i="51"/>
  <c r="Q480" i="51"/>
  <c r="P480" i="51"/>
  <c r="O480" i="51"/>
  <c r="N480" i="51"/>
  <c r="M480" i="51"/>
  <c r="Z479" i="51"/>
  <c r="Y479" i="51"/>
  <c r="X479" i="51"/>
  <c r="W479" i="51"/>
  <c r="V479" i="51"/>
  <c r="U479" i="51"/>
  <c r="T479" i="51"/>
  <c r="S479" i="51"/>
  <c r="R479" i="51"/>
  <c r="Q479" i="51"/>
  <c r="P479" i="51"/>
  <c r="O479" i="51"/>
  <c r="N479" i="51"/>
  <c r="M479" i="51"/>
  <c r="Z478" i="51"/>
  <c r="Y478" i="51"/>
  <c r="X478" i="51"/>
  <c r="W478" i="51"/>
  <c r="V478" i="51"/>
  <c r="U478" i="51"/>
  <c r="T478" i="51"/>
  <c r="S478" i="51"/>
  <c r="R478" i="51"/>
  <c r="Q478" i="51"/>
  <c r="P478" i="51"/>
  <c r="O478" i="51"/>
  <c r="N478" i="51"/>
  <c r="M478" i="51"/>
  <c r="Z477" i="51"/>
  <c r="Y477" i="51"/>
  <c r="X477" i="51"/>
  <c r="W477" i="51"/>
  <c r="V477" i="51"/>
  <c r="U477" i="51"/>
  <c r="T477" i="51"/>
  <c r="S477" i="51"/>
  <c r="R477" i="51"/>
  <c r="Q477" i="51"/>
  <c r="P477" i="51"/>
  <c r="O477" i="51"/>
  <c r="N477" i="51"/>
  <c r="M477" i="51"/>
  <c r="Z476" i="51"/>
  <c r="Y476" i="51"/>
  <c r="X476" i="51"/>
  <c r="W476" i="51"/>
  <c r="V476" i="51"/>
  <c r="U476" i="51"/>
  <c r="T476" i="51"/>
  <c r="S476" i="51"/>
  <c r="R476" i="51"/>
  <c r="Q476" i="51"/>
  <c r="P476" i="51"/>
  <c r="O476" i="51"/>
  <c r="N476" i="51"/>
  <c r="M476" i="51"/>
  <c r="Z475" i="51"/>
  <c r="Y475" i="51"/>
  <c r="X475" i="51"/>
  <c r="W475" i="51"/>
  <c r="V475" i="51"/>
  <c r="U475" i="51"/>
  <c r="T475" i="51"/>
  <c r="S475" i="51"/>
  <c r="R475" i="51"/>
  <c r="Q475" i="51"/>
  <c r="P475" i="51"/>
  <c r="O475" i="51"/>
  <c r="N475" i="51"/>
  <c r="M475" i="51"/>
  <c r="Z474" i="51"/>
  <c r="Y474" i="51"/>
  <c r="X474" i="51"/>
  <c r="W474" i="51"/>
  <c r="V474" i="51"/>
  <c r="U474" i="51"/>
  <c r="T474" i="51"/>
  <c r="S474" i="51"/>
  <c r="R474" i="51"/>
  <c r="Q474" i="51"/>
  <c r="P474" i="51"/>
  <c r="O474" i="51"/>
  <c r="N474" i="51"/>
  <c r="M474" i="51"/>
  <c r="Z473" i="51"/>
  <c r="Y473" i="51"/>
  <c r="X473" i="51"/>
  <c r="W473" i="51"/>
  <c r="V473" i="51"/>
  <c r="U473" i="51"/>
  <c r="T473" i="51"/>
  <c r="S473" i="51"/>
  <c r="R473" i="51"/>
  <c r="Q473" i="51"/>
  <c r="P473" i="51"/>
  <c r="O473" i="51"/>
  <c r="N473" i="51"/>
  <c r="M473" i="51"/>
  <c r="Z42" i="51"/>
  <c r="Y42" i="51"/>
  <c r="X42" i="51"/>
  <c r="W42" i="51"/>
  <c r="V42" i="51"/>
  <c r="U42" i="51"/>
  <c r="T42" i="51"/>
  <c r="S42" i="51"/>
  <c r="R42" i="51"/>
  <c r="Q42" i="51"/>
  <c r="P42" i="51"/>
  <c r="O42" i="51"/>
  <c r="N42" i="51"/>
  <c r="Z41" i="51"/>
  <c r="Y41" i="51"/>
  <c r="X41" i="51"/>
  <c r="W41" i="51"/>
  <c r="V41" i="51"/>
  <c r="U41" i="51"/>
  <c r="T41" i="51"/>
  <c r="R41" i="51"/>
  <c r="Q41" i="51"/>
  <c r="P41" i="51"/>
  <c r="O41" i="51"/>
  <c r="N41" i="51"/>
  <c r="M41" i="51"/>
  <c r="Z40" i="51"/>
  <c r="Y40" i="51"/>
  <c r="X40" i="51"/>
  <c r="W40" i="51"/>
  <c r="V40" i="51"/>
  <c r="U40" i="51"/>
  <c r="T40" i="51"/>
  <c r="S40" i="51"/>
  <c r="R40" i="51"/>
  <c r="Q40" i="51"/>
  <c r="P40" i="51"/>
  <c r="O40" i="51"/>
  <c r="N40" i="51"/>
  <c r="Z39" i="51"/>
  <c r="Y39" i="51"/>
  <c r="X39" i="51"/>
  <c r="W39" i="51"/>
  <c r="V39" i="51"/>
  <c r="U39" i="51"/>
  <c r="T39" i="51"/>
  <c r="R39" i="51"/>
  <c r="Q39" i="51"/>
  <c r="P39" i="51"/>
  <c r="O39" i="51"/>
  <c r="N39" i="51"/>
  <c r="M39" i="51"/>
  <c r="Z38" i="51"/>
  <c r="Y38" i="51"/>
  <c r="X38" i="51"/>
  <c r="W38" i="51"/>
  <c r="V38" i="51"/>
  <c r="U38" i="51"/>
  <c r="T38" i="51"/>
  <c r="S38" i="51"/>
  <c r="R38" i="51"/>
  <c r="Q38" i="51"/>
  <c r="P38" i="51"/>
  <c r="O38" i="51"/>
  <c r="N38" i="51"/>
  <c r="Z37" i="51"/>
  <c r="Y37" i="51"/>
  <c r="X37" i="51"/>
  <c r="W37" i="51"/>
  <c r="V37" i="51"/>
  <c r="U37" i="51"/>
  <c r="T37" i="51"/>
  <c r="R37" i="51"/>
  <c r="Q37" i="51"/>
  <c r="P37" i="51"/>
  <c r="O37" i="51"/>
  <c r="N37" i="51"/>
  <c r="M37" i="51"/>
  <c r="Z36" i="51"/>
  <c r="Y36" i="51"/>
  <c r="X36" i="51"/>
  <c r="W36" i="51"/>
  <c r="V36" i="51"/>
  <c r="U36" i="51"/>
  <c r="T36" i="51"/>
  <c r="R36" i="51"/>
  <c r="Q36" i="51"/>
  <c r="P36" i="51"/>
  <c r="O36" i="51"/>
  <c r="N36" i="51"/>
  <c r="M36" i="51"/>
  <c r="Z35" i="51"/>
  <c r="Y35" i="51"/>
  <c r="X35" i="51"/>
  <c r="W35" i="51"/>
  <c r="V35" i="51"/>
  <c r="U35" i="51"/>
  <c r="T35" i="51"/>
  <c r="R35" i="51"/>
  <c r="Q35" i="51"/>
  <c r="P35" i="51"/>
  <c r="O35" i="51"/>
  <c r="N35" i="51"/>
  <c r="M35" i="51"/>
  <c r="Z34" i="51"/>
  <c r="Y34" i="51"/>
  <c r="X34" i="51"/>
  <c r="W34" i="51"/>
  <c r="V34" i="51"/>
  <c r="U34" i="51"/>
  <c r="T34" i="51"/>
  <c r="S34" i="51"/>
  <c r="R34" i="51"/>
  <c r="Q34" i="51"/>
  <c r="P34" i="51"/>
  <c r="O34" i="51"/>
  <c r="N34" i="51"/>
  <c r="Z33" i="51"/>
  <c r="Y33" i="51"/>
  <c r="X33" i="51"/>
  <c r="W33" i="51"/>
  <c r="V33" i="51"/>
  <c r="U33" i="51"/>
  <c r="T33" i="51"/>
  <c r="R33" i="51"/>
  <c r="Q33" i="51"/>
  <c r="P33" i="51"/>
  <c r="O33" i="51"/>
  <c r="N33" i="51"/>
  <c r="M33" i="51"/>
  <c r="Z32" i="51"/>
  <c r="Y32" i="51"/>
  <c r="X32" i="51"/>
  <c r="W32" i="51"/>
  <c r="V32" i="51"/>
  <c r="U32" i="51"/>
  <c r="T32" i="51"/>
  <c r="S32" i="51"/>
  <c r="R32" i="51"/>
  <c r="Q32" i="51"/>
  <c r="P32" i="51"/>
  <c r="O32" i="51"/>
  <c r="N32" i="51"/>
  <c r="Z31" i="51"/>
  <c r="Y31" i="51"/>
  <c r="X31" i="51"/>
  <c r="W31" i="51"/>
  <c r="V31" i="51"/>
  <c r="U31" i="51"/>
  <c r="T31" i="51"/>
  <c r="S31" i="51"/>
  <c r="R31" i="51"/>
  <c r="Q31" i="51"/>
  <c r="P31" i="51"/>
  <c r="O31" i="51"/>
  <c r="N31" i="51"/>
  <c r="Z30" i="51"/>
  <c r="Y30" i="51"/>
  <c r="X30" i="51"/>
  <c r="W30" i="51"/>
  <c r="V30" i="51"/>
  <c r="U30" i="51"/>
  <c r="T30" i="51"/>
  <c r="R30" i="51"/>
  <c r="Q30" i="51"/>
  <c r="P30" i="51"/>
  <c r="O30" i="51"/>
  <c r="N30" i="51"/>
  <c r="M30" i="51"/>
  <c r="Z29" i="51"/>
  <c r="Y29" i="51"/>
  <c r="X29" i="51"/>
  <c r="W29" i="51"/>
  <c r="V29" i="51"/>
  <c r="U29" i="51"/>
  <c r="T29" i="51"/>
  <c r="R29" i="51"/>
  <c r="Q29" i="51"/>
  <c r="P29" i="51"/>
  <c r="O29" i="51"/>
  <c r="N29" i="51"/>
  <c r="M29" i="51"/>
  <c r="Z28" i="51"/>
  <c r="Y28" i="51"/>
  <c r="X28" i="51"/>
  <c r="W28" i="51"/>
  <c r="V28" i="51"/>
  <c r="U28" i="51"/>
  <c r="T28" i="51"/>
  <c r="S28" i="51"/>
  <c r="R28" i="51"/>
  <c r="Q28" i="51"/>
  <c r="P28" i="51"/>
  <c r="O28" i="51"/>
  <c r="N28" i="51"/>
  <c r="Z47" i="51"/>
  <c r="Y47" i="51"/>
  <c r="X47" i="51"/>
  <c r="W47" i="51"/>
  <c r="V47" i="51"/>
  <c r="U47" i="51"/>
  <c r="T47" i="51"/>
  <c r="S47" i="51"/>
  <c r="R47" i="51"/>
  <c r="Q47" i="51"/>
  <c r="P47" i="51"/>
  <c r="O47" i="51"/>
  <c r="N47" i="51"/>
  <c r="Z46" i="51"/>
  <c r="Y46" i="51"/>
  <c r="X46" i="51"/>
  <c r="W46" i="51"/>
  <c r="V46" i="51"/>
  <c r="U46" i="51"/>
  <c r="T46" i="51"/>
  <c r="S46" i="51"/>
  <c r="R46" i="51"/>
  <c r="Q46" i="51"/>
  <c r="P46" i="51"/>
  <c r="O46" i="51"/>
  <c r="N46" i="51"/>
  <c r="Z45" i="51"/>
  <c r="Y45" i="51"/>
  <c r="X45" i="51"/>
  <c r="W45" i="51"/>
  <c r="V45" i="51"/>
  <c r="U45" i="51"/>
  <c r="T45" i="51"/>
  <c r="R45" i="51"/>
  <c r="Q45" i="51"/>
  <c r="P45" i="51"/>
  <c r="O45" i="51"/>
  <c r="N45" i="51"/>
  <c r="M45" i="51"/>
  <c r="Z44" i="51"/>
  <c r="Y44" i="51"/>
  <c r="X44" i="51"/>
  <c r="W44" i="51"/>
  <c r="V44" i="51"/>
  <c r="U44" i="51"/>
  <c r="T44" i="51"/>
  <c r="R44" i="51"/>
  <c r="Q44" i="51"/>
  <c r="P44" i="51"/>
  <c r="O44" i="51"/>
  <c r="N44" i="51"/>
  <c r="M44" i="51"/>
  <c r="Z43" i="51"/>
  <c r="Y43" i="51"/>
  <c r="X43" i="51"/>
  <c r="W43" i="51"/>
  <c r="V43" i="51"/>
  <c r="U43" i="51"/>
  <c r="T43" i="51"/>
  <c r="S43" i="51"/>
  <c r="R43" i="51"/>
  <c r="Q43" i="51"/>
  <c r="P43" i="51"/>
  <c r="O43" i="51"/>
  <c r="N43" i="51"/>
  <c r="Z48" i="51"/>
  <c r="Y48" i="51"/>
  <c r="X48" i="51"/>
  <c r="W48" i="51"/>
  <c r="V48" i="51"/>
  <c r="U48" i="51"/>
  <c r="T48" i="51"/>
  <c r="R48" i="51"/>
  <c r="Q48" i="51"/>
  <c r="P48" i="51"/>
  <c r="O48" i="51"/>
  <c r="N48" i="51"/>
  <c r="M48" i="51"/>
  <c r="Z49" i="51"/>
  <c r="Y49" i="51"/>
  <c r="X49" i="51"/>
  <c r="W49" i="51"/>
  <c r="V49" i="51"/>
  <c r="U49" i="51"/>
  <c r="S49" i="51"/>
  <c r="R49" i="51"/>
  <c r="Q49" i="51"/>
  <c r="P49" i="51"/>
  <c r="O49" i="51"/>
  <c r="N49" i="51"/>
  <c r="M49" i="51"/>
  <c r="Z50" i="51"/>
  <c r="Y50" i="51"/>
  <c r="X50" i="51"/>
  <c r="W50" i="51"/>
  <c r="V50" i="51"/>
  <c r="U50" i="51"/>
  <c r="S50" i="51"/>
  <c r="R50" i="51"/>
  <c r="Q50" i="51"/>
  <c r="P50" i="51"/>
  <c r="O50" i="51"/>
  <c r="N50" i="51"/>
  <c r="M50" i="51"/>
  <c r="Z51" i="51"/>
  <c r="Y51" i="51"/>
  <c r="X51" i="51"/>
  <c r="W51" i="51"/>
  <c r="V51" i="51"/>
  <c r="U51" i="51"/>
  <c r="T51" i="51"/>
  <c r="R51" i="51"/>
  <c r="Q51" i="51"/>
  <c r="P51" i="51"/>
  <c r="O51" i="51"/>
  <c r="N51" i="51"/>
  <c r="M51" i="51"/>
  <c r="Z54" i="51"/>
  <c r="Y54" i="51"/>
  <c r="X54" i="51"/>
  <c r="W54" i="51"/>
  <c r="V54" i="51"/>
  <c r="U54" i="51"/>
  <c r="T54" i="51"/>
  <c r="S54" i="51"/>
  <c r="R54" i="51"/>
  <c r="Q54" i="51"/>
  <c r="P54" i="51"/>
  <c r="O54" i="51"/>
  <c r="N54" i="51"/>
  <c r="Z53" i="51"/>
  <c r="Y53" i="51"/>
  <c r="X53" i="51"/>
  <c r="W53" i="51"/>
  <c r="V53" i="51"/>
  <c r="U53" i="51"/>
  <c r="T53" i="51"/>
  <c r="R53" i="51"/>
  <c r="Q53" i="51"/>
  <c r="P53" i="51"/>
  <c r="O53" i="51"/>
  <c r="N53" i="51"/>
  <c r="M53" i="51"/>
  <c r="Z52" i="51"/>
  <c r="Y52" i="51"/>
  <c r="X52" i="51"/>
  <c r="W52" i="51"/>
  <c r="V52" i="51"/>
  <c r="U52" i="51"/>
  <c r="T52" i="51"/>
  <c r="S52" i="51"/>
  <c r="R52" i="51"/>
  <c r="Q52" i="51"/>
  <c r="P52" i="51"/>
  <c r="O52" i="51"/>
  <c r="N52" i="51"/>
  <c r="Z55" i="51"/>
  <c r="Y55" i="51"/>
  <c r="X55" i="51"/>
  <c r="W55" i="51"/>
  <c r="V55" i="51"/>
  <c r="U55" i="51"/>
  <c r="T55" i="51"/>
  <c r="S55" i="51"/>
  <c r="R55" i="51"/>
  <c r="Q55" i="51"/>
  <c r="P55" i="51"/>
  <c r="O55" i="51"/>
  <c r="N55" i="51"/>
  <c r="Z74" i="51"/>
  <c r="Y74" i="51"/>
  <c r="X74" i="51"/>
  <c r="W74" i="51"/>
  <c r="V74" i="51"/>
  <c r="U74" i="51"/>
  <c r="T74" i="51"/>
  <c r="S74" i="51"/>
  <c r="R74" i="51"/>
  <c r="Q74" i="51"/>
  <c r="P74" i="51"/>
  <c r="O74" i="51"/>
  <c r="N74" i="51"/>
  <c r="M74" i="51"/>
  <c r="Z73" i="51"/>
  <c r="Y73" i="51"/>
  <c r="X73" i="51"/>
  <c r="W73" i="51"/>
  <c r="V73" i="51"/>
  <c r="U73" i="51"/>
  <c r="T73" i="51"/>
  <c r="S73" i="51"/>
  <c r="R73" i="51"/>
  <c r="Q73" i="51"/>
  <c r="P73" i="51"/>
  <c r="O73" i="51"/>
  <c r="N73" i="51"/>
  <c r="Z72" i="51"/>
  <c r="Y72" i="51"/>
  <c r="X72" i="51"/>
  <c r="W72" i="51"/>
  <c r="V72" i="51"/>
  <c r="U72" i="51"/>
  <c r="T72" i="51"/>
  <c r="S72" i="51"/>
  <c r="R72" i="51"/>
  <c r="Q72" i="51"/>
  <c r="P72" i="51"/>
  <c r="O72" i="51"/>
  <c r="N72" i="51"/>
  <c r="Z71" i="51"/>
  <c r="Y71" i="51"/>
  <c r="X71" i="51"/>
  <c r="W71" i="51"/>
  <c r="V71" i="51"/>
  <c r="U71" i="51"/>
  <c r="T71" i="51"/>
  <c r="R71" i="51"/>
  <c r="Q71" i="51"/>
  <c r="P71" i="51"/>
  <c r="O71" i="51"/>
  <c r="N71" i="51"/>
  <c r="M71" i="51"/>
  <c r="Z70" i="51"/>
  <c r="Y70" i="51"/>
  <c r="X70" i="51"/>
  <c r="W70" i="51"/>
  <c r="V70" i="51"/>
  <c r="U70" i="51"/>
  <c r="T70" i="51"/>
  <c r="S70" i="51"/>
  <c r="R70" i="51"/>
  <c r="Q70" i="51"/>
  <c r="P70" i="51"/>
  <c r="O70" i="51"/>
  <c r="N70" i="51"/>
  <c r="Z69" i="51"/>
  <c r="Y69" i="51"/>
  <c r="X69" i="51"/>
  <c r="W69" i="51"/>
  <c r="V69" i="51"/>
  <c r="U69" i="51"/>
  <c r="T69" i="51"/>
  <c r="S69" i="51"/>
  <c r="R69" i="51"/>
  <c r="Q69" i="51"/>
  <c r="P69" i="51"/>
  <c r="O69" i="51"/>
  <c r="N69" i="51"/>
  <c r="Z68" i="51"/>
  <c r="Y68" i="51"/>
  <c r="X68" i="51"/>
  <c r="W68" i="51"/>
  <c r="V68" i="51"/>
  <c r="U68" i="51"/>
  <c r="T68" i="51"/>
  <c r="R68" i="51"/>
  <c r="Q68" i="51"/>
  <c r="P68" i="51"/>
  <c r="O68" i="51"/>
  <c r="N68" i="51"/>
  <c r="M68" i="51"/>
  <c r="Z67" i="51"/>
  <c r="Y67" i="51"/>
  <c r="X67" i="51"/>
  <c r="W67" i="51"/>
  <c r="V67" i="51"/>
  <c r="U67" i="51"/>
  <c r="T67" i="51"/>
  <c r="S67" i="51"/>
  <c r="R67" i="51"/>
  <c r="Q67" i="51"/>
  <c r="P67" i="51"/>
  <c r="O67" i="51"/>
  <c r="N67" i="51"/>
  <c r="Z66" i="51"/>
  <c r="Y66" i="51"/>
  <c r="X66" i="51"/>
  <c r="W66" i="51"/>
  <c r="V66" i="51"/>
  <c r="U66" i="51"/>
  <c r="T66" i="51"/>
  <c r="R66" i="51"/>
  <c r="Q66" i="51"/>
  <c r="P66" i="51"/>
  <c r="O66" i="51"/>
  <c r="N66" i="51"/>
  <c r="M66" i="51"/>
  <c r="Z65" i="51"/>
  <c r="Y65" i="51"/>
  <c r="X65" i="51"/>
  <c r="W65" i="51"/>
  <c r="V65" i="51"/>
  <c r="U65" i="51"/>
  <c r="T65" i="51"/>
  <c r="R65" i="51"/>
  <c r="Q65" i="51"/>
  <c r="P65" i="51"/>
  <c r="O65" i="51"/>
  <c r="N65" i="51"/>
  <c r="M65" i="51"/>
  <c r="Z64" i="51"/>
  <c r="Y64" i="51"/>
  <c r="X64" i="51"/>
  <c r="W64" i="51"/>
  <c r="V64" i="51"/>
  <c r="U64" i="51"/>
  <c r="T64" i="51"/>
  <c r="R64" i="51"/>
  <c r="Q64" i="51"/>
  <c r="P64" i="51"/>
  <c r="O64" i="51"/>
  <c r="N64" i="51"/>
  <c r="M64" i="51"/>
  <c r="Z63" i="51"/>
  <c r="Y63" i="51"/>
  <c r="X63" i="51"/>
  <c r="W63" i="51"/>
  <c r="V63" i="51"/>
  <c r="U63" i="51"/>
  <c r="T63" i="51"/>
  <c r="R63" i="51"/>
  <c r="Q63" i="51"/>
  <c r="P63" i="51"/>
  <c r="O63" i="51"/>
  <c r="N63" i="51"/>
  <c r="M63" i="51"/>
  <c r="Z62" i="51"/>
  <c r="Y62" i="51"/>
  <c r="X62" i="51"/>
  <c r="W62" i="51"/>
  <c r="V62" i="51"/>
  <c r="U62" i="51"/>
  <c r="T62" i="51"/>
  <c r="S62" i="51"/>
  <c r="R62" i="51"/>
  <c r="Q62" i="51"/>
  <c r="P62" i="51"/>
  <c r="O62" i="51"/>
  <c r="N62" i="51"/>
  <c r="Z61" i="51"/>
  <c r="Y61" i="51"/>
  <c r="X61" i="51"/>
  <c r="W61" i="51"/>
  <c r="V61" i="51"/>
  <c r="U61" i="51"/>
  <c r="T61" i="51"/>
  <c r="S61" i="51"/>
  <c r="R61" i="51"/>
  <c r="Q61" i="51"/>
  <c r="P61" i="51"/>
  <c r="O61" i="51"/>
  <c r="N61" i="51"/>
  <c r="Z60" i="51"/>
  <c r="Y60" i="51"/>
  <c r="X60" i="51"/>
  <c r="W60" i="51"/>
  <c r="V60" i="51"/>
  <c r="U60" i="51"/>
  <c r="T60" i="51"/>
  <c r="R60" i="51"/>
  <c r="Q60" i="51"/>
  <c r="P60" i="51"/>
  <c r="O60" i="51"/>
  <c r="N60" i="51"/>
  <c r="M60" i="51"/>
  <c r="Z59" i="51"/>
  <c r="Y59" i="51"/>
  <c r="X59" i="51"/>
  <c r="W59" i="51"/>
  <c r="V59" i="51"/>
  <c r="U59" i="51"/>
  <c r="T59" i="51"/>
  <c r="R59" i="51"/>
  <c r="Q59" i="51"/>
  <c r="P59" i="51"/>
  <c r="O59" i="51"/>
  <c r="N59" i="51"/>
  <c r="M59" i="51"/>
  <c r="Z58" i="51"/>
  <c r="Y58" i="51"/>
  <c r="X58" i="51"/>
  <c r="W58" i="51"/>
  <c r="V58" i="51"/>
  <c r="U58" i="51"/>
  <c r="T58" i="51"/>
  <c r="S58" i="51"/>
  <c r="R58" i="51"/>
  <c r="Q58" i="51"/>
  <c r="P58" i="51"/>
  <c r="O58" i="51"/>
  <c r="N58" i="51"/>
  <c r="Z57" i="51"/>
  <c r="Y57" i="51"/>
  <c r="X57" i="51"/>
  <c r="W57" i="51"/>
  <c r="V57" i="51"/>
  <c r="U57" i="51"/>
  <c r="T57" i="51"/>
  <c r="S57" i="51"/>
  <c r="R57" i="51"/>
  <c r="Q57" i="51"/>
  <c r="P57" i="51"/>
  <c r="O57" i="51"/>
  <c r="N57" i="51"/>
  <c r="Z56" i="51"/>
  <c r="Y56" i="51"/>
  <c r="X56" i="51"/>
  <c r="W56" i="51"/>
  <c r="V56" i="51"/>
  <c r="U56" i="51"/>
  <c r="T56" i="51"/>
  <c r="R56" i="51"/>
  <c r="Q56" i="51"/>
  <c r="P56" i="51"/>
  <c r="O56" i="51"/>
  <c r="N56" i="51"/>
  <c r="M56" i="51"/>
  <c r="Z78" i="51"/>
  <c r="Y78" i="51"/>
  <c r="X78" i="51"/>
  <c r="W78" i="51"/>
  <c r="V78" i="51"/>
  <c r="U78" i="51"/>
  <c r="S78" i="51"/>
  <c r="R78" i="51"/>
  <c r="Q78" i="51"/>
  <c r="P78" i="51"/>
  <c r="O78" i="51"/>
  <c r="N78" i="51"/>
  <c r="M78" i="51"/>
  <c r="Z77" i="51"/>
  <c r="Y77" i="51"/>
  <c r="X77" i="51"/>
  <c r="W77" i="51"/>
  <c r="V77" i="51"/>
  <c r="U77" i="51"/>
  <c r="T77" i="51"/>
  <c r="R77" i="51"/>
  <c r="Q77" i="51"/>
  <c r="P77" i="51"/>
  <c r="O77" i="51"/>
  <c r="N77" i="51"/>
  <c r="M77" i="51"/>
  <c r="Z76" i="51"/>
  <c r="Y76" i="51"/>
  <c r="X76" i="51"/>
  <c r="W76" i="51"/>
  <c r="V76" i="51"/>
  <c r="U76" i="51"/>
  <c r="T76" i="51"/>
  <c r="R76" i="51"/>
  <c r="Q76" i="51"/>
  <c r="P76" i="51"/>
  <c r="O76" i="51"/>
  <c r="N76" i="51"/>
  <c r="M76" i="51"/>
  <c r="Z75" i="51"/>
  <c r="Y75" i="51"/>
  <c r="X75" i="51"/>
  <c r="W75" i="51"/>
  <c r="V75" i="51"/>
  <c r="U75" i="51"/>
  <c r="T75" i="51"/>
  <c r="S75" i="51"/>
  <c r="R75" i="51"/>
  <c r="Q75" i="51"/>
  <c r="P75" i="51"/>
  <c r="O75" i="51"/>
  <c r="N75" i="51"/>
  <c r="Z82" i="51"/>
  <c r="Y82" i="51"/>
  <c r="X82" i="51"/>
  <c r="W82" i="51"/>
  <c r="V82" i="51"/>
  <c r="U82" i="51"/>
  <c r="S82" i="51"/>
  <c r="R82" i="51"/>
  <c r="Q82" i="51"/>
  <c r="P82" i="51"/>
  <c r="O82" i="51"/>
  <c r="N82" i="51"/>
  <c r="M82" i="51"/>
  <c r="Z81" i="51"/>
  <c r="Y81" i="51"/>
  <c r="X81" i="51"/>
  <c r="W81" i="51"/>
  <c r="V81" i="51"/>
  <c r="U81" i="51"/>
  <c r="T81" i="51"/>
  <c r="R81" i="51"/>
  <c r="Q81" i="51"/>
  <c r="P81" i="51"/>
  <c r="O81" i="51"/>
  <c r="N81" i="51"/>
  <c r="M81" i="51"/>
  <c r="Z80" i="51"/>
  <c r="Y80" i="51"/>
  <c r="X80" i="51"/>
  <c r="W80" i="51"/>
  <c r="V80" i="51"/>
  <c r="U80" i="51"/>
  <c r="T80" i="51"/>
  <c r="R80" i="51"/>
  <c r="Q80" i="51"/>
  <c r="P80" i="51"/>
  <c r="O80" i="51"/>
  <c r="N80" i="51"/>
  <c r="M80" i="51"/>
  <c r="Z79" i="51"/>
  <c r="Y79" i="51"/>
  <c r="X79" i="51"/>
  <c r="W79" i="51"/>
  <c r="V79" i="51"/>
  <c r="U79" i="51"/>
  <c r="T79" i="51"/>
  <c r="R79" i="51"/>
  <c r="Q79" i="51"/>
  <c r="P79" i="51"/>
  <c r="O79" i="51"/>
  <c r="N79" i="51"/>
  <c r="M79" i="51"/>
  <c r="Z84" i="51"/>
  <c r="Y84" i="51"/>
  <c r="X84" i="51"/>
  <c r="W84" i="51"/>
  <c r="V84" i="51"/>
  <c r="U84" i="51"/>
  <c r="T84" i="51"/>
  <c r="R84" i="51"/>
  <c r="Q84" i="51"/>
  <c r="P84" i="51"/>
  <c r="O84" i="51"/>
  <c r="N84" i="51"/>
  <c r="M84" i="51"/>
  <c r="Z83" i="51"/>
  <c r="Y83" i="51"/>
  <c r="X83" i="51"/>
  <c r="W83" i="51"/>
  <c r="V83" i="51"/>
  <c r="U83" i="51"/>
  <c r="T83" i="51"/>
  <c r="R83" i="51"/>
  <c r="Q83" i="51"/>
  <c r="P83" i="51"/>
  <c r="O83" i="51"/>
  <c r="N83" i="51"/>
  <c r="M83" i="51"/>
  <c r="Z85" i="51"/>
  <c r="Y85" i="51"/>
  <c r="X85" i="51"/>
  <c r="W85" i="51"/>
  <c r="V85" i="51"/>
  <c r="U85" i="51"/>
  <c r="T85" i="51"/>
  <c r="R85" i="51"/>
  <c r="Q85" i="51"/>
  <c r="P85" i="51"/>
  <c r="O85" i="51"/>
  <c r="N85" i="51"/>
  <c r="M85" i="51"/>
  <c r="Z89" i="51"/>
  <c r="Y89" i="51"/>
  <c r="X89" i="51"/>
  <c r="W89" i="51"/>
  <c r="V89" i="51"/>
  <c r="U89" i="51"/>
  <c r="T89" i="51"/>
  <c r="R89" i="51"/>
  <c r="Q89" i="51"/>
  <c r="P89" i="51"/>
  <c r="O89" i="51"/>
  <c r="N89" i="51"/>
  <c r="M89" i="51"/>
  <c r="Z88" i="51"/>
  <c r="Y88" i="51"/>
  <c r="X88" i="51"/>
  <c r="W88" i="51"/>
  <c r="V88" i="51"/>
  <c r="U88" i="51"/>
  <c r="S88" i="51"/>
  <c r="R88" i="51"/>
  <c r="Q88" i="51"/>
  <c r="P88" i="51"/>
  <c r="O88" i="51"/>
  <c r="N88" i="51"/>
  <c r="M88" i="51"/>
  <c r="Z87" i="51"/>
  <c r="Y87" i="51"/>
  <c r="X87" i="51"/>
  <c r="W87" i="51"/>
  <c r="V87" i="51"/>
  <c r="U87" i="51"/>
  <c r="T87" i="51"/>
  <c r="R87" i="51"/>
  <c r="Q87" i="51"/>
  <c r="P87" i="51"/>
  <c r="O87" i="51"/>
  <c r="N87" i="51"/>
  <c r="M87" i="51"/>
  <c r="Z86" i="51"/>
  <c r="Y86" i="51"/>
  <c r="X86" i="51"/>
  <c r="W86" i="51"/>
  <c r="V86" i="51"/>
  <c r="U86" i="51"/>
  <c r="T86" i="51"/>
  <c r="R86" i="51"/>
  <c r="Q86" i="51"/>
  <c r="P86" i="51"/>
  <c r="O86" i="51"/>
  <c r="N86" i="51"/>
  <c r="M86" i="51"/>
  <c r="Z91" i="51"/>
  <c r="Y91" i="51"/>
  <c r="X91" i="51"/>
  <c r="W91" i="51"/>
  <c r="V91" i="51"/>
  <c r="U91" i="51"/>
  <c r="T91" i="51"/>
  <c r="R91" i="51"/>
  <c r="Q91" i="51"/>
  <c r="P91" i="51"/>
  <c r="O91" i="51"/>
  <c r="N91" i="51"/>
  <c r="M91" i="51"/>
  <c r="Z90" i="51"/>
  <c r="Y90" i="51"/>
  <c r="X90" i="51"/>
  <c r="W90" i="51"/>
  <c r="V90" i="51"/>
  <c r="U90" i="51"/>
  <c r="T90" i="51"/>
  <c r="R90" i="51"/>
  <c r="Q90" i="51"/>
  <c r="P90" i="51"/>
  <c r="O90" i="51"/>
  <c r="N90" i="51"/>
  <c r="M90" i="51"/>
  <c r="Z92" i="51"/>
  <c r="Y92" i="51"/>
  <c r="X92" i="51"/>
  <c r="W92" i="51"/>
  <c r="V92" i="51"/>
  <c r="U92" i="51"/>
  <c r="T92" i="51"/>
  <c r="R92" i="51"/>
  <c r="Q92" i="51"/>
  <c r="P92" i="51"/>
  <c r="O92" i="51"/>
  <c r="N92" i="51"/>
  <c r="M92" i="51"/>
  <c r="Z94" i="51"/>
  <c r="Y94" i="51"/>
  <c r="X94" i="51"/>
  <c r="W94" i="51"/>
  <c r="V94" i="51"/>
  <c r="U94" i="51"/>
  <c r="T94" i="51"/>
  <c r="R94" i="51"/>
  <c r="Q94" i="51"/>
  <c r="P94" i="51"/>
  <c r="O94" i="51"/>
  <c r="N94" i="51"/>
  <c r="M94" i="51"/>
  <c r="Z93" i="51"/>
  <c r="Y93" i="51"/>
  <c r="X93" i="51"/>
  <c r="W93" i="51"/>
  <c r="V93" i="51"/>
  <c r="U93" i="51"/>
  <c r="T93" i="51"/>
  <c r="R93" i="51"/>
  <c r="Q93" i="51"/>
  <c r="P93" i="51"/>
  <c r="O93" i="51"/>
  <c r="N93" i="51"/>
  <c r="M93" i="51"/>
  <c r="Z96" i="51"/>
  <c r="Y96" i="51"/>
  <c r="X96" i="51"/>
  <c r="W96" i="51"/>
  <c r="V96" i="51"/>
  <c r="U96" i="51"/>
  <c r="T96" i="51"/>
  <c r="R96" i="51"/>
  <c r="Q96" i="51"/>
  <c r="P96" i="51"/>
  <c r="O96" i="51"/>
  <c r="N96" i="51"/>
  <c r="M96" i="51"/>
  <c r="Z95" i="51"/>
  <c r="Y95" i="51"/>
  <c r="X95" i="51"/>
  <c r="W95" i="51"/>
  <c r="V95" i="51"/>
  <c r="U95" i="51"/>
  <c r="T95" i="51"/>
  <c r="R95" i="51"/>
  <c r="Q95" i="51"/>
  <c r="P95" i="51"/>
  <c r="O95" i="51"/>
  <c r="N95" i="51"/>
  <c r="M95" i="51"/>
  <c r="Z98" i="51"/>
  <c r="Y98" i="51"/>
  <c r="X98" i="51"/>
  <c r="W98" i="51"/>
  <c r="V98" i="51"/>
  <c r="U98" i="51"/>
  <c r="T98" i="51"/>
  <c r="S98" i="51"/>
  <c r="R98" i="51"/>
  <c r="Q98" i="51"/>
  <c r="P98" i="51"/>
  <c r="O98" i="51"/>
  <c r="N98" i="51"/>
  <c r="Z97" i="51"/>
  <c r="Y97" i="51"/>
  <c r="X97" i="51"/>
  <c r="W97" i="51"/>
  <c r="V97" i="51"/>
  <c r="U97" i="51"/>
  <c r="T97" i="51"/>
  <c r="R97" i="51"/>
  <c r="Q97" i="51"/>
  <c r="P97" i="51"/>
  <c r="O97" i="51"/>
  <c r="N97" i="51"/>
  <c r="M97" i="51"/>
  <c r="Z99" i="51"/>
  <c r="Y99" i="51"/>
  <c r="X99" i="51"/>
  <c r="W99" i="51"/>
  <c r="V99" i="51"/>
  <c r="U99" i="51"/>
  <c r="T99" i="51"/>
  <c r="S99" i="51"/>
  <c r="R99" i="51"/>
  <c r="Q99" i="51"/>
  <c r="P99" i="51"/>
  <c r="O99" i="51"/>
  <c r="N99" i="51"/>
  <c r="Z101" i="51"/>
  <c r="Y101" i="51"/>
  <c r="X101" i="51"/>
  <c r="W101" i="51"/>
  <c r="V101" i="51"/>
  <c r="U101" i="51"/>
  <c r="S101" i="51"/>
  <c r="R101" i="51"/>
  <c r="Q101" i="51"/>
  <c r="P101" i="51"/>
  <c r="O101" i="51"/>
  <c r="N101" i="51"/>
  <c r="M101" i="51"/>
  <c r="Z100" i="51"/>
  <c r="Y100" i="51"/>
  <c r="X100" i="51"/>
  <c r="W100" i="51"/>
  <c r="V100" i="51"/>
  <c r="U100" i="51"/>
  <c r="T100" i="51"/>
  <c r="S100" i="51"/>
  <c r="R100" i="51"/>
  <c r="Q100" i="51"/>
  <c r="P100" i="51"/>
  <c r="O100" i="51"/>
  <c r="N100" i="51"/>
  <c r="Z121" i="51"/>
  <c r="Y121" i="51"/>
  <c r="X121" i="51"/>
  <c r="W121" i="51"/>
  <c r="V121" i="51"/>
  <c r="U121" i="51"/>
  <c r="T121" i="51"/>
  <c r="S121" i="51"/>
  <c r="R121" i="51"/>
  <c r="Q121" i="51"/>
  <c r="P121" i="51"/>
  <c r="O121" i="51"/>
  <c r="N121" i="51"/>
  <c r="M121" i="51"/>
  <c r="Z120" i="51"/>
  <c r="Y120" i="51"/>
  <c r="X120" i="51"/>
  <c r="W120" i="51"/>
  <c r="V120" i="51"/>
  <c r="U120" i="51"/>
  <c r="T120" i="51"/>
  <c r="R120" i="51"/>
  <c r="Q120" i="51"/>
  <c r="P120" i="51"/>
  <c r="O120" i="51"/>
  <c r="N120" i="51"/>
  <c r="M120" i="51"/>
  <c r="Z119" i="51"/>
  <c r="Y119" i="51"/>
  <c r="X119" i="51"/>
  <c r="W119" i="51"/>
  <c r="V119" i="51"/>
  <c r="U119" i="51"/>
  <c r="T119" i="51"/>
  <c r="S119" i="51"/>
  <c r="R119" i="51"/>
  <c r="Q119" i="51"/>
  <c r="P119" i="51"/>
  <c r="O119" i="51"/>
  <c r="N119" i="51"/>
  <c r="Z118" i="51"/>
  <c r="Y118" i="51"/>
  <c r="X118" i="51"/>
  <c r="W118" i="51"/>
  <c r="V118" i="51"/>
  <c r="U118" i="51"/>
  <c r="T118" i="51"/>
  <c r="S118" i="51"/>
  <c r="R118" i="51"/>
  <c r="Q118" i="51"/>
  <c r="P118" i="51"/>
  <c r="O118" i="51"/>
  <c r="N118" i="51"/>
  <c r="Z117" i="51"/>
  <c r="Y117" i="51"/>
  <c r="X117" i="51"/>
  <c r="W117" i="51"/>
  <c r="V117" i="51"/>
  <c r="U117" i="51"/>
  <c r="T117" i="51"/>
  <c r="R117" i="51"/>
  <c r="Q117" i="51"/>
  <c r="P117" i="51"/>
  <c r="O117" i="51"/>
  <c r="N117" i="51"/>
  <c r="M117" i="51"/>
  <c r="Z116" i="51"/>
  <c r="Y116" i="51"/>
  <c r="X116" i="51"/>
  <c r="W116" i="51"/>
  <c r="V116" i="51"/>
  <c r="U116" i="51"/>
  <c r="T116" i="51"/>
  <c r="R116" i="51"/>
  <c r="Q116" i="51"/>
  <c r="P116" i="51"/>
  <c r="O116" i="51"/>
  <c r="N116" i="51"/>
  <c r="M116" i="51"/>
  <c r="Z115" i="51"/>
  <c r="Y115" i="51"/>
  <c r="X115" i="51"/>
  <c r="W115" i="51"/>
  <c r="V115" i="51"/>
  <c r="U115" i="51"/>
  <c r="T115" i="51"/>
  <c r="S115" i="51"/>
  <c r="R115" i="51"/>
  <c r="Q115" i="51"/>
  <c r="P115" i="51"/>
  <c r="O115" i="51"/>
  <c r="N115" i="51"/>
  <c r="Z114" i="51"/>
  <c r="Y114" i="51"/>
  <c r="X114" i="51"/>
  <c r="W114" i="51"/>
  <c r="V114" i="51"/>
  <c r="U114" i="51"/>
  <c r="T114" i="51"/>
  <c r="S114" i="51"/>
  <c r="R114" i="51"/>
  <c r="Q114" i="51"/>
  <c r="P114" i="51"/>
  <c r="O114" i="51"/>
  <c r="N114" i="51"/>
  <c r="Z113" i="51"/>
  <c r="Y113" i="51"/>
  <c r="X113" i="51"/>
  <c r="W113" i="51"/>
  <c r="V113" i="51"/>
  <c r="U113" i="51"/>
  <c r="T113" i="51"/>
  <c r="R113" i="51"/>
  <c r="Q113" i="51"/>
  <c r="P113" i="51"/>
  <c r="O113" i="51"/>
  <c r="N113" i="51"/>
  <c r="M113" i="51"/>
  <c r="Z112" i="51"/>
  <c r="Y112" i="51"/>
  <c r="X112" i="51"/>
  <c r="W112" i="51"/>
  <c r="V112" i="51"/>
  <c r="U112" i="51"/>
  <c r="T112" i="51"/>
  <c r="R112" i="51"/>
  <c r="Q112" i="51"/>
  <c r="P112" i="51"/>
  <c r="O112" i="51"/>
  <c r="N112" i="51"/>
  <c r="M112" i="51"/>
  <c r="Z111" i="51"/>
  <c r="Y111" i="51"/>
  <c r="X111" i="51"/>
  <c r="W111" i="51"/>
  <c r="V111" i="51"/>
  <c r="U111" i="51"/>
  <c r="T111" i="51"/>
  <c r="R111" i="51"/>
  <c r="Q111" i="51"/>
  <c r="P111" i="51"/>
  <c r="O111" i="51"/>
  <c r="N111" i="51"/>
  <c r="M111" i="51"/>
  <c r="Z110" i="51"/>
  <c r="Y110" i="51"/>
  <c r="X110" i="51"/>
  <c r="W110" i="51"/>
  <c r="V110" i="51"/>
  <c r="U110" i="51"/>
  <c r="T110" i="51"/>
  <c r="S110" i="51"/>
  <c r="R110" i="51"/>
  <c r="Q110" i="51"/>
  <c r="P110" i="51"/>
  <c r="O110" i="51"/>
  <c r="N110" i="51"/>
  <c r="Z109" i="51"/>
  <c r="Y109" i="51"/>
  <c r="X109" i="51"/>
  <c r="W109" i="51"/>
  <c r="V109" i="51"/>
  <c r="U109" i="51"/>
  <c r="T109" i="51"/>
  <c r="S109" i="51"/>
  <c r="R109" i="51"/>
  <c r="Q109" i="51"/>
  <c r="P109" i="51"/>
  <c r="O109" i="51"/>
  <c r="N109" i="51"/>
  <c r="Z108" i="51"/>
  <c r="Y108" i="51"/>
  <c r="X108" i="51"/>
  <c r="W108" i="51"/>
  <c r="V108" i="51"/>
  <c r="U108" i="51"/>
  <c r="T108" i="51"/>
  <c r="R108" i="51"/>
  <c r="Q108" i="51"/>
  <c r="P108" i="51"/>
  <c r="O108" i="51"/>
  <c r="N108" i="51"/>
  <c r="M108" i="51"/>
  <c r="Z107" i="51"/>
  <c r="Y107" i="51"/>
  <c r="X107" i="51"/>
  <c r="W107" i="51"/>
  <c r="V107" i="51"/>
  <c r="U107" i="51"/>
  <c r="T107" i="51"/>
  <c r="S107" i="51"/>
  <c r="R107" i="51"/>
  <c r="Q107" i="51"/>
  <c r="P107" i="51"/>
  <c r="O107" i="51"/>
  <c r="N107" i="51"/>
  <c r="Z106" i="51"/>
  <c r="Y106" i="51"/>
  <c r="X106" i="51"/>
  <c r="W106" i="51"/>
  <c r="V106" i="51"/>
  <c r="U106" i="51"/>
  <c r="T106" i="51"/>
  <c r="R106" i="51"/>
  <c r="Q106" i="51"/>
  <c r="P106" i="51"/>
  <c r="O106" i="51"/>
  <c r="N106" i="51"/>
  <c r="M106" i="51"/>
  <c r="Z105" i="51"/>
  <c r="Y105" i="51"/>
  <c r="X105" i="51"/>
  <c r="W105" i="51"/>
  <c r="V105" i="51"/>
  <c r="U105" i="51"/>
  <c r="T105" i="51"/>
  <c r="R105" i="51"/>
  <c r="Q105" i="51"/>
  <c r="P105" i="51"/>
  <c r="O105" i="51"/>
  <c r="N105" i="51"/>
  <c r="M105" i="51"/>
  <c r="Z104" i="51"/>
  <c r="Y104" i="51"/>
  <c r="X104" i="51"/>
  <c r="W104" i="51"/>
  <c r="V104" i="51"/>
  <c r="U104" i="51"/>
  <c r="T104" i="51"/>
  <c r="S104" i="51"/>
  <c r="R104" i="51"/>
  <c r="Q104" i="51"/>
  <c r="P104" i="51"/>
  <c r="O104" i="51"/>
  <c r="N104" i="51"/>
  <c r="Z103" i="51"/>
  <c r="Y103" i="51"/>
  <c r="X103" i="51"/>
  <c r="W103" i="51"/>
  <c r="V103" i="51"/>
  <c r="U103" i="51"/>
  <c r="T103" i="51"/>
  <c r="R103" i="51"/>
  <c r="Q103" i="51"/>
  <c r="P103" i="51"/>
  <c r="O103" i="51"/>
  <c r="N103" i="51"/>
  <c r="M103" i="51"/>
  <c r="Z102" i="51"/>
  <c r="Y102" i="51"/>
  <c r="X102" i="51"/>
  <c r="W102" i="51"/>
  <c r="V102" i="51"/>
  <c r="U102" i="51"/>
  <c r="T102" i="51"/>
  <c r="S102" i="51"/>
  <c r="R102" i="51"/>
  <c r="Q102" i="51"/>
  <c r="P102" i="51"/>
  <c r="O102" i="51"/>
  <c r="N102" i="51"/>
  <c r="Z125" i="51"/>
  <c r="Y125" i="51"/>
  <c r="X125" i="51"/>
  <c r="W125" i="51"/>
  <c r="V125" i="51"/>
  <c r="U125" i="51"/>
  <c r="T125" i="51"/>
  <c r="R125" i="51"/>
  <c r="Q125" i="51"/>
  <c r="P125" i="51"/>
  <c r="O125" i="51"/>
  <c r="N125" i="51"/>
  <c r="M125" i="51"/>
  <c r="Z124" i="51"/>
  <c r="Y124" i="51"/>
  <c r="X124" i="51"/>
  <c r="W124" i="51"/>
  <c r="V124" i="51"/>
  <c r="U124" i="51"/>
  <c r="T124" i="51"/>
  <c r="R124" i="51"/>
  <c r="Q124" i="51"/>
  <c r="P124" i="51"/>
  <c r="O124" i="51"/>
  <c r="N124" i="51"/>
  <c r="M124" i="51"/>
  <c r="Z123" i="51"/>
  <c r="Y123" i="51"/>
  <c r="X123" i="51"/>
  <c r="W123" i="51"/>
  <c r="V123" i="51"/>
  <c r="U123" i="51"/>
  <c r="T123" i="51"/>
  <c r="S123" i="51"/>
  <c r="R123" i="51"/>
  <c r="Q123" i="51"/>
  <c r="P123" i="51"/>
  <c r="O123" i="51"/>
  <c r="N123" i="51"/>
  <c r="Z122" i="51"/>
  <c r="Y122" i="51"/>
  <c r="X122" i="51"/>
  <c r="W122" i="51"/>
  <c r="V122" i="51"/>
  <c r="U122" i="51"/>
  <c r="T122" i="51"/>
  <c r="R122" i="51"/>
  <c r="Q122" i="51"/>
  <c r="P122" i="51"/>
  <c r="O122" i="51"/>
  <c r="N122" i="51"/>
  <c r="M122" i="51"/>
  <c r="Z128" i="51"/>
  <c r="Y128" i="51"/>
  <c r="X128" i="51"/>
  <c r="W128" i="51"/>
  <c r="V128" i="51"/>
  <c r="U128" i="51"/>
  <c r="S128" i="51"/>
  <c r="R128" i="51"/>
  <c r="Q128" i="51"/>
  <c r="P128" i="51"/>
  <c r="O128" i="51"/>
  <c r="N128" i="51"/>
  <c r="M128" i="51"/>
  <c r="Z127" i="51"/>
  <c r="Y127" i="51"/>
  <c r="X127" i="51"/>
  <c r="W127" i="51"/>
  <c r="V127" i="51"/>
  <c r="U127" i="51"/>
  <c r="T127" i="51"/>
  <c r="R127" i="51"/>
  <c r="Q127" i="51"/>
  <c r="P127" i="51"/>
  <c r="O127" i="51"/>
  <c r="N127" i="51"/>
  <c r="M127" i="51"/>
  <c r="Z126" i="51"/>
  <c r="Y126" i="51"/>
  <c r="X126" i="51"/>
  <c r="W126" i="51"/>
  <c r="V126" i="51"/>
  <c r="U126" i="51"/>
  <c r="T126" i="51"/>
  <c r="R126" i="51"/>
  <c r="Q126" i="51"/>
  <c r="P126" i="51"/>
  <c r="O126" i="51"/>
  <c r="N126" i="51"/>
  <c r="M126" i="51"/>
  <c r="Z132" i="51"/>
  <c r="Y132" i="51"/>
  <c r="X132" i="51"/>
  <c r="W132" i="51"/>
  <c r="V132" i="51"/>
  <c r="U132" i="51"/>
  <c r="T132" i="51"/>
  <c r="R132" i="51"/>
  <c r="Q132" i="51"/>
  <c r="P132" i="51"/>
  <c r="O132" i="51"/>
  <c r="N132" i="51"/>
  <c r="M132" i="51"/>
  <c r="Z131" i="51"/>
  <c r="Y131" i="51"/>
  <c r="X131" i="51"/>
  <c r="W131" i="51"/>
  <c r="V131" i="51"/>
  <c r="U131" i="51"/>
  <c r="T131" i="51"/>
  <c r="R131" i="51"/>
  <c r="Q131" i="51"/>
  <c r="P131" i="51"/>
  <c r="O131" i="51"/>
  <c r="N131" i="51"/>
  <c r="M131" i="51"/>
  <c r="Z130" i="51"/>
  <c r="Y130" i="51"/>
  <c r="X130" i="51"/>
  <c r="W130" i="51"/>
  <c r="V130" i="51"/>
  <c r="U130" i="51"/>
  <c r="T130" i="51"/>
  <c r="R130" i="51"/>
  <c r="Q130" i="51"/>
  <c r="P130" i="51"/>
  <c r="O130" i="51"/>
  <c r="N130" i="51"/>
  <c r="M130" i="51"/>
  <c r="Z129" i="51"/>
  <c r="Y129" i="51"/>
  <c r="X129" i="51"/>
  <c r="W129" i="51"/>
  <c r="V129" i="51"/>
  <c r="U129" i="51"/>
  <c r="T129" i="51"/>
  <c r="R129" i="51"/>
  <c r="Q129" i="51"/>
  <c r="P129" i="51"/>
  <c r="O129" i="51"/>
  <c r="N129" i="51"/>
  <c r="M129" i="51"/>
  <c r="Z135" i="51"/>
  <c r="Y135" i="51"/>
  <c r="X135" i="51"/>
  <c r="W135" i="51"/>
  <c r="V135" i="51"/>
  <c r="U135" i="51"/>
  <c r="S135" i="51"/>
  <c r="R135" i="51"/>
  <c r="Q135" i="51"/>
  <c r="P135" i="51"/>
  <c r="O135" i="51"/>
  <c r="N135" i="51"/>
  <c r="M135" i="51"/>
  <c r="Z134" i="51"/>
  <c r="Y134" i="51"/>
  <c r="X134" i="51"/>
  <c r="W134" i="51"/>
  <c r="V134" i="51"/>
  <c r="U134" i="51"/>
  <c r="S134" i="51"/>
  <c r="R134" i="51"/>
  <c r="Q134" i="51"/>
  <c r="P134" i="51"/>
  <c r="O134" i="51"/>
  <c r="N134" i="51"/>
  <c r="M134" i="51"/>
  <c r="Z133" i="51"/>
  <c r="Y133" i="51"/>
  <c r="X133" i="51"/>
  <c r="W133" i="51"/>
  <c r="V133" i="51"/>
  <c r="U133" i="51"/>
  <c r="T133" i="51"/>
  <c r="R133" i="51"/>
  <c r="Q133" i="51"/>
  <c r="P133" i="51"/>
  <c r="O133" i="51"/>
  <c r="N133" i="51"/>
  <c r="M133" i="51"/>
  <c r="Z136" i="51"/>
  <c r="Y136" i="51"/>
  <c r="X136" i="51"/>
  <c r="W136" i="51"/>
  <c r="V136" i="51"/>
  <c r="U136" i="51"/>
  <c r="T136" i="51"/>
  <c r="R136" i="51"/>
  <c r="Q136" i="51"/>
  <c r="P136" i="51"/>
  <c r="O136" i="51"/>
  <c r="N136" i="51"/>
  <c r="M136" i="51"/>
  <c r="Z139" i="51"/>
  <c r="Y139" i="51"/>
  <c r="X139" i="51"/>
  <c r="W139" i="51"/>
  <c r="V139" i="51"/>
  <c r="U139" i="51"/>
  <c r="T139" i="51"/>
  <c r="R139" i="51"/>
  <c r="Q139" i="51"/>
  <c r="P139" i="51"/>
  <c r="O139" i="51"/>
  <c r="N139" i="51"/>
  <c r="M139" i="51"/>
  <c r="Z138" i="51"/>
  <c r="Y138" i="51"/>
  <c r="X138" i="51"/>
  <c r="W138" i="51"/>
  <c r="V138" i="51"/>
  <c r="U138" i="51"/>
  <c r="T138" i="51"/>
  <c r="R138" i="51"/>
  <c r="Q138" i="51"/>
  <c r="P138" i="51"/>
  <c r="O138" i="51"/>
  <c r="N138" i="51"/>
  <c r="M138" i="51"/>
  <c r="Z137" i="51"/>
  <c r="Y137" i="51"/>
  <c r="X137" i="51"/>
  <c r="W137" i="51"/>
  <c r="V137" i="51"/>
  <c r="U137" i="51"/>
  <c r="T137" i="51"/>
  <c r="R137" i="51"/>
  <c r="Q137" i="51"/>
  <c r="P137" i="51"/>
  <c r="O137" i="51"/>
  <c r="N137" i="51"/>
  <c r="M137" i="51"/>
  <c r="Z140" i="51"/>
  <c r="Y140" i="51"/>
  <c r="X140" i="51"/>
  <c r="W140" i="51"/>
  <c r="V140" i="51"/>
  <c r="U140" i="51"/>
  <c r="T140" i="51"/>
  <c r="R140" i="51"/>
  <c r="Q140" i="51"/>
  <c r="P140" i="51"/>
  <c r="O140" i="51"/>
  <c r="N140" i="51"/>
  <c r="M140" i="51"/>
  <c r="Z142" i="51"/>
  <c r="Y142" i="51"/>
  <c r="X142" i="51"/>
  <c r="W142" i="51"/>
  <c r="V142" i="51"/>
  <c r="U142" i="51"/>
  <c r="T142" i="51"/>
  <c r="S142" i="51"/>
  <c r="R142" i="51"/>
  <c r="Q142" i="51"/>
  <c r="P142" i="51"/>
  <c r="O142" i="51"/>
  <c r="N142" i="51"/>
  <c r="Z141" i="51"/>
  <c r="Y141" i="51"/>
  <c r="X141" i="51"/>
  <c r="W141" i="51"/>
  <c r="V141" i="51"/>
  <c r="U141" i="51"/>
  <c r="T141" i="51"/>
  <c r="R141" i="51"/>
  <c r="Q141" i="51"/>
  <c r="P141" i="51"/>
  <c r="O141" i="51"/>
  <c r="N141" i="51"/>
  <c r="M141" i="51"/>
  <c r="Z145" i="51"/>
  <c r="Y145" i="51"/>
  <c r="X145" i="51"/>
  <c r="W145" i="51"/>
  <c r="V145" i="51"/>
  <c r="U145" i="51"/>
  <c r="T145" i="51"/>
  <c r="R145" i="51"/>
  <c r="Q145" i="51"/>
  <c r="P145" i="51"/>
  <c r="O145" i="51"/>
  <c r="N145" i="51"/>
  <c r="M145" i="51"/>
  <c r="Z144" i="51"/>
  <c r="Y144" i="51"/>
  <c r="X144" i="51"/>
  <c r="W144" i="51"/>
  <c r="V144" i="51"/>
  <c r="U144" i="51"/>
  <c r="T144" i="51"/>
  <c r="R144" i="51"/>
  <c r="Q144" i="51"/>
  <c r="P144" i="51"/>
  <c r="O144" i="51"/>
  <c r="N144" i="51"/>
  <c r="M144" i="51"/>
  <c r="Z143" i="51"/>
  <c r="Y143" i="51"/>
  <c r="X143" i="51"/>
  <c r="W143" i="51"/>
  <c r="V143" i="51"/>
  <c r="U143" i="51"/>
  <c r="T143" i="51"/>
  <c r="S143" i="51"/>
  <c r="R143" i="51"/>
  <c r="Q143" i="51"/>
  <c r="P143" i="51"/>
  <c r="O143" i="51"/>
  <c r="N143" i="51"/>
  <c r="Z147" i="51"/>
  <c r="Y147" i="51"/>
  <c r="X147" i="51"/>
  <c r="W147" i="51"/>
  <c r="V147" i="51"/>
  <c r="U147" i="51"/>
  <c r="T147" i="51"/>
  <c r="R147" i="51"/>
  <c r="Q147" i="51"/>
  <c r="P147" i="51"/>
  <c r="O147" i="51"/>
  <c r="N147" i="51"/>
  <c r="M147" i="51"/>
  <c r="Z146" i="51"/>
  <c r="Y146" i="51"/>
  <c r="X146" i="51"/>
  <c r="W146" i="51"/>
  <c r="V146" i="51"/>
  <c r="U146" i="51"/>
  <c r="T146" i="51"/>
  <c r="R146" i="51"/>
  <c r="Q146" i="51"/>
  <c r="P146" i="51"/>
  <c r="O146" i="51"/>
  <c r="N146" i="51"/>
  <c r="M146" i="51"/>
  <c r="Z149" i="51"/>
  <c r="Y149" i="51"/>
  <c r="X149" i="51"/>
  <c r="W149" i="51"/>
  <c r="V149" i="51"/>
  <c r="U149" i="51"/>
  <c r="T149" i="51"/>
  <c r="R149" i="51"/>
  <c r="Q149" i="51"/>
  <c r="P149" i="51"/>
  <c r="O149" i="51"/>
  <c r="N149" i="51"/>
  <c r="M149" i="51"/>
  <c r="Z148" i="51"/>
  <c r="Y148" i="51"/>
  <c r="X148" i="51"/>
  <c r="W148" i="51"/>
  <c r="V148" i="51"/>
  <c r="U148" i="51"/>
  <c r="T148" i="51"/>
  <c r="S148" i="51"/>
  <c r="R148" i="51"/>
  <c r="Q148" i="51"/>
  <c r="P148" i="51"/>
  <c r="O148" i="51"/>
  <c r="N148" i="51"/>
  <c r="Z160" i="51"/>
  <c r="Y160" i="51"/>
  <c r="X160" i="51"/>
  <c r="W160" i="51"/>
  <c r="V160" i="51"/>
  <c r="U160" i="51"/>
  <c r="T160" i="51"/>
  <c r="S160" i="51"/>
  <c r="R160" i="51"/>
  <c r="Q160" i="51"/>
  <c r="P160" i="51"/>
  <c r="O160" i="51"/>
  <c r="N160" i="51"/>
  <c r="M160" i="51"/>
  <c r="Z159" i="51"/>
  <c r="Y159" i="51"/>
  <c r="X159" i="51"/>
  <c r="W159" i="51"/>
  <c r="V159" i="51"/>
  <c r="U159" i="51"/>
  <c r="T159" i="51"/>
  <c r="S159" i="51"/>
  <c r="R159" i="51"/>
  <c r="Q159" i="51"/>
  <c r="P159" i="51"/>
  <c r="O159" i="51"/>
  <c r="N159" i="51"/>
  <c r="M159" i="51"/>
  <c r="Z158" i="51"/>
  <c r="Y158" i="51"/>
  <c r="X158" i="51"/>
  <c r="W158" i="51"/>
  <c r="V158" i="51"/>
  <c r="U158" i="51"/>
  <c r="T158" i="51"/>
  <c r="S158" i="51"/>
  <c r="R158" i="51"/>
  <c r="Q158" i="51"/>
  <c r="P158" i="51"/>
  <c r="O158" i="51"/>
  <c r="N158" i="51"/>
  <c r="Z157" i="51"/>
  <c r="Y157" i="51"/>
  <c r="X157" i="51"/>
  <c r="W157" i="51"/>
  <c r="V157" i="51"/>
  <c r="U157" i="51"/>
  <c r="T157" i="51"/>
  <c r="S157" i="51"/>
  <c r="R157" i="51"/>
  <c r="Q157" i="51"/>
  <c r="P157" i="51"/>
  <c r="O157" i="51"/>
  <c r="N157" i="51"/>
  <c r="Z156" i="51"/>
  <c r="Y156" i="51"/>
  <c r="X156" i="51"/>
  <c r="W156" i="51"/>
  <c r="V156" i="51"/>
  <c r="U156" i="51"/>
  <c r="T156" i="51"/>
  <c r="R156" i="51"/>
  <c r="Q156" i="51"/>
  <c r="P156" i="51"/>
  <c r="O156" i="51"/>
  <c r="N156" i="51"/>
  <c r="M156" i="51"/>
  <c r="Z155" i="51"/>
  <c r="Y155" i="51"/>
  <c r="X155" i="51"/>
  <c r="W155" i="51"/>
  <c r="V155" i="51"/>
  <c r="U155" i="51"/>
  <c r="T155" i="51"/>
  <c r="R155" i="51"/>
  <c r="Q155" i="51"/>
  <c r="P155" i="51"/>
  <c r="O155" i="51"/>
  <c r="N155" i="51"/>
  <c r="M155" i="51"/>
  <c r="Z154" i="51"/>
  <c r="Y154" i="51"/>
  <c r="X154" i="51"/>
  <c r="W154" i="51"/>
  <c r="V154" i="51"/>
  <c r="U154" i="51"/>
  <c r="T154" i="51"/>
  <c r="S154" i="51"/>
  <c r="R154" i="51"/>
  <c r="Q154" i="51"/>
  <c r="P154" i="51"/>
  <c r="O154" i="51"/>
  <c r="N154" i="51"/>
  <c r="Z153" i="51"/>
  <c r="Y153" i="51"/>
  <c r="X153" i="51"/>
  <c r="W153" i="51"/>
  <c r="V153" i="51"/>
  <c r="U153" i="51"/>
  <c r="T153" i="51"/>
  <c r="R153" i="51"/>
  <c r="Q153" i="51"/>
  <c r="P153" i="51"/>
  <c r="O153" i="51"/>
  <c r="N153" i="51"/>
  <c r="M153" i="51"/>
  <c r="Z152" i="51"/>
  <c r="Y152" i="51"/>
  <c r="X152" i="51"/>
  <c r="W152" i="51"/>
  <c r="V152" i="51"/>
  <c r="U152" i="51"/>
  <c r="T152" i="51"/>
  <c r="S152" i="51"/>
  <c r="R152" i="51"/>
  <c r="Q152" i="51"/>
  <c r="P152" i="51"/>
  <c r="O152" i="51"/>
  <c r="N152" i="51"/>
  <c r="Z151" i="51"/>
  <c r="Y151" i="51"/>
  <c r="X151" i="51"/>
  <c r="W151" i="51"/>
  <c r="V151" i="51"/>
  <c r="U151" i="51"/>
  <c r="T151" i="51"/>
  <c r="S151" i="51"/>
  <c r="R151" i="51"/>
  <c r="Q151" i="51"/>
  <c r="P151" i="51"/>
  <c r="O151" i="51"/>
  <c r="N151" i="51"/>
  <c r="Z150" i="51"/>
  <c r="Y150" i="51"/>
  <c r="X150" i="51"/>
  <c r="W150" i="51"/>
  <c r="V150" i="51"/>
  <c r="U150" i="51"/>
  <c r="T150" i="51"/>
  <c r="R150" i="51"/>
  <c r="Q150" i="51"/>
  <c r="P150" i="51"/>
  <c r="O150" i="51"/>
  <c r="N150" i="51"/>
  <c r="M150" i="51"/>
  <c r="Z168" i="51"/>
  <c r="Y168" i="51"/>
  <c r="X168" i="51"/>
  <c r="W168" i="51"/>
  <c r="V168" i="51"/>
  <c r="U168" i="51"/>
  <c r="T168" i="51"/>
  <c r="R168" i="51"/>
  <c r="Q168" i="51"/>
  <c r="P168" i="51"/>
  <c r="O168" i="51"/>
  <c r="N168" i="51"/>
  <c r="M168" i="51"/>
  <c r="Z167" i="51"/>
  <c r="Y167" i="51"/>
  <c r="X167" i="51"/>
  <c r="W167" i="51"/>
  <c r="V167" i="51"/>
  <c r="U167" i="51"/>
  <c r="T167" i="51"/>
  <c r="R167" i="51"/>
  <c r="Q167" i="51"/>
  <c r="P167" i="51"/>
  <c r="O167" i="51"/>
  <c r="N167" i="51"/>
  <c r="M167" i="51"/>
  <c r="Z166" i="51"/>
  <c r="Y166" i="51"/>
  <c r="X166" i="51"/>
  <c r="W166" i="51"/>
  <c r="V166" i="51"/>
  <c r="U166" i="51"/>
  <c r="T166" i="51"/>
  <c r="S166" i="51"/>
  <c r="R166" i="51"/>
  <c r="Q166" i="51"/>
  <c r="P166" i="51"/>
  <c r="O166" i="51"/>
  <c r="N166" i="51"/>
  <c r="Z165" i="51"/>
  <c r="Y165" i="51"/>
  <c r="X165" i="51"/>
  <c r="W165" i="51"/>
  <c r="V165" i="51"/>
  <c r="U165" i="51"/>
  <c r="T165" i="51"/>
  <c r="R165" i="51"/>
  <c r="Q165" i="51"/>
  <c r="P165" i="51"/>
  <c r="O165" i="51"/>
  <c r="N165" i="51"/>
  <c r="M165" i="51"/>
  <c r="Z164" i="51"/>
  <c r="Y164" i="51"/>
  <c r="X164" i="51"/>
  <c r="W164" i="51"/>
  <c r="V164" i="51"/>
  <c r="U164" i="51"/>
  <c r="T164" i="51"/>
  <c r="R164" i="51"/>
  <c r="Q164" i="51"/>
  <c r="P164" i="51"/>
  <c r="O164" i="51"/>
  <c r="N164" i="51"/>
  <c r="M164" i="51"/>
  <c r="Z163" i="51"/>
  <c r="Y163" i="51"/>
  <c r="X163" i="51"/>
  <c r="W163" i="51"/>
  <c r="V163" i="51"/>
  <c r="U163" i="51"/>
  <c r="T163" i="51"/>
  <c r="S163" i="51"/>
  <c r="R163" i="51"/>
  <c r="Q163" i="51"/>
  <c r="P163" i="51"/>
  <c r="O163" i="51"/>
  <c r="N163" i="51"/>
  <c r="Z162" i="51"/>
  <c r="Y162" i="51"/>
  <c r="X162" i="51"/>
  <c r="W162" i="51"/>
  <c r="V162" i="51"/>
  <c r="U162" i="51"/>
  <c r="T162" i="51"/>
  <c r="R162" i="51"/>
  <c r="Q162" i="51"/>
  <c r="P162" i="51"/>
  <c r="O162" i="51"/>
  <c r="N162" i="51"/>
  <c r="M162" i="51"/>
  <c r="Z161" i="51"/>
  <c r="Y161" i="51"/>
  <c r="X161" i="51"/>
  <c r="W161" i="51"/>
  <c r="V161" i="51"/>
  <c r="U161" i="51"/>
  <c r="T161" i="51"/>
  <c r="R161" i="51"/>
  <c r="Q161" i="51"/>
  <c r="P161" i="51"/>
  <c r="O161" i="51"/>
  <c r="N161" i="51"/>
  <c r="M161" i="51"/>
  <c r="Z170" i="51"/>
  <c r="Y170" i="51"/>
  <c r="X170" i="51"/>
  <c r="W170" i="51"/>
  <c r="V170" i="51"/>
  <c r="U170" i="51"/>
  <c r="T170" i="51"/>
  <c r="S170" i="51"/>
  <c r="R170" i="51"/>
  <c r="Q170" i="51"/>
  <c r="P170" i="51"/>
  <c r="O170" i="51"/>
  <c r="N170" i="51"/>
  <c r="Z169" i="51"/>
  <c r="Y169" i="51"/>
  <c r="X169" i="51"/>
  <c r="W169" i="51"/>
  <c r="V169" i="51"/>
  <c r="U169" i="51"/>
  <c r="T169" i="51"/>
  <c r="S169" i="51"/>
  <c r="R169" i="51"/>
  <c r="Q169" i="51"/>
  <c r="P169" i="51"/>
  <c r="O169" i="51"/>
  <c r="N169" i="51"/>
  <c r="Z172" i="51"/>
  <c r="Y172" i="51"/>
  <c r="X172" i="51"/>
  <c r="W172" i="51"/>
  <c r="V172" i="51"/>
  <c r="U172" i="51"/>
  <c r="S172" i="51"/>
  <c r="R172" i="51"/>
  <c r="Q172" i="51"/>
  <c r="P172" i="51"/>
  <c r="O172" i="51"/>
  <c r="N172" i="51"/>
  <c r="M172" i="51"/>
  <c r="Z171" i="51"/>
  <c r="Y171" i="51"/>
  <c r="X171" i="51"/>
  <c r="W171" i="51"/>
  <c r="V171" i="51"/>
  <c r="U171" i="51"/>
  <c r="T171" i="51"/>
  <c r="R171" i="51"/>
  <c r="Q171" i="51"/>
  <c r="P171" i="51"/>
  <c r="O171" i="51"/>
  <c r="N171" i="51"/>
  <c r="M171" i="51"/>
  <c r="Z175" i="51"/>
  <c r="Y175" i="51"/>
  <c r="X175" i="51"/>
  <c r="W175" i="51"/>
  <c r="V175" i="51"/>
  <c r="U175" i="51"/>
  <c r="S175" i="51"/>
  <c r="R175" i="51"/>
  <c r="Q175" i="51"/>
  <c r="P175" i="51"/>
  <c r="O175" i="51"/>
  <c r="N175" i="51"/>
  <c r="M175" i="51"/>
  <c r="Z174" i="51"/>
  <c r="Y174" i="51"/>
  <c r="X174" i="51"/>
  <c r="W174" i="51"/>
  <c r="V174" i="51"/>
  <c r="U174" i="51"/>
  <c r="S174" i="51"/>
  <c r="R174" i="51"/>
  <c r="Q174" i="51"/>
  <c r="P174" i="51"/>
  <c r="O174" i="51"/>
  <c r="N174" i="51"/>
  <c r="M174" i="51"/>
  <c r="Z173" i="51"/>
  <c r="Y173" i="51"/>
  <c r="X173" i="51"/>
  <c r="W173" i="51"/>
  <c r="V173" i="51"/>
  <c r="U173" i="51"/>
  <c r="S173" i="51"/>
  <c r="R173" i="51"/>
  <c r="Q173" i="51"/>
  <c r="P173" i="51"/>
  <c r="O173" i="51"/>
  <c r="N173" i="51"/>
  <c r="M173" i="51"/>
  <c r="Z176" i="51"/>
  <c r="Y176" i="51"/>
  <c r="X176" i="51"/>
  <c r="W176" i="51"/>
  <c r="V176" i="51"/>
  <c r="U176" i="51"/>
  <c r="T176" i="51"/>
  <c r="R176" i="51"/>
  <c r="Q176" i="51"/>
  <c r="P176" i="51"/>
  <c r="O176" i="51"/>
  <c r="N176" i="51"/>
  <c r="M176" i="51"/>
  <c r="Z178" i="51"/>
  <c r="Y178" i="51"/>
  <c r="X178" i="51"/>
  <c r="W178" i="51"/>
  <c r="V178" i="51"/>
  <c r="U178" i="51"/>
  <c r="T178" i="51"/>
  <c r="R178" i="51"/>
  <c r="Q178" i="51"/>
  <c r="P178" i="51"/>
  <c r="O178" i="51"/>
  <c r="N178" i="51"/>
  <c r="M178" i="51"/>
  <c r="Y177" i="51"/>
  <c r="X177" i="51"/>
  <c r="W177" i="51"/>
  <c r="V177" i="51"/>
  <c r="U177" i="51"/>
  <c r="T177" i="51"/>
  <c r="S177" i="51"/>
  <c r="R177" i="51"/>
  <c r="Q177" i="51"/>
  <c r="P177" i="51"/>
  <c r="O177" i="51"/>
  <c r="N177" i="51"/>
  <c r="M177" i="51"/>
  <c r="Z180" i="51"/>
  <c r="Y180" i="51"/>
  <c r="X180" i="51"/>
  <c r="W180" i="51"/>
  <c r="V180" i="51"/>
  <c r="U180" i="51"/>
  <c r="T180" i="51"/>
  <c r="S180" i="51"/>
  <c r="R180" i="51"/>
  <c r="Q180" i="51"/>
  <c r="P180" i="51"/>
  <c r="O180" i="51"/>
  <c r="N180" i="51"/>
  <c r="Z179" i="51"/>
  <c r="Y179" i="51"/>
  <c r="X179" i="51"/>
  <c r="W179" i="51"/>
  <c r="V179" i="51"/>
  <c r="U179" i="51"/>
  <c r="T179" i="51"/>
  <c r="S179" i="51"/>
  <c r="R179" i="51"/>
  <c r="Q179" i="51"/>
  <c r="P179" i="51"/>
  <c r="O179" i="51"/>
  <c r="N179" i="51"/>
  <c r="Z181" i="51"/>
  <c r="Y181" i="51"/>
  <c r="X181" i="51"/>
  <c r="W181" i="51"/>
  <c r="V181" i="51"/>
  <c r="U181" i="51"/>
  <c r="T181" i="51"/>
  <c r="S181" i="51"/>
  <c r="R181" i="51"/>
  <c r="Q181" i="51"/>
  <c r="P181" i="51"/>
  <c r="O181" i="51"/>
  <c r="N181" i="51"/>
  <c r="Z197" i="51"/>
  <c r="Y197" i="51"/>
  <c r="X197" i="51"/>
  <c r="W197" i="51"/>
  <c r="V197" i="51"/>
  <c r="U197" i="51"/>
  <c r="T197" i="51"/>
  <c r="S197" i="51"/>
  <c r="R197" i="51"/>
  <c r="Q197" i="51"/>
  <c r="P197" i="51"/>
  <c r="O197" i="51"/>
  <c r="N197" i="51"/>
  <c r="M197" i="51"/>
  <c r="Z196" i="51"/>
  <c r="Y196" i="51"/>
  <c r="X196" i="51"/>
  <c r="W196" i="51"/>
  <c r="V196" i="51"/>
  <c r="U196" i="51"/>
  <c r="T196" i="51"/>
  <c r="S196" i="51"/>
  <c r="R196" i="51"/>
  <c r="Q196" i="51"/>
  <c r="P196" i="51"/>
  <c r="O196" i="51"/>
  <c r="N196" i="51"/>
  <c r="Z195" i="51"/>
  <c r="Y195" i="51"/>
  <c r="X195" i="51"/>
  <c r="W195" i="51"/>
  <c r="V195" i="51"/>
  <c r="U195" i="51"/>
  <c r="T195" i="51"/>
  <c r="S195" i="51"/>
  <c r="R195" i="51"/>
  <c r="Q195" i="51"/>
  <c r="P195" i="51"/>
  <c r="O195" i="51"/>
  <c r="N195" i="51"/>
  <c r="Z194" i="51"/>
  <c r="Y194" i="51"/>
  <c r="X194" i="51"/>
  <c r="W194" i="51"/>
  <c r="V194" i="51"/>
  <c r="U194" i="51"/>
  <c r="T194" i="51"/>
  <c r="R194" i="51"/>
  <c r="Q194" i="51"/>
  <c r="P194" i="51"/>
  <c r="O194" i="51"/>
  <c r="N194" i="51"/>
  <c r="M194" i="51"/>
  <c r="Z193" i="51"/>
  <c r="Y193" i="51"/>
  <c r="X193" i="51"/>
  <c r="W193" i="51"/>
  <c r="V193" i="51"/>
  <c r="U193" i="51"/>
  <c r="T193" i="51"/>
  <c r="S193" i="51"/>
  <c r="R193" i="51"/>
  <c r="Q193" i="51"/>
  <c r="P193" i="51"/>
  <c r="O193" i="51"/>
  <c r="N193" i="51"/>
  <c r="Z192" i="51"/>
  <c r="Y192" i="51"/>
  <c r="X192" i="51"/>
  <c r="W192" i="51"/>
  <c r="V192" i="51"/>
  <c r="U192" i="51"/>
  <c r="T192" i="51"/>
  <c r="R192" i="51"/>
  <c r="Q192" i="51"/>
  <c r="P192" i="51"/>
  <c r="O192" i="51"/>
  <c r="N192" i="51"/>
  <c r="M192" i="51"/>
  <c r="Z191" i="51"/>
  <c r="Y191" i="51"/>
  <c r="X191" i="51"/>
  <c r="W191" i="51"/>
  <c r="V191" i="51"/>
  <c r="U191" i="51"/>
  <c r="T191" i="51"/>
  <c r="R191" i="51"/>
  <c r="Q191" i="51"/>
  <c r="P191" i="51"/>
  <c r="O191" i="51"/>
  <c r="N191" i="51"/>
  <c r="M191" i="51"/>
  <c r="Z190" i="51"/>
  <c r="Y190" i="51"/>
  <c r="X190" i="51"/>
  <c r="W190" i="51"/>
  <c r="V190" i="51"/>
  <c r="U190" i="51"/>
  <c r="T190" i="51"/>
  <c r="R190" i="51"/>
  <c r="Q190" i="51"/>
  <c r="P190" i="51"/>
  <c r="O190" i="51"/>
  <c r="N190" i="51"/>
  <c r="M190" i="51"/>
  <c r="Z189" i="51"/>
  <c r="Y189" i="51"/>
  <c r="X189" i="51"/>
  <c r="W189" i="51"/>
  <c r="V189" i="51"/>
  <c r="U189" i="51"/>
  <c r="T189" i="51"/>
  <c r="S189" i="51"/>
  <c r="R189" i="51"/>
  <c r="Q189" i="51"/>
  <c r="P189" i="51"/>
  <c r="O189" i="51"/>
  <c r="N189" i="51"/>
  <c r="Z188" i="51"/>
  <c r="Y188" i="51"/>
  <c r="X188" i="51"/>
  <c r="W188" i="51"/>
  <c r="V188" i="51"/>
  <c r="U188" i="51"/>
  <c r="T188" i="51"/>
  <c r="S188" i="51"/>
  <c r="R188" i="51"/>
  <c r="Q188" i="51"/>
  <c r="P188" i="51"/>
  <c r="O188" i="51"/>
  <c r="N188" i="51"/>
  <c r="Z187" i="51"/>
  <c r="Y187" i="51"/>
  <c r="X187" i="51"/>
  <c r="W187" i="51"/>
  <c r="V187" i="51"/>
  <c r="U187" i="51"/>
  <c r="T187" i="51"/>
  <c r="R187" i="51"/>
  <c r="Q187" i="51"/>
  <c r="P187" i="51"/>
  <c r="O187" i="51"/>
  <c r="N187" i="51"/>
  <c r="M187" i="51"/>
  <c r="Z186" i="51"/>
  <c r="Y186" i="51"/>
  <c r="X186" i="51"/>
  <c r="W186" i="51"/>
  <c r="V186" i="51"/>
  <c r="U186" i="51"/>
  <c r="T186" i="51"/>
  <c r="R186" i="51"/>
  <c r="Q186" i="51"/>
  <c r="P186" i="51"/>
  <c r="O186" i="51"/>
  <c r="N186" i="51"/>
  <c r="M186" i="51"/>
  <c r="Z185" i="51"/>
  <c r="Y185" i="51"/>
  <c r="X185" i="51"/>
  <c r="W185" i="51"/>
  <c r="V185" i="51"/>
  <c r="U185" i="51"/>
  <c r="T185" i="51"/>
  <c r="S185" i="51"/>
  <c r="R185" i="51"/>
  <c r="Q185" i="51"/>
  <c r="P185" i="51"/>
  <c r="O185" i="51"/>
  <c r="N185" i="51"/>
  <c r="Z184" i="51"/>
  <c r="Y184" i="51"/>
  <c r="X184" i="51"/>
  <c r="W184" i="51"/>
  <c r="V184" i="51"/>
  <c r="U184" i="51"/>
  <c r="T184" i="51"/>
  <c r="R184" i="51"/>
  <c r="Q184" i="51"/>
  <c r="P184" i="51"/>
  <c r="O184" i="51"/>
  <c r="N184" i="51"/>
  <c r="M184" i="51"/>
  <c r="Z183" i="51"/>
  <c r="Y183" i="51"/>
  <c r="X183" i="51"/>
  <c r="W183" i="51"/>
  <c r="V183" i="51"/>
  <c r="U183" i="51"/>
  <c r="T183" i="51"/>
  <c r="R183" i="51"/>
  <c r="Q183" i="51"/>
  <c r="P183" i="51"/>
  <c r="O183" i="51"/>
  <c r="N183" i="51"/>
  <c r="M183" i="51"/>
  <c r="Z182" i="51"/>
  <c r="Y182" i="51"/>
  <c r="X182" i="51"/>
  <c r="W182" i="51"/>
  <c r="V182" i="51"/>
  <c r="U182" i="51"/>
  <c r="T182" i="51"/>
  <c r="S182" i="51"/>
  <c r="R182" i="51"/>
  <c r="Q182" i="51"/>
  <c r="P182" i="51"/>
  <c r="O182" i="51"/>
  <c r="N182" i="51"/>
  <c r="Z204" i="51"/>
  <c r="Y204" i="51"/>
  <c r="X204" i="51"/>
  <c r="W204" i="51"/>
  <c r="V204" i="51"/>
  <c r="U204" i="51"/>
  <c r="S204" i="51"/>
  <c r="R204" i="51"/>
  <c r="Q204" i="51"/>
  <c r="P204" i="51"/>
  <c r="O204" i="51"/>
  <c r="N204" i="51"/>
  <c r="M204" i="51"/>
  <c r="Z203" i="51"/>
  <c r="Y203" i="51"/>
  <c r="X203" i="51"/>
  <c r="W203" i="51"/>
  <c r="V203" i="51"/>
  <c r="U203" i="51"/>
  <c r="T203" i="51"/>
  <c r="S203" i="51"/>
  <c r="R203" i="51"/>
  <c r="Q203" i="51"/>
  <c r="P203" i="51"/>
  <c r="O203" i="51"/>
  <c r="N203" i="51"/>
  <c r="Z202" i="51"/>
  <c r="Y202" i="51"/>
  <c r="X202" i="51"/>
  <c r="W202" i="51"/>
  <c r="V202" i="51"/>
  <c r="U202" i="51"/>
  <c r="T202" i="51"/>
  <c r="R202" i="51"/>
  <c r="Q202" i="51"/>
  <c r="P202" i="51"/>
  <c r="O202" i="51"/>
  <c r="N202" i="51"/>
  <c r="M202" i="51"/>
  <c r="Z201" i="51"/>
  <c r="Y201" i="51"/>
  <c r="X201" i="51"/>
  <c r="W201" i="51"/>
  <c r="V201" i="51"/>
  <c r="U201" i="51"/>
  <c r="T201" i="51"/>
  <c r="R201" i="51"/>
  <c r="Q201" i="51"/>
  <c r="P201" i="51"/>
  <c r="O201" i="51"/>
  <c r="N201" i="51"/>
  <c r="M201" i="51"/>
  <c r="Z200" i="51"/>
  <c r="Y200" i="51"/>
  <c r="X200" i="51"/>
  <c r="W200" i="51"/>
  <c r="V200" i="51"/>
  <c r="U200" i="51"/>
  <c r="T200" i="51"/>
  <c r="R200" i="51"/>
  <c r="Q200" i="51"/>
  <c r="P200" i="51"/>
  <c r="O200" i="51"/>
  <c r="N200" i="51"/>
  <c r="M200" i="51"/>
  <c r="Z199" i="51"/>
  <c r="Y199" i="51"/>
  <c r="X199" i="51"/>
  <c r="W199" i="51"/>
  <c r="V199" i="51"/>
  <c r="U199" i="51"/>
  <c r="T199" i="51"/>
  <c r="S199" i="51"/>
  <c r="R199" i="51"/>
  <c r="Q199" i="51"/>
  <c r="P199" i="51"/>
  <c r="O199" i="51"/>
  <c r="N199" i="51"/>
  <c r="Z198" i="51"/>
  <c r="Y198" i="51"/>
  <c r="X198" i="51"/>
  <c r="W198" i="51"/>
  <c r="V198" i="51"/>
  <c r="U198" i="51"/>
  <c r="T198" i="51"/>
  <c r="S198" i="51"/>
  <c r="R198" i="51"/>
  <c r="Q198" i="51"/>
  <c r="P198" i="51"/>
  <c r="O198" i="51"/>
  <c r="N198" i="51"/>
  <c r="Z205" i="51"/>
  <c r="Y205" i="51"/>
  <c r="X205" i="51"/>
  <c r="W205" i="51"/>
  <c r="U205" i="51"/>
  <c r="T205" i="51"/>
  <c r="S205" i="51"/>
  <c r="R205" i="51"/>
  <c r="Q205" i="51"/>
  <c r="P205" i="51"/>
  <c r="O205" i="51"/>
  <c r="N205" i="51"/>
  <c r="M205" i="51"/>
  <c r="Z207" i="51"/>
  <c r="Y207" i="51"/>
  <c r="X207" i="51"/>
  <c r="W207" i="51"/>
  <c r="V207" i="51"/>
  <c r="U207" i="51"/>
  <c r="T207" i="51"/>
  <c r="S207" i="51"/>
  <c r="R207" i="51"/>
  <c r="Q207" i="51"/>
  <c r="P207" i="51"/>
  <c r="O207" i="51"/>
  <c r="N207" i="51"/>
  <c r="Z206" i="51"/>
  <c r="Y206" i="51"/>
  <c r="X206" i="51"/>
  <c r="W206" i="51"/>
  <c r="V206" i="51"/>
  <c r="U206" i="51"/>
  <c r="T206" i="51"/>
  <c r="R206" i="51"/>
  <c r="Q206" i="51"/>
  <c r="P206" i="51"/>
  <c r="O206" i="51"/>
  <c r="N206" i="51"/>
  <c r="M206" i="51"/>
  <c r="Z208" i="51"/>
  <c r="Y208" i="51"/>
  <c r="X208" i="51"/>
  <c r="W208" i="51"/>
  <c r="V208" i="51"/>
  <c r="U208" i="51"/>
  <c r="S208" i="51"/>
  <c r="R208" i="51"/>
  <c r="Q208" i="51"/>
  <c r="P208" i="51"/>
  <c r="O208" i="51"/>
  <c r="N208" i="51"/>
  <c r="M208" i="51"/>
  <c r="Z210" i="51"/>
  <c r="Y210" i="51"/>
  <c r="X210" i="51"/>
  <c r="W210" i="51"/>
  <c r="V210" i="51"/>
  <c r="U210" i="51"/>
  <c r="S210" i="51"/>
  <c r="R210" i="51"/>
  <c r="Q210" i="51"/>
  <c r="P210" i="51"/>
  <c r="O210" i="51"/>
  <c r="N210" i="51"/>
  <c r="M210" i="51"/>
  <c r="Z209" i="51"/>
  <c r="Y209" i="51"/>
  <c r="X209" i="51"/>
  <c r="W209" i="51"/>
  <c r="V209" i="51"/>
  <c r="U209" i="51"/>
  <c r="S209" i="51"/>
  <c r="R209" i="51"/>
  <c r="Q209" i="51"/>
  <c r="P209" i="51"/>
  <c r="O209" i="51"/>
  <c r="N209" i="51"/>
  <c r="M209" i="51"/>
  <c r="Z211" i="51"/>
  <c r="Y211" i="51"/>
  <c r="X211" i="51"/>
  <c r="W211" i="51"/>
  <c r="V211" i="51"/>
  <c r="U211" i="51"/>
  <c r="T211" i="51"/>
  <c r="R211" i="51"/>
  <c r="Q211" i="51"/>
  <c r="P211" i="51"/>
  <c r="O211" i="51"/>
  <c r="N211" i="51"/>
  <c r="M211" i="51"/>
  <c r="Z213" i="51"/>
  <c r="Y213" i="51"/>
  <c r="X213" i="51"/>
  <c r="W213" i="51"/>
  <c r="V213" i="51"/>
  <c r="U213" i="51"/>
  <c r="T213" i="51"/>
  <c r="R213" i="51"/>
  <c r="Q213" i="51"/>
  <c r="P213" i="51"/>
  <c r="O213" i="51"/>
  <c r="N213" i="51"/>
  <c r="M213" i="51"/>
  <c r="Z212" i="51"/>
  <c r="Y212" i="51"/>
  <c r="X212" i="51"/>
  <c r="W212" i="51"/>
  <c r="V212" i="51"/>
  <c r="U212" i="51"/>
  <c r="T212" i="51"/>
  <c r="S212" i="51"/>
  <c r="R212" i="51"/>
  <c r="Q212" i="51"/>
  <c r="P212" i="51"/>
  <c r="O212" i="51"/>
  <c r="N212" i="51"/>
  <c r="Z214" i="51"/>
  <c r="Y214" i="51"/>
  <c r="X214" i="51"/>
  <c r="W214" i="51"/>
  <c r="V214" i="51"/>
  <c r="U214" i="51"/>
  <c r="T214" i="51"/>
  <c r="S214" i="51"/>
  <c r="R214" i="51"/>
  <c r="Q214" i="51"/>
  <c r="P214" i="51"/>
  <c r="O214" i="51"/>
  <c r="N214" i="51"/>
  <c r="Z215" i="51"/>
  <c r="Y215" i="51"/>
  <c r="X215" i="51"/>
  <c r="W215" i="51"/>
  <c r="V215" i="51"/>
  <c r="U215" i="51"/>
  <c r="T215" i="51"/>
  <c r="S215" i="51"/>
  <c r="R215" i="51"/>
  <c r="Q215" i="51"/>
  <c r="P215" i="51"/>
  <c r="O215" i="51"/>
  <c r="N215" i="51"/>
  <c r="Z232" i="51"/>
  <c r="Y232" i="51"/>
  <c r="X232" i="51"/>
  <c r="W232" i="51"/>
  <c r="V232" i="51"/>
  <c r="U232" i="51"/>
  <c r="T232" i="51"/>
  <c r="S232" i="51"/>
  <c r="R232" i="51"/>
  <c r="Q232" i="51"/>
  <c r="P232" i="51"/>
  <c r="O232" i="51"/>
  <c r="N232" i="51"/>
  <c r="M232" i="51"/>
  <c r="Z231" i="51"/>
  <c r="Y231" i="51"/>
  <c r="X231" i="51"/>
  <c r="W231" i="51"/>
  <c r="V231" i="51"/>
  <c r="U231" i="51"/>
  <c r="T231" i="51"/>
  <c r="S231" i="51"/>
  <c r="R231" i="51"/>
  <c r="Q231" i="51"/>
  <c r="P231" i="51"/>
  <c r="O231" i="51"/>
  <c r="N231" i="51"/>
  <c r="Z230" i="51"/>
  <c r="Y230" i="51"/>
  <c r="X230" i="51"/>
  <c r="W230" i="51"/>
  <c r="V230" i="51"/>
  <c r="U230" i="51"/>
  <c r="T230" i="51"/>
  <c r="S230" i="51"/>
  <c r="R230" i="51"/>
  <c r="Q230" i="51"/>
  <c r="P230" i="51"/>
  <c r="O230" i="51"/>
  <c r="N230" i="51"/>
  <c r="Z229" i="51"/>
  <c r="Y229" i="51"/>
  <c r="X229" i="51"/>
  <c r="W229" i="51"/>
  <c r="V229" i="51"/>
  <c r="U229" i="51"/>
  <c r="T229" i="51"/>
  <c r="R229" i="51"/>
  <c r="Q229" i="51"/>
  <c r="P229" i="51"/>
  <c r="O229" i="51"/>
  <c r="N229" i="51"/>
  <c r="M229" i="51"/>
  <c r="Z228" i="51"/>
  <c r="Y228" i="51"/>
  <c r="X228" i="51"/>
  <c r="W228" i="51"/>
  <c r="V228" i="51"/>
  <c r="U228" i="51"/>
  <c r="T228" i="51"/>
  <c r="R228" i="51"/>
  <c r="Q228" i="51"/>
  <c r="P228" i="51"/>
  <c r="O228" i="51"/>
  <c r="N228" i="51"/>
  <c r="M228" i="51"/>
  <c r="Z227" i="51"/>
  <c r="Y227" i="51"/>
  <c r="X227" i="51"/>
  <c r="W227" i="51"/>
  <c r="V227" i="51"/>
  <c r="U227" i="51"/>
  <c r="T227" i="51"/>
  <c r="S227" i="51"/>
  <c r="R227" i="51"/>
  <c r="Q227" i="51"/>
  <c r="P227" i="51"/>
  <c r="O227" i="51"/>
  <c r="N227" i="51"/>
  <c r="Z226" i="51"/>
  <c r="Y226" i="51"/>
  <c r="X226" i="51"/>
  <c r="W226" i="51"/>
  <c r="V226" i="51"/>
  <c r="U226" i="51"/>
  <c r="T226" i="51"/>
  <c r="R226" i="51"/>
  <c r="Q226" i="51"/>
  <c r="P226" i="51"/>
  <c r="O226" i="51"/>
  <c r="N226" i="51"/>
  <c r="M226" i="51"/>
  <c r="Z225" i="51"/>
  <c r="Y225" i="51"/>
  <c r="X225" i="51"/>
  <c r="W225" i="51"/>
  <c r="V225" i="51"/>
  <c r="U225" i="51"/>
  <c r="T225" i="51"/>
  <c r="S225" i="51"/>
  <c r="R225" i="51"/>
  <c r="Q225" i="51"/>
  <c r="P225" i="51"/>
  <c r="O225" i="51"/>
  <c r="N225" i="51"/>
  <c r="Z224" i="51"/>
  <c r="Y224" i="51"/>
  <c r="X224" i="51"/>
  <c r="W224" i="51"/>
  <c r="V224" i="51"/>
  <c r="U224" i="51"/>
  <c r="T224" i="51"/>
  <c r="R224" i="51"/>
  <c r="Q224" i="51"/>
  <c r="P224" i="51"/>
  <c r="O224" i="51"/>
  <c r="N224" i="51"/>
  <c r="M224" i="51"/>
  <c r="Z223" i="51"/>
  <c r="Y223" i="51"/>
  <c r="X223" i="51"/>
  <c r="W223" i="51"/>
  <c r="V223" i="51"/>
  <c r="U223" i="51"/>
  <c r="T223" i="51"/>
  <c r="R223" i="51"/>
  <c r="Q223" i="51"/>
  <c r="P223" i="51"/>
  <c r="O223" i="51"/>
  <c r="N223" i="51"/>
  <c r="M223" i="51"/>
  <c r="Z222" i="51"/>
  <c r="Y222" i="51"/>
  <c r="X222" i="51"/>
  <c r="W222" i="51"/>
  <c r="V222" i="51"/>
  <c r="U222" i="51"/>
  <c r="T222" i="51"/>
  <c r="S222" i="51"/>
  <c r="R222" i="51"/>
  <c r="Q222" i="51"/>
  <c r="P222" i="51"/>
  <c r="O222" i="51"/>
  <c r="N222" i="51"/>
  <c r="Z221" i="51"/>
  <c r="Y221" i="51"/>
  <c r="X221" i="51"/>
  <c r="W221" i="51"/>
  <c r="V221" i="51"/>
  <c r="U221" i="51"/>
  <c r="T221" i="51"/>
  <c r="R221" i="51"/>
  <c r="Q221" i="51"/>
  <c r="P221" i="51"/>
  <c r="O221" i="51"/>
  <c r="N221" i="51"/>
  <c r="M221" i="51"/>
  <c r="Z220" i="51"/>
  <c r="Y220" i="51"/>
  <c r="X220" i="51"/>
  <c r="W220" i="51"/>
  <c r="V220" i="51"/>
  <c r="U220" i="51"/>
  <c r="T220" i="51"/>
  <c r="R220" i="51"/>
  <c r="Q220" i="51"/>
  <c r="P220" i="51"/>
  <c r="O220" i="51"/>
  <c r="N220" i="51"/>
  <c r="M220" i="51"/>
  <c r="Z219" i="51"/>
  <c r="Y219" i="51"/>
  <c r="X219" i="51"/>
  <c r="W219" i="51"/>
  <c r="V219" i="51"/>
  <c r="U219" i="51"/>
  <c r="T219" i="51"/>
  <c r="S219" i="51"/>
  <c r="R219" i="51"/>
  <c r="Q219" i="51"/>
  <c r="P219" i="51"/>
  <c r="O219" i="51"/>
  <c r="N219" i="51"/>
  <c r="Z218" i="51"/>
  <c r="Y218" i="51"/>
  <c r="X218" i="51"/>
  <c r="W218" i="51"/>
  <c r="V218" i="51"/>
  <c r="U218" i="51"/>
  <c r="T218" i="51"/>
  <c r="R218" i="51"/>
  <c r="Q218" i="51"/>
  <c r="P218" i="51"/>
  <c r="O218" i="51"/>
  <c r="N218" i="51"/>
  <c r="M218" i="51"/>
  <c r="Z217" i="51"/>
  <c r="Y217" i="51"/>
  <c r="X217" i="51"/>
  <c r="W217" i="51"/>
  <c r="V217" i="51"/>
  <c r="U217" i="51"/>
  <c r="T217" i="51"/>
  <c r="R217" i="51"/>
  <c r="Q217" i="51"/>
  <c r="P217" i="51"/>
  <c r="O217" i="51"/>
  <c r="N217" i="51"/>
  <c r="M217" i="51"/>
  <c r="Z216" i="51"/>
  <c r="Y216" i="51"/>
  <c r="X216" i="51"/>
  <c r="W216" i="51"/>
  <c r="V216" i="51"/>
  <c r="U216" i="51"/>
  <c r="T216" i="51"/>
  <c r="S216" i="51"/>
  <c r="R216" i="51"/>
  <c r="Q216" i="51"/>
  <c r="P216" i="51"/>
  <c r="O216" i="51"/>
  <c r="N216" i="51"/>
  <c r="Z238" i="51"/>
  <c r="Y238" i="51"/>
  <c r="X238" i="51"/>
  <c r="W238" i="51"/>
  <c r="V238" i="51"/>
  <c r="U238" i="51"/>
  <c r="T238" i="51"/>
  <c r="S238" i="51"/>
  <c r="R238" i="51"/>
  <c r="Q238" i="51"/>
  <c r="P238" i="51"/>
  <c r="O238" i="51"/>
  <c r="N238" i="51"/>
  <c r="Z237" i="51"/>
  <c r="Y237" i="51"/>
  <c r="X237" i="51"/>
  <c r="W237" i="51"/>
  <c r="V237" i="51"/>
  <c r="U237" i="51"/>
  <c r="T237" i="51"/>
  <c r="S237" i="51"/>
  <c r="R237" i="51"/>
  <c r="Q237" i="51"/>
  <c r="P237" i="51"/>
  <c r="O237" i="51"/>
  <c r="N237" i="51"/>
  <c r="Z236" i="51"/>
  <c r="Y236" i="51"/>
  <c r="X236" i="51"/>
  <c r="W236" i="51"/>
  <c r="V236" i="51"/>
  <c r="U236" i="51"/>
  <c r="T236" i="51"/>
  <c r="R236" i="51"/>
  <c r="Q236" i="51"/>
  <c r="P236" i="51"/>
  <c r="O236" i="51"/>
  <c r="N236" i="51"/>
  <c r="M236" i="51"/>
  <c r="Z235" i="51"/>
  <c r="Y235" i="51"/>
  <c r="X235" i="51"/>
  <c r="W235" i="51"/>
  <c r="V235" i="51"/>
  <c r="U235" i="51"/>
  <c r="T235" i="51"/>
  <c r="R235" i="51"/>
  <c r="Q235" i="51"/>
  <c r="P235" i="51"/>
  <c r="O235" i="51"/>
  <c r="N235" i="51"/>
  <c r="M235" i="51"/>
  <c r="Z234" i="51"/>
  <c r="Y234" i="51"/>
  <c r="X234" i="51"/>
  <c r="W234" i="51"/>
  <c r="V234" i="51"/>
  <c r="U234" i="51"/>
  <c r="T234" i="51"/>
  <c r="R234" i="51"/>
  <c r="Q234" i="51"/>
  <c r="P234" i="51"/>
  <c r="O234" i="51"/>
  <c r="N234" i="51"/>
  <c r="M234" i="51"/>
  <c r="Z233" i="51"/>
  <c r="Y233" i="51"/>
  <c r="X233" i="51"/>
  <c r="W233" i="51"/>
  <c r="V233" i="51"/>
  <c r="U233" i="51"/>
  <c r="T233" i="51"/>
  <c r="S233" i="51"/>
  <c r="R233" i="51"/>
  <c r="Q233" i="51"/>
  <c r="P233" i="51"/>
  <c r="O233" i="51"/>
  <c r="N233" i="51"/>
  <c r="Z240" i="51"/>
  <c r="Y240" i="51"/>
  <c r="X240" i="51"/>
  <c r="W240" i="51"/>
  <c r="V240" i="51"/>
  <c r="U240" i="51"/>
  <c r="T240" i="51"/>
  <c r="R240" i="51"/>
  <c r="Q240" i="51"/>
  <c r="P240" i="51"/>
  <c r="O240" i="51"/>
  <c r="N240" i="51"/>
  <c r="M240" i="51"/>
  <c r="Z239" i="51"/>
  <c r="Y239" i="51"/>
  <c r="X239" i="51"/>
  <c r="W239" i="51"/>
  <c r="V239" i="51"/>
  <c r="U239" i="51"/>
  <c r="T239" i="51"/>
  <c r="R239" i="51"/>
  <c r="Q239" i="51"/>
  <c r="P239" i="51"/>
  <c r="O239" i="51"/>
  <c r="N239" i="51"/>
  <c r="M239" i="51"/>
  <c r="Z241" i="51"/>
  <c r="Y241" i="51"/>
  <c r="X241" i="51"/>
  <c r="W241" i="51"/>
  <c r="V241" i="51"/>
  <c r="U241" i="51"/>
  <c r="T241" i="51"/>
  <c r="R241" i="51"/>
  <c r="Q241" i="51"/>
  <c r="P241" i="51"/>
  <c r="O241" i="51"/>
  <c r="N241" i="51"/>
  <c r="M241" i="51"/>
  <c r="Z242" i="51"/>
  <c r="Y242" i="51"/>
  <c r="X242" i="51"/>
  <c r="W242" i="51"/>
  <c r="V242" i="51"/>
  <c r="U242" i="51"/>
  <c r="T242" i="51"/>
  <c r="R242" i="51"/>
  <c r="Q242" i="51"/>
  <c r="P242" i="51"/>
  <c r="O242" i="51"/>
  <c r="N242" i="51"/>
  <c r="M242" i="51"/>
  <c r="Z244" i="51"/>
  <c r="Y244" i="51"/>
  <c r="X244" i="51"/>
  <c r="W244" i="51"/>
  <c r="V244" i="51"/>
  <c r="U244" i="51"/>
  <c r="T244" i="51"/>
  <c r="R244" i="51"/>
  <c r="Q244" i="51"/>
  <c r="P244" i="51"/>
  <c r="O244" i="51"/>
  <c r="N244" i="51"/>
  <c r="M244" i="51"/>
  <c r="Z243" i="51"/>
  <c r="Y243" i="51"/>
  <c r="X243" i="51"/>
  <c r="W243" i="51"/>
  <c r="V243" i="51"/>
  <c r="U243" i="51"/>
  <c r="T243" i="51"/>
  <c r="R243" i="51"/>
  <c r="Q243" i="51"/>
  <c r="P243" i="51"/>
  <c r="O243" i="51"/>
  <c r="N243" i="51"/>
  <c r="M243" i="51"/>
  <c r="Z246" i="51"/>
  <c r="Y246" i="51"/>
  <c r="X246" i="51"/>
  <c r="W246" i="51"/>
  <c r="V246" i="51"/>
  <c r="U246" i="51"/>
  <c r="T246" i="51"/>
  <c r="R246" i="51"/>
  <c r="Q246" i="51"/>
  <c r="P246" i="51"/>
  <c r="O246" i="51"/>
  <c r="N246" i="51"/>
  <c r="M246" i="51"/>
  <c r="Z245" i="51"/>
  <c r="Y245" i="51"/>
  <c r="X245" i="51"/>
  <c r="W245" i="51"/>
  <c r="V245" i="51"/>
  <c r="U245" i="51"/>
  <c r="T245" i="51"/>
  <c r="R245" i="51"/>
  <c r="Q245" i="51"/>
  <c r="P245" i="51"/>
  <c r="O245" i="51"/>
  <c r="N245" i="51"/>
  <c r="M245" i="51"/>
  <c r="Z248" i="51"/>
  <c r="Y248" i="51"/>
  <c r="X248" i="51"/>
  <c r="W248" i="51"/>
  <c r="V248" i="51"/>
  <c r="U248" i="51"/>
  <c r="S248" i="51"/>
  <c r="R248" i="51"/>
  <c r="Q248" i="51"/>
  <c r="P248" i="51"/>
  <c r="O248" i="51"/>
  <c r="N248" i="51"/>
  <c r="M248" i="51"/>
  <c r="Z247" i="51"/>
  <c r="Y247" i="51"/>
  <c r="X247" i="51"/>
  <c r="W247" i="51"/>
  <c r="V247" i="51"/>
  <c r="U247" i="51"/>
  <c r="S247" i="51"/>
  <c r="R247" i="51"/>
  <c r="Q247" i="51"/>
  <c r="P247" i="51"/>
  <c r="O247" i="51"/>
  <c r="N247" i="51"/>
  <c r="M247" i="51"/>
  <c r="Z249" i="51"/>
  <c r="Y249" i="51"/>
  <c r="X249" i="51"/>
  <c r="W249" i="51"/>
  <c r="V249" i="51"/>
  <c r="U249" i="51"/>
  <c r="T249" i="51"/>
  <c r="R249" i="51"/>
  <c r="Q249" i="51"/>
  <c r="P249" i="51"/>
  <c r="O249" i="51"/>
  <c r="N249" i="51"/>
  <c r="M249" i="51"/>
  <c r="Z250" i="51"/>
  <c r="Y250" i="51"/>
  <c r="X250" i="51"/>
  <c r="W250" i="51"/>
  <c r="V250" i="51"/>
  <c r="U250" i="51"/>
  <c r="T250" i="51"/>
  <c r="R250" i="51"/>
  <c r="Q250" i="51"/>
  <c r="P250" i="51"/>
  <c r="O250" i="51"/>
  <c r="N250" i="51"/>
  <c r="M250" i="51"/>
  <c r="Z251" i="51"/>
  <c r="Y251" i="51"/>
  <c r="X251" i="51"/>
  <c r="W251" i="51"/>
  <c r="V251" i="51"/>
  <c r="U251" i="51"/>
  <c r="T251" i="51"/>
  <c r="R251" i="51"/>
  <c r="Q251" i="51"/>
  <c r="P251" i="51"/>
  <c r="O251" i="51"/>
  <c r="N251" i="51"/>
  <c r="M251" i="51"/>
  <c r="Z253" i="51"/>
  <c r="Y253" i="51"/>
  <c r="X253" i="51"/>
  <c r="W253" i="51"/>
  <c r="V253" i="51"/>
  <c r="U253" i="51"/>
  <c r="T253" i="51"/>
  <c r="S253" i="51"/>
  <c r="R253" i="51"/>
  <c r="Q253" i="51"/>
  <c r="P253" i="51"/>
  <c r="O253" i="51"/>
  <c r="N253" i="51"/>
  <c r="Z252" i="51"/>
  <c r="Y252" i="51"/>
  <c r="X252" i="51"/>
  <c r="W252" i="51"/>
  <c r="V252" i="51"/>
  <c r="U252" i="51"/>
  <c r="T252" i="51"/>
  <c r="R252" i="51"/>
  <c r="Q252" i="51"/>
  <c r="P252" i="51"/>
  <c r="O252" i="51"/>
  <c r="N252" i="51"/>
  <c r="M252" i="51"/>
  <c r="Z255" i="51"/>
  <c r="Y255" i="51"/>
  <c r="X255" i="51"/>
  <c r="W255" i="51"/>
  <c r="V255" i="51"/>
  <c r="U255" i="51"/>
  <c r="T255" i="51"/>
  <c r="R255" i="51"/>
  <c r="Q255" i="51"/>
  <c r="P255" i="51"/>
  <c r="O255" i="51"/>
  <c r="N255" i="51"/>
  <c r="M255" i="51"/>
  <c r="Z254" i="51"/>
  <c r="Y254" i="51"/>
  <c r="X254" i="51"/>
  <c r="W254" i="51"/>
  <c r="V254" i="51"/>
  <c r="U254" i="51"/>
  <c r="T254" i="51"/>
  <c r="S254" i="51"/>
  <c r="R254" i="51"/>
  <c r="Q254" i="51"/>
  <c r="P254" i="51"/>
  <c r="O254" i="51"/>
  <c r="N254" i="51"/>
  <c r="Z256" i="51"/>
  <c r="Y256" i="51"/>
  <c r="X256" i="51"/>
  <c r="W256" i="51"/>
  <c r="V256" i="51"/>
  <c r="U256" i="51"/>
  <c r="T256" i="51"/>
  <c r="S256" i="51"/>
  <c r="R256" i="51"/>
  <c r="Q256" i="51"/>
  <c r="P256" i="51"/>
  <c r="O256" i="51"/>
  <c r="N256" i="51"/>
  <c r="Z266" i="51"/>
  <c r="Y266" i="51"/>
  <c r="X266" i="51"/>
  <c r="W266" i="51"/>
  <c r="V266" i="51"/>
  <c r="U266" i="51"/>
  <c r="T266" i="51"/>
  <c r="S266" i="51"/>
  <c r="R266" i="51"/>
  <c r="Q266" i="51"/>
  <c r="P266" i="51"/>
  <c r="O266" i="51"/>
  <c r="N266" i="51"/>
  <c r="M266" i="51"/>
  <c r="Z265" i="51"/>
  <c r="Y265" i="51"/>
  <c r="X265" i="51"/>
  <c r="W265" i="51"/>
  <c r="V265" i="51"/>
  <c r="U265" i="51"/>
  <c r="T265" i="51"/>
  <c r="S265" i="51"/>
  <c r="R265" i="51"/>
  <c r="Q265" i="51"/>
  <c r="P265" i="51"/>
  <c r="O265" i="51"/>
  <c r="N265" i="51"/>
  <c r="M265" i="51"/>
  <c r="Z264" i="51"/>
  <c r="Y264" i="51"/>
  <c r="X264" i="51"/>
  <c r="W264" i="51"/>
  <c r="V264" i="51"/>
  <c r="U264" i="51"/>
  <c r="S264" i="51"/>
  <c r="R264" i="51"/>
  <c r="Q264" i="51"/>
  <c r="P264" i="51"/>
  <c r="O264" i="51"/>
  <c r="N264" i="51"/>
  <c r="M264" i="51"/>
  <c r="Z263" i="51"/>
  <c r="Y263" i="51"/>
  <c r="X263" i="51"/>
  <c r="W263" i="51"/>
  <c r="V263" i="51"/>
  <c r="U263" i="51"/>
  <c r="T263" i="51"/>
  <c r="R263" i="51"/>
  <c r="Q263" i="51"/>
  <c r="P263" i="51"/>
  <c r="O263" i="51"/>
  <c r="N263" i="51"/>
  <c r="M263" i="51"/>
  <c r="Z262" i="51"/>
  <c r="Y262" i="51"/>
  <c r="X262" i="51"/>
  <c r="W262" i="51"/>
  <c r="V262" i="51"/>
  <c r="U262" i="51"/>
  <c r="T262" i="51"/>
  <c r="S262" i="51"/>
  <c r="R262" i="51"/>
  <c r="Q262" i="51"/>
  <c r="P262" i="51"/>
  <c r="O262" i="51"/>
  <c r="N262" i="51"/>
  <c r="Z261" i="51"/>
  <c r="Y261" i="51"/>
  <c r="X261" i="51"/>
  <c r="W261" i="51"/>
  <c r="V261" i="51"/>
  <c r="U261" i="51"/>
  <c r="T261" i="51"/>
  <c r="S261" i="51"/>
  <c r="R261" i="51"/>
  <c r="Q261" i="51"/>
  <c r="P261" i="51"/>
  <c r="O261" i="51"/>
  <c r="N261" i="51"/>
  <c r="Z260" i="51"/>
  <c r="Y260" i="51"/>
  <c r="X260" i="51"/>
  <c r="W260" i="51"/>
  <c r="V260" i="51"/>
  <c r="U260" i="51"/>
  <c r="T260" i="51"/>
  <c r="S260" i="51"/>
  <c r="R260" i="51"/>
  <c r="Q260" i="51"/>
  <c r="P260" i="51"/>
  <c r="O260" i="51"/>
  <c r="N260" i="51"/>
  <c r="Z259" i="51"/>
  <c r="Y259" i="51"/>
  <c r="X259" i="51"/>
  <c r="W259" i="51"/>
  <c r="V259" i="51"/>
  <c r="U259" i="51"/>
  <c r="T259" i="51"/>
  <c r="R259" i="51"/>
  <c r="Q259" i="51"/>
  <c r="P259" i="51"/>
  <c r="O259" i="51"/>
  <c r="N259" i="51"/>
  <c r="M259" i="51"/>
  <c r="Z258" i="51"/>
  <c r="Y258" i="51"/>
  <c r="X258" i="51"/>
  <c r="W258" i="51"/>
  <c r="V258" i="51"/>
  <c r="U258" i="51"/>
  <c r="T258" i="51"/>
  <c r="S258" i="51"/>
  <c r="R258" i="51"/>
  <c r="Q258" i="51"/>
  <c r="P258" i="51"/>
  <c r="O258" i="51"/>
  <c r="N258" i="51"/>
  <c r="Z257" i="51"/>
  <c r="Y257" i="51"/>
  <c r="X257" i="51"/>
  <c r="W257" i="51"/>
  <c r="V257" i="51"/>
  <c r="U257" i="51"/>
  <c r="T257" i="51"/>
  <c r="R257" i="51"/>
  <c r="Q257" i="51"/>
  <c r="P257" i="51"/>
  <c r="O257" i="51"/>
  <c r="N257" i="51"/>
  <c r="M257" i="51"/>
  <c r="Z275" i="51"/>
  <c r="Y275" i="51"/>
  <c r="X275" i="51"/>
  <c r="W275" i="51"/>
  <c r="V275" i="51"/>
  <c r="U275" i="51"/>
  <c r="T275" i="51"/>
  <c r="S275" i="51"/>
  <c r="R275" i="51"/>
  <c r="Q275" i="51"/>
  <c r="P275" i="51"/>
  <c r="O275" i="51"/>
  <c r="N275" i="51"/>
  <c r="Z274" i="51"/>
  <c r="Y274" i="51"/>
  <c r="X274" i="51"/>
  <c r="W274" i="51"/>
  <c r="V274" i="51"/>
  <c r="U274" i="51"/>
  <c r="T274" i="51"/>
  <c r="R274" i="51"/>
  <c r="Q274" i="51"/>
  <c r="P274" i="51"/>
  <c r="O274" i="51"/>
  <c r="N274" i="51"/>
  <c r="M274" i="51"/>
  <c r="Z273" i="51"/>
  <c r="Y273" i="51"/>
  <c r="X273" i="51"/>
  <c r="W273" i="51"/>
  <c r="V273" i="51"/>
  <c r="U273" i="51"/>
  <c r="T273" i="51"/>
  <c r="S273" i="51"/>
  <c r="R273" i="51"/>
  <c r="Q273" i="51"/>
  <c r="P273" i="51"/>
  <c r="O273" i="51"/>
  <c r="N273" i="51"/>
  <c r="Z272" i="51"/>
  <c r="Y272" i="51"/>
  <c r="X272" i="51"/>
  <c r="W272" i="51"/>
  <c r="V272" i="51"/>
  <c r="U272" i="51"/>
  <c r="T272" i="51"/>
  <c r="R272" i="51"/>
  <c r="Q272" i="51"/>
  <c r="P272" i="51"/>
  <c r="O272" i="51"/>
  <c r="N272" i="51"/>
  <c r="M272" i="51"/>
  <c r="Z271" i="51"/>
  <c r="Y271" i="51"/>
  <c r="X271" i="51"/>
  <c r="W271" i="51"/>
  <c r="V271" i="51"/>
  <c r="U271" i="51"/>
  <c r="T271" i="51"/>
  <c r="R271" i="51"/>
  <c r="Q271" i="51"/>
  <c r="P271" i="51"/>
  <c r="O271" i="51"/>
  <c r="N271" i="51"/>
  <c r="M271" i="51"/>
  <c r="Z270" i="51"/>
  <c r="Y270" i="51"/>
  <c r="X270" i="51"/>
  <c r="W270" i="51"/>
  <c r="V270" i="51"/>
  <c r="U270" i="51"/>
  <c r="T270" i="51"/>
  <c r="R270" i="51"/>
  <c r="Q270" i="51"/>
  <c r="P270" i="51"/>
  <c r="O270" i="51"/>
  <c r="N270" i="51"/>
  <c r="M270" i="51"/>
  <c r="Z269" i="51"/>
  <c r="Y269" i="51"/>
  <c r="X269" i="51"/>
  <c r="W269" i="51"/>
  <c r="V269" i="51"/>
  <c r="U269" i="51"/>
  <c r="T269" i="51"/>
  <c r="R269" i="51"/>
  <c r="Q269" i="51"/>
  <c r="P269" i="51"/>
  <c r="O269" i="51"/>
  <c r="N269" i="51"/>
  <c r="M269" i="51"/>
  <c r="Z268" i="51"/>
  <c r="Y268" i="51"/>
  <c r="X268" i="51"/>
  <c r="W268" i="51"/>
  <c r="V268" i="51"/>
  <c r="U268" i="51"/>
  <c r="T268" i="51"/>
  <c r="S268" i="51"/>
  <c r="R268" i="51"/>
  <c r="Q268" i="51"/>
  <c r="P268" i="51"/>
  <c r="O268" i="51"/>
  <c r="N268" i="51"/>
  <c r="Z267" i="51"/>
  <c r="Y267" i="51"/>
  <c r="X267" i="51"/>
  <c r="W267" i="51"/>
  <c r="V267" i="51"/>
  <c r="U267" i="51"/>
  <c r="T267" i="51"/>
  <c r="R267" i="51"/>
  <c r="Q267" i="51"/>
  <c r="P267" i="51"/>
  <c r="O267" i="51"/>
  <c r="N267" i="51"/>
  <c r="M267" i="51"/>
  <c r="Z278" i="51"/>
  <c r="Y278" i="51"/>
  <c r="X278" i="51"/>
  <c r="W278" i="51"/>
  <c r="V278" i="51"/>
  <c r="U278" i="51"/>
  <c r="T278" i="51"/>
  <c r="S278" i="51"/>
  <c r="R278" i="51"/>
  <c r="Q278" i="51"/>
  <c r="P278" i="51"/>
  <c r="O278" i="51"/>
  <c r="N278" i="51"/>
  <c r="Z277" i="51"/>
  <c r="Y277" i="51"/>
  <c r="X277" i="51"/>
  <c r="W277" i="51"/>
  <c r="V277" i="51"/>
  <c r="U277" i="51"/>
  <c r="T277" i="51"/>
  <c r="S277" i="51"/>
  <c r="R277" i="51"/>
  <c r="Q277" i="51"/>
  <c r="P277" i="51"/>
  <c r="O277" i="51"/>
  <c r="N277" i="51"/>
  <c r="Z276" i="51"/>
  <c r="Y276" i="51"/>
  <c r="X276" i="51"/>
  <c r="W276" i="51"/>
  <c r="V276" i="51"/>
  <c r="U276" i="51"/>
  <c r="T276" i="51"/>
  <c r="R276" i="51"/>
  <c r="Q276" i="51"/>
  <c r="P276" i="51"/>
  <c r="O276" i="51"/>
  <c r="N276" i="51"/>
  <c r="M276" i="51"/>
  <c r="Z281" i="51"/>
  <c r="Y281" i="51"/>
  <c r="X281" i="51"/>
  <c r="W281" i="51"/>
  <c r="V281" i="51"/>
  <c r="U281" i="51"/>
  <c r="S281" i="51"/>
  <c r="R281" i="51"/>
  <c r="Q281" i="51"/>
  <c r="P281" i="51"/>
  <c r="O281" i="51"/>
  <c r="N281" i="51"/>
  <c r="M281" i="51"/>
  <c r="Z280" i="51"/>
  <c r="Y280" i="51"/>
  <c r="X280" i="51"/>
  <c r="W280" i="51"/>
  <c r="V280" i="51"/>
  <c r="U280" i="51"/>
  <c r="S280" i="51"/>
  <c r="R280" i="51"/>
  <c r="Q280" i="51"/>
  <c r="P280" i="51"/>
  <c r="O280" i="51"/>
  <c r="N280" i="51"/>
  <c r="M280" i="51"/>
  <c r="Z279" i="51"/>
  <c r="Y279" i="51"/>
  <c r="X279" i="51"/>
  <c r="W279" i="51"/>
  <c r="V279" i="51"/>
  <c r="U279" i="51"/>
  <c r="T279" i="51"/>
  <c r="R279" i="51"/>
  <c r="Q279" i="51"/>
  <c r="P279" i="51"/>
  <c r="O279" i="51"/>
  <c r="N279" i="51"/>
  <c r="M279" i="51"/>
  <c r="Z283" i="51"/>
  <c r="Y283" i="51"/>
  <c r="X283" i="51"/>
  <c r="W283" i="51"/>
  <c r="V283" i="51"/>
  <c r="U283" i="51"/>
  <c r="T283" i="51"/>
  <c r="R283" i="51"/>
  <c r="Q283" i="51"/>
  <c r="P283" i="51"/>
  <c r="O283" i="51"/>
  <c r="N283" i="51"/>
  <c r="M283" i="51"/>
  <c r="Z282" i="51"/>
  <c r="Y282" i="51"/>
  <c r="X282" i="51"/>
  <c r="W282" i="51"/>
  <c r="V282" i="51"/>
  <c r="U282" i="51"/>
  <c r="T282" i="51"/>
  <c r="R282" i="51"/>
  <c r="Q282" i="51"/>
  <c r="P282" i="51"/>
  <c r="O282" i="51"/>
  <c r="N282" i="51"/>
  <c r="M282" i="51"/>
  <c r="Z286" i="51"/>
  <c r="Y286" i="51"/>
  <c r="X286" i="51"/>
  <c r="W286" i="51"/>
  <c r="V286" i="51"/>
  <c r="U286" i="51"/>
  <c r="S286" i="51"/>
  <c r="R286" i="51"/>
  <c r="Q286" i="51"/>
  <c r="P286" i="51"/>
  <c r="O286" i="51"/>
  <c r="N286" i="51"/>
  <c r="M286" i="51"/>
  <c r="Z285" i="51"/>
  <c r="Y285" i="51"/>
  <c r="X285" i="51"/>
  <c r="W285" i="51"/>
  <c r="V285" i="51"/>
  <c r="U285" i="51"/>
  <c r="S285" i="51"/>
  <c r="R285" i="51"/>
  <c r="Q285" i="51"/>
  <c r="P285" i="51"/>
  <c r="O285" i="51"/>
  <c r="N285" i="51"/>
  <c r="M285" i="51"/>
  <c r="Z284" i="51"/>
  <c r="Y284" i="51"/>
  <c r="X284" i="51"/>
  <c r="W284" i="51"/>
  <c r="V284" i="51"/>
  <c r="U284" i="51"/>
  <c r="S284" i="51"/>
  <c r="R284" i="51"/>
  <c r="Q284" i="51"/>
  <c r="P284" i="51"/>
  <c r="O284" i="51"/>
  <c r="N284" i="51"/>
  <c r="M284" i="51"/>
  <c r="Z289" i="51"/>
  <c r="Y289" i="51"/>
  <c r="X289" i="51"/>
  <c r="W289" i="51"/>
  <c r="V289" i="51"/>
  <c r="U289" i="51"/>
  <c r="S289" i="51"/>
  <c r="R289" i="51"/>
  <c r="Q289" i="51"/>
  <c r="P289" i="51"/>
  <c r="O289" i="51"/>
  <c r="N289" i="51"/>
  <c r="M289" i="51"/>
  <c r="Z288" i="51"/>
  <c r="Y288" i="51"/>
  <c r="X288" i="51"/>
  <c r="W288" i="51"/>
  <c r="V288" i="51"/>
  <c r="U288" i="51"/>
  <c r="T288" i="51"/>
  <c r="S288" i="51"/>
  <c r="R288" i="51"/>
  <c r="Q288" i="51"/>
  <c r="P288" i="51"/>
  <c r="O288" i="51"/>
  <c r="N288" i="51"/>
  <c r="M288" i="51"/>
  <c r="Z287" i="51"/>
  <c r="Y287" i="51"/>
  <c r="X287" i="51"/>
  <c r="W287" i="51"/>
  <c r="V287" i="51"/>
  <c r="U287" i="51"/>
  <c r="T287" i="51"/>
  <c r="R287" i="51"/>
  <c r="Q287" i="51"/>
  <c r="P287" i="51"/>
  <c r="O287" i="51"/>
  <c r="N287" i="51"/>
  <c r="M287" i="51"/>
  <c r="Z290" i="51"/>
  <c r="Y290" i="51"/>
  <c r="X290" i="51"/>
  <c r="W290" i="51"/>
  <c r="V290" i="51"/>
  <c r="U290" i="51"/>
  <c r="T290" i="51"/>
  <c r="R290" i="51"/>
  <c r="Q290" i="51"/>
  <c r="P290" i="51"/>
  <c r="O290" i="51"/>
  <c r="N290" i="51"/>
  <c r="M290" i="51"/>
  <c r="Z291" i="51"/>
  <c r="Y291" i="51"/>
  <c r="X291" i="51"/>
  <c r="W291" i="51"/>
  <c r="V291" i="51"/>
  <c r="U291" i="51"/>
  <c r="T291" i="51"/>
  <c r="R291" i="51"/>
  <c r="Q291" i="51"/>
  <c r="P291" i="51"/>
  <c r="O291" i="51"/>
  <c r="N291" i="51"/>
  <c r="M291" i="51"/>
  <c r="Z292" i="51"/>
  <c r="Y292" i="51"/>
  <c r="X292" i="51"/>
  <c r="W292" i="51"/>
  <c r="V292" i="51"/>
  <c r="U292" i="51"/>
  <c r="T292" i="51"/>
  <c r="R292" i="51"/>
  <c r="Q292" i="51"/>
  <c r="P292" i="51"/>
  <c r="O292" i="51"/>
  <c r="N292" i="51"/>
  <c r="M292" i="51"/>
  <c r="Z294" i="51"/>
  <c r="Y294" i="51"/>
  <c r="X294" i="51"/>
  <c r="W294" i="51"/>
  <c r="V294" i="51"/>
  <c r="U294" i="51"/>
  <c r="T294" i="51"/>
  <c r="R294" i="51"/>
  <c r="Q294" i="51"/>
  <c r="P294" i="51"/>
  <c r="O294" i="51"/>
  <c r="N294" i="51"/>
  <c r="M294" i="51"/>
  <c r="Z293" i="51"/>
  <c r="Y293" i="51"/>
  <c r="X293" i="51"/>
  <c r="W293" i="51"/>
  <c r="V293" i="51"/>
  <c r="U293" i="51"/>
  <c r="T293" i="51"/>
  <c r="R293" i="51"/>
  <c r="Q293" i="51"/>
  <c r="P293" i="51"/>
  <c r="O293" i="51"/>
  <c r="N293" i="51"/>
  <c r="M293" i="51"/>
  <c r="Z296" i="51"/>
  <c r="Y296" i="51"/>
  <c r="X296" i="51"/>
  <c r="W296" i="51"/>
  <c r="V296" i="51"/>
  <c r="U296" i="51"/>
  <c r="T296" i="51"/>
  <c r="S296" i="51"/>
  <c r="R296" i="51"/>
  <c r="Q296" i="51"/>
  <c r="P296" i="51"/>
  <c r="O296" i="51"/>
  <c r="N296" i="51"/>
  <c r="Z295" i="51"/>
  <c r="Y295" i="51"/>
  <c r="X295" i="51"/>
  <c r="W295" i="51"/>
  <c r="V295" i="51"/>
  <c r="U295" i="51"/>
  <c r="T295" i="51"/>
  <c r="S295" i="51"/>
  <c r="R295" i="51"/>
  <c r="Q295" i="51"/>
  <c r="P295" i="51"/>
  <c r="O295" i="51"/>
  <c r="N295" i="51"/>
  <c r="Z299" i="51"/>
  <c r="Y299" i="51"/>
  <c r="X299" i="51"/>
  <c r="W299" i="51"/>
  <c r="V299" i="51"/>
  <c r="U299" i="51"/>
  <c r="T299" i="51"/>
  <c r="R299" i="51"/>
  <c r="Q299" i="51"/>
  <c r="P299" i="51"/>
  <c r="O299" i="51"/>
  <c r="N299" i="51"/>
  <c r="M299" i="51"/>
  <c r="Z298" i="51"/>
  <c r="Y298" i="51"/>
  <c r="X298" i="51"/>
  <c r="W298" i="51"/>
  <c r="V298" i="51"/>
  <c r="U298" i="51"/>
  <c r="T298" i="51"/>
  <c r="S298" i="51"/>
  <c r="R298" i="51"/>
  <c r="Q298" i="51"/>
  <c r="P298" i="51"/>
  <c r="O298" i="51"/>
  <c r="N298" i="51"/>
  <c r="Z297" i="51"/>
  <c r="Y297" i="51"/>
  <c r="X297" i="51"/>
  <c r="W297" i="51"/>
  <c r="V297" i="51"/>
  <c r="U297" i="51"/>
  <c r="T297" i="51"/>
  <c r="R297" i="51"/>
  <c r="Q297" i="51"/>
  <c r="P297" i="51"/>
  <c r="O297" i="51"/>
  <c r="N297" i="51"/>
  <c r="M297" i="51"/>
  <c r="Z300" i="51"/>
  <c r="Y300" i="51"/>
  <c r="X300" i="51"/>
  <c r="W300" i="51"/>
  <c r="V300" i="51"/>
  <c r="U300" i="51"/>
  <c r="T300" i="51"/>
  <c r="R300" i="51"/>
  <c r="Q300" i="51"/>
  <c r="P300" i="51"/>
  <c r="O300" i="51"/>
  <c r="N300" i="51"/>
  <c r="M300" i="51"/>
  <c r="Z309" i="51"/>
  <c r="Y309" i="51"/>
  <c r="X309" i="51"/>
  <c r="W309" i="51"/>
  <c r="V309" i="51"/>
  <c r="U309" i="51"/>
  <c r="T309" i="51"/>
  <c r="S309" i="51"/>
  <c r="R309" i="51"/>
  <c r="Q309" i="51"/>
  <c r="P309" i="51"/>
  <c r="O309" i="51"/>
  <c r="N309" i="51"/>
  <c r="M309" i="51"/>
  <c r="Z308" i="51"/>
  <c r="Y308" i="51"/>
  <c r="X308" i="51"/>
  <c r="W308" i="51"/>
  <c r="V308" i="51"/>
  <c r="U308" i="51"/>
  <c r="T308" i="51"/>
  <c r="R308" i="51"/>
  <c r="Q308" i="51"/>
  <c r="P308" i="51"/>
  <c r="O308" i="51"/>
  <c r="N308" i="51"/>
  <c r="M308" i="51"/>
  <c r="Z307" i="51"/>
  <c r="Y307" i="51"/>
  <c r="X307" i="51"/>
  <c r="W307" i="51"/>
  <c r="V307" i="51"/>
  <c r="U307" i="51"/>
  <c r="T307" i="51"/>
  <c r="S307" i="51"/>
  <c r="R307" i="51"/>
  <c r="Q307" i="51"/>
  <c r="P307" i="51"/>
  <c r="O307" i="51"/>
  <c r="N307" i="51"/>
  <c r="Z306" i="51"/>
  <c r="Y306" i="51"/>
  <c r="X306" i="51"/>
  <c r="W306" i="51"/>
  <c r="V306" i="51"/>
  <c r="U306" i="51"/>
  <c r="T306" i="51"/>
  <c r="S306" i="51"/>
  <c r="R306" i="51"/>
  <c r="Q306" i="51"/>
  <c r="P306" i="51"/>
  <c r="O306" i="51"/>
  <c r="N306" i="51"/>
  <c r="Z305" i="51"/>
  <c r="Y305" i="51"/>
  <c r="X305" i="51"/>
  <c r="W305" i="51"/>
  <c r="V305" i="51"/>
  <c r="U305" i="51"/>
  <c r="T305" i="51"/>
  <c r="R305" i="51"/>
  <c r="Q305" i="51"/>
  <c r="P305" i="51"/>
  <c r="O305" i="51"/>
  <c r="N305" i="51"/>
  <c r="M305" i="51"/>
  <c r="Z304" i="51"/>
  <c r="Y304" i="51"/>
  <c r="X304" i="51"/>
  <c r="W304" i="51"/>
  <c r="V304" i="51"/>
  <c r="U304" i="51"/>
  <c r="T304" i="51"/>
  <c r="S304" i="51"/>
  <c r="R304" i="51"/>
  <c r="Q304" i="51"/>
  <c r="P304" i="51"/>
  <c r="O304" i="51"/>
  <c r="N304" i="51"/>
  <c r="Z303" i="51"/>
  <c r="Y303" i="51"/>
  <c r="X303" i="51"/>
  <c r="W303" i="51"/>
  <c r="V303" i="51"/>
  <c r="U303" i="51"/>
  <c r="T303" i="51"/>
  <c r="S303" i="51"/>
  <c r="R303" i="51"/>
  <c r="Q303" i="51"/>
  <c r="P303" i="51"/>
  <c r="O303" i="51"/>
  <c r="N303" i="51"/>
  <c r="Z302" i="51"/>
  <c r="Y302" i="51"/>
  <c r="X302" i="51"/>
  <c r="W302" i="51"/>
  <c r="V302" i="51"/>
  <c r="U302" i="51"/>
  <c r="T302" i="51"/>
  <c r="R302" i="51"/>
  <c r="Q302" i="51"/>
  <c r="P302" i="51"/>
  <c r="O302" i="51"/>
  <c r="N302" i="51"/>
  <c r="M302" i="51"/>
  <c r="Z301" i="51"/>
  <c r="Y301" i="51"/>
  <c r="X301" i="51"/>
  <c r="W301" i="51"/>
  <c r="V301" i="51"/>
  <c r="U301" i="51"/>
  <c r="T301" i="51"/>
  <c r="S301" i="51"/>
  <c r="R301" i="51"/>
  <c r="Q301" i="51"/>
  <c r="P301" i="51"/>
  <c r="O301" i="51"/>
  <c r="N301" i="51"/>
  <c r="Z318" i="51"/>
  <c r="Y318" i="51"/>
  <c r="X318" i="51"/>
  <c r="W318" i="51"/>
  <c r="V318" i="51"/>
  <c r="U318" i="51"/>
  <c r="T318" i="51"/>
  <c r="R318" i="51"/>
  <c r="Q318" i="51"/>
  <c r="P318" i="51"/>
  <c r="O318" i="51"/>
  <c r="N318" i="51"/>
  <c r="M318" i="51"/>
  <c r="Z317" i="51"/>
  <c r="Y317" i="51"/>
  <c r="X317" i="51"/>
  <c r="W317" i="51"/>
  <c r="V317" i="51"/>
  <c r="U317" i="51"/>
  <c r="T317" i="51"/>
  <c r="R317" i="51"/>
  <c r="Q317" i="51"/>
  <c r="P317" i="51"/>
  <c r="O317" i="51"/>
  <c r="N317" i="51"/>
  <c r="M317" i="51"/>
  <c r="Z316" i="51"/>
  <c r="Y316" i="51"/>
  <c r="X316" i="51"/>
  <c r="W316" i="51"/>
  <c r="V316" i="51"/>
  <c r="U316" i="51"/>
  <c r="T316" i="51"/>
  <c r="S316" i="51"/>
  <c r="R316" i="51"/>
  <c r="Q316" i="51"/>
  <c r="P316" i="51"/>
  <c r="O316" i="51"/>
  <c r="N316" i="51"/>
  <c r="Z315" i="51"/>
  <c r="Y315" i="51"/>
  <c r="X315" i="51"/>
  <c r="W315" i="51"/>
  <c r="V315" i="51"/>
  <c r="U315" i="51"/>
  <c r="T315" i="51"/>
  <c r="R315" i="51"/>
  <c r="Q315" i="51"/>
  <c r="P315" i="51"/>
  <c r="O315" i="51"/>
  <c r="N315" i="51"/>
  <c r="M315" i="51"/>
  <c r="Z314" i="51"/>
  <c r="Y314" i="51"/>
  <c r="X314" i="51"/>
  <c r="W314" i="51"/>
  <c r="V314" i="51"/>
  <c r="U314" i="51"/>
  <c r="T314" i="51"/>
  <c r="R314" i="51"/>
  <c r="Q314" i="51"/>
  <c r="P314" i="51"/>
  <c r="O314" i="51"/>
  <c r="N314" i="51"/>
  <c r="M314" i="51"/>
  <c r="Z313" i="51"/>
  <c r="Y313" i="51"/>
  <c r="X313" i="51"/>
  <c r="W313" i="51"/>
  <c r="V313" i="51"/>
  <c r="U313" i="51"/>
  <c r="T313" i="51"/>
  <c r="S313" i="51"/>
  <c r="R313" i="51"/>
  <c r="Q313" i="51"/>
  <c r="P313" i="51"/>
  <c r="O313" i="51"/>
  <c r="N313" i="51"/>
  <c r="Z312" i="51"/>
  <c r="Y312" i="51"/>
  <c r="X312" i="51"/>
  <c r="W312" i="51"/>
  <c r="V312" i="51"/>
  <c r="U312" i="51"/>
  <c r="T312" i="51"/>
  <c r="R312" i="51"/>
  <c r="Q312" i="51"/>
  <c r="P312" i="51"/>
  <c r="O312" i="51"/>
  <c r="N312" i="51"/>
  <c r="M312" i="51"/>
  <c r="Z311" i="51"/>
  <c r="Y311" i="51"/>
  <c r="X311" i="51"/>
  <c r="W311" i="51"/>
  <c r="V311" i="51"/>
  <c r="U311" i="51"/>
  <c r="T311" i="51"/>
  <c r="R311" i="51"/>
  <c r="Q311" i="51"/>
  <c r="P311" i="51"/>
  <c r="O311" i="51"/>
  <c r="N311" i="51"/>
  <c r="M311" i="51"/>
  <c r="Z310" i="51"/>
  <c r="Y310" i="51"/>
  <c r="X310" i="51"/>
  <c r="W310" i="51"/>
  <c r="V310" i="51"/>
  <c r="U310" i="51"/>
  <c r="T310" i="51"/>
  <c r="S310" i="51"/>
  <c r="R310" i="51"/>
  <c r="Q310" i="51"/>
  <c r="P310" i="51"/>
  <c r="O310" i="51"/>
  <c r="N310" i="51"/>
  <c r="Z322" i="51"/>
  <c r="Y322" i="51"/>
  <c r="X322" i="51"/>
  <c r="W322" i="51"/>
  <c r="V322" i="51"/>
  <c r="U322" i="51"/>
  <c r="S322" i="51"/>
  <c r="R322" i="51"/>
  <c r="Q322" i="51"/>
  <c r="P322" i="51"/>
  <c r="O322" i="51"/>
  <c r="N322" i="51"/>
  <c r="M322" i="51"/>
  <c r="Z321" i="51"/>
  <c r="Y321" i="51"/>
  <c r="X321" i="51"/>
  <c r="W321" i="51"/>
  <c r="V321" i="51"/>
  <c r="U321" i="51"/>
  <c r="T321" i="51"/>
  <c r="R321" i="51"/>
  <c r="Q321" i="51"/>
  <c r="P321" i="51"/>
  <c r="O321" i="51"/>
  <c r="N321" i="51"/>
  <c r="M321" i="51"/>
  <c r="Z320" i="51"/>
  <c r="Y320" i="51"/>
  <c r="X320" i="51"/>
  <c r="W320" i="51"/>
  <c r="V320" i="51"/>
  <c r="U320" i="51"/>
  <c r="T320" i="51"/>
  <c r="R320" i="51"/>
  <c r="Q320" i="51"/>
  <c r="P320" i="51"/>
  <c r="O320" i="51"/>
  <c r="N320" i="51"/>
  <c r="M320" i="51"/>
  <c r="Z319" i="51"/>
  <c r="Y319" i="51"/>
  <c r="X319" i="51"/>
  <c r="W319" i="51"/>
  <c r="V319" i="51"/>
  <c r="U319" i="51"/>
  <c r="T319" i="51"/>
  <c r="S319" i="51"/>
  <c r="R319" i="51"/>
  <c r="Q319" i="51"/>
  <c r="P319" i="51"/>
  <c r="O319" i="51"/>
  <c r="N319" i="51"/>
  <c r="Z324" i="51"/>
  <c r="Y324" i="51"/>
  <c r="X324" i="51"/>
  <c r="W324" i="51"/>
  <c r="V324" i="51"/>
  <c r="U324" i="51"/>
  <c r="T324" i="51"/>
  <c r="R324" i="51"/>
  <c r="Q324" i="51"/>
  <c r="P324" i="51"/>
  <c r="O324" i="51"/>
  <c r="N324" i="51"/>
  <c r="M324" i="51"/>
  <c r="Z323" i="51"/>
  <c r="Y323" i="51"/>
  <c r="X323" i="51"/>
  <c r="W323" i="51"/>
  <c r="V323" i="51"/>
  <c r="U323" i="51"/>
  <c r="T323" i="51"/>
  <c r="S323" i="51"/>
  <c r="R323" i="51"/>
  <c r="Q323" i="51"/>
  <c r="P323" i="51"/>
  <c r="O323" i="51"/>
  <c r="N323" i="51"/>
  <c r="Z327" i="51"/>
  <c r="Y327" i="51"/>
  <c r="X327" i="51"/>
  <c r="W327" i="51"/>
  <c r="V327" i="51"/>
  <c r="U327" i="51"/>
  <c r="S327" i="51"/>
  <c r="R327" i="51"/>
  <c r="Q327" i="51"/>
  <c r="P327" i="51"/>
  <c r="O327" i="51"/>
  <c r="N327" i="51"/>
  <c r="M327" i="51"/>
  <c r="Z326" i="51"/>
  <c r="Y326" i="51"/>
  <c r="X326" i="51"/>
  <c r="W326" i="51"/>
  <c r="V326" i="51"/>
  <c r="U326" i="51"/>
  <c r="S326" i="51"/>
  <c r="R326" i="51"/>
  <c r="Q326" i="51"/>
  <c r="P326" i="51"/>
  <c r="O326" i="51"/>
  <c r="N326" i="51"/>
  <c r="M326" i="51"/>
  <c r="Z325" i="51"/>
  <c r="Y325" i="51"/>
  <c r="X325" i="51"/>
  <c r="W325" i="51"/>
  <c r="V325" i="51"/>
  <c r="U325" i="51"/>
  <c r="T325" i="51"/>
  <c r="R325" i="51"/>
  <c r="Q325" i="51"/>
  <c r="P325" i="51"/>
  <c r="O325" i="51"/>
  <c r="N325" i="51"/>
  <c r="M325" i="51"/>
  <c r="Z328" i="51"/>
  <c r="Y328" i="51"/>
  <c r="X328" i="51"/>
  <c r="W328" i="51"/>
  <c r="V328" i="51"/>
  <c r="U328" i="51"/>
  <c r="T328" i="51"/>
  <c r="R328" i="51"/>
  <c r="Q328" i="51"/>
  <c r="P328" i="51"/>
  <c r="O328" i="51"/>
  <c r="N328" i="51"/>
  <c r="M328" i="51"/>
  <c r="Z329" i="51"/>
  <c r="Y329" i="51"/>
  <c r="X329" i="51"/>
  <c r="W329" i="51"/>
  <c r="V329" i="51"/>
  <c r="U329" i="51"/>
  <c r="T329" i="51"/>
  <c r="R329" i="51"/>
  <c r="Q329" i="51"/>
  <c r="P329" i="51"/>
  <c r="O329" i="51"/>
  <c r="N329" i="51"/>
  <c r="M329" i="51"/>
  <c r="Z330" i="51"/>
  <c r="Y330" i="51"/>
  <c r="X330" i="51"/>
  <c r="W330" i="51"/>
  <c r="V330" i="51"/>
  <c r="U330" i="51"/>
  <c r="T330" i="51"/>
  <c r="S330" i="51"/>
  <c r="R330" i="51"/>
  <c r="Q330" i="51"/>
  <c r="P330" i="51"/>
  <c r="O330" i="51"/>
  <c r="N330" i="51"/>
  <c r="Z331" i="51"/>
  <c r="Y331" i="51"/>
  <c r="X331" i="51"/>
  <c r="W331" i="51"/>
  <c r="V331" i="51"/>
  <c r="U331" i="51"/>
  <c r="T331" i="51"/>
  <c r="S331" i="51"/>
  <c r="R331" i="51"/>
  <c r="Q331" i="51"/>
  <c r="P331" i="51"/>
  <c r="O331" i="51"/>
  <c r="N331" i="51"/>
  <c r="Z332" i="51"/>
  <c r="Y332" i="51"/>
  <c r="X332" i="51"/>
  <c r="W332" i="51"/>
  <c r="V332" i="51"/>
  <c r="U332" i="51"/>
  <c r="T332" i="51"/>
  <c r="S332" i="51"/>
  <c r="R332" i="51"/>
  <c r="Q332" i="51"/>
  <c r="P332" i="51"/>
  <c r="O332" i="51"/>
  <c r="N332" i="51"/>
  <c r="Z342" i="51"/>
  <c r="Y342" i="51"/>
  <c r="X342" i="51"/>
  <c r="W342" i="51"/>
  <c r="V342" i="51"/>
  <c r="U342" i="51"/>
  <c r="T342" i="51"/>
  <c r="S342" i="51"/>
  <c r="R342" i="51"/>
  <c r="Q342" i="51"/>
  <c r="P342" i="51"/>
  <c r="O342" i="51"/>
  <c r="N342" i="51"/>
  <c r="M342" i="51"/>
  <c r="Z341" i="51"/>
  <c r="Y341" i="51"/>
  <c r="X341" i="51"/>
  <c r="W341" i="51"/>
  <c r="V341" i="51"/>
  <c r="U341" i="51"/>
  <c r="T341" i="51"/>
  <c r="S341" i="51"/>
  <c r="R341" i="51"/>
  <c r="Q341" i="51"/>
  <c r="P341" i="51"/>
  <c r="O341" i="51"/>
  <c r="N341" i="51"/>
  <c r="Z340" i="51"/>
  <c r="Y340" i="51"/>
  <c r="X340" i="51"/>
  <c r="W340" i="51"/>
  <c r="V340" i="51"/>
  <c r="U340" i="51"/>
  <c r="T340" i="51"/>
  <c r="S340" i="51"/>
  <c r="R340" i="51"/>
  <c r="Q340" i="51"/>
  <c r="P340" i="51"/>
  <c r="O340" i="51"/>
  <c r="N340" i="51"/>
  <c r="Z339" i="51"/>
  <c r="Y339" i="51"/>
  <c r="X339" i="51"/>
  <c r="W339" i="51"/>
  <c r="V339" i="51"/>
  <c r="U339" i="51"/>
  <c r="T339" i="51"/>
  <c r="R339" i="51"/>
  <c r="Q339" i="51"/>
  <c r="P339" i="51"/>
  <c r="O339" i="51"/>
  <c r="N339" i="51"/>
  <c r="M339" i="51"/>
  <c r="Z338" i="51"/>
  <c r="Y338" i="51"/>
  <c r="X338" i="51"/>
  <c r="W338" i="51"/>
  <c r="V338" i="51"/>
  <c r="U338" i="51"/>
  <c r="T338" i="51"/>
  <c r="R338" i="51"/>
  <c r="Q338" i="51"/>
  <c r="P338" i="51"/>
  <c r="O338" i="51"/>
  <c r="N338" i="51"/>
  <c r="M338" i="51"/>
  <c r="Z337" i="51"/>
  <c r="Y337" i="51"/>
  <c r="X337" i="51"/>
  <c r="W337" i="51"/>
  <c r="V337" i="51"/>
  <c r="U337" i="51"/>
  <c r="T337" i="51"/>
  <c r="S337" i="51"/>
  <c r="R337" i="51"/>
  <c r="Q337" i="51"/>
  <c r="P337" i="51"/>
  <c r="O337" i="51"/>
  <c r="N337" i="51"/>
  <c r="Z336" i="51"/>
  <c r="Y336" i="51"/>
  <c r="X336" i="51"/>
  <c r="W336" i="51"/>
  <c r="V336" i="51"/>
  <c r="U336" i="51"/>
  <c r="T336" i="51"/>
  <c r="R336" i="51"/>
  <c r="Q336" i="51"/>
  <c r="P336" i="51"/>
  <c r="O336" i="51"/>
  <c r="N336" i="51"/>
  <c r="M336" i="51"/>
  <c r="Z335" i="51"/>
  <c r="Y335" i="51"/>
  <c r="X335" i="51"/>
  <c r="W335" i="51"/>
  <c r="V335" i="51"/>
  <c r="U335" i="51"/>
  <c r="T335" i="51"/>
  <c r="S335" i="51"/>
  <c r="R335" i="51"/>
  <c r="Q335" i="51"/>
  <c r="P335" i="51"/>
  <c r="O335" i="51"/>
  <c r="N335" i="51"/>
  <c r="Z334" i="51"/>
  <c r="Y334" i="51"/>
  <c r="X334" i="51"/>
  <c r="W334" i="51"/>
  <c r="V334" i="51"/>
  <c r="U334" i="51"/>
  <c r="T334" i="51"/>
  <c r="R334" i="51"/>
  <c r="Q334" i="51"/>
  <c r="P334" i="51"/>
  <c r="O334" i="51"/>
  <c r="N334" i="51"/>
  <c r="M334" i="51"/>
  <c r="Z333" i="51"/>
  <c r="Y333" i="51"/>
  <c r="X333" i="51"/>
  <c r="W333" i="51"/>
  <c r="V333" i="51"/>
  <c r="U333" i="51"/>
  <c r="T333" i="51"/>
  <c r="S333" i="51"/>
  <c r="R333" i="51"/>
  <c r="Q333" i="51"/>
  <c r="P333" i="51"/>
  <c r="O333" i="51"/>
  <c r="N333" i="51"/>
  <c r="Z351" i="51"/>
  <c r="Y351" i="51"/>
  <c r="X351" i="51"/>
  <c r="W351" i="51"/>
  <c r="V351" i="51"/>
  <c r="U351" i="51"/>
  <c r="T351" i="51"/>
  <c r="S351" i="51"/>
  <c r="R351" i="51"/>
  <c r="Q351" i="51"/>
  <c r="P351" i="51"/>
  <c r="O351" i="51"/>
  <c r="N351" i="51"/>
  <c r="Z350" i="51"/>
  <c r="Y350" i="51"/>
  <c r="X350" i="51"/>
  <c r="W350" i="51"/>
  <c r="V350" i="51"/>
  <c r="U350" i="51"/>
  <c r="T350" i="51"/>
  <c r="R350" i="51"/>
  <c r="Q350" i="51"/>
  <c r="P350" i="51"/>
  <c r="O350" i="51"/>
  <c r="N350" i="51"/>
  <c r="M350" i="51"/>
  <c r="Z349" i="51"/>
  <c r="Y349" i="51"/>
  <c r="X349" i="51"/>
  <c r="W349" i="51"/>
  <c r="V349" i="51"/>
  <c r="U349" i="51"/>
  <c r="T349" i="51"/>
  <c r="R349" i="51"/>
  <c r="Q349" i="51"/>
  <c r="P349" i="51"/>
  <c r="O349" i="51"/>
  <c r="N349" i="51"/>
  <c r="M349" i="51"/>
  <c r="Z348" i="51"/>
  <c r="Y348" i="51"/>
  <c r="X348" i="51"/>
  <c r="W348" i="51"/>
  <c r="V348" i="51"/>
  <c r="U348" i="51"/>
  <c r="T348" i="51"/>
  <c r="R348" i="51"/>
  <c r="Q348" i="51"/>
  <c r="P348" i="51"/>
  <c r="O348" i="51"/>
  <c r="N348" i="51"/>
  <c r="M348" i="51"/>
  <c r="Z347" i="51"/>
  <c r="Y347" i="51"/>
  <c r="X347" i="51"/>
  <c r="W347" i="51"/>
  <c r="V347" i="51"/>
  <c r="U347" i="51"/>
  <c r="T347" i="51"/>
  <c r="S347" i="51"/>
  <c r="R347" i="51"/>
  <c r="Q347" i="51"/>
  <c r="P347" i="51"/>
  <c r="O347" i="51"/>
  <c r="N347" i="51"/>
  <c r="Z346" i="51"/>
  <c r="Y346" i="51"/>
  <c r="X346" i="51"/>
  <c r="W346" i="51"/>
  <c r="V346" i="51"/>
  <c r="U346" i="51"/>
  <c r="T346" i="51"/>
  <c r="R346" i="51"/>
  <c r="Q346" i="51"/>
  <c r="P346" i="51"/>
  <c r="O346" i="51"/>
  <c r="N346" i="51"/>
  <c r="M346" i="51"/>
  <c r="Z345" i="51"/>
  <c r="Y345" i="51"/>
  <c r="X345" i="51"/>
  <c r="W345" i="51"/>
  <c r="V345" i="51"/>
  <c r="U345" i="51"/>
  <c r="T345" i="51"/>
  <c r="R345" i="51"/>
  <c r="Q345" i="51"/>
  <c r="P345" i="51"/>
  <c r="O345" i="51"/>
  <c r="N345" i="51"/>
  <c r="M345" i="51"/>
  <c r="Z344" i="51"/>
  <c r="Y344" i="51"/>
  <c r="X344" i="51"/>
  <c r="W344" i="51"/>
  <c r="V344" i="51"/>
  <c r="U344" i="51"/>
  <c r="T344" i="51"/>
  <c r="R344" i="51"/>
  <c r="Q344" i="51"/>
  <c r="P344" i="51"/>
  <c r="O344" i="51"/>
  <c r="N344" i="51"/>
  <c r="M344" i="51"/>
  <c r="Z343" i="51"/>
  <c r="Y343" i="51"/>
  <c r="X343" i="51"/>
  <c r="W343" i="51"/>
  <c r="V343" i="51"/>
  <c r="U343" i="51"/>
  <c r="T343" i="51"/>
  <c r="R343" i="51"/>
  <c r="Q343" i="51"/>
  <c r="P343" i="51"/>
  <c r="O343" i="51"/>
  <c r="N343" i="51"/>
  <c r="M343" i="51"/>
  <c r="Z354" i="51"/>
  <c r="Y354" i="51"/>
  <c r="X354" i="51"/>
  <c r="W354" i="51"/>
  <c r="V354" i="51"/>
  <c r="U354" i="51"/>
  <c r="T354" i="51"/>
  <c r="S354" i="51"/>
  <c r="R354" i="51"/>
  <c r="Q354" i="51"/>
  <c r="P354" i="51"/>
  <c r="O354" i="51"/>
  <c r="N354" i="51"/>
  <c r="Z353" i="51"/>
  <c r="Y353" i="51"/>
  <c r="X353" i="51"/>
  <c r="W353" i="51"/>
  <c r="V353" i="51"/>
  <c r="U353" i="51"/>
  <c r="T353" i="51"/>
  <c r="S353" i="51"/>
  <c r="R353" i="51"/>
  <c r="Q353" i="51"/>
  <c r="P353" i="51"/>
  <c r="O353" i="51"/>
  <c r="N353" i="51"/>
  <c r="Z352" i="51"/>
  <c r="Y352" i="51"/>
  <c r="X352" i="51"/>
  <c r="W352" i="51"/>
  <c r="V352" i="51"/>
  <c r="U352" i="51"/>
  <c r="T352" i="51"/>
  <c r="R352" i="51"/>
  <c r="Q352" i="51"/>
  <c r="P352" i="51"/>
  <c r="O352" i="51"/>
  <c r="N352" i="51"/>
  <c r="M352" i="51"/>
  <c r="Z356" i="51"/>
  <c r="Y356" i="51"/>
  <c r="X356" i="51"/>
  <c r="W356" i="51"/>
  <c r="V356" i="51"/>
  <c r="U356" i="51"/>
  <c r="T356" i="51"/>
  <c r="R356" i="51"/>
  <c r="Q356" i="51"/>
  <c r="P356" i="51"/>
  <c r="O356" i="51"/>
  <c r="N356" i="51"/>
  <c r="M356" i="51"/>
  <c r="Z355" i="51"/>
  <c r="Y355" i="51"/>
  <c r="X355" i="51"/>
  <c r="W355" i="51"/>
  <c r="V355" i="51"/>
  <c r="U355" i="51"/>
  <c r="T355" i="51"/>
  <c r="R355" i="51"/>
  <c r="Q355" i="51"/>
  <c r="P355" i="51"/>
  <c r="O355" i="51"/>
  <c r="N355" i="51"/>
  <c r="M355" i="51"/>
  <c r="Z358" i="51"/>
  <c r="Y358" i="51"/>
  <c r="X358" i="51"/>
  <c r="W358" i="51"/>
  <c r="V358" i="51"/>
  <c r="U358" i="51"/>
  <c r="S358" i="51"/>
  <c r="R358" i="51"/>
  <c r="Q358" i="51"/>
  <c r="P358" i="51"/>
  <c r="O358" i="51"/>
  <c r="N358" i="51"/>
  <c r="M358" i="51"/>
  <c r="Z357" i="51"/>
  <c r="Y357" i="51"/>
  <c r="X357" i="51"/>
  <c r="W357" i="51"/>
  <c r="V357" i="51"/>
  <c r="U357" i="51"/>
  <c r="T357" i="51"/>
  <c r="R357" i="51"/>
  <c r="Q357" i="51"/>
  <c r="P357" i="51"/>
  <c r="O357" i="51"/>
  <c r="N357" i="51"/>
  <c r="M357" i="51"/>
  <c r="Z359" i="51"/>
  <c r="Y359" i="51"/>
  <c r="X359" i="51"/>
  <c r="W359" i="51"/>
  <c r="V359" i="51"/>
  <c r="U359" i="51"/>
  <c r="T359" i="51"/>
  <c r="R359" i="51"/>
  <c r="Q359" i="51"/>
  <c r="P359" i="51"/>
  <c r="O359" i="51"/>
  <c r="N359" i="51"/>
  <c r="M359" i="51"/>
  <c r="Z360" i="51"/>
  <c r="Y360" i="51"/>
  <c r="X360" i="51"/>
  <c r="W360" i="51"/>
  <c r="V360" i="51"/>
  <c r="U360" i="51"/>
  <c r="T360" i="51"/>
  <c r="S360" i="51"/>
  <c r="R360" i="51"/>
  <c r="Q360" i="51"/>
  <c r="P360" i="51"/>
  <c r="O360" i="51"/>
  <c r="N360" i="51"/>
  <c r="M360" i="51"/>
  <c r="Z367" i="51"/>
  <c r="Y367" i="51"/>
  <c r="X367" i="51"/>
  <c r="W367" i="51"/>
  <c r="V367" i="51"/>
  <c r="U367" i="51"/>
  <c r="T367" i="51"/>
  <c r="S367" i="51"/>
  <c r="R367" i="51"/>
  <c r="Q367" i="51"/>
  <c r="P367" i="51"/>
  <c r="O367" i="51"/>
  <c r="N367" i="51"/>
  <c r="Z366" i="51"/>
  <c r="Y366" i="51"/>
  <c r="X366" i="51"/>
  <c r="W366" i="51"/>
  <c r="V366" i="51"/>
  <c r="U366" i="51"/>
  <c r="T366" i="51"/>
  <c r="R366" i="51"/>
  <c r="Q366" i="51"/>
  <c r="P366" i="51"/>
  <c r="O366" i="51"/>
  <c r="N366" i="51"/>
  <c r="M366" i="51"/>
  <c r="Z365" i="51"/>
  <c r="Y365" i="51"/>
  <c r="X365" i="51"/>
  <c r="W365" i="51"/>
  <c r="V365" i="51"/>
  <c r="U365" i="51"/>
  <c r="S365" i="51"/>
  <c r="R365" i="51"/>
  <c r="Q365" i="51"/>
  <c r="P365" i="51"/>
  <c r="O365" i="51"/>
  <c r="N365" i="51"/>
  <c r="M365" i="51"/>
  <c r="Z364" i="51"/>
  <c r="Y364" i="51"/>
  <c r="X364" i="51"/>
  <c r="W364" i="51"/>
  <c r="V364" i="51"/>
  <c r="U364" i="51"/>
  <c r="S364" i="51"/>
  <c r="R364" i="51"/>
  <c r="Q364" i="51"/>
  <c r="P364" i="51"/>
  <c r="O364" i="51"/>
  <c r="N364" i="51"/>
  <c r="M364" i="51"/>
  <c r="Z363" i="51"/>
  <c r="Y363" i="51"/>
  <c r="X363" i="51"/>
  <c r="W363" i="51"/>
  <c r="V363" i="51"/>
  <c r="U363" i="51"/>
  <c r="S363" i="51"/>
  <c r="R363" i="51"/>
  <c r="Q363" i="51"/>
  <c r="P363" i="51"/>
  <c r="O363" i="51"/>
  <c r="N363" i="51"/>
  <c r="M363" i="51"/>
  <c r="Z362" i="51"/>
  <c r="Y362" i="51"/>
  <c r="X362" i="51"/>
  <c r="W362" i="51"/>
  <c r="V362" i="51"/>
  <c r="U362" i="51"/>
  <c r="T362" i="51"/>
  <c r="R362" i="51"/>
  <c r="Q362" i="51"/>
  <c r="P362" i="51"/>
  <c r="O362" i="51"/>
  <c r="N362" i="51"/>
  <c r="M362" i="51"/>
  <c r="Z361" i="51"/>
  <c r="Y361" i="51"/>
  <c r="X361" i="51"/>
  <c r="W361" i="51"/>
  <c r="V361" i="51"/>
  <c r="U361" i="51"/>
  <c r="T361" i="51"/>
  <c r="R361" i="51"/>
  <c r="Q361" i="51"/>
  <c r="P361" i="51"/>
  <c r="O361" i="51"/>
  <c r="N361" i="51"/>
  <c r="M361" i="51"/>
  <c r="Z368" i="51"/>
  <c r="Y368" i="51"/>
  <c r="X368" i="51"/>
  <c r="W368" i="51"/>
  <c r="V368" i="51"/>
  <c r="U368" i="51"/>
  <c r="T368" i="51"/>
  <c r="R368" i="51"/>
  <c r="Q368" i="51"/>
  <c r="P368" i="51"/>
  <c r="O368" i="51"/>
  <c r="N368" i="51"/>
  <c r="M368" i="51"/>
  <c r="Z369" i="51"/>
  <c r="Y369" i="51"/>
  <c r="X369" i="51"/>
  <c r="W369" i="51"/>
  <c r="V369" i="51"/>
  <c r="U369" i="51"/>
  <c r="T369" i="51"/>
  <c r="R369" i="51"/>
  <c r="Q369" i="51"/>
  <c r="P369" i="51"/>
  <c r="O369" i="51"/>
  <c r="N369" i="51"/>
  <c r="M369" i="51"/>
  <c r="Z372" i="51"/>
  <c r="Y372" i="51"/>
  <c r="X372" i="51"/>
  <c r="W372" i="51"/>
  <c r="V372" i="51"/>
  <c r="U372" i="51"/>
  <c r="S372" i="51"/>
  <c r="R372" i="51"/>
  <c r="Q372" i="51"/>
  <c r="P372" i="51"/>
  <c r="O372" i="51"/>
  <c r="N372" i="51"/>
  <c r="M372" i="51"/>
  <c r="Z371" i="51"/>
  <c r="Y371" i="51"/>
  <c r="X371" i="51"/>
  <c r="W371" i="51"/>
  <c r="V371" i="51"/>
  <c r="U371" i="51"/>
  <c r="S371" i="51"/>
  <c r="R371" i="51"/>
  <c r="Q371" i="51"/>
  <c r="P371" i="51"/>
  <c r="O371" i="51"/>
  <c r="N371" i="51"/>
  <c r="M371" i="51"/>
  <c r="Z370" i="51"/>
  <c r="Y370" i="51"/>
  <c r="X370" i="51"/>
  <c r="W370" i="51"/>
  <c r="V370" i="51"/>
  <c r="U370" i="51"/>
  <c r="T370" i="51"/>
  <c r="S370" i="51"/>
  <c r="R370" i="51"/>
  <c r="Q370" i="51"/>
  <c r="P370" i="51"/>
  <c r="O370" i="51"/>
  <c r="N370" i="51"/>
  <c r="Z376" i="51"/>
  <c r="Y376" i="51"/>
  <c r="X376" i="51"/>
  <c r="W376" i="51"/>
  <c r="V376" i="51"/>
  <c r="U376" i="51"/>
  <c r="T376" i="51"/>
  <c r="S376" i="51"/>
  <c r="R376" i="51"/>
  <c r="Q376" i="51"/>
  <c r="P376" i="51"/>
  <c r="O376" i="51"/>
  <c r="N376" i="51"/>
  <c r="Z375" i="51"/>
  <c r="Y375" i="51"/>
  <c r="X375" i="51"/>
  <c r="W375" i="51"/>
  <c r="V375" i="51"/>
  <c r="U375" i="51"/>
  <c r="T375" i="51"/>
  <c r="S375" i="51"/>
  <c r="R375" i="51"/>
  <c r="Q375" i="51"/>
  <c r="P375" i="51"/>
  <c r="O375" i="51"/>
  <c r="N375" i="51"/>
  <c r="Z374" i="51"/>
  <c r="Y374" i="51"/>
  <c r="X374" i="51"/>
  <c r="W374" i="51"/>
  <c r="V374" i="51"/>
  <c r="U374" i="51"/>
  <c r="T374" i="51"/>
  <c r="R374" i="51"/>
  <c r="Q374" i="51"/>
  <c r="P374" i="51"/>
  <c r="O374" i="51"/>
  <c r="N374" i="51"/>
  <c r="M374" i="51"/>
  <c r="Z373" i="51"/>
  <c r="Y373" i="51"/>
  <c r="X373" i="51"/>
  <c r="W373" i="51"/>
  <c r="V373" i="51"/>
  <c r="U373" i="51"/>
  <c r="T373" i="51"/>
  <c r="R373" i="51"/>
  <c r="Q373" i="51"/>
  <c r="P373" i="51"/>
  <c r="O373" i="51"/>
  <c r="N373" i="51"/>
  <c r="M373" i="51"/>
  <c r="Z377" i="51"/>
  <c r="Y377" i="51"/>
  <c r="X377" i="51"/>
  <c r="W377" i="51"/>
  <c r="V377" i="51"/>
  <c r="U377" i="51"/>
  <c r="T377" i="51"/>
  <c r="R377" i="51"/>
  <c r="Q377" i="51"/>
  <c r="P377" i="51"/>
  <c r="O377" i="51"/>
  <c r="N377" i="51"/>
  <c r="M377" i="51"/>
  <c r="Z386" i="51"/>
  <c r="Y386" i="51"/>
  <c r="X386" i="51"/>
  <c r="W386" i="51"/>
  <c r="V386" i="51"/>
  <c r="U386" i="51"/>
  <c r="T386" i="51"/>
  <c r="S386" i="51"/>
  <c r="R386" i="51"/>
  <c r="Q386" i="51"/>
  <c r="P386" i="51"/>
  <c r="O386" i="51"/>
  <c r="N386" i="51"/>
  <c r="M386" i="51"/>
  <c r="Z385" i="51"/>
  <c r="Y385" i="51"/>
  <c r="X385" i="51"/>
  <c r="W385" i="51"/>
  <c r="V385" i="51"/>
  <c r="U385" i="51"/>
  <c r="T385" i="51"/>
  <c r="S385" i="51"/>
  <c r="R385" i="51"/>
  <c r="Q385" i="51"/>
  <c r="P385" i="51"/>
  <c r="O385" i="51"/>
  <c r="N385" i="51"/>
  <c r="M385" i="51"/>
  <c r="Z384" i="51"/>
  <c r="Y384" i="51"/>
  <c r="X384" i="51"/>
  <c r="W384" i="51"/>
  <c r="V384" i="51"/>
  <c r="U384" i="51"/>
  <c r="T384" i="51"/>
  <c r="S384" i="51"/>
  <c r="R384" i="51"/>
  <c r="Q384" i="51"/>
  <c r="P384" i="51"/>
  <c r="O384" i="51"/>
  <c r="N384" i="51"/>
  <c r="Z383" i="51"/>
  <c r="Y383" i="51"/>
  <c r="X383" i="51"/>
  <c r="W383" i="51"/>
  <c r="V383" i="51"/>
  <c r="U383" i="51"/>
  <c r="T383" i="51"/>
  <c r="S383" i="51"/>
  <c r="R383" i="51"/>
  <c r="Q383" i="51"/>
  <c r="P383" i="51"/>
  <c r="O383" i="51"/>
  <c r="N383" i="51"/>
  <c r="Z382" i="51"/>
  <c r="Y382" i="51"/>
  <c r="X382" i="51"/>
  <c r="W382" i="51"/>
  <c r="V382" i="51"/>
  <c r="U382" i="51"/>
  <c r="T382" i="51"/>
  <c r="R382" i="51"/>
  <c r="Q382" i="51"/>
  <c r="P382" i="51"/>
  <c r="O382" i="51"/>
  <c r="N382" i="51"/>
  <c r="M382" i="51"/>
  <c r="Z381" i="51"/>
  <c r="Y381" i="51"/>
  <c r="X381" i="51"/>
  <c r="W381" i="51"/>
  <c r="V381" i="51"/>
  <c r="U381" i="51"/>
  <c r="T381" i="51"/>
  <c r="S381" i="51"/>
  <c r="R381" i="51"/>
  <c r="Q381" i="51"/>
  <c r="P381" i="51"/>
  <c r="O381" i="51"/>
  <c r="N381" i="51"/>
  <c r="Z380" i="51"/>
  <c r="Y380" i="51"/>
  <c r="X380" i="51"/>
  <c r="W380" i="51"/>
  <c r="V380" i="51"/>
  <c r="U380" i="51"/>
  <c r="T380" i="51"/>
  <c r="R380" i="51"/>
  <c r="Q380" i="51"/>
  <c r="P380" i="51"/>
  <c r="O380" i="51"/>
  <c r="N380" i="51"/>
  <c r="M380" i="51"/>
  <c r="Z379" i="51"/>
  <c r="Y379" i="51"/>
  <c r="X379" i="51"/>
  <c r="W379" i="51"/>
  <c r="V379" i="51"/>
  <c r="U379" i="51"/>
  <c r="T379" i="51"/>
  <c r="S379" i="51"/>
  <c r="R379" i="51"/>
  <c r="Q379" i="51"/>
  <c r="P379" i="51"/>
  <c r="O379" i="51"/>
  <c r="N379" i="51"/>
  <c r="Z378" i="51"/>
  <c r="Y378" i="51"/>
  <c r="X378" i="51"/>
  <c r="W378" i="51"/>
  <c r="V378" i="51"/>
  <c r="U378" i="51"/>
  <c r="T378" i="51"/>
  <c r="R378" i="51"/>
  <c r="Q378" i="51"/>
  <c r="P378" i="51"/>
  <c r="O378" i="51"/>
  <c r="N378" i="51"/>
  <c r="M378" i="51"/>
  <c r="Z395" i="51"/>
  <c r="Y395" i="51"/>
  <c r="X395" i="51"/>
  <c r="W395" i="51"/>
  <c r="V395" i="51"/>
  <c r="U395" i="51"/>
  <c r="T395" i="51"/>
  <c r="R395" i="51"/>
  <c r="Q395" i="51"/>
  <c r="P395" i="51"/>
  <c r="O395" i="51"/>
  <c r="N395" i="51"/>
  <c r="M395" i="51"/>
  <c r="Z394" i="51"/>
  <c r="Y394" i="51"/>
  <c r="X394" i="51"/>
  <c r="W394" i="51"/>
  <c r="V394" i="51"/>
  <c r="U394" i="51"/>
  <c r="T394" i="51"/>
  <c r="S394" i="51"/>
  <c r="R394" i="51"/>
  <c r="Q394" i="51"/>
  <c r="P394" i="51"/>
  <c r="O394" i="51"/>
  <c r="N394" i="51"/>
  <c r="Z393" i="51"/>
  <c r="Y393" i="51"/>
  <c r="X393" i="51"/>
  <c r="W393" i="51"/>
  <c r="V393" i="51"/>
  <c r="U393" i="51"/>
  <c r="T393" i="51"/>
  <c r="R393" i="51"/>
  <c r="Q393" i="51"/>
  <c r="P393" i="51"/>
  <c r="O393" i="51"/>
  <c r="N393" i="51"/>
  <c r="M393" i="51"/>
  <c r="Z392" i="51"/>
  <c r="Y392" i="51"/>
  <c r="X392" i="51"/>
  <c r="W392" i="51"/>
  <c r="V392" i="51"/>
  <c r="U392" i="51"/>
  <c r="T392" i="51"/>
  <c r="R392" i="51"/>
  <c r="Q392" i="51"/>
  <c r="P392" i="51"/>
  <c r="O392" i="51"/>
  <c r="N392" i="51"/>
  <c r="M392" i="51"/>
  <c r="Z391" i="51"/>
  <c r="Y391" i="51"/>
  <c r="X391" i="51"/>
  <c r="W391" i="51"/>
  <c r="V391" i="51"/>
  <c r="U391" i="51"/>
  <c r="T391" i="51"/>
  <c r="S391" i="51"/>
  <c r="R391" i="51"/>
  <c r="Q391" i="51"/>
  <c r="P391" i="51"/>
  <c r="O391" i="51"/>
  <c r="N391" i="51"/>
  <c r="Z390" i="51"/>
  <c r="Y390" i="51"/>
  <c r="X390" i="51"/>
  <c r="W390" i="51"/>
  <c r="V390" i="51"/>
  <c r="U390" i="51"/>
  <c r="T390" i="51"/>
  <c r="R390" i="51"/>
  <c r="Q390" i="51"/>
  <c r="P390" i="51"/>
  <c r="O390" i="51"/>
  <c r="N390" i="51"/>
  <c r="M390" i="51"/>
  <c r="Z389" i="51"/>
  <c r="Y389" i="51"/>
  <c r="X389" i="51"/>
  <c r="W389" i="51"/>
  <c r="V389" i="51"/>
  <c r="U389" i="51"/>
  <c r="T389" i="51"/>
  <c r="R389" i="51"/>
  <c r="Q389" i="51"/>
  <c r="P389" i="51"/>
  <c r="O389" i="51"/>
  <c r="N389" i="51"/>
  <c r="M389" i="51"/>
  <c r="Z388" i="51"/>
  <c r="Y388" i="51"/>
  <c r="X388" i="51"/>
  <c r="W388" i="51"/>
  <c r="V388" i="51"/>
  <c r="U388" i="51"/>
  <c r="T388" i="51"/>
  <c r="S388" i="51"/>
  <c r="R388" i="51"/>
  <c r="Q388" i="51"/>
  <c r="P388" i="51"/>
  <c r="O388" i="51"/>
  <c r="N388" i="51"/>
  <c r="Z387" i="51"/>
  <c r="Y387" i="51"/>
  <c r="X387" i="51"/>
  <c r="W387" i="51"/>
  <c r="V387" i="51"/>
  <c r="U387" i="51"/>
  <c r="T387" i="51"/>
  <c r="R387" i="51"/>
  <c r="Q387" i="51"/>
  <c r="P387" i="51"/>
  <c r="O387" i="51"/>
  <c r="N387" i="51"/>
  <c r="M387" i="51"/>
  <c r="Z399" i="51"/>
  <c r="Y399" i="51"/>
  <c r="X399" i="51"/>
  <c r="W399" i="51"/>
  <c r="V399" i="51"/>
  <c r="U399" i="51"/>
  <c r="T399" i="51"/>
  <c r="S399" i="51"/>
  <c r="R399" i="51"/>
  <c r="Q399" i="51"/>
  <c r="P399" i="51"/>
  <c r="O399" i="51"/>
  <c r="N399" i="51"/>
  <c r="Z398" i="51"/>
  <c r="Y398" i="51"/>
  <c r="X398" i="51"/>
  <c r="W398" i="51"/>
  <c r="V398" i="51"/>
  <c r="U398" i="51"/>
  <c r="S398" i="51"/>
  <c r="R398" i="51"/>
  <c r="Q398" i="51"/>
  <c r="P398" i="51"/>
  <c r="O398" i="51"/>
  <c r="N398" i="51"/>
  <c r="M398" i="51"/>
  <c r="Z397" i="51"/>
  <c r="Y397" i="51"/>
  <c r="X397" i="51"/>
  <c r="W397" i="51"/>
  <c r="V397" i="51"/>
  <c r="U397" i="51"/>
  <c r="T397" i="51"/>
  <c r="S397" i="51"/>
  <c r="R397" i="51"/>
  <c r="Q397" i="51"/>
  <c r="P397" i="51"/>
  <c r="O397" i="51"/>
  <c r="N397" i="51"/>
  <c r="Z396" i="51"/>
  <c r="Y396" i="51"/>
  <c r="X396" i="51"/>
  <c r="W396" i="51"/>
  <c r="V396" i="51"/>
  <c r="U396" i="51"/>
  <c r="T396" i="51"/>
  <c r="R396" i="51"/>
  <c r="Q396" i="51"/>
  <c r="P396" i="51"/>
  <c r="O396" i="51"/>
  <c r="N396" i="51"/>
  <c r="M396" i="51"/>
  <c r="Z401" i="51"/>
  <c r="Y401" i="51"/>
  <c r="X401" i="51"/>
  <c r="W401" i="51"/>
  <c r="V401" i="51"/>
  <c r="U401" i="51"/>
  <c r="T401" i="51"/>
  <c r="S401" i="51"/>
  <c r="R401" i="51"/>
  <c r="Q401" i="51"/>
  <c r="P401" i="51"/>
  <c r="O401" i="51"/>
  <c r="N401" i="51"/>
  <c r="Z400" i="51"/>
  <c r="Y400" i="51"/>
  <c r="X400" i="51"/>
  <c r="W400" i="51"/>
  <c r="V400" i="51"/>
  <c r="U400" i="51"/>
  <c r="T400" i="51"/>
  <c r="R400" i="51"/>
  <c r="Q400" i="51"/>
  <c r="P400" i="51"/>
  <c r="O400" i="51"/>
  <c r="N400" i="51"/>
  <c r="M400" i="51"/>
  <c r="Z404" i="51"/>
  <c r="Y404" i="51"/>
  <c r="X404" i="51"/>
  <c r="W404" i="51"/>
  <c r="V404" i="51"/>
  <c r="U404" i="51"/>
  <c r="S404" i="51"/>
  <c r="R404" i="51"/>
  <c r="Q404" i="51"/>
  <c r="P404" i="51"/>
  <c r="O404" i="51"/>
  <c r="N404" i="51"/>
  <c r="M404" i="51"/>
  <c r="Z403" i="51"/>
  <c r="Y403" i="51"/>
  <c r="X403" i="51"/>
  <c r="W403" i="51"/>
  <c r="V403" i="51"/>
  <c r="U403" i="51"/>
  <c r="S403" i="51"/>
  <c r="R403" i="51"/>
  <c r="Q403" i="51"/>
  <c r="P403" i="51"/>
  <c r="O403" i="51"/>
  <c r="N403" i="51"/>
  <c r="M403" i="51"/>
  <c r="Z402" i="51"/>
  <c r="Y402" i="51"/>
  <c r="X402" i="51"/>
  <c r="W402" i="51"/>
  <c r="V402" i="51"/>
  <c r="U402" i="51"/>
  <c r="T402" i="51"/>
  <c r="R402" i="51"/>
  <c r="Q402" i="51"/>
  <c r="P402" i="51"/>
  <c r="O402" i="51"/>
  <c r="N402" i="51"/>
  <c r="M402" i="51"/>
  <c r="Z406" i="51"/>
  <c r="Y406" i="51"/>
  <c r="X406" i="51"/>
  <c r="W406" i="51"/>
  <c r="V406" i="51"/>
  <c r="U406" i="51"/>
  <c r="S406" i="51"/>
  <c r="R406" i="51"/>
  <c r="Q406" i="51"/>
  <c r="P406" i="51"/>
  <c r="O406" i="51"/>
  <c r="N406" i="51"/>
  <c r="M406" i="51"/>
  <c r="Z405" i="51"/>
  <c r="Y405" i="51"/>
  <c r="X405" i="51"/>
  <c r="W405" i="51"/>
  <c r="V405" i="51"/>
  <c r="U405" i="51"/>
  <c r="T405" i="51"/>
  <c r="R405" i="51"/>
  <c r="Q405" i="51"/>
  <c r="P405" i="51"/>
  <c r="O405" i="51"/>
  <c r="N405" i="51"/>
  <c r="M405" i="51"/>
  <c r="Z407" i="51"/>
  <c r="Y407" i="51"/>
  <c r="X407" i="51"/>
  <c r="W407" i="51"/>
  <c r="V407" i="51"/>
  <c r="U407" i="51"/>
  <c r="T407" i="51"/>
  <c r="R407" i="51"/>
  <c r="Q407" i="51"/>
  <c r="P407" i="51"/>
  <c r="O407" i="51"/>
  <c r="N407" i="51"/>
  <c r="M407" i="51"/>
  <c r="Z410" i="51"/>
  <c r="Y410" i="51"/>
  <c r="X410" i="51"/>
  <c r="W410" i="51"/>
  <c r="V410" i="51"/>
  <c r="U410" i="51"/>
  <c r="T410" i="51"/>
  <c r="S410" i="51"/>
  <c r="R410" i="51"/>
  <c r="Q410" i="51"/>
  <c r="P410" i="51"/>
  <c r="O410" i="51"/>
  <c r="N410" i="51"/>
  <c r="Z409" i="51"/>
  <c r="Y409" i="51"/>
  <c r="X409" i="51"/>
  <c r="W409" i="51"/>
  <c r="V409" i="51"/>
  <c r="U409" i="51"/>
  <c r="T409" i="51"/>
  <c r="R409" i="51"/>
  <c r="Q409" i="51"/>
  <c r="P409" i="51"/>
  <c r="O409" i="51"/>
  <c r="N409" i="51"/>
  <c r="M409" i="51"/>
  <c r="Z408" i="51"/>
  <c r="Y408" i="51"/>
  <c r="X408" i="51"/>
  <c r="W408" i="51"/>
  <c r="V408" i="51"/>
  <c r="U408" i="51"/>
  <c r="T408" i="51"/>
  <c r="S408" i="51"/>
  <c r="R408" i="51"/>
  <c r="Q408" i="51"/>
  <c r="P408" i="51"/>
  <c r="O408" i="51"/>
  <c r="N408" i="51"/>
  <c r="Z411" i="51"/>
  <c r="Y411" i="51"/>
  <c r="X411" i="51"/>
  <c r="W411" i="51"/>
  <c r="V411" i="51"/>
  <c r="U411" i="51"/>
  <c r="T411" i="51"/>
  <c r="S411" i="51"/>
  <c r="R411" i="51"/>
  <c r="Q411" i="51"/>
  <c r="P411" i="51"/>
  <c r="O411" i="51"/>
  <c r="N411" i="51"/>
  <c r="Z429" i="51"/>
  <c r="Y429" i="51"/>
  <c r="X429" i="51"/>
  <c r="W429" i="51"/>
  <c r="V429" i="51"/>
  <c r="U429" i="51"/>
  <c r="T429" i="51"/>
  <c r="S429" i="51"/>
  <c r="R429" i="51"/>
  <c r="Q429" i="51"/>
  <c r="P429" i="51"/>
  <c r="O429" i="51"/>
  <c r="N429" i="51"/>
  <c r="M429" i="51"/>
  <c r="Z428" i="51"/>
  <c r="Y428" i="51"/>
  <c r="X428" i="51"/>
  <c r="W428" i="51"/>
  <c r="V428" i="51"/>
  <c r="U428" i="51"/>
  <c r="T428" i="51"/>
  <c r="S428" i="51"/>
  <c r="R428" i="51"/>
  <c r="Q428" i="51"/>
  <c r="P428" i="51"/>
  <c r="O428" i="51"/>
  <c r="N428" i="51"/>
  <c r="Z427" i="51"/>
  <c r="Y427" i="51"/>
  <c r="X427" i="51"/>
  <c r="W427" i="51"/>
  <c r="V427" i="51"/>
  <c r="U427" i="51"/>
  <c r="T427" i="51"/>
  <c r="R427" i="51"/>
  <c r="Q427" i="51"/>
  <c r="P427" i="51"/>
  <c r="O427" i="51"/>
  <c r="N427" i="51"/>
  <c r="M427" i="51"/>
  <c r="Z426" i="51"/>
  <c r="Y426" i="51"/>
  <c r="X426" i="51"/>
  <c r="W426" i="51"/>
  <c r="V426" i="51"/>
  <c r="U426" i="51"/>
  <c r="T426" i="51"/>
  <c r="S426" i="51"/>
  <c r="R426" i="51"/>
  <c r="Q426" i="51"/>
  <c r="P426" i="51"/>
  <c r="O426" i="51"/>
  <c r="N426" i="51"/>
  <c r="Z425" i="51"/>
  <c r="Y425" i="51"/>
  <c r="X425" i="51"/>
  <c r="W425" i="51"/>
  <c r="V425" i="51"/>
  <c r="U425" i="51"/>
  <c r="T425" i="51"/>
  <c r="S425" i="51"/>
  <c r="R425" i="51"/>
  <c r="Q425" i="51"/>
  <c r="P425" i="51"/>
  <c r="O425" i="51"/>
  <c r="N425" i="51"/>
  <c r="Z424" i="51"/>
  <c r="Y424" i="51"/>
  <c r="X424" i="51"/>
  <c r="W424" i="51"/>
  <c r="V424" i="51"/>
  <c r="U424" i="51"/>
  <c r="T424" i="51"/>
  <c r="R424" i="51"/>
  <c r="Q424" i="51"/>
  <c r="P424" i="51"/>
  <c r="O424" i="51"/>
  <c r="N424" i="51"/>
  <c r="M424" i="51"/>
  <c r="Z423" i="51"/>
  <c r="Y423" i="51"/>
  <c r="X423" i="51"/>
  <c r="W423" i="51"/>
  <c r="V423" i="51"/>
  <c r="U423" i="51"/>
  <c r="T423" i="51"/>
  <c r="R423" i="51"/>
  <c r="Q423" i="51"/>
  <c r="P423" i="51"/>
  <c r="O423" i="51"/>
  <c r="N423" i="51"/>
  <c r="M423" i="51"/>
  <c r="Z422" i="51"/>
  <c r="Y422" i="51"/>
  <c r="X422" i="51"/>
  <c r="W422" i="51"/>
  <c r="V422" i="51"/>
  <c r="U422" i="51"/>
  <c r="T422" i="51"/>
  <c r="R422" i="51"/>
  <c r="Q422" i="51"/>
  <c r="P422" i="51"/>
  <c r="O422" i="51"/>
  <c r="N422" i="51"/>
  <c r="M422" i="51"/>
  <c r="Z421" i="51"/>
  <c r="Y421" i="51"/>
  <c r="X421" i="51"/>
  <c r="W421" i="51"/>
  <c r="V421" i="51"/>
  <c r="U421" i="51"/>
  <c r="T421" i="51"/>
  <c r="S421" i="51"/>
  <c r="R421" i="51"/>
  <c r="Q421" i="51"/>
  <c r="P421" i="51"/>
  <c r="O421" i="51"/>
  <c r="N421" i="51"/>
  <c r="Z420" i="51"/>
  <c r="Y420" i="51"/>
  <c r="X420" i="51"/>
  <c r="W420" i="51"/>
  <c r="V420" i="51"/>
  <c r="U420" i="51"/>
  <c r="T420" i="51"/>
  <c r="R420" i="51"/>
  <c r="Q420" i="51"/>
  <c r="P420" i="51"/>
  <c r="O420" i="51"/>
  <c r="N420" i="51"/>
  <c r="M420" i="51"/>
  <c r="Z419" i="51"/>
  <c r="Y419" i="51"/>
  <c r="X419" i="51"/>
  <c r="W419" i="51"/>
  <c r="V419" i="51"/>
  <c r="U419" i="51"/>
  <c r="T419" i="51"/>
  <c r="S419" i="51"/>
  <c r="R419" i="51"/>
  <c r="Q419" i="51"/>
  <c r="P419" i="51"/>
  <c r="O419" i="51"/>
  <c r="N419" i="51"/>
  <c r="Z418" i="51"/>
  <c r="Y418" i="51"/>
  <c r="X418" i="51"/>
  <c r="W418" i="51"/>
  <c r="V418" i="51"/>
  <c r="U418" i="51"/>
  <c r="T418" i="51"/>
  <c r="R418" i="51"/>
  <c r="Q418" i="51"/>
  <c r="P418" i="51"/>
  <c r="O418" i="51"/>
  <c r="N418" i="51"/>
  <c r="M418" i="51"/>
  <c r="Z417" i="51"/>
  <c r="Y417" i="51"/>
  <c r="X417" i="51"/>
  <c r="W417" i="51"/>
  <c r="V417" i="51"/>
  <c r="U417" i="51"/>
  <c r="T417" i="51"/>
  <c r="S417" i="51"/>
  <c r="R417" i="51"/>
  <c r="Q417" i="51"/>
  <c r="P417" i="51"/>
  <c r="O417" i="51"/>
  <c r="N417" i="51"/>
  <c r="Z416" i="51"/>
  <c r="Y416" i="51"/>
  <c r="X416" i="51"/>
  <c r="W416" i="51"/>
  <c r="V416" i="51"/>
  <c r="U416" i="51"/>
  <c r="T416" i="51"/>
  <c r="S416" i="51"/>
  <c r="R416" i="51"/>
  <c r="Q416" i="51"/>
  <c r="P416" i="51"/>
  <c r="O416" i="51"/>
  <c r="N416" i="51"/>
  <c r="Z415" i="51"/>
  <c r="Y415" i="51"/>
  <c r="X415" i="51"/>
  <c r="W415" i="51"/>
  <c r="V415" i="51"/>
  <c r="U415" i="51"/>
  <c r="T415" i="51"/>
  <c r="R415" i="51"/>
  <c r="Q415" i="51"/>
  <c r="P415" i="51"/>
  <c r="O415" i="51"/>
  <c r="N415" i="51"/>
  <c r="M415" i="51"/>
  <c r="Z414" i="51"/>
  <c r="Y414" i="51"/>
  <c r="X414" i="51"/>
  <c r="W414" i="51"/>
  <c r="V414" i="51"/>
  <c r="U414" i="51"/>
  <c r="T414" i="51"/>
  <c r="S414" i="51"/>
  <c r="R414" i="51"/>
  <c r="Q414" i="51"/>
  <c r="P414" i="51"/>
  <c r="O414" i="51"/>
  <c r="N414" i="51"/>
  <c r="Z413" i="51"/>
  <c r="Y413" i="51"/>
  <c r="X413" i="51"/>
  <c r="W413" i="51"/>
  <c r="V413" i="51"/>
  <c r="U413" i="51"/>
  <c r="T413" i="51"/>
  <c r="R413" i="51"/>
  <c r="Q413" i="51"/>
  <c r="P413" i="51"/>
  <c r="O413" i="51"/>
  <c r="N413" i="51"/>
  <c r="M413" i="51"/>
  <c r="Z412" i="51"/>
  <c r="Y412" i="51"/>
  <c r="X412" i="51"/>
  <c r="W412" i="51"/>
  <c r="V412" i="51"/>
  <c r="U412" i="51"/>
  <c r="T412" i="51"/>
  <c r="S412" i="51"/>
  <c r="R412" i="51"/>
  <c r="Q412" i="51"/>
  <c r="P412" i="51"/>
  <c r="O412" i="51"/>
  <c r="N412" i="51"/>
  <c r="Z432" i="51"/>
  <c r="Y432" i="51"/>
  <c r="X432" i="51"/>
  <c r="W432" i="51"/>
  <c r="V432" i="51"/>
  <c r="U432" i="51"/>
  <c r="T432" i="51"/>
  <c r="R432" i="51"/>
  <c r="Q432" i="51"/>
  <c r="P432" i="51"/>
  <c r="O432" i="51"/>
  <c r="N432" i="51"/>
  <c r="M432" i="51"/>
  <c r="Z431" i="51"/>
  <c r="Y431" i="51"/>
  <c r="X431" i="51"/>
  <c r="W431" i="51"/>
  <c r="V431" i="51"/>
  <c r="U431" i="51"/>
  <c r="T431" i="51"/>
  <c r="R431" i="51"/>
  <c r="Q431" i="51"/>
  <c r="P431" i="51"/>
  <c r="O431" i="51"/>
  <c r="N431" i="51"/>
  <c r="M431" i="51"/>
  <c r="Z430" i="51"/>
  <c r="Y430" i="51"/>
  <c r="X430" i="51"/>
  <c r="W430" i="51"/>
  <c r="V430" i="51"/>
  <c r="U430" i="51"/>
  <c r="T430" i="51"/>
  <c r="S430" i="51"/>
  <c r="R430" i="51"/>
  <c r="Q430" i="51"/>
  <c r="P430" i="51"/>
  <c r="O430" i="51"/>
  <c r="N430" i="51"/>
  <c r="Z433" i="51"/>
  <c r="Y433" i="51"/>
  <c r="X433" i="51"/>
  <c r="W433" i="51"/>
  <c r="V433" i="51"/>
  <c r="U433" i="51"/>
  <c r="T433" i="51"/>
  <c r="R433" i="51"/>
  <c r="Q433" i="51"/>
  <c r="P433" i="51"/>
  <c r="O433" i="51"/>
  <c r="N433" i="51"/>
  <c r="M433" i="51"/>
  <c r="Z434" i="51"/>
  <c r="Y434" i="51"/>
  <c r="X434" i="51"/>
  <c r="W434" i="51"/>
  <c r="V434" i="51"/>
  <c r="U434" i="51"/>
  <c r="S434" i="51"/>
  <c r="R434" i="51"/>
  <c r="Q434" i="51"/>
  <c r="P434" i="51"/>
  <c r="O434" i="51"/>
  <c r="N434" i="51"/>
  <c r="M434" i="51"/>
  <c r="Z435" i="51"/>
  <c r="Y435" i="51"/>
  <c r="X435" i="51"/>
  <c r="W435" i="51"/>
  <c r="V435" i="51"/>
  <c r="U435" i="51"/>
  <c r="S435" i="51"/>
  <c r="R435" i="51"/>
  <c r="Q435" i="51"/>
  <c r="P435" i="51"/>
  <c r="O435" i="51"/>
  <c r="N435" i="51"/>
  <c r="M435" i="51"/>
  <c r="Z436" i="51"/>
  <c r="Y436" i="51"/>
  <c r="X436" i="51"/>
  <c r="W436" i="51"/>
  <c r="V436" i="51"/>
  <c r="U436" i="51"/>
  <c r="T436" i="51"/>
  <c r="R436" i="51"/>
  <c r="Q436" i="51"/>
  <c r="P436" i="51"/>
  <c r="O436" i="51"/>
  <c r="N436" i="51"/>
  <c r="M436" i="51"/>
  <c r="Z437" i="51"/>
  <c r="Y437" i="51"/>
  <c r="X437" i="51"/>
  <c r="W437" i="51"/>
  <c r="V437" i="51"/>
  <c r="U437" i="51"/>
  <c r="S437" i="51"/>
  <c r="R437" i="51"/>
  <c r="Q437" i="51"/>
  <c r="P437" i="51"/>
  <c r="O437" i="51"/>
  <c r="N437" i="51"/>
  <c r="M437" i="51"/>
  <c r="Z438" i="51"/>
  <c r="Y438" i="51"/>
  <c r="X438" i="51"/>
  <c r="W438" i="51"/>
  <c r="V438" i="51"/>
  <c r="U438" i="51"/>
  <c r="T438" i="51"/>
  <c r="R438" i="51"/>
  <c r="Q438" i="51"/>
  <c r="P438" i="51"/>
  <c r="O438" i="51"/>
  <c r="N438" i="51"/>
  <c r="M438" i="51"/>
  <c r="Z439" i="51"/>
  <c r="Y439" i="51"/>
  <c r="X439" i="51"/>
  <c r="W439" i="51"/>
  <c r="V439" i="51"/>
  <c r="U439" i="51"/>
  <c r="T439" i="51"/>
  <c r="S439" i="51"/>
  <c r="R439" i="51"/>
  <c r="Q439" i="51"/>
  <c r="P439" i="51"/>
  <c r="O439" i="51"/>
  <c r="N439" i="51"/>
  <c r="Z440" i="51"/>
  <c r="Y440" i="51"/>
  <c r="X440" i="51"/>
  <c r="W440" i="51"/>
  <c r="V440" i="51"/>
  <c r="U440" i="51"/>
  <c r="T440" i="51"/>
  <c r="S440" i="51"/>
  <c r="R440" i="51"/>
  <c r="Q440" i="51"/>
  <c r="P440" i="51"/>
  <c r="O440" i="51"/>
  <c r="N440" i="51"/>
  <c r="Z453" i="51"/>
  <c r="Y453" i="51"/>
  <c r="X453" i="51"/>
  <c r="W453" i="51"/>
  <c r="V453" i="51"/>
  <c r="U453" i="51"/>
  <c r="T453" i="51"/>
  <c r="S453" i="51"/>
  <c r="R453" i="51"/>
  <c r="Q453" i="51"/>
  <c r="P453" i="51"/>
  <c r="O453" i="51"/>
  <c r="N453" i="51"/>
  <c r="M453" i="51"/>
  <c r="Z452" i="51"/>
  <c r="Y452" i="51"/>
  <c r="X452" i="51"/>
  <c r="W452" i="51"/>
  <c r="V452" i="51"/>
  <c r="U452" i="51"/>
  <c r="T452" i="51"/>
  <c r="S452" i="51"/>
  <c r="R452" i="51"/>
  <c r="Q452" i="51"/>
  <c r="P452" i="51"/>
  <c r="O452" i="51"/>
  <c r="N452" i="51"/>
  <c r="Z451" i="51"/>
  <c r="Y451" i="51"/>
  <c r="X451" i="51"/>
  <c r="W451" i="51"/>
  <c r="V451" i="51"/>
  <c r="U451" i="51"/>
  <c r="T451" i="51"/>
  <c r="S451" i="51"/>
  <c r="R451" i="51"/>
  <c r="Q451" i="51"/>
  <c r="P451" i="51"/>
  <c r="O451" i="51"/>
  <c r="N451" i="51"/>
  <c r="Z450" i="51"/>
  <c r="Y450" i="51"/>
  <c r="X450" i="51"/>
  <c r="W450" i="51"/>
  <c r="V450" i="51"/>
  <c r="U450" i="51"/>
  <c r="T450" i="51"/>
  <c r="R450" i="51"/>
  <c r="Q450" i="51"/>
  <c r="P450" i="51"/>
  <c r="O450" i="51"/>
  <c r="N450" i="51"/>
  <c r="M450" i="51"/>
  <c r="Z449" i="51"/>
  <c r="Y449" i="51"/>
  <c r="X449" i="51"/>
  <c r="W449" i="51"/>
  <c r="V449" i="51"/>
  <c r="U449" i="51"/>
  <c r="T449" i="51"/>
  <c r="R449" i="51"/>
  <c r="Q449" i="51"/>
  <c r="P449" i="51"/>
  <c r="O449" i="51"/>
  <c r="N449" i="51"/>
  <c r="M449" i="51"/>
  <c r="Z448" i="51"/>
  <c r="Y448" i="51"/>
  <c r="X448" i="51"/>
  <c r="W448" i="51"/>
  <c r="V448" i="51"/>
  <c r="U448" i="51"/>
  <c r="T448" i="51"/>
  <c r="R448" i="51"/>
  <c r="Q448" i="51"/>
  <c r="P448" i="51"/>
  <c r="O448" i="51"/>
  <c r="N448" i="51"/>
  <c r="M448" i="51"/>
  <c r="Z447" i="51"/>
  <c r="Y447" i="51"/>
  <c r="X447" i="51"/>
  <c r="W447" i="51"/>
  <c r="V447" i="51"/>
  <c r="U447" i="51"/>
  <c r="T447" i="51"/>
  <c r="R447" i="51"/>
  <c r="Q447" i="51"/>
  <c r="P447" i="51"/>
  <c r="O447" i="51"/>
  <c r="N447" i="51"/>
  <c r="M447" i="51"/>
  <c r="Z446" i="51"/>
  <c r="Y446" i="51"/>
  <c r="X446" i="51"/>
  <c r="W446" i="51"/>
  <c r="V446" i="51"/>
  <c r="U446" i="51"/>
  <c r="T446" i="51"/>
  <c r="S446" i="51"/>
  <c r="R446" i="51"/>
  <c r="Q446" i="51"/>
  <c r="P446" i="51"/>
  <c r="O446" i="51"/>
  <c r="N446" i="51"/>
  <c r="Z445" i="51"/>
  <c r="Y445" i="51"/>
  <c r="X445" i="51"/>
  <c r="W445" i="51"/>
  <c r="V445" i="51"/>
  <c r="U445" i="51"/>
  <c r="T445" i="51"/>
  <c r="S445" i="51"/>
  <c r="R445" i="51"/>
  <c r="Q445" i="51"/>
  <c r="P445" i="51"/>
  <c r="O445" i="51"/>
  <c r="N445" i="51"/>
  <c r="Z444" i="51"/>
  <c r="Y444" i="51"/>
  <c r="X444" i="51"/>
  <c r="W444" i="51"/>
  <c r="V444" i="51"/>
  <c r="U444" i="51"/>
  <c r="T444" i="51"/>
  <c r="S444" i="51"/>
  <c r="R444" i="51"/>
  <c r="Q444" i="51"/>
  <c r="P444" i="51"/>
  <c r="O444" i="51"/>
  <c r="N444" i="51"/>
  <c r="Z443" i="51"/>
  <c r="Y443" i="51"/>
  <c r="X443" i="51"/>
  <c r="W443" i="51"/>
  <c r="V443" i="51"/>
  <c r="U443" i="51"/>
  <c r="T443" i="51"/>
  <c r="R443" i="51"/>
  <c r="Q443" i="51"/>
  <c r="P443" i="51"/>
  <c r="O443" i="51"/>
  <c r="N443" i="51"/>
  <c r="M443" i="51"/>
  <c r="Z442" i="51"/>
  <c r="Y442" i="51"/>
  <c r="X442" i="51"/>
  <c r="W442" i="51"/>
  <c r="V442" i="51"/>
  <c r="U442" i="51"/>
  <c r="T442" i="51"/>
  <c r="S442" i="51"/>
  <c r="R442" i="51"/>
  <c r="Q442" i="51"/>
  <c r="P442" i="51"/>
  <c r="O442" i="51"/>
  <c r="N442" i="51"/>
  <c r="Z441" i="51"/>
  <c r="Y441" i="51"/>
  <c r="X441" i="51"/>
  <c r="W441" i="51"/>
  <c r="V441" i="51"/>
  <c r="U441" i="51"/>
  <c r="T441" i="51"/>
  <c r="S441" i="51"/>
  <c r="R441" i="51"/>
  <c r="Q441" i="51"/>
  <c r="P441" i="51"/>
  <c r="O441" i="51"/>
  <c r="N441" i="51"/>
  <c r="Z462" i="51"/>
  <c r="Y462" i="51"/>
  <c r="X462" i="51"/>
  <c r="W462" i="51"/>
  <c r="V462" i="51"/>
  <c r="U462" i="51"/>
  <c r="T462" i="51"/>
  <c r="R462" i="51"/>
  <c r="Q462" i="51"/>
  <c r="P462" i="51"/>
  <c r="O462" i="51"/>
  <c r="N462" i="51"/>
  <c r="M462" i="51"/>
  <c r="Z461" i="51"/>
  <c r="Y461" i="51"/>
  <c r="X461" i="51"/>
  <c r="W461" i="51"/>
  <c r="V461" i="51"/>
  <c r="U461" i="51"/>
  <c r="T461" i="51"/>
  <c r="R461" i="51"/>
  <c r="Q461" i="51"/>
  <c r="P461" i="51"/>
  <c r="O461" i="51"/>
  <c r="N461" i="51"/>
  <c r="M461" i="51"/>
  <c r="Z460" i="51"/>
  <c r="Y460" i="51"/>
  <c r="X460" i="51"/>
  <c r="W460" i="51"/>
  <c r="V460" i="51"/>
  <c r="U460" i="51"/>
  <c r="T460" i="51"/>
  <c r="R460" i="51"/>
  <c r="Q460" i="51"/>
  <c r="P460" i="51"/>
  <c r="O460" i="51"/>
  <c r="N460" i="51"/>
  <c r="M460" i="51"/>
  <c r="Z459" i="51"/>
  <c r="Y459" i="51"/>
  <c r="X459" i="51"/>
  <c r="W459" i="51"/>
  <c r="V459" i="51"/>
  <c r="U459" i="51"/>
  <c r="T459" i="51"/>
  <c r="S459" i="51"/>
  <c r="R459" i="51"/>
  <c r="Q459" i="51"/>
  <c r="P459" i="51"/>
  <c r="O459" i="51"/>
  <c r="N459" i="51"/>
  <c r="Z458" i="51"/>
  <c r="Y458" i="51"/>
  <c r="X458" i="51"/>
  <c r="W458" i="51"/>
  <c r="V458" i="51"/>
  <c r="U458" i="51"/>
  <c r="T458" i="51"/>
  <c r="R458" i="51"/>
  <c r="Q458" i="51"/>
  <c r="P458" i="51"/>
  <c r="O458" i="51"/>
  <c r="N458" i="51"/>
  <c r="M458" i="51"/>
  <c r="Z457" i="51"/>
  <c r="Y457" i="51"/>
  <c r="X457" i="51"/>
  <c r="W457" i="51"/>
  <c r="V457" i="51"/>
  <c r="U457" i="51"/>
  <c r="T457" i="51"/>
  <c r="S457" i="51"/>
  <c r="R457" i="51"/>
  <c r="Q457" i="51"/>
  <c r="P457" i="51"/>
  <c r="O457" i="51"/>
  <c r="N457" i="51"/>
  <c r="Z456" i="51"/>
  <c r="Y456" i="51"/>
  <c r="X456" i="51"/>
  <c r="W456" i="51"/>
  <c r="V456" i="51"/>
  <c r="U456" i="51"/>
  <c r="T456" i="51"/>
  <c r="R456" i="51"/>
  <c r="Q456" i="51"/>
  <c r="P456" i="51"/>
  <c r="O456" i="51"/>
  <c r="N456" i="51"/>
  <c r="M456" i="51"/>
  <c r="Z455" i="51"/>
  <c r="Y455" i="51"/>
  <c r="X455" i="51"/>
  <c r="W455" i="51"/>
  <c r="V455" i="51"/>
  <c r="U455" i="51"/>
  <c r="T455" i="51"/>
  <c r="R455" i="51"/>
  <c r="Q455" i="51"/>
  <c r="P455" i="51"/>
  <c r="O455" i="51"/>
  <c r="N455" i="51"/>
  <c r="M455" i="51"/>
  <c r="Z454" i="51"/>
  <c r="Y454" i="51"/>
  <c r="X454" i="51"/>
  <c r="W454" i="51"/>
  <c r="V454" i="51"/>
  <c r="U454" i="51"/>
  <c r="T454" i="51"/>
  <c r="R454" i="51"/>
  <c r="Q454" i="51"/>
  <c r="P454" i="51"/>
  <c r="O454" i="51"/>
  <c r="N454" i="51"/>
  <c r="M454" i="51"/>
  <c r="Z464" i="51"/>
  <c r="Y464" i="51"/>
  <c r="X464" i="51"/>
  <c r="W464" i="51"/>
  <c r="V464" i="51"/>
  <c r="U464" i="51"/>
  <c r="T464" i="51"/>
  <c r="S464" i="51"/>
  <c r="R464" i="51"/>
  <c r="Q464" i="51"/>
  <c r="P464" i="51"/>
  <c r="O464" i="51"/>
  <c r="N464" i="51"/>
  <c r="Z463" i="51"/>
  <c r="Y463" i="51"/>
  <c r="X463" i="51"/>
  <c r="W463" i="51"/>
  <c r="V463" i="51"/>
  <c r="U463" i="51"/>
  <c r="T463" i="51"/>
  <c r="S463" i="51"/>
  <c r="R463" i="51"/>
  <c r="Q463" i="51"/>
  <c r="P463" i="51"/>
  <c r="O463" i="51"/>
  <c r="N463" i="51"/>
  <c r="Z467" i="51"/>
  <c r="Y467" i="51"/>
  <c r="X467" i="51"/>
  <c r="W467" i="51"/>
  <c r="V467" i="51"/>
  <c r="U467" i="51"/>
  <c r="S467" i="51"/>
  <c r="R467" i="51"/>
  <c r="Q467" i="51"/>
  <c r="P467" i="51"/>
  <c r="O467" i="51"/>
  <c r="N467" i="51"/>
  <c r="M467" i="51"/>
  <c r="Z466" i="51"/>
  <c r="Y466" i="51"/>
  <c r="X466" i="51"/>
  <c r="W466" i="51"/>
  <c r="V466" i="51"/>
  <c r="U466" i="51"/>
  <c r="S466" i="51"/>
  <c r="R466" i="51"/>
  <c r="Q466" i="51"/>
  <c r="P466" i="51"/>
  <c r="O466" i="51"/>
  <c r="N466" i="51"/>
  <c r="M466" i="51"/>
  <c r="Z465" i="51"/>
  <c r="Y465" i="51"/>
  <c r="X465" i="51"/>
  <c r="W465" i="51"/>
  <c r="V465" i="51"/>
  <c r="U465" i="51"/>
  <c r="T465" i="51"/>
  <c r="R465" i="51"/>
  <c r="Q465" i="51"/>
  <c r="P465" i="51"/>
  <c r="O465" i="51"/>
  <c r="N465" i="51"/>
  <c r="M465" i="51"/>
  <c r="Z468" i="51"/>
  <c r="Y468" i="51"/>
  <c r="X468" i="51"/>
  <c r="W468" i="51"/>
  <c r="V468" i="51"/>
  <c r="U468" i="51"/>
  <c r="T468" i="51"/>
  <c r="R468" i="51"/>
  <c r="Q468" i="51"/>
  <c r="P468" i="51"/>
  <c r="O468" i="51"/>
  <c r="N468" i="51"/>
  <c r="M468" i="51"/>
  <c r="Z469" i="51"/>
  <c r="Y469" i="51"/>
  <c r="X469" i="51"/>
  <c r="W469" i="51"/>
  <c r="V469" i="51"/>
  <c r="U469" i="51"/>
  <c r="S469" i="51"/>
  <c r="R469" i="51"/>
  <c r="Q469" i="51"/>
  <c r="P469" i="51"/>
  <c r="O469" i="51"/>
  <c r="N469" i="51"/>
  <c r="M469" i="51"/>
  <c r="Z471" i="51"/>
  <c r="Y471" i="51"/>
  <c r="X471" i="51"/>
  <c r="W471" i="51"/>
  <c r="V471" i="51"/>
  <c r="U471" i="51"/>
  <c r="S471" i="51"/>
  <c r="R471" i="51"/>
  <c r="Q471" i="51"/>
  <c r="P471" i="51"/>
  <c r="O471" i="51"/>
  <c r="N471" i="51"/>
  <c r="M471" i="51"/>
  <c r="Z470" i="51"/>
  <c r="Y470" i="51"/>
  <c r="X470" i="51"/>
  <c r="W470" i="51"/>
  <c r="V470" i="51"/>
  <c r="U470" i="51"/>
  <c r="S470" i="51"/>
  <c r="R470" i="51"/>
  <c r="Q470" i="51"/>
  <c r="P470" i="51"/>
  <c r="O470" i="51"/>
  <c r="N470" i="51"/>
  <c r="M470" i="51"/>
  <c r="Z472" i="51"/>
  <c r="Y472" i="51"/>
  <c r="X472" i="51"/>
  <c r="W472" i="51"/>
  <c r="V472" i="51"/>
  <c r="U472" i="51"/>
  <c r="T472" i="51"/>
  <c r="R472" i="51"/>
  <c r="Q472" i="51"/>
  <c r="P472" i="51"/>
  <c r="O472" i="51"/>
  <c r="N472" i="51"/>
  <c r="M472" i="51"/>
  <c r="M25" i="51"/>
  <c r="R6" i="51"/>
  <c r="E9" i="51" l="1"/>
  <c r="E18" i="51"/>
  <c r="E8" i="51"/>
  <c r="E16" i="51"/>
  <c r="E23" i="51"/>
  <c r="E13" i="51"/>
  <c r="E10" i="51"/>
  <c r="E14" i="51"/>
  <c r="E19" i="51"/>
  <c r="E12" i="51"/>
  <c r="E17" i="51"/>
  <c r="E21" i="51"/>
  <c r="E20" i="51"/>
  <c r="E11" i="51"/>
  <c r="K23" i="8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E3" i="51" l="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22" i="7" l="1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<sst xmlns="http://schemas.openxmlformats.org/spreadsheetml/2006/main" count="4402" uniqueCount="809">
  <si>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</si>
  <si>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</si>
  <si>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</si>
  <si>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</si>
  <si>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</si>
  <si>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</si>
  <si>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</si>
  <si>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</si>
  <si>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</si>
  <si>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</si>
  <si>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</si>
  <si>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</si>
  <si>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</si>
  <si>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</si>
  <si>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</si>
  <si>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</si>
  <si>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</si>
  <si>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</si>
  <si>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</si>
  <si>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</si>
  <si>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</si>
  <si>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</si>
  <si>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</si>
  <si>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</si>
  <si>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</si>
  <si>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</si>
  <si>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</si>
  <si>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</si>
  <si>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</si>
  <si>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</si>
  <si>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</si>
  <si>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</si>
  <si>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</si>
  <si>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</si>
  <si>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</si>
  <si>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</si>
  <si>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</si>
  <si>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</si>
  <si>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</si>
  <si>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</si>
  <si>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</si>
  <si>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</si>
  <si>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</si>
  <si>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</si>
  <si>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</si>
  <si>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</si>
  <si>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</si>
  <si>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</si>
  <si>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</si>
  <si>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</si>
  <si>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</si>
  <si>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</si>
  <si>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</si>
  <si>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</si>
  <si>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</si>
  <si>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</si>
  <si>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</si>
  <si>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</si>
  <si>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</si>
  <si>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</si>
  <si>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</si>
  <si>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</si>
  <si>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</si>
  <si>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</si>
  <si>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</si>
  <si>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</si>
  <si>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</si>
  <si>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</si>
  <si>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</si>
  <si>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</si>
  <si>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</si>
  <si>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</si>
  <si>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</si>
  <si>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</si>
  <si>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</si>
  <si>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</si>
  <si>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</si>
  <si>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</si>
  <si>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</si>
  <si>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</si>
  <si>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</si>
  <si>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</si>
  <si>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</si>
  <si>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</si>
  <si>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</si>
  <si>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</si>
  <si>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</si>
  <si>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</si>
  <si>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</si>
  <si>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</si>
  <si>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</si>
  <si>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</si>
  <si>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</si>
  <si>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</si>
  <si>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</si>
  <si>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</si>
  <si>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</si>
  <si>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</si>
  <si>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</si>
  <si>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</si>
  <si>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</si>
  <si>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</si>
  <si>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</si>
  <si>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</si>
  <si>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</si>
  <si>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</si>
  <si>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</si>
  <si>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</si>
  <si>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</si>
  <si>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</si>
  <si>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</si>
  <si>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</si>
  <si>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</si>
  <si>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</si>
  <si>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</si>
  <si>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</si>
  <si>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</si>
  <si>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</si>
  <si>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</si>
  <si>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</si>
  <si>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</si>
  <si>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</si>
  <si>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</si>
  <si>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</si>
  <si>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</si>
  <si>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</si>
  <si>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</si>
  <si>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</si>
  <si>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</si>
  <si>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</si>
  <si>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</si>
  <si>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</si>
  <si>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</si>
  <si>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</si>
  <si>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</si>
  <si>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</si>
  <si>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</si>
  <si>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</si>
  <si>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</si>
  <si>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</si>
  <si>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</si>
  <si>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</si>
  <si>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</si>
  <si>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</si>
  <si>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</si>
  <si>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</si>
  <si>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</si>
  <si>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</si>
  <si>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</si>
  <si>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</si>
  <si>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</si>
  <si>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</si>
  <si>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</si>
  <si>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</si>
  <si>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</si>
  <si>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</si>
  <si>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</si>
  <si>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</si>
  <si>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</si>
  <si>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</si>
  <si>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</si>
  <si>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</si>
  <si>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</si>
  <si>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</si>
  <si>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</si>
  <si>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</si>
  <si>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</si>
  <si>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</si>
  <si>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</si>
  <si>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</si>
  <si>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</si>
  <si>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</si>
  <si>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</si>
  <si>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</si>
  <si>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</si>
  <si>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</si>
  <si>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</si>
  <si>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</si>
  <si>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</si>
  <si>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</si>
  <si>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</si>
  <si>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</si>
  <si>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</si>
  <si>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</si>
  <si>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</si>
  <si>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</si>
  <si>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</si>
  <si>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</si>
  <si>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</si>
  <si>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</si>
  <si>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</si>
  <si>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</si>
  <si>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</si>
  <si>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</si>
  <si>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</si>
  <si>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</si>
  <si>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</si>
  <si>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</si>
  <si>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</si>
  <si>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</si>
  <si>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</si>
  <si>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</si>
  <si>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</si>
  <si>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</si>
  <si>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</si>
  <si>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</si>
  <si>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</si>
  <si>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</si>
  <si>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</si>
  <si>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</si>
  <si>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</si>
  <si>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</si>
  <si>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</si>
  <si>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</si>
  <si>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</si>
  <si>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</si>
  <si>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</si>
  <si>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</si>
  <si>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</si>
  <si>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</si>
  <si>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</si>
  <si>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</si>
  <si>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</si>
  <si>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</si>
  <si>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</si>
  <si>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</si>
  <si>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</si>
  <si>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</si>
  <si>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</si>
  <si>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</si>
  <si>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</si>
  <si>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</si>
  <si>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</si>
  <si>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</si>
  <si>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</si>
  <si>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</si>
  <si>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</si>
  <si>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</si>
  <si>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</si>
  <si>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</si>
  <si>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</si>
  <si>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</si>
  <si>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</si>
  <si>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</si>
  <si>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</si>
  <si>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</si>
  <si>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</si>
  <si>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</si>
  <si>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</si>
  <si>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</si>
  <si>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</si>
  <si>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</si>
  <si>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</si>
  <si>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</si>
  <si>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</si>
  <si>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</si>
  <si>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</si>
  <si>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</si>
  <si>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</si>
  <si>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</si>
  <si>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</si>
  <si>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</si>
  <si>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</si>
  <si>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</si>
  <si>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</si>
  <si>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</si>
  <si>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</si>
  <si>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</si>
  <si>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</si>
  <si>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</si>
  <si>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</si>
  <si>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</si>
  <si>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</si>
  <si>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</si>
  <si>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</si>
  <si>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</si>
  <si>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</si>
  <si>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</si>
  <si>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</si>
  <si>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</si>
  <si>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</si>
  <si>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</si>
  <si>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</si>
  <si>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</si>
  <si>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</si>
  <si>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</si>
  <si>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</si>
  <si>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</si>
  <si>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</si>
  <si>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</si>
  <si>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</si>
  <si>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</si>
  <si>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</si>
  <si>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</si>
  <si>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</si>
  <si>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</si>
  <si>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</si>
  <si>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</si>
  <si>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</si>
  <si>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</si>
  <si>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</si>
  <si>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</si>
  <si>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</si>
  <si>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</si>
  <si>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</si>
  <si>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</si>
  <si>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</si>
  <si>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</si>
  <si>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</si>
  <si>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</si>
  <si>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</si>
  <si>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</si>
  <si>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</si>
  <si>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</si>
  <si>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</si>
  <si>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</si>
  <si>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</si>
  <si>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</si>
  <si>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</si>
  <si>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</si>
  <si>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</si>
  <si>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</si>
  <si>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</si>
  <si>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</si>
  <si>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</si>
  <si>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</si>
  <si>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</si>
  <si>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</si>
  <si>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</si>
  <si>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</si>
  <si>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</si>
  <si>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</si>
  <si>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</si>
  <si>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</si>
  <si>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</si>
  <si>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</si>
  <si>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</si>
  <si>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</si>
  <si>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</si>
  <si>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</si>
  <si>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</si>
  <si>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</si>
  <si>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</si>
  <si>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</si>
  <si>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</si>
  <si>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</si>
  <si>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</si>
  <si>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</si>
  <si>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</si>
  <si>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</si>
  <si>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</si>
  <si>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</si>
  <si>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</si>
  <si>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</si>
  <si>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</si>
  <si>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</si>
  <si>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</si>
  <si>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</si>
  <si>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</si>
  <si>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</si>
  <si>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</si>
  <si>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</si>
  <si>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</si>
  <si>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</si>
  <si>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</si>
  <si>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</si>
  <si>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</si>
  <si>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</si>
  <si>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</si>
  <si>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</si>
  <si>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</si>
  <si>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</si>
  <si>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</si>
  <si>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</si>
  <si>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</si>
  <si>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</si>
  <si>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</si>
  <si>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</si>
  <si>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</si>
  <si>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</si>
  <si>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</si>
  <si>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</si>
  <si>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</si>
  <si>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</si>
  <si>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</si>
  <si>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</si>
  <si>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</si>
  <si>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</si>
  <si>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</si>
  <si>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</si>
  <si>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</si>
  <si>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</si>
  <si>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</si>
  <si>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</si>
  <si>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</si>
  <si>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</si>
  <si>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</si>
  <si>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</si>
  <si>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</si>
  <si>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</si>
  <si>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</si>
  <si>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</si>
  <si>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</si>
  <si>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</si>
  <si>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</si>
  <si>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</si>
  <si>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</si>
  <si>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</si>
  <si>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</si>
  <si>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</si>
  <si>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</si>
  <si>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</si>
  <si>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</si>
  <si>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</si>
  <si>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</si>
  <si>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</si>
  <si>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</si>
  <si>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</si>
  <si>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</si>
  <si>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</si>
  <si>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</si>
  <si>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</si>
  <si>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</si>
  <si>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</si>
  <si>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</si>
  <si>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</si>
  <si>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</si>
  <si>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</si>
  <si>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</si>
  <si>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</si>
  <si>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</si>
  <si>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</si>
  <si>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</si>
  <si>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</si>
  <si>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</si>
  <si>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</si>
  <si>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</si>
  <si>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</si>
  <si>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</si>
  <si>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</si>
  <si>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</si>
  <si>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</si>
  <si>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</si>
  <si>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</si>
  <si>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</si>
  <si>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</si>
  <si>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</si>
  <si>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</si>
  <si>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</si>
  <si>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</si>
  <si>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</si>
  <si>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</si>
  <si>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</si>
  <si>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</si>
  <si>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</si>
  <si>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</si>
  <si>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</si>
  <si>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</si>
  <si>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</si>
  <si>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</si>
  <si>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</si>
  <si>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</si>
  <si>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</si>
  <si>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</si>
  <si>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</si>
  <si>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</si>
  <si>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</si>
  <si>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>Sammelzahlung Mitglied (mehrere Positionen)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</si>
  <si>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</si>
  <si>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</si>
  <si>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</si>
  <si>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</si>
  <si>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</si>
  <si>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</si>
  <si>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</si>
  <si>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</si>
  <si>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</si>
  <si>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</si>
  <si>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</si>
  <si>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</si>
  <si>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</si>
  <si>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</si>
  <si>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</si>
  <si>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</si>
  <si>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</si>
  <si>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</si>
  <si>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</si>
  <si>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</si>
  <si>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</si>
  <si>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</si>
  <si>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</si>
  <si>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</si>
  <si>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</si>
  <si>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</si>
  <si>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</si>
  <si>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</si>
  <si>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</si>
  <si>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</si>
  <si>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</si>
  <si>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</si>
  <si>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</si>
  <si>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</si>
  <si>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</si>
  <si>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</si>
  <si>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</si>
  <si>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</si>
  <si>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</si>
  <si>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</si>
  <si>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</si>
  <si>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</si>
  <si>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</si>
  <si>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</si>
  <si>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</si>
  <si>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</si>
  <si>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</si>
  <si>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</si>
  <si>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</si>
  <si>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</si>
  <si>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</si>
  <si>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</si>
  <si>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</si>
  <si>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</si>
  <si>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</si>
  <si>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</si>
  <si>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</si>
  <si>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</si>
  <si>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</si>
  <si>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</si>
  <si>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</si>
  <si>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</si>
  <si>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</si>
  <si>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</si>
  <si>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</si>
  <si>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</si>
  <si>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</si>
  <si>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</si>
  <si>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</si>
  <si>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</si>
  <si>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</si>
  <si>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</si>
  <si>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</si>
  <si>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</si>
  <si>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</si>
  <si>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</si>
  <si>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</si>
  <si>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</si>
  <si>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</si>
  <si>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</si>
  <si>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</si>
  <si>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</si>
  <si>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</si>
  <si>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</si>
  <si>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</si>
  <si>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</si>
  <si>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</si>
  <si>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</si>
  <si>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</si>
  <si>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</si>
  <si>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</si>
  <si>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</si>
  <si>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</si>
  <si>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</si>
  <si>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</si>
  <si>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</si>
  <si>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</si>
  <si>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</si>
  <si>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</si>
  <si>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</si>
  <si>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</si>
  <si>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</si>
  <si>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</si>
  <si>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</si>
  <si>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</si>
  <si>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</si>
  <si>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</si>
  <si>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</si>
  <si>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</si>
  <si>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</si>
  <si>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</si>
  <si>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</si>
  <si>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</si>
  <si>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</si>
  <si>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</si>
  <si>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</si>
  <si>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</si>
  <si>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</si>
  <si>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</si>
  <si>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</si>
  <si>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</si>
  <si>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</si>
  <si>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</si>
  <si>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</si>
  <si>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</si>
  <si>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</si>
  <si>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</si>
  <si>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</si>
  <si>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</si>
  <si>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</si>
  <si>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</si>
  <si>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</si>
  <si>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</si>
  <si>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</si>
  <si>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</si>
  <si>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</si>
  <si>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</si>
  <si>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</si>
  <si>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</si>
  <si>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</si>
  <si>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</si>
  <si>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</si>
  <si>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</si>
  <si>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</si>
  <si>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</si>
  <si>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</si>
  <si>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</si>
  <si>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</si>
  <si>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</si>
  <si>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</si>
  <si>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</si>
  <si>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</si>
  <si>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</si>
  <si>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</si>
  <si>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</si>
  <si>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</si>
  <si>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</si>
  <si>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</si>
  <si>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</si>
  <si>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</si>
  <si>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</si>
  <si>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</si>
  <si>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</si>
  <si>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</si>
  <si>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</si>
  <si>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</si>
  <si>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</si>
  <si>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</si>
  <si>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</si>
  <si>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</si>
  <si>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</si>
  <si>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</si>
  <si>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</si>
  <si>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</si>
  <si>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</si>
  <si>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</si>
  <si>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</si>
  <si>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</si>
  <si>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</si>
  <si>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</si>
  <si>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</si>
  <si>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</si>
  <si>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</si>
  <si>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</si>
  <si>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</si>
  <si>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</si>
  <si>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</si>
  <si>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</si>
  <si>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</si>
  <si>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</si>
  <si>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</si>
  <si>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</si>
  <si>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</si>
  <si>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</si>
  <si>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</si>
  <si>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</si>
  <si>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</si>
  <si>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</si>
  <si>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</si>
  <si>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</si>
  <si>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</si>
  <si>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</si>
  <si>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</si>
  <si>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</si>
  <si>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</si>
  <si>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</si>
  <si>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</si>
  <si>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</si>
  <si>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</si>
  <si>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</si>
  <si>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</si>
  <si>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</si>
  <si>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</si>
  <si>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</si>
  <si>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</si>
  <si>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</si>
  <si>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</si>
  <si>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</si>
  <si>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</si>
  <si>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</si>
  <si>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</si>
  <si>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</si>
  <si>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</si>
  <si>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</si>
  <si>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</si>
  <si>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</si>
  <si>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</si>
  <si>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</si>
  <si>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</si>
  <si>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</si>
  <si>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</si>
  <si>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</si>
  <si>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</si>
  <si>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</si>
  <si>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</si>
  <si>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</si>
  <si>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</si>
  <si>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</si>
  <si>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</si>
  <si>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</si>
  <si>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</si>
  <si>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</si>
  <si>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</si>
  <si>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</si>
  <si>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</si>
  <si>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</si>
  <si>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</si>
  <si>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</si>
  <si>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</si>
  <si>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</si>
  <si>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</si>
  <si>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</si>
  <si>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</si>
  <si>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</si>
  <si>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</si>
  <si>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</si>
  <si>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</si>
  <si>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</si>
  <si>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</si>
  <si>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</si>
  <si>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</si>
  <si>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</si>
  <si>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</si>
  <si>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</si>
  <si>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</si>
  <si>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</si>
  <si>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</si>
  <si>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</si>
  <si>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</si>
  <si>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</si>
  <si>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</si>
  <si>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</si>
  <si>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</si>
  <si>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</si>
  <si>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</si>
  <si>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</si>
  <si>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</si>
  <si>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</si>
  <si>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</si>
  <si>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</si>
  <si>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</si>
  <si>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</si>
  <si>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</si>
  <si>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</si>
  <si>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</si>
  <si>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</si>
  <si>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</si>
  <si>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</si>
  <si>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</si>
  <si>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</si>
  <si>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</si>
  <si>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</si>
  <si>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</si>
  <si>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</si>
  <si>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KEIN TREFFER - Manuelle Zuordnung</t>
  </si>
  <si>
    <t>Automatisch als VERSORGER erkannt</t>
  </si>
  <si>
    <t>Schäling, Inge</t>
  </si>
  <si>
    <t>EHRENMITGLIED</t>
  </si>
  <si>
    <t>SHARE-20260110003608-33115_20260110003608-13292</t>
  </si>
  <si>
    <t>Kelm, Juliane
Peter, Julian</t>
  </si>
  <si>
    <t>Gemeinschaftskonto - 2 Personen</t>
  </si>
  <si>
    <t>Brauchwasserversorgung Werder (Havel) Eigenbetrieb...</t>
  </si>
  <si>
    <t>Draht, Sabine</t>
  </si>
  <si>
    <t>VORSTAND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</si>
  <si>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</si>
  <si>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</si>
  <si>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</si>
  <si>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</si>
  <si>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</si>
  <si>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</si>
  <si>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</si>
  <si>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</si>
  <si>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</si>
  <si>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Mehrere moegliche Kategorien: Brauchwasser Mitglieder Abschlagszahlung | Strom Rückzahlung Versorger - Bitte pruefen!</t>
  </si>
  <si>
    <t>Entgeltabschluss (Kontofuehrung)</t>
  </si>
  <si>
    <t>Keine Zielspalte für Kategorie definiert</t>
  </si>
  <si>
    <t>Mehrere moegliche Kategorien: Betriebskosten | Fixkosten - Bitte pruefen!</t>
  </si>
  <si>
    <t>Mehrere moegliche Kategorien: Fixkosten | Pacht Mitgliederzahlung | Strom / Wasser Mitglieder Abschlagszahlung - Bitte pruefen!</t>
  </si>
  <si>
    <t>Mehrere moegliche Kategorien: Strom / Wasser Mitglieder Abschlagszahlung | Strom Rückzahlung Versorger - Bitte pruefen!</t>
  </si>
  <si>
    <t>Mehrere moegliche Kategorien: Brauchwasser Mitglieder Abschlagszahlung | Strom / Wasser Mitglieder Abschlagszahlung - Bitte pruefen!</t>
  </si>
  <si>
    <t>0-Euro-Abschluss automatisch zugeordnet</t>
  </si>
  <si>
    <t>Mehrere moegliche Kategorien: Brauchwasserversorgung Werder | Wasser/Abwasser Zweckverband (Versorger) - Bitte pruefen!</t>
  </si>
  <si>
    <t>Mehrere moegliche Kategorien: Pacht Mitgliederzahlung | Strom / Wasser Mitglieder Abschlagszahlung - Bitte pruefen!</t>
  </si>
  <si>
    <t>Keine Kategorie gefunden. IBAN nicht zugeordnet - bitte Entity-Mapping pruefen!</t>
  </si>
  <si>
    <t>Kategorie Tabelle</t>
  </si>
  <si>
    <t>EntityKey Tabelle (IBAN Zuordnung)</t>
  </si>
  <si>
    <t>Maerz</t>
  </si>
  <si>
    <t>Liste Monat/Periode</t>
  </si>
  <si>
    <t>VATTENFALL EUROPE SALES AMERIGO-VESPUCCI-PLATZ 2
VATTENFALL EUROPE SALES Amerigo-Vespucci-Platz 2</t>
  </si>
  <si>
    <t>THOMAS LIENERT UND
Thomas Lienert Christine Lienert
THOMAS LIENERT UND CHRISTINE LIENERT</t>
  </si>
  <si>
    <t>Brigitte Dagmar Ruth Schaling
Brigitte Dagmar Ruth Schaling Breitkopfstr. 62</t>
  </si>
  <si>
    <t>Manuel Zur
Zur, Manuel</t>
  </si>
  <si>
    <t>Petra Lawonn
Lawonn, Petra</t>
  </si>
  <si>
    <t>Thomas Reinicke
Reinicke, Thomas</t>
  </si>
  <si>
    <t>SHARE-20260110003608-45196_20260110003608-13109</t>
  </si>
  <si>
    <t>Lienert, Christine
Lienert, Thomas</t>
  </si>
  <si>
    <t>VERS-304cdce1-6c21-a0c3-7223-5c5a497f644c</t>
  </si>
  <si>
    <t>VERS-81cc6b60-c651-f3c9-5bea-4c445337c62b</t>
  </si>
  <si>
    <t>VERS-229bf022-f6a9-909d-d573-75e1f18f200c</t>
  </si>
  <si>
    <t>VERS-50a3bdeb-5412-f7a4-4782-ad2188fc7cc6</t>
  </si>
  <si>
    <t>SHOP-017243bc-845a-8368-c21b-d7ce2543d6a7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</si>
</sst>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74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0" fillId="0" borderId="0" xfId="0" applyAlignment="1" applyProtection="1">
      <alignment horizontal="center" vertical="center"/>
      <protection locked="0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165" fontId="0" fillId="0" borderId="0" xfId="0" applyNumberFormat="1" applyAlignment="1" applyProtection="1">
      <alignment horizontal="center" vertical="center"/>
      <protection locked="0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170" fontId="0" fillId="0" borderId="90" xfId="0" applyNumberFormat="1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 applyProtection="1">
      <alignment vertical="center"/>
      <protection locked="0"/>
    </xf>
    <xf numFmtId="170" fontId="0" fillId="23" borderId="90" xfId="0" applyNumberForma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 applyProtection="1">
      <alignment horizontal="left" vertical="center"/>
      <protection locked="0"/>
    </xf>
    <xf numFmtId="172" fontId="0" fillId="23" borderId="90" xfId="0" applyNumberFormat="1" applyFill="1" applyBorder="1" applyAlignment="1" applyProtection="1">
      <alignment horizontal="left" vertical="center"/>
      <protection locked="0"/>
    </xf>
    <xf numFmtId="172" fontId="0" fillId="0" borderId="90" xfId="0" applyNumberFormat="1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 applyProtection="1">
      <alignment horizontal="center" vertical="center"/>
      <protection locked="0"/>
    </xf>
    <xf numFmtId="172" fontId="0" fillId="23" borderId="90" xfId="0" applyNumberFormat="1" applyFill="1" applyBorder="1" applyAlignment="1">
      <alignment vertical="center"/>
    </xf>
    <xf numFmtId="0" fontId="0" fillId="0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54" fillId="24" borderId="90" xfId="0" applyFont="1" applyFill="1" applyBorder="1" applyAlignment="1" applyProtection="1">
      <alignment horizontal="left" vertical="center"/>
      <protection locked="0"/>
    </xf>
    <xf numFmtId="0" fontId="54" fillId="25" borderId="90" xfId="0" applyFont="1" applyFill="1" applyBorder="1" applyAlignment="1" applyProtection="1">
      <alignment horizontal="left" vertical="center"/>
      <protection locked="0"/>
    </xf>
    <xf numFmtId="0" fontId="2" fillId="26" borderId="90" xfId="0" applyFont="1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 applyProtection="1">
      <alignment horizontal="left" vertical="center"/>
    </xf>
    <xf numFmtId="0" fontId="0" fillId="0" borderId="90" xfId="0" applyFill="1" applyBorder="1" applyAlignment="1" applyProtection="1">
      <alignment horizontal="center" vertical="center" wrapText="1"/>
    </xf>
    <xf numFmtId="0" fontId="0" fillId="0" borderId="90" xfId="0" applyFill="1" applyBorder="1" applyAlignment="1" applyProtection="1">
      <alignment horizontal="center" vertical="center" wrapText="1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3" borderId="90" xfId="0" applyFill="1" applyBorder="1" applyAlignment="1" applyProtection="1">
      <alignment horizontal="left" vertical="center" wrapText="1"/>
    </xf>
    <xf numFmtId="0" fontId="0" fillId="29" borderId="90" xfId="0" applyFill="1" applyBorder="1" applyAlignment="1" applyProtection="1">
      <alignment horizontal="left" vertical="center"/>
    </xf>
    <xf numFmtId="0" fontId="0" fillId="29" borderId="90" xfId="0" applyFill="1" applyBorder="1" applyAlignment="1" applyProtection="1">
      <alignment horizontal="left" vertical="center" wrapText="1"/>
    </xf>
    <xf numFmtId="0" fontId="43" fillId="27" borderId="91" xfId="0" applyFont="1" applyFill="1" applyBorder="1" applyAlignment="1">
      <alignment horizontal="left" vertical="center" wrapText="1"/>
    </xf>
    <xf numFmtId="0" fontId="43" fillId="27" borderId="91" xfId="0" applyFont="1" applyFill="1" applyBorder="1" applyAlignment="1">
      <alignment horizontal="center" vertical="center" wrapText="1"/>
    </xf>
    <xf numFmtId="0" fontId="43" fillId="27" borderId="91" xfId="0" applyFont="1" applyFill="1" applyBorder="1" applyAlignment="1">
      <alignment horizontal="left" vertical="center"/>
    </xf>
    <xf numFmtId="49" fontId="43" fillId="27" borderId="91" xfId="0" applyNumberFormat="1" applyFont="1" applyFill="1" applyBorder="1" applyAlignment="1">
      <alignment horizontal="left" vertical="center"/>
    </xf>
    <xf numFmtId="0" fontId="43" fillId="27" borderId="91" xfId="0" applyFont="1" applyFill="1" applyBorder="1" applyAlignment="1">
      <alignment horizontal="center" vertical="center"/>
    </xf>
    <xf numFmtId="0" fontId="0" fillId="29" borderId="94" xfId="0" applyFill="1" applyBorder="1" applyAlignment="1">
      <alignment horizontal="center" vertical="center"/>
    </xf>
    <xf numFmtId="0" fontId="45" fillId="27" borderId="91" xfId="0" applyFont="1" applyFill="1" applyBorder="1" applyAlignment="1">
      <alignment horizontal="center" vertical="center" wrapText="1"/>
    </xf>
    <xf numFmtId="0" fontId="0" fillId="29" borderId="94" xfId="0" applyFill="1" applyBorder="1" applyAlignment="1">
      <alignment vertical="center"/>
    </xf>
    <xf numFmtId="0" fontId="0" fillId="29" borderId="95" xfId="0" applyFill="1" applyBorder="1" applyAlignment="1">
      <alignment vertical="center"/>
    </xf>
    <xf numFmtId="0" fontId="0" fillId="29" borderId="96" xfId="0" applyFill="1" applyBorder="1" applyAlignment="1">
      <alignment vertical="center"/>
    </xf>
    <xf numFmtId="0" fontId="0" fillId="29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9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9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center" vertical="center"/>
      <protection locked="0"/>
    </xf>
    <xf numFmtId="49" fontId="0" fillId="29" borderId="90" xfId="0" applyNumberFormat="1" applyFill="1" applyBorder="1" applyAlignment="1" applyProtection="1">
      <alignment horizontal="left" vertical="center"/>
      <protection locked="0"/>
    </xf>
    <xf numFmtId="0" fontId="0" fillId="29" borderId="90" xfId="0" applyFill="1" applyBorder="1" applyAlignment="1" applyProtection="1">
      <alignment horizontal="left" vertical="center" wrapText="1"/>
      <protection locked="0"/>
    </xf>
    <xf numFmtId="49" fontId="0" fillId="23" borderId="90" xfId="0" applyNumberForma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/>
    </xf>
    <xf numFmtId="0" fontId="0" fillId="29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9" borderId="94" xfId="0" applyFill="1" applyBorder="1" applyAlignment="1" applyProtection="1">
      <alignment vertical="center"/>
      <protection locked="0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28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31" noThreeD="1" sel="0" val="0"/>
</file>

<file path=xl/ctrlProps/ctrlProp5.xml><?xml version="1.0" encoding="utf-8"?>
<formControlPr xmlns="http://schemas.microsoft.com/office/spreadsheetml/2009/9/main" objectType="CheckBox" fmlaLink="$I$8" lockText="1"/>
</file>

<file path=xl/ctrlProps/ctrlProp6.xml><?xml version="1.0" encoding="utf-8"?>
<formControlPr xmlns="http://schemas.microsoft.com/office/spreadsheetml/2009/9/main" objectType="CheckBox" fmlaLink="$I$9" lockText="1"/>
</file>

<file path=xl/ctrlProps/ctrlProp7.xml><?xml version="1.0" encoding="utf-8"?>
<formControlPr xmlns="http://schemas.microsoft.com/office/spreadsheetml/2009/9/main" objectType="CheckBox" checked="Checked" fmlaLink="$I$10" lockText="1"/>
</file>

<file path=xl/ctrlProps/ctrlProp8.xml><?xml version="1.0" encoding="utf-8"?>
<formControlPr xmlns="http://schemas.microsoft.com/office/spreadsheetml/2009/9/main" objectType="CheckBox" checked="Checked" fmlaLink="$I$11" lockText="1"/>
</file>

<file path=xl/ctrlProps/ctrlProp9.xml><?xml version="1.0" encoding="utf-8"?>
<formControlPr xmlns="http://schemas.microsoft.com/office/spreadsheetml/2009/9/main" objectType="CheckBox" fmlaLink="$I$12" lockText="1"/>
</file>

<file path=xl/ctrlProps/ctrlProp10.xml><?xml version="1.0" encoding="utf-8"?>
<formControlPr xmlns="http://schemas.microsoft.com/office/spreadsheetml/2009/9/main" objectType="CheckBox" fmlaLink="$I$13" lockText="1"/>
</file>

<file path=xl/ctrlProps/ctrlProp11.xml><?xml version="1.0" encoding="utf-8"?>
<formControlPr xmlns="http://schemas.microsoft.com/office/spreadsheetml/2009/9/main" objectType="CheckBox" checked="Checked" fmlaLink="$I$14" lockText="1"/>
</file>

<file path=xl/ctrlProps/ctrlProp12.xml><?xml version="1.0" encoding="utf-8"?>
<formControlPr xmlns="http://schemas.microsoft.com/office/spreadsheetml/2009/9/main" objectType="CheckBox" fmlaLink="$I$15" lockText="1"/>
</file>

<file path=xl/ctrlProps/ctrlProp13.xml><?xml version="1.0" encoding="utf-8"?>
<formControlPr xmlns="http://schemas.microsoft.com/office/spreadsheetml/2009/9/main" objectType="CheckBox" fmlaLink="$I$16" lockText="1"/>
</file>

<file path=xl/ctrlProps/ctrlProp14.xml><?xml version="1.0" encoding="utf-8"?>
<formControlPr xmlns="http://schemas.microsoft.com/office/spreadsheetml/2009/9/main" objectType="CheckBox" fmlaLink="$I$17" lockText="1"/>
</file>

<file path=xl/ctrlProps/ctrlProp15.xml><?xml version="1.0" encoding="utf-8"?>
<formControlPr xmlns="http://schemas.microsoft.com/office/spreadsheetml/2009/9/main" objectType="CheckBox" fmlaLink="$I$18" lockText="1"/>
</file>

<file path=xl/ctrlProps/ctrlProp16.xml><?xml version="1.0" encoding="utf-8"?>
<formControlPr xmlns="http://schemas.microsoft.com/office/spreadsheetml/2009/9/main" objectType="CheckBox" fmlaLink="$I$19" lockText="1"/>
</file>

<file path=xl/ctrlProps/ctrlProp17.xml><?xml version="1.0" encoding="utf-8"?>
<formControlPr xmlns="http://schemas.microsoft.com/office/spreadsheetml/2009/9/main" objectType="CheckBox" fmlaLink="$I$20" lockText="1"/>
</file>

<file path=xl/ctrlProps/ctrlProp18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1676400</xdr:colOff>
          <xdr:row>8</xdr:row>
          <xdr:rowOff>0</xdr:rowOff>
        </xdr:from>
        <xdr:to>
          <xdr:col>6</xdr:col>
          <xdr:colOff>1276350</xdr:colOff>
          <xdr:row>12</xdr:row>
          <xdr:rowOff>114300</xdr:rowOff>
        </xdr:to>
        <xdr:sp macro="" textlink="">
          <xdr:nvSpPr>
            <xdr:cNvPr id="19461" name="lst_ImportReport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8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cols>
    <col min="1" max="16384" width="10.90625" style="428"/>
  </cols>
  <sheetData>
    <row r="1" spans="2:6" x14ac:dyDescent="0.35">
      <c r="B1" s="428" t="s">
        <v>334</v>
      </c>
      <c r="F1" s="428">
        <v>2025</v>
      </c>
    </row>
    <row r="2" spans="2:6" x14ac:dyDescent="0.35">
      <c r="B2" s="428" t="s">
        <v>3</v>
      </c>
      <c r="F2" s="428">
        <v>13</v>
      </c>
    </row>
    <row r="3" spans="2:6" x14ac:dyDescent="0.35">
      <c r="B3" s="428" t="s">
        <v>2</v>
      </c>
      <c r="F3" s="428">
        <v>21</v>
      </c>
    </row>
    <row r="4" spans="2:6" x14ac:dyDescent="0.35">
      <c r="B4" s="428" t="s">
        <v>380</v>
      </c>
      <c r="F4" s="435">
        <v>8686.86</v>
      </c>
    </row>
    <row r="5" spans="2:6" x14ac:dyDescent="0.35">
      <c r="B5" s="428" t="s">
        <v>333</v>
      </c>
    </row>
    <row r="7" spans="2:6" x14ac:dyDescent="0.35">
      <c r="B7" s="428" t="s">
        <v>1</v>
      </c>
    </row>
    <row r="8" spans="2:6" x14ac:dyDescent="0.35">
      <c r="B8" s="428" t="s">
        <v>0</v>
      </c>
    </row>
    <row r="9" spans="2:6" x14ac:dyDescent="0.35">
      <c r="B9" s="428" t="s">
        <v>312</v>
      </c>
    </row>
    <row r="10" spans="2:6" x14ac:dyDescent="0.35">
      <c r="B10" s="428" t="s">
        <v>313</v>
      </c>
    </row>
    <row r="11" spans="2:6" x14ac:dyDescent="0.35">
      <c r="B11" s="428" t="s">
        <v>314</v>
      </c>
    </row>
    <row r="18" spans="1:1" x14ac:dyDescent="0.35">
      <c r="A18" s="328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28" customWidth="1"/>
    <col min="2" max="2" width="16.453125" style="270" customWidth="1"/>
    <col min="3" max="3" width="19.26953125" style="271" customWidth="1"/>
    <col min="4" max="4" width="24.7265625" style="428" customWidth="1"/>
    <col min="5" max="16384" width="11.453125" style="428"/>
  </cols>
  <sheetData>
    <row r="1" spans="2:17" ht="9.75" customHeight="1" thickBot="1" x14ac:dyDescent="0.4">
      <c r="B1" s="428"/>
      <c r="C1" s="14"/>
    </row>
    <row r="2" spans="2:17" ht="16.5" thickTop="1" x14ac:dyDescent="0.35">
      <c r="B2" s="500" t="s">
        <v>82</v>
      </c>
      <c r="C2" s="501"/>
      <c r="D2" s="501"/>
      <c r="E2" s="505"/>
      <c r="F2" s="505"/>
      <c r="G2" s="505"/>
      <c r="H2" s="505"/>
      <c r="I2" s="505"/>
      <c r="J2" s="505"/>
      <c r="K2" s="505"/>
      <c r="L2" s="505"/>
      <c r="M2" s="505"/>
      <c r="N2" s="505"/>
      <c r="O2" s="505"/>
      <c r="P2" s="505"/>
      <c r="Q2" s="506"/>
    </row>
    <row r="3" spans="2:17" ht="15" customHeight="1" x14ac:dyDescent="0.35">
      <c r="B3" s="502" t="s">
        <v>81</v>
      </c>
      <c r="C3" s="503"/>
      <c r="D3" s="504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07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08"/>
    </row>
    <row r="5" spans="2:17" ht="15" customHeight="1" thickTop="1" x14ac:dyDescent="0.35">
      <c r="B5" s="497" t="s">
        <v>67</v>
      </c>
      <c r="C5" s="494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98"/>
      <c r="C6" s="495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98"/>
      <c r="C7" s="495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98"/>
      <c r="C8" s="495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98"/>
      <c r="C9" s="495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98"/>
      <c r="C10" s="495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98"/>
      <c r="C11" s="495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99"/>
      <c r="C12" s="496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97" t="s">
        <v>64</v>
      </c>
      <c r="C13" s="494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98"/>
      <c r="C14" s="495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98"/>
      <c r="C15" s="495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98"/>
      <c r="C16" s="495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98"/>
      <c r="C17" s="495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98"/>
      <c r="C18" s="495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98"/>
      <c r="C19" s="495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99"/>
      <c r="C20" s="496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97" t="s">
        <v>63</v>
      </c>
      <c r="C21" s="494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98"/>
      <c r="C22" s="495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98"/>
      <c r="C23" s="495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98"/>
      <c r="C24" s="495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98"/>
      <c r="C25" s="495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98"/>
      <c r="C26" s="495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98"/>
      <c r="C27" s="495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99"/>
      <c r="C28" s="496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97" t="s">
        <v>61</v>
      </c>
      <c r="C29" s="494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98"/>
      <c r="C30" s="495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98"/>
      <c r="C31" s="495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98"/>
      <c r="C32" s="495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98"/>
      <c r="C33" s="495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98"/>
      <c r="C34" s="495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98"/>
      <c r="C35" s="495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99"/>
      <c r="C36" s="496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97" t="s">
        <v>59</v>
      </c>
      <c r="C37" s="494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98"/>
      <c r="C38" s="495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98"/>
      <c r="C39" s="495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98"/>
      <c r="C40" s="495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98"/>
      <c r="C41" s="495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98"/>
      <c r="C42" s="495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98"/>
      <c r="C43" s="495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99"/>
      <c r="C44" s="496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97" t="s">
        <v>57</v>
      </c>
      <c r="C45" s="494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98"/>
      <c r="C46" s="495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98"/>
      <c r="C47" s="495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98"/>
      <c r="C48" s="495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98"/>
      <c r="C49" s="495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98"/>
      <c r="C50" s="495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98"/>
      <c r="C51" s="495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99"/>
      <c r="C52" s="496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97" t="s">
        <v>55</v>
      </c>
      <c r="C53" s="494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98"/>
      <c r="C54" s="495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98"/>
      <c r="C55" s="495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98"/>
      <c r="C56" s="495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98"/>
      <c r="C57" s="495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98"/>
      <c r="C58" s="495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98"/>
      <c r="C59" s="495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99"/>
      <c r="C60" s="496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97" t="s">
        <v>53</v>
      </c>
      <c r="C61" s="494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98"/>
      <c r="C62" s="495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98"/>
      <c r="C63" s="495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98"/>
      <c r="C64" s="495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98"/>
      <c r="C65" s="495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98"/>
      <c r="C66" s="495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98"/>
      <c r="C67" s="495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99"/>
      <c r="C68" s="496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97" t="s">
        <v>52</v>
      </c>
      <c r="C69" s="494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98"/>
      <c r="C70" s="495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98"/>
      <c r="C71" s="495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98"/>
      <c r="C72" s="495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98"/>
      <c r="C73" s="495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98"/>
      <c r="C74" s="495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98"/>
      <c r="C75" s="495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99"/>
      <c r="C76" s="496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97" t="s">
        <v>50</v>
      </c>
      <c r="C77" s="494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98"/>
      <c r="C78" s="495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98"/>
      <c r="C79" s="495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98"/>
      <c r="C80" s="495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98"/>
      <c r="C81" s="495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98"/>
      <c r="C82" s="495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98"/>
      <c r="C83" s="495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99"/>
      <c r="C84" s="496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97" t="s">
        <v>49</v>
      </c>
      <c r="C85" s="494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98"/>
      <c r="C86" s="495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98"/>
      <c r="C87" s="495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98"/>
      <c r="C88" s="495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98"/>
      <c r="C89" s="495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98"/>
      <c r="C90" s="495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98"/>
      <c r="C91" s="495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99"/>
      <c r="C92" s="496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97" t="s">
        <v>47</v>
      </c>
      <c r="C93" s="494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98"/>
      <c r="C94" s="495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98"/>
      <c r="C95" s="495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98"/>
      <c r="C96" s="495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98"/>
      <c r="C97" s="495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98"/>
      <c r="C98" s="495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98"/>
      <c r="C99" s="495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99"/>
      <c r="C100" s="496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97" t="s">
        <v>46</v>
      </c>
      <c r="C101" s="494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98"/>
      <c r="C102" s="495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98"/>
      <c r="C103" s="495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98"/>
      <c r="C104" s="495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98"/>
      <c r="C105" s="495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98"/>
      <c r="C106" s="495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98"/>
      <c r="C107" s="495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99"/>
      <c r="C108" s="496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97" t="s">
        <v>44</v>
      </c>
      <c r="C109" s="494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98"/>
      <c r="C110" s="495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98"/>
      <c r="C111" s="495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98"/>
      <c r="C112" s="495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98"/>
      <c r="C113" s="495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98"/>
      <c r="C114" s="495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98"/>
      <c r="C115" s="495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99"/>
      <c r="C116" s="496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97" t="s">
        <v>43</v>
      </c>
      <c r="C117" s="494" t="s">
        <v>524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98"/>
      <c r="C118" s="495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98"/>
      <c r="C119" s="495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98"/>
      <c r="C120" s="495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98"/>
      <c r="C121" s="495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98"/>
      <c r="C122" s="495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98"/>
      <c r="C123" s="495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99"/>
      <c r="C124" s="496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182"/>
  <sheetViews>
    <sheetView topLeftCell="A6" zoomScale="70" zoomScaleNormal="70" zoomScaleSheetLayoutView="85" workbookViewId="0">
      <selection activeCell="A28" sqref="A28:Z472"/>
    </sheetView>
  </sheetViews>
  <sheetFormatPr baseColWidth="10" defaultColWidth="11.453125" defaultRowHeight="14.5" x14ac:dyDescent="0.35"/>
  <cols>
    <col min="1" max="1" width="13.1796875" style="274" bestFit="1" customWidth="1"/>
    <col min="2" max="2" width="13.26953125" style="274" bestFit="1" customWidth="1"/>
    <col min="3" max="3" width="35.26953125" style="274" customWidth="1"/>
    <col min="4" max="4" width="25.453125" style="274" customWidth="1"/>
    <col min="5" max="5" width="40.1796875" style="274" customWidth="1"/>
    <col min="6" max="6" width="30.81640625" style="274" customWidth="1"/>
    <col min="7" max="7" width="32.54296875" style="428" customWidth="1"/>
    <col min="8" max="8" width="47.26953125" style="274" bestFit="1" customWidth="1"/>
    <col min="9" max="9" width="19" style="428" customWidth="1"/>
    <col min="10" max="10" width="15.54296875" style="428" customWidth="1"/>
    <col min="11" max="11" width="17.54296875" style="274" customWidth="1"/>
    <col min="12" max="12" width="32.1796875" style="428" customWidth="1"/>
    <col min="13" max="13" width="18.26953125" style="340" customWidth="1"/>
    <col min="14" max="14" width="10.7265625" style="428" customWidth="1"/>
    <col min="15" max="15" width="11.453125" style="428" customWidth="1"/>
    <col min="16" max="16" width="12.7265625" style="428" customWidth="1"/>
    <col min="17" max="17" width="11.81640625" style="428" customWidth="1"/>
    <col min="18" max="18" width="17.453125" style="428" customWidth="1"/>
    <col min="19" max="19" width="21" style="428" customWidth="1"/>
    <col min="20" max="20" width="14.54296875" style="428" customWidth="1"/>
    <col min="21" max="21" width="13.26953125" style="428" customWidth="1"/>
    <col min="22" max="22" width="16" style="428" customWidth="1"/>
    <col min="23" max="23" width="13" style="428" customWidth="1"/>
    <col min="24" max="24" width="26.26953125" style="428" customWidth="1"/>
    <col min="25" max="25" width="19.26953125" style="428" customWidth="1"/>
    <col min="26" max="26" width="22.54296875" style="428" customWidth="1"/>
    <col min="27" max="16384" width="11.453125" style="428"/>
  </cols>
  <sheetData>
    <row r="1" spans="1:18" ht="48" thickBot="1" x14ac:dyDescent="0.4">
      <c r="A1" s="261"/>
      <c r="B1" s="518" t="s">
        <v>42</v>
      </c>
      <c r="C1" s="519"/>
      <c r="D1" s="519"/>
      <c r="E1" s="519"/>
      <c r="G1" s="423"/>
      <c r="I1" s="423"/>
      <c r="J1" s="423"/>
      <c r="L1" s="423"/>
      <c r="M1" s="423"/>
    </row>
    <row r="2" spans="1:18" ht="21.75" customHeight="1" x14ac:dyDescent="0.35">
      <c r="C2" s="425" t="str">
        <f>IF(Daten!$AG$4=0,"Kontostand Sparkasse am 31.12."&amp;Startmenü!$F$1-1,"Kontostand Sparkasse am "&amp;TEXT(DATE(Startmenü!$F$1,Daten!$AG$4,1),"TT.MM.JJJJ"))</f>
        <v>Kontostand Sparkasse am 31.12.2024</v>
      </c>
      <c r="D2" s="272"/>
      <c r="E2" s="275">
        <f>IF(Daten!$AG$4&lt;=1,Startmenü!$F$4,Startmenü!$F$4+SUMIFS(Bankkonto!$B$28:$B$1122,Bankkonto!$A$28:$A$1122,"&gt;="&amp;DATE(YEAR(Bankkonto!#REF!),1,1),Bankkonto!$A$28:$A$1122,"&lt;"&amp;DATE(YEAR(Bankkonto!#REF!),Daten!$AG$4,1)
    )
)</f>
        <v>8686.86</v>
      </c>
      <c r="M2" s="435"/>
    </row>
    <row r="3" spans="1:18" ht="21.75" customHeight="1" thickBot="1" x14ac:dyDescent="0.4">
      <c r="C3" s="426" t="str">
        <f t="array" ref="C3">IF(Daten!$AG$4=0,
    IF(COUNT(Bankkonto!$A$28:$A$1122)=0,
        "",
        "Kontostand nach der letzten Buchung im Monat am: " &amp;
        TEXT(MAX(Bankkonto!$A$28:$A$1122),"TT.MM.JJJJ")
    ),
    IF(
        COUNTIFS(
            Bankkonto!$A$28:$A$1122,"&gt;=" &amp; DATE(Startmenü!$F$1,Daten!$AG$4,1),
            Bankkonto!$A$28:$A$1122,"&lt;=" &amp; DATE(Startmenü!$F$1,Daten!$AG$4+1,0)
        )=0,
        "",
        "Kontostand nach der letzten Buchung im Monat am: " &amp;
        TEXT(
            _xlfn.MAXIFS(
                Bankkonto!$A$28:$A$1122,
                Bankkonto!$A$28:$A$1122,"&gt;=" &amp; DATE(Startmenü!$F$1,Daten!$AG$4,1),
                Bankkonto!$A$28:$A$1122,"&lt;=" &amp; DATE(Startmenü!$F$1,Daten!$AG$4+1,0)
            ),
            "TT.MM.JJJJ"
        )
    )
)</f>
        <v>Kontostand nach der letzten Buchung im Monat am: 18.12.2025</v>
      </c>
      <c r="D3" s="273"/>
      <c r="E3" s="276">
        <f>IF(E23="",E2+E15+E22,E2+E15+E22+E23)</f>
        <v>10682.52999999999</v>
      </c>
      <c r="M3" s="435"/>
    </row>
    <row r="4" spans="1:18" ht="7" customHeight="1" x14ac:dyDescent="0.35">
      <c r="M4" s="428"/>
    </row>
    <row r="5" spans="1:18" ht="7" customHeight="1" x14ac:dyDescent="0.35">
      <c r="M5" s="428"/>
    </row>
    <row r="6" spans="1:18" ht="50.25" customHeight="1" x14ac:dyDescent="0.35">
      <c r="C6" s="520" t="s">
        <v>41</v>
      </c>
      <c r="D6" s="520"/>
      <c r="E6" s="520"/>
      <c r="G6" s="423"/>
      <c r="M6" s="428"/>
      <c r="R6" s="301" t="str">
        <f>C25</f>
        <v>Auszug: ganzes Jahr 2025</v>
      </c>
    </row>
    <row r="7" spans="1:18" ht="10.5" customHeight="1" x14ac:dyDescent="0.35">
      <c r="M7" s="428"/>
    </row>
    <row r="8" spans="1:18" ht="15" customHeight="1" x14ac:dyDescent="0.35">
      <c r="B8" s="521" t="s">
        <v>24</v>
      </c>
      <c r="C8" s="12" t="s">
        <v>40</v>
      </c>
      <c r="D8" s="12"/>
      <c r="E8" s="277">
        <f>IF(SUMIFS(M28:M1122,G28:G1122,TRUE)=0,"",SUMIFS(M28:M1122,G28:G1122,TRUE))</f>
        <v>2255</v>
      </c>
      <c r="M8" s="428"/>
    </row>
    <row r="9" spans="1:18" x14ac:dyDescent="0.35">
      <c r="B9" s="521"/>
      <c r="C9" s="13" t="s">
        <v>39</v>
      </c>
      <c r="D9" s="13"/>
      <c r="E9" s="278" t="str">
        <f>IF(SUMIFS(N28:N1122,G28:G1122,TRUE)=0,"",SUMIFS(N28:N1122,G28:G1122,TRUE))</f>
        <v/>
      </c>
      <c r="M9" s="428"/>
      <c r="P9" s="329"/>
    </row>
    <row r="10" spans="1:18" x14ac:dyDescent="0.35">
      <c r="B10" s="521"/>
      <c r="C10" s="12" t="s">
        <v>38</v>
      </c>
      <c r="D10" s="12"/>
      <c r="E10" s="277" t="str">
        <f>IF(SUMIFS(O28:O1122,G28:G1122,TRUE)=0,"",SUMIFS(O28:O1122,G28:G1122,TRUE))</f>
        <v/>
      </c>
      <c r="M10" s="428"/>
      <c r="P10" s="329"/>
    </row>
    <row r="11" spans="1:18" x14ac:dyDescent="0.35">
      <c r="B11" s="521"/>
      <c r="C11" s="13" t="s">
        <v>37</v>
      </c>
      <c r="D11" s="13"/>
      <c r="E11" s="278" t="str">
        <f>IF(SUMIFS(P28:P1122,G28:G1122,TRUE)=0,"",SUMIFS(P28:P1122,G28:G1122,TRUE))</f>
        <v/>
      </c>
      <c r="M11" s="428"/>
    </row>
    <row r="12" spans="1:18" x14ac:dyDescent="0.35">
      <c r="B12" s="521"/>
      <c r="C12" s="12" t="s">
        <v>36</v>
      </c>
      <c r="D12" s="12"/>
      <c r="E12" s="277" t="str">
        <f>IF(SUMIFS(Q28:Q1122,G28:G1122,TRUE)=0,"",SUMIFS(Q28:Q1122,G28:G1122,TRUE))</f>
        <v/>
      </c>
      <c r="M12" s="428"/>
      <c r="P12" s="329"/>
    </row>
    <row r="13" spans="1:18" x14ac:dyDescent="0.35">
      <c r="B13" s="521"/>
      <c r="C13" s="13" t="s">
        <v>32</v>
      </c>
      <c r="D13" s="13"/>
      <c r="E13" s="278" t="str">
        <f>IF(SUMIFS(R28:R1122,G28:G1122,TRUE)=0,"",SUMIFS(R28:R1122,G28:G1122,TRUE))</f>
        <v/>
      </c>
      <c r="M13" s="428"/>
      <c r="P13" s="329"/>
    </row>
    <row r="14" spans="1:18" ht="15" thickBot="1" x14ac:dyDescent="0.4">
      <c r="B14" s="521"/>
      <c r="C14" s="12" t="s">
        <v>35</v>
      </c>
      <c r="D14" s="12"/>
      <c r="E14" s="277">
        <f>IF(SUMIFS(S28:S1122,G28:G1122,TRUE)=0,"",SUMIFS(S28:S1122,G28:G1122,TRUE))</f>
        <v>11820.099999999993</v>
      </c>
      <c r="M14" s="428"/>
      <c r="P14" s="329"/>
    </row>
    <row r="15" spans="1:18" ht="19.5" thickTop="1" thickBot="1" x14ac:dyDescent="0.4">
      <c r="B15" s="522"/>
      <c r="C15" s="11" t="s">
        <v>28</v>
      </c>
      <c r="D15" s="11"/>
      <c r="E15" s="279">
        <f>SUM(E8:E14)</f>
        <v>14075.099999999993</v>
      </c>
      <c r="M15" s="428"/>
    </row>
    <row r="16" spans="1:18" ht="15" customHeight="1" x14ac:dyDescent="0.35">
      <c r="B16" s="523" t="s">
        <v>23</v>
      </c>
      <c r="C16" s="10" t="s">
        <v>34</v>
      </c>
      <c r="D16" s="10"/>
      <c r="E16" s="8">
        <f>IF(SUMIFS(T28:T1122,G28:G1122,TRUE)=0,"",SUMIFS(T28:T1122,G28:G1122,TRUE))</f>
        <v>-11758.000000000002</v>
      </c>
      <c r="M16" s="428"/>
    </row>
    <row r="17" spans="1:26" x14ac:dyDescent="0.35">
      <c r="B17" s="524"/>
      <c r="C17" s="5" t="s">
        <v>33</v>
      </c>
      <c r="D17" s="5"/>
      <c r="E17" s="3" t="str">
        <f>IF(SUMIFS(U28:U1122,G28:G1122,TRUE)=0,"",SUMIFS(U28:U1122,G28:G1122,TRUE))</f>
        <v/>
      </c>
      <c r="M17" s="428"/>
    </row>
    <row r="18" spans="1:26" x14ac:dyDescent="0.35">
      <c r="B18" s="524"/>
      <c r="C18" s="1" t="s">
        <v>32</v>
      </c>
      <c r="D18" s="1"/>
      <c r="E18" s="6">
        <f>IF(SUMIFS(V28:V1122,G28:G1122,TRUE)=0,"",SUMIFS(V28:V1122,G28:G1122,TRUE))</f>
        <v>-21.43</v>
      </c>
      <c r="M18" s="428"/>
    </row>
    <row r="19" spans="1:26" x14ac:dyDescent="0.35">
      <c r="B19" s="524"/>
      <c r="C19" s="5" t="s">
        <v>31</v>
      </c>
      <c r="D19" s="5"/>
      <c r="E19" s="3" t="str">
        <f>IF(SUMIFS(W28:W1122,G28:G1122,TRUE)=0,"",SUMIFS(W28:W1122,G28:G1122,TRUE))</f>
        <v/>
      </c>
      <c r="M19" s="428"/>
    </row>
    <row r="20" spans="1:26" x14ac:dyDescent="0.35">
      <c r="B20" s="524"/>
      <c r="C20" s="1" t="s">
        <v>30</v>
      </c>
      <c r="D20" s="1"/>
      <c r="E20" s="6" t="str">
        <f>IF(SUMIFS(X28:X1122,G28:G1122,TRUE)=0,"",SUMIFS(X28:X1122,G28:G1122,TRUE))</f>
        <v/>
      </c>
      <c r="M20" s="428"/>
    </row>
    <row r="21" spans="1:26" x14ac:dyDescent="0.35">
      <c r="B21" s="524"/>
      <c r="C21" s="5" t="s">
        <v>29</v>
      </c>
      <c r="D21" s="5"/>
      <c r="E21" s="3" t="str">
        <f>IF(SUMIFS(Y28:Y1122,G28:G1122,TRUE)=0,"",SUMIFS(Y28:Y1122,G28:G1122,TRUE))</f>
        <v/>
      </c>
      <c r="M21" s="428"/>
    </row>
    <row r="22" spans="1:26" ht="18.5" x14ac:dyDescent="0.35">
      <c r="B22" s="524"/>
      <c r="C22" s="2" t="s">
        <v>28</v>
      </c>
      <c r="D22" s="263"/>
      <c r="E22" s="280">
        <f>SUM(E16:E21)</f>
        <v>-11779.430000000002</v>
      </c>
      <c r="M22" s="428"/>
    </row>
    <row r="23" spans="1:26" x14ac:dyDescent="0.35">
      <c r="B23" s="524"/>
      <c r="C23" s="1" t="s">
        <v>27</v>
      </c>
      <c r="D23" s="1"/>
      <c r="E23" s="6">
        <f>IF(SUMIFS(Z28:Z1122,G28:G1122,TRUE)=0,"",SUMIFS(Z28:Z1122,G28:G1122,TRUE))</f>
        <v>-300</v>
      </c>
      <c r="M23" s="428"/>
    </row>
    <row r="24" spans="1:26" x14ac:dyDescent="0.35">
      <c r="M24" s="428"/>
    </row>
    <row r="25" spans="1:26" ht="26" x14ac:dyDescent="0.35">
      <c r="A25" s="525" t="s">
        <v>26</v>
      </c>
      <c r="B25" s="526"/>
      <c r="C25" s="527" t="s">
        <v>472</v>
      </c>
      <c r="D25" s="528"/>
      <c r="E25" s="528"/>
      <c r="F25" s="510"/>
      <c r="G25" s="510"/>
      <c r="H25" s="510"/>
      <c r="I25" s="510"/>
      <c r="J25" s="510"/>
      <c r="K25" s="510"/>
      <c r="L25" s="511"/>
      <c r="M25" s="509" t="str">
        <f>C6</f>
        <v>Konto Sparkasse</v>
      </c>
      <c r="N25" s="510"/>
      <c r="O25" s="510"/>
      <c r="P25" s="510"/>
      <c r="Q25" s="510"/>
      <c r="R25" s="510"/>
      <c r="S25" s="510"/>
      <c r="T25" s="510"/>
      <c r="U25" s="510"/>
      <c r="V25" s="510"/>
      <c r="W25" s="510"/>
      <c r="X25" s="510"/>
      <c r="Y25" s="510"/>
      <c r="Z25" s="511"/>
    </row>
    <row r="26" spans="1:26" s="330" customFormat="1" ht="21" x14ac:dyDescent="0.35">
      <c r="A26" s="512" t="s">
        <v>25</v>
      </c>
      <c r="B26" s="513"/>
      <c r="C26" s="514"/>
      <c r="D26" s="514"/>
      <c r="E26" s="515"/>
      <c r="F26" s="264"/>
      <c r="G26" s="422"/>
      <c r="H26" s="264"/>
      <c r="I26" s="422"/>
      <c r="J26" s="422"/>
      <c r="K26" s="264"/>
      <c r="L26" s="422"/>
      <c r="M26" s="516" t="s">
        <v>24</v>
      </c>
      <c r="N26" s="510"/>
      <c r="O26" s="510"/>
      <c r="P26" s="510"/>
      <c r="Q26" s="510"/>
      <c r="R26" s="510"/>
      <c r="S26" s="510"/>
      <c r="T26" s="517" t="s">
        <v>23</v>
      </c>
      <c r="U26" s="510"/>
      <c r="V26" s="510"/>
      <c r="W26" s="510"/>
      <c r="X26" s="510"/>
      <c r="Y26" s="510"/>
      <c r="Z26" s="511"/>
    </row>
    <row r="27" spans="1:26" ht="31.5" customHeight="1" x14ac:dyDescent="0.35">
      <c r="A27" s="322" t="s">
        <v>21</v>
      </c>
      <c r="B27" s="322" t="s">
        <v>18</v>
      </c>
      <c r="C27" s="322" t="s">
        <v>351</v>
      </c>
      <c r="D27" s="322" t="s">
        <v>373</v>
      </c>
      <c r="E27" s="322" t="s">
        <v>338</v>
      </c>
      <c r="F27" s="322" t="s">
        <v>342</v>
      </c>
      <c r="G27" s="323" t="s">
        <v>514</v>
      </c>
      <c r="H27" s="322" t="s">
        <v>20</v>
      </c>
      <c r="I27" s="323" t="s">
        <v>339</v>
      </c>
      <c r="J27" s="323" t="s">
        <v>340</v>
      </c>
      <c r="K27" s="322" t="s">
        <v>341</v>
      </c>
      <c r="L27" s="323" t="s">
        <v>22</v>
      </c>
      <c r="M27" s="324" t="s">
        <v>17</v>
      </c>
      <c r="N27" s="324" t="s">
        <v>16</v>
      </c>
      <c r="O27" s="324" t="s">
        <v>15</v>
      </c>
      <c r="P27" s="324" t="s">
        <v>14</v>
      </c>
      <c r="Q27" s="324" t="s">
        <v>13</v>
      </c>
      <c r="R27" s="324" t="s">
        <v>12</v>
      </c>
      <c r="S27" s="324" t="s">
        <v>11</v>
      </c>
      <c r="T27" s="325" t="s">
        <v>10</v>
      </c>
      <c r="U27" s="325" t="s">
        <v>9</v>
      </c>
      <c r="V27" s="325" t="s">
        <v>8</v>
      </c>
      <c r="W27" s="325" t="s">
        <v>7</v>
      </c>
      <c r="X27" s="325" t="s">
        <v>6</v>
      </c>
      <c r="Y27" s="325" t="s">
        <v>5</v>
      </c>
      <c r="Z27" s="326" t="s">
        <v>4</v>
      </c>
    </row>
    <row r="28" spans="1:26" x14ac:dyDescent="0.35">
      <c r="A28" s="438">
        <v>45659</v>
      </c>
      <c r="B28" s="446">
        <v>15</v>
      </c>
      <c r="C28" s="439" t="s">
        <v>622</v>
      </c>
      <c r="D28" s="439" t="s">
        <v>623</v>
      </c>
      <c r="E28" s="439" t="s">
        <v>719</v>
      </c>
      <c r="F28" s="439" t="s">
        <v>570</v>
      </c>
      <c r="G28" s="440" t="b">
        <f>IF(A28="","",IF(Daten!$AE$4=0,TRUE,MONTH(A28)=Daten!$AE$4))</f>
        <v>1</v>
      </c>
      <c r="H28" s="454" t="s">
        <v>306</v>
      </c>
      <c r="I28" s="440" t="s">
        <v>79</v>
      </c>
      <c r="J28" s="440"/>
      <c r="K28" s="439" t="s">
        <v>637</v>
      </c>
      <c r="L28" s="452"/>
      <c r="M28" s="448">
        <v>15</v>
      </c>
      <c r="N28" s="448" t="str">
        <f t="shared" ref="N28:N91" si="0">IF(OR(A28="", B28=""), "", IF(H28="Spenden", ABS(B28), ""))</f>
        <v/>
      </c>
      <c r="O28" s="448" t="str">
        <f t="shared" ref="O28:O91" si="1">IF(OR(A28="", B28=""), "", IF(H28="Zuschüsse", ABS(B28), ""))</f>
        <v/>
      </c>
      <c r="P28" s="448" t="str">
        <f t="shared" ref="P28:P91" si="2">IF(OR(A28="", B28=""), "", IF(H28="Verwaltung", ABS(B28), ""))</f>
        <v/>
      </c>
      <c r="Q28" s="448" t="str">
        <f t="shared" ref="Q28:Q91" si="3">IF(OR(A28="", B28=""), "", IF(H28="Vermögen", ABS(B28), ""))</f>
        <v/>
      </c>
      <c r="R28" s="448" t="str">
        <f t="shared" ref="R28:R91" si="4">IF(OR(A28="", B28=""), "", IF(H28="Vermögen", ABS(B28), ""))</f>
        <v/>
      </c>
      <c r="S28" s="448" t="str">
        <f>IF(OR(A28="", B28=""), "", IF(H28="Sonstige Einnahmen", ABS(B28), ""))</f>
        <v/>
      </c>
      <c r="T28" s="448" t="str">
        <f t="shared" ref="T28:T48" si="5">IF(OR(A28="", B28=""), "", IF(H28="Unterhaltung", ABS(B28), ""))</f>
        <v/>
      </c>
      <c r="U28" s="448" t="str">
        <f t="shared" ref="U28:U91" si="6">IF(OR(A28="", B28=""), "", IF(H28="Fortbildung", ABS(B28), ""))</f>
        <v/>
      </c>
      <c r="V28" s="448" t="str">
        <f t="shared" ref="V28:V59" si="7">IF(OR(A28="", B28=""), "", IF(H28="Veranstaltungen Ausgabe", ABS(B28), ""))</f>
        <v/>
      </c>
      <c r="W28" s="448" t="str">
        <f t="shared" ref="W28:W91" si="8">IF(OR(A28="", B28=""), "", IF(H28="Bürobetrieb", ABS(B28), ""))</f>
        <v/>
      </c>
      <c r="X28" s="448" t="str">
        <f t="shared" ref="X28:X91" si="9">IF(OR(A28="", B28=""), "", IF(H28="Aufwandsentschädigungen", ABS(B28), ""))</f>
        <v/>
      </c>
      <c r="Y28" s="448" t="str">
        <f t="shared" ref="Y28:Y91" si="10">IF(OR(A28="", B28=""), "", IF(H28="Sonstige Ausgaben", ABS(B28), ""))</f>
        <v/>
      </c>
      <c r="Z28" s="449" t="str">
        <f t="shared" ref="Z28:Z59" si="11">IF(OR(A28="", B28=""), "", IF(H28="Kasse-Auszahlung", ABS(B28), ""))</f>
        <v/>
      </c>
    </row>
    <row r="29" spans="1:26" x14ac:dyDescent="0.35">
      <c r="A29" s="441">
        <v>45659</v>
      </c>
      <c r="B29" s="447">
        <v>15</v>
      </c>
      <c r="C29" s="442" t="s">
        <v>51</v>
      </c>
      <c r="D29" s="442" t="s">
        <v>589</v>
      </c>
      <c r="E29" s="442" t="s">
        <v>384</v>
      </c>
      <c r="F29" s="442" t="s">
        <v>570</v>
      </c>
      <c r="G29" s="443" t="b">
        <f>IF(A29="","",IF(Daten!$AE$4=0,TRUE,MONTH(A29)=Daten!$AE$4))</f>
        <v>1</v>
      </c>
      <c r="H29" s="454" t="s">
        <v>415</v>
      </c>
      <c r="I29" s="443" t="s">
        <v>79</v>
      </c>
      <c r="J29" s="443"/>
      <c r="K29" s="442" t="s">
        <v>637</v>
      </c>
      <c r="L29" s="453"/>
      <c r="M29" s="450" t="str">
        <f>IF(OR(A29="", B29=""), "", IF(H29="Mitgliedsbeiträge", ABS(B29), ""))</f>
        <v/>
      </c>
      <c r="N29" s="450" t="str">
        <f t="shared" si="0"/>
        <v/>
      </c>
      <c r="O29" s="450" t="str">
        <f t="shared" si="1"/>
        <v/>
      </c>
      <c r="P29" s="450" t="str">
        <f t="shared" si="2"/>
        <v/>
      </c>
      <c r="Q29" s="450" t="str">
        <f t="shared" si="3"/>
        <v/>
      </c>
      <c r="R29" s="450" t="str">
        <f t="shared" si="4"/>
        <v/>
      </c>
      <c r="S29" s="450">
        <v>15</v>
      </c>
      <c r="T29" s="450" t="str">
        <f t="shared" si="5"/>
        <v/>
      </c>
      <c r="U29" s="450" t="str">
        <f t="shared" si="6"/>
        <v/>
      </c>
      <c r="V29" s="450" t="str">
        <f t="shared" si="7"/>
        <v/>
      </c>
      <c r="W29" s="450" t="str">
        <f t="shared" si="8"/>
        <v/>
      </c>
      <c r="X29" s="450" t="str">
        <f t="shared" si="9"/>
        <v/>
      </c>
      <c r="Y29" s="450" t="str">
        <f t="shared" si="10"/>
        <v/>
      </c>
      <c r="Z29" s="451" t="str">
        <f t="shared" si="11"/>
        <v/>
      </c>
    </row>
    <row r="30" spans="1:26" x14ac:dyDescent="0.35">
      <c r="A30" s="438">
        <v>45659</v>
      </c>
      <c r="B30" s="446">
        <v>15</v>
      </c>
      <c r="C30" s="439" t="s">
        <v>622</v>
      </c>
      <c r="D30" s="439" t="s">
        <v>623</v>
      </c>
      <c r="E30" s="439" t="s">
        <v>720</v>
      </c>
      <c r="F30" s="439" t="s">
        <v>570</v>
      </c>
      <c r="G30" s="440" t="b">
        <f>IF(A30="","",IF(Daten!$AE$4=0,TRUE,MONTH(A30)=Daten!$AE$4))</f>
        <v>1</v>
      </c>
      <c r="H30" s="454" t="s">
        <v>415</v>
      </c>
      <c r="I30" s="440" t="s">
        <v>79</v>
      </c>
      <c r="J30" s="440"/>
      <c r="K30" s="439" t="s">
        <v>637</v>
      </c>
      <c r="L30" s="452"/>
      <c r="M30" s="448" t="str">
        <f>IF(OR(A30="", B30=""), "", IF(H30="Mitgliedsbeiträge", ABS(B30), ""))</f>
        <v/>
      </c>
      <c r="N30" s="448" t="str">
        <f t="shared" si="0"/>
        <v/>
      </c>
      <c r="O30" s="448" t="str">
        <f t="shared" si="1"/>
        <v/>
      </c>
      <c r="P30" s="448" t="str">
        <f t="shared" si="2"/>
        <v/>
      </c>
      <c r="Q30" s="448" t="str">
        <f t="shared" si="3"/>
        <v/>
      </c>
      <c r="R30" s="448" t="str">
        <f t="shared" si="4"/>
        <v/>
      </c>
      <c r="S30" s="448">
        <v>15</v>
      </c>
      <c r="T30" s="448" t="str">
        <f t="shared" si="5"/>
        <v/>
      </c>
      <c r="U30" s="448" t="str">
        <f t="shared" si="6"/>
        <v/>
      </c>
      <c r="V30" s="448" t="str">
        <f t="shared" si="7"/>
        <v/>
      </c>
      <c r="W30" s="448" t="str">
        <f t="shared" si="8"/>
        <v/>
      </c>
      <c r="X30" s="448" t="str">
        <f t="shared" si="9"/>
        <v/>
      </c>
      <c r="Y30" s="448" t="str">
        <f t="shared" si="10"/>
        <v/>
      </c>
      <c r="Z30" s="449" t="str">
        <f t="shared" si="11"/>
        <v/>
      </c>
    </row>
    <row r="31" spans="1:26" x14ac:dyDescent="0.35">
      <c r="A31" s="441">
        <v>45659</v>
      </c>
      <c r="B31" s="447">
        <v>15</v>
      </c>
      <c r="C31" s="442" t="s">
        <v>584</v>
      </c>
      <c r="D31" s="442" t="s">
        <v>585</v>
      </c>
      <c r="E31" s="442" t="s">
        <v>655</v>
      </c>
      <c r="F31" s="442" t="s">
        <v>570</v>
      </c>
      <c r="G31" s="443" t="b">
        <f>IF(A31="","",IF(Daten!$AE$4=0,TRUE,MONTH(A31)=Daten!$AE$4))</f>
        <v>1</v>
      </c>
      <c r="H31" s="454" t="s">
        <v>306</v>
      </c>
      <c r="I31" s="443" t="s">
        <v>79</v>
      </c>
      <c r="J31" s="443"/>
      <c r="K31" s="442" t="s">
        <v>637</v>
      </c>
      <c r="L31" s="453"/>
      <c r="M31" s="450">
        <v>15</v>
      </c>
      <c r="N31" s="450" t="str">
        <f t="shared" si="0"/>
        <v/>
      </c>
      <c r="O31" s="450" t="str">
        <f t="shared" si="1"/>
        <v/>
      </c>
      <c r="P31" s="450" t="str">
        <f t="shared" si="2"/>
        <v/>
      </c>
      <c r="Q31" s="450" t="str">
        <f t="shared" si="3"/>
        <v/>
      </c>
      <c r="R31" s="450" t="str">
        <f t="shared" si="4"/>
        <v/>
      </c>
      <c r="S31" s="450" t="str">
        <f>IF(OR(A31="", B31=""), "", IF(H31="Sonstige Einnahmen", ABS(B31), ""))</f>
        <v/>
      </c>
      <c r="T31" s="450" t="str">
        <f t="shared" si="5"/>
        <v/>
      </c>
      <c r="U31" s="450" t="str">
        <f t="shared" si="6"/>
        <v/>
      </c>
      <c r="V31" s="450" t="str">
        <f t="shared" si="7"/>
        <v/>
      </c>
      <c r="W31" s="450" t="str">
        <f t="shared" si="8"/>
        <v/>
      </c>
      <c r="X31" s="450" t="str">
        <f t="shared" si="9"/>
        <v/>
      </c>
      <c r="Y31" s="450" t="str">
        <f t="shared" si="10"/>
        <v/>
      </c>
      <c r="Z31" s="451" t="str">
        <f t="shared" si="11"/>
        <v/>
      </c>
    </row>
    <row r="32" spans="1:26" x14ac:dyDescent="0.35">
      <c r="A32" s="438">
        <v>45659</v>
      </c>
      <c r="B32" s="446">
        <v>7.5</v>
      </c>
      <c r="C32" s="439" t="s">
        <v>56</v>
      </c>
      <c r="D32" s="439" t="s">
        <v>602</v>
      </c>
      <c r="E32" s="439" t="s">
        <v>386</v>
      </c>
      <c r="F32" s="439" t="s">
        <v>570</v>
      </c>
      <c r="G32" s="440" t="b">
        <f>IF(A32="","",IF(Daten!$AE$4=0,TRUE,MONTH(A32)=Daten!$AE$4))</f>
        <v>1</v>
      </c>
      <c r="H32" s="454" t="s">
        <v>306</v>
      </c>
      <c r="I32" s="440" t="s">
        <v>79</v>
      </c>
      <c r="J32" s="440"/>
      <c r="K32" s="439" t="s">
        <v>637</v>
      </c>
      <c r="L32" s="452"/>
      <c r="M32" s="448">
        <v>7.5</v>
      </c>
      <c r="N32" s="448" t="str">
        <f t="shared" si="0"/>
        <v/>
      </c>
      <c r="O32" s="448" t="str">
        <f t="shared" si="1"/>
        <v/>
      </c>
      <c r="P32" s="448" t="str">
        <f t="shared" si="2"/>
        <v/>
      </c>
      <c r="Q32" s="448" t="str">
        <f t="shared" si="3"/>
        <v/>
      </c>
      <c r="R32" s="448" t="str">
        <f t="shared" si="4"/>
        <v/>
      </c>
      <c r="S32" s="448" t="str">
        <f>IF(OR(A32="", B32=""), "", IF(H32="Sonstige Einnahmen", ABS(B32), ""))</f>
        <v/>
      </c>
      <c r="T32" s="448" t="str">
        <f t="shared" si="5"/>
        <v/>
      </c>
      <c r="U32" s="448" t="str">
        <f t="shared" si="6"/>
        <v/>
      </c>
      <c r="V32" s="448" t="str">
        <f t="shared" si="7"/>
        <v/>
      </c>
      <c r="W32" s="448" t="str">
        <f t="shared" si="8"/>
        <v/>
      </c>
      <c r="X32" s="448" t="str">
        <f t="shared" si="9"/>
        <v/>
      </c>
      <c r="Y32" s="448" t="str">
        <f t="shared" si="10"/>
        <v/>
      </c>
      <c r="Z32" s="449" t="str">
        <f t="shared" si="11"/>
        <v/>
      </c>
    </row>
    <row r="33" spans="1:26" x14ac:dyDescent="0.35">
      <c r="A33" s="441">
        <v>45659</v>
      </c>
      <c r="B33" s="447">
        <v>15</v>
      </c>
      <c r="C33" s="442" t="s">
        <v>597</v>
      </c>
      <c r="D33" s="442" t="s">
        <v>598</v>
      </c>
      <c r="E33" s="442" t="s">
        <v>385</v>
      </c>
      <c r="F33" s="442" t="s">
        <v>570</v>
      </c>
      <c r="G33" s="443" t="b">
        <f>IF(A33="","",IF(Daten!$AE$4=0,TRUE,MONTH(A33)=Daten!$AE$4))</f>
        <v>1</v>
      </c>
      <c r="H33" s="454" t="s">
        <v>415</v>
      </c>
      <c r="I33" s="443" t="s">
        <v>79</v>
      </c>
      <c r="J33" s="443"/>
      <c r="K33" s="442" t="s">
        <v>637</v>
      </c>
      <c r="L33" s="453"/>
      <c r="M33" s="450" t="str">
        <f>IF(OR(A33="", B33=""), "", IF(H33="Mitgliedsbeiträge", ABS(B33), ""))</f>
        <v/>
      </c>
      <c r="N33" s="450" t="str">
        <f t="shared" si="0"/>
        <v/>
      </c>
      <c r="O33" s="450" t="str">
        <f t="shared" si="1"/>
        <v/>
      </c>
      <c r="P33" s="450" t="str">
        <f t="shared" si="2"/>
        <v/>
      </c>
      <c r="Q33" s="450" t="str">
        <f t="shared" si="3"/>
        <v/>
      </c>
      <c r="R33" s="450" t="str">
        <f t="shared" si="4"/>
        <v/>
      </c>
      <c r="S33" s="450">
        <v>15</v>
      </c>
      <c r="T33" s="450" t="str">
        <f t="shared" si="5"/>
        <v/>
      </c>
      <c r="U33" s="450" t="str">
        <f t="shared" si="6"/>
        <v/>
      </c>
      <c r="V33" s="450" t="str">
        <f t="shared" si="7"/>
        <v/>
      </c>
      <c r="W33" s="450" t="str">
        <f t="shared" si="8"/>
        <v/>
      </c>
      <c r="X33" s="450" t="str">
        <f t="shared" si="9"/>
        <v/>
      </c>
      <c r="Y33" s="450" t="str">
        <f t="shared" si="10"/>
        <v/>
      </c>
      <c r="Z33" s="451" t="str">
        <f t="shared" si="11"/>
        <v/>
      </c>
    </row>
    <row r="34" spans="1:26" x14ac:dyDescent="0.35">
      <c r="A34" s="438">
        <v>45659</v>
      </c>
      <c r="B34" s="446">
        <v>7.5</v>
      </c>
      <c r="C34" s="439" t="s">
        <v>66</v>
      </c>
      <c r="D34" s="439" t="s">
        <v>594</v>
      </c>
      <c r="E34" s="439" t="s">
        <v>652</v>
      </c>
      <c r="F34" s="439" t="s">
        <v>570</v>
      </c>
      <c r="G34" s="440" t="b">
        <f>IF(A34="","",IF(Daten!$AE$4=0,TRUE,MONTH(A34)=Daten!$AE$4))</f>
        <v>1</v>
      </c>
      <c r="H34" s="454" t="s">
        <v>306</v>
      </c>
      <c r="I34" s="440" t="s">
        <v>79</v>
      </c>
      <c r="J34" s="440"/>
      <c r="K34" s="439" t="s">
        <v>637</v>
      </c>
      <c r="L34" s="452"/>
      <c r="M34" s="448">
        <v>7.5</v>
      </c>
      <c r="N34" s="448" t="str">
        <f t="shared" si="0"/>
        <v/>
      </c>
      <c r="O34" s="448" t="str">
        <f t="shared" si="1"/>
        <v/>
      </c>
      <c r="P34" s="448" t="str">
        <f t="shared" si="2"/>
        <v/>
      </c>
      <c r="Q34" s="448" t="str">
        <f t="shared" si="3"/>
        <v/>
      </c>
      <c r="R34" s="448" t="str">
        <f t="shared" si="4"/>
        <v/>
      </c>
      <c r="S34" s="448" t="str">
        <f>IF(OR(A34="", B34=""), "", IF(H34="Sonstige Einnahmen", ABS(B34), ""))</f>
        <v/>
      </c>
      <c r="T34" s="448" t="str">
        <f t="shared" si="5"/>
        <v/>
      </c>
      <c r="U34" s="448" t="str">
        <f t="shared" si="6"/>
        <v/>
      </c>
      <c r="V34" s="448" t="str">
        <f t="shared" si="7"/>
        <v/>
      </c>
      <c r="W34" s="448" t="str">
        <f t="shared" si="8"/>
        <v/>
      </c>
      <c r="X34" s="448" t="str">
        <f t="shared" si="9"/>
        <v/>
      </c>
      <c r="Y34" s="448" t="str">
        <f t="shared" si="10"/>
        <v/>
      </c>
      <c r="Z34" s="449" t="str">
        <f t="shared" si="11"/>
        <v/>
      </c>
    </row>
    <row r="35" spans="1:26" x14ac:dyDescent="0.35">
      <c r="A35" s="441">
        <v>45659</v>
      </c>
      <c r="B35" s="447">
        <v>15</v>
      </c>
      <c r="C35" s="442" t="s">
        <v>66</v>
      </c>
      <c r="D35" s="442" t="s">
        <v>594</v>
      </c>
      <c r="E35" s="442" t="s">
        <v>653</v>
      </c>
      <c r="F35" s="442" t="s">
        <v>570</v>
      </c>
      <c r="G35" s="443" t="b">
        <f>IF(A35="","",IF(Daten!$AE$4=0,TRUE,MONTH(A35)=Daten!$AE$4))</f>
        <v>1</v>
      </c>
      <c r="H35" s="454" t="s">
        <v>415</v>
      </c>
      <c r="I35" s="443" t="s">
        <v>79</v>
      </c>
      <c r="J35" s="443"/>
      <c r="K35" s="442" t="s">
        <v>637</v>
      </c>
      <c r="L35" s="453"/>
      <c r="M35" s="450" t="str">
        <f>IF(OR(A35="", B35=""), "", IF(H35="Mitgliedsbeiträge", ABS(B35), ""))</f>
        <v/>
      </c>
      <c r="N35" s="450" t="str">
        <f t="shared" si="0"/>
        <v/>
      </c>
      <c r="O35" s="450" t="str">
        <f t="shared" si="1"/>
        <v/>
      </c>
      <c r="P35" s="450" t="str">
        <f t="shared" si="2"/>
        <v/>
      </c>
      <c r="Q35" s="450" t="str">
        <f t="shared" si="3"/>
        <v/>
      </c>
      <c r="R35" s="450" t="str">
        <f t="shared" si="4"/>
        <v/>
      </c>
      <c r="S35" s="450">
        <v>15</v>
      </c>
      <c r="T35" s="450" t="str">
        <f t="shared" si="5"/>
        <v/>
      </c>
      <c r="U35" s="450" t="str">
        <f t="shared" si="6"/>
        <v/>
      </c>
      <c r="V35" s="450" t="str">
        <f t="shared" si="7"/>
        <v/>
      </c>
      <c r="W35" s="450" t="str">
        <f t="shared" si="8"/>
        <v/>
      </c>
      <c r="X35" s="450" t="str">
        <f t="shared" si="9"/>
        <v/>
      </c>
      <c r="Y35" s="450" t="str">
        <f t="shared" si="10"/>
        <v/>
      </c>
      <c r="Z35" s="451" t="str">
        <f t="shared" si="11"/>
        <v/>
      </c>
    </row>
    <row r="36" spans="1:26" ht="58" x14ac:dyDescent="0.35">
      <c r="A36" s="438">
        <v>45659</v>
      </c>
      <c r="B36" s="446">
        <v>15</v>
      </c>
      <c r="C36" s="439" t="s">
        <v>56</v>
      </c>
      <c r="D36" s="439" t="s">
        <v>602</v>
      </c>
      <c r="E36" s="439" t="s">
        <v>657</v>
      </c>
      <c r="F36" s="439" t="s">
        <v>570</v>
      </c>
      <c r="G36" s="440" t="b">
        <f>IF(A36="","",IF(Daten!$AE$4=0,TRUE,MONTH(A36)=Daten!$AE$4))</f>
        <v>1</v>
      </c>
      <c r="H36" s="455" t="s">
        <v>463</v>
      </c>
      <c r="I36" s="440" t="s">
        <v>79</v>
      </c>
      <c r="J36" s="440"/>
      <c r="K36" s="439" t="s">
        <v>637</v>
      </c>
      <c r="L36" s="452" t="s">
        <v>781</v>
      </c>
      <c r="M36" s="448" t="str">
        <f>IF(OR(A36="", B36=""), "", IF(H36="Mitgliedsbeiträge", ABS(B36), ""))</f>
        <v/>
      </c>
      <c r="N36" s="448" t="str">
        <f t="shared" si="0"/>
        <v/>
      </c>
      <c r="O36" s="448" t="str">
        <f t="shared" si="1"/>
        <v/>
      </c>
      <c r="P36" s="448" t="str">
        <f t="shared" si="2"/>
        <v/>
      </c>
      <c r="Q36" s="448" t="str">
        <f t="shared" si="3"/>
        <v/>
      </c>
      <c r="R36" s="448" t="str">
        <f t="shared" si="4"/>
        <v/>
      </c>
      <c r="S36" s="448">
        <v>15</v>
      </c>
      <c r="T36" s="448" t="str">
        <f t="shared" si="5"/>
        <v/>
      </c>
      <c r="U36" s="448" t="str">
        <f t="shared" si="6"/>
        <v/>
      </c>
      <c r="V36" s="448" t="str">
        <f t="shared" si="7"/>
        <v/>
      </c>
      <c r="W36" s="448" t="str">
        <f t="shared" si="8"/>
        <v/>
      </c>
      <c r="X36" s="448" t="str">
        <f t="shared" si="9"/>
        <v/>
      </c>
      <c r="Y36" s="448" t="str">
        <f t="shared" si="10"/>
        <v/>
      </c>
      <c r="Z36" s="449" t="str">
        <f t="shared" si="11"/>
        <v/>
      </c>
    </row>
    <row r="37" spans="1:26" x14ac:dyDescent="0.35">
      <c r="A37" s="441">
        <v>45659</v>
      </c>
      <c r="B37" s="447">
        <v>15</v>
      </c>
      <c r="C37" s="442" t="s">
        <v>595</v>
      </c>
      <c r="D37" s="442" t="s">
        <v>596</v>
      </c>
      <c r="E37" s="442" t="s">
        <v>654</v>
      </c>
      <c r="F37" s="442" t="s">
        <v>570</v>
      </c>
      <c r="G37" s="443" t="b">
        <f>IF(A37="","",IF(Daten!$AE$4=0,TRUE,MONTH(A37)=Daten!$AE$4))</f>
        <v>1</v>
      </c>
      <c r="H37" s="454" t="s">
        <v>415</v>
      </c>
      <c r="I37" s="443" t="s">
        <v>79</v>
      </c>
      <c r="J37" s="443"/>
      <c r="K37" s="442" t="s">
        <v>637</v>
      </c>
      <c r="L37" s="453"/>
      <c r="M37" s="450" t="str">
        <f>IF(OR(A37="", B37=""), "", IF(H37="Mitgliedsbeiträge", ABS(B37), ""))</f>
        <v/>
      </c>
      <c r="N37" s="450" t="str">
        <f t="shared" si="0"/>
        <v/>
      </c>
      <c r="O37" s="450" t="str">
        <f t="shared" si="1"/>
        <v/>
      </c>
      <c r="P37" s="450" t="str">
        <f t="shared" si="2"/>
        <v/>
      </c>
      <c r="Q37" s="450" t="str">
        <f t="shared" si="3"/>
        <v/>
      </c>
      <c r="R37" s="450" t="str">
        <f t="shared" si="4"/>
        <v/>
      </c>
      <c r="S37" s="450">
        <v>15</v>
      </c>
      <c r="T37" s="450" t="str">
        <f t="shared" si="5"/>
        <v/>
      </c>
      <c r="U37" s="450" t="str">
        <f t="shared" si="6"/>
        <v/>
      </c>
      <c r="V37" s="450" t="str">
        <f t="shared" si="7"/>
        <v/>
      </c>
      <c r="W37" s="450" t="str">
        <f t="shared" si="8"/>
        <v/>
      </c>
      <c r="X37" s="450" t="str">
        <f t="shared" si="9"/>
        <v/>
      </c>
      <c r="Y37" s="450" t="str">
        <f t="shared" si="10"/>
        <v/>
      </c>
      <c r="Z37" s="451" t="str">
        <f t="shared" si="11"/>
        <v/>
      </c>
    </row>
    <row r="38" spans="1:26" x14ac:dyDescent="0.35">
      <c r="A38" s="438">
        <v>45659</v>
      </c>
      <c r="B38" s="446">
        <v>15</v>
      </c>
      <c r="C38" s="439" t="s">
        <v>595</v>
      </c>
      <c r="D38" s="439" t="s">
        <v>596</v>
      </c>
      <c r="E38" s="439" t="s">
        <v>656</v>
      </c>
      <c r="F38" s="439" t="s">
        <v>570</v>
      </c>
      <c r="G38" s="440" t="b">
        <f>IF(A38="","",IF(Daten!$AE$4=0,TRUE,MONTH(A38)=Daten!$AE$4))</f>
        <v>1</v>
      </c>
      <c r="H38" s="454" t="s">
        <v>306</v>
      </c>
      <c r="I38" s="440" t="s">
        <v>79</v>
      </c>
      <c r="J38" s="440"/>
      <c r="K38" s="439" t="s">
        <v>637</v>
      </c>
      <c r="L38" s="452"/>
      <c r="M38" s="448">
        <v>15</v>
      </c>
      <c r="N38" s="448" t="str">
        <f t="shared" si="0"/>
        <v/>
      </c>
      <c r="O38" s="448" t="str">
        <f t="shared" si="1"/>
        <v/>
      </c>
      <c r="P38" s="448" t="str">
        <f t="shared" si="2"/>
        <v/>
      </c>
      <c r="Q38" s="448" t="str">
        <f t="shared" si="3"/>
        <v/>
      </c>
      <c r="R38" s="448" t="str">
        <f t="shared" si="4"/>
        <v/>
      </c>
      <c r="S38" s="448" t="str">
        <f>IF(OR(A38="", B38=""), "", IF(H38="Sonstige Einnahmen", ABS(B38), ""))</f>
        <v/>
      </c>
      <c r="T38" s="448" t="str">
        <f t="shared" si="5"/>
        <v/>
      </c>
      <c r="U38" s="448" t="str">
        <f t="shared" si="6"/>
        <v/>
      </c>
      <c r="V38" s="448" t="str">
        <f t="shared" si="7"/>
        <v/>
      </c>
      <c r="W38" s="448" t="str">
        <f t="shared" si="8"/>
        <v/>
      </c>
      <c r="X38" s="448" t="str">
        <f t="shared" si="9"/>
        <v/>
      </c>
      <c r="Y38" s="448" t="str">
        <f t="shared" si="10"/>
        <v/>
      </c>
      <c r="Z38" s="449" t="str">
        <f t="shared" si="11"/>
        <v/>
      </c>
    </row>
    <row r="39" spans="1:26" x14ac:dyDescent="0.35">
      <c r="A39" s="441">
        <v>45659</v>
      </c>
      <c r="B39" s="447">
        <v>15</v>
      </c>
      <c r="C39" s="442" t="s">
        <v>627</v>
      </c>
      <c r="D39" s="442" t="s">
        <v>591</v>
      </c>
      <c r="E39" s="442" t="s">
        <v>659</v>
      </c>
      <c r="F39" s="442" t="s">
        <v>570</v>
      </c>
      <c r="G39" s="443" t="b">
        <f>IF(A39="","",IF(Daten!$AE$4=0,TRUE,MONTH(A39)=Daten!$AE$4))</f>
        <v>1</v>
      </c>
      <c r="H39" s="454" t="s">
        <v>415</v>
      </c>
      <c r="I39" s="443" t="s">
        <v>79</v>
      </c>
      <c r="J39" s="443"/>
      <c r="K39" s="442" t="s">
        <v>637</v>
      </c>
      <c r="L39" s="453"/>
      <c r="M39" s="450" t="str">
        <f>IF(OR(A39="", B39=""), "", IF(H39="Mitgliedsbeiträge", ABS(B39), ""))</f>
        <v/>
      </c>
      <c r="N39" s="450" t="str">
        <f t="shared" si="0"/>
        <v/>
      </c>
      <c r="O39" s="450" t="str">
        <f t="shared" si="1"/>
        <v/>
      </c>
      <c r="P39" s="450" t="str">
        <f t="shared" si="2"/>
        <v/>
      </c>
      <c r="Q39" s="450" t="str">
        <f t="shared" si="3"/>
        <v/>
      </c>
      <c r="R39" s="450" t="str">
        <f t="shared" si="4"/>
        <v/>
      </c>
      <c r="S39" s="450">
        <v>15</v>
      </c>
      <c r="T39" s="450" t="str">
        <f t="shared" si="5"/>
        <v/>
      </c>
      <c r="U39" s="450" t="str">
        <f t="shared" si="6"/>
        <v/>
      </c>
      <c r="V39" s="450" t="str">
        <f t="shared" si="7"/>
        <v/>
      </c>
      <c r="W39" s="450" t="str">
        <f t="shared" si="8"/>
        <v/>
      </c>
      <c r="X39" s="450" t="str">
        <f t="shared" si="9"/>
        <v/>
      </c>
      <c r="Y39" s="450" t="str">
        <f t="shared" si="10"/>
        <v/>
      </c>
      <c r="Z39" s="451" t="str">
        <f t="shared" si="11"/>
        <v/>
      </c>
    </row>
    <row r="40" spans="1:26" x14ac:dyDescent="0.35">
      <c r="A40" s="438">
        <v>45659</v>
      </c>
      <c r="B40" s="446">
        <v>15</v>
      </c>
      <c r="C40" s="439" t="s">
        <v>607</v>
      </c>
      <c r="D40" s="439" t="s">
        <v>608</v>
      </c>
      <c r="E40" s="439" t="s">
        <v>661</v>
      </c>
      <c r="F40" s="439" t="s">
        <v>570</v>
      </c>
      <c r="G40" s="440" t="b">
        <f>IF(A40="","",IF(Daten!$AE$4=0,TRUE,MONTH(A40)=Daten!$AE$4))</f>
        <v>1</v>
      </c>
      <c r="H40" s="454" t="s">
        <v>306</v>
      </c>
      <c r="I40" s="440" t="s">
        <v>79</v>
      </c>
      <c r="J40" s="440"/>
      <c r="K40" s="439" t="s">
        <v>637</v>
      </c>
      <c r="L40" s="452"/>
      <c r="M40" s="448">
        <v>15</v>
      </c>
      <c r="N40" s="448" t="str">
        <f t="shared" si="0"/>
        <v/>
      </c>
      <c r="O40" s="448" t="str">
        <f t="shared" si="1"/>
        <v/>
      </c>
      <c r="P40" s="448" t="str">
        <f t="shared" si="2"/>
        <v/>
      </c>
      <c r="Q40" s="448" t="str">
        <f t="shared" si="3"/>
        <v/>
      </c>
      <c r="R40" s="448" t="str">
        <f t="shared" si="4"/>
        <v/>
      </c>
      <c r="S40" s="448" t="str">
        <f>IF(OR(A40="", B40=""), "", IF(H40="Sonstige Einnahmen", ABS(B40), ""))</f>
        <v/>
      </c>
      <c r="T40" s="448" t="str">
        <f t="shared" si="5"/>
        <v/>
      </c>
      <c r="U40" s="448" t="str">
        <f t="shared" si="6"/>
        <v/>
      </c>
      <c r="V40" s="448" t="str">
        <f t="shared" si="7"/>
        <v/>
      </c>
      <c r="W40" s="448" t="str">
        <f t="shared" si="8"/>
        <v/>
      </c>
      <c r="X40" s="448" t="str">
        <f t="shared" si="9"/>
        <v/>
      </c>
      <c r="Y40" s="448" t="str">
        <f t="shared" si="10"/>
        <v/>
      </c>
      <c r="Z40" s="449" t="str">
        <f t="shared" si="11"/>
        <v/>
      </c>
    </row>
    <row r="41" spans="1:26" x14ac:dyDescent="0.35">
      <c r="A41" s="441">
        <v>45659</v>
      </c>
      <c r="B41" s="447">
        <v>15</v>
      </c>
      <c r="C41" s="442" t="s">
        <v>605</v>
      </c>
      <c r="D41" s="442" t="s">
        <v>606</v>
      </c>
      <c r="E41" s="442" t="s">
        <v>660</v>
      </c>
      <c r="F41" s="442" t="s">
        <v>570</v>
      </c>
      <c r="G41" s="443" t="b">
        <f>IF(A41="","",IF(Daten!$AE$4=0,TRUE,MONTH(A41)=Daten!$AE$4))</f>
        <v>1</v>
      </c>
      <c r="H41" s="454" t="s">
        <v>415</v>
      </c>
      <c r="I41" s="443" t="s">
        <v>79</v>
      </c>
      <c r="J41" s="443"/>
      <c r="K41" s="442" t="s">
        <v>637</v>
      </c>
      <c r="L41" s="453"/>
      <c r="M41" s="450" t="str">
        <f>IF(OR(A41="", B41=""), "", IF(H41="Mitgliedsbeiträge", ABS(B41), ""))</f>
        <v/>
      </c>
      <c r="N41" s="450" t="str">
        <f t="shared" si="0"/>
        <v/>
      </c>
      <c r="O41" s="450" t="str">
        <f t="shared" si="1"/>
        <v/>
      </c>
      <c r="P41" s="450" t="str">
        <f t="shared" si="2"/>
        <v/>
      </c>
      <c r="Q41" s="450" t="str">
        <f t="shared" si="3"/>
        <v/>
      </c>
      <c r="R41" s="450" t="str">
        <f t="shared" si="4"/>
        <v/>
      </c>
      <c r="S41" s="450">
        <v>15</v>
      </c>
      <c r="T41" s="450" t="str">
        <f t="shared" si="5"/>
        <v/>
      </c>
      <c r="U41" s="450" t="str">
        <f t="shared" si="6"/>
        <v/>
      </c>
      <c r="V41" s="450" t="str">
        <f t="shared" si="7"/>
        <v/>
      </c>
      <c r="W41" s="450" t="str">
        <f t="shared" si="8"/>
        <v/>
      </c>
      <c r="X41" s="450" t="str">
        <f t="shared" si="9"/>
        <v/>
      </c>
      <c r="Y41" s="450" t="str">
        <f t="shared" si="10"/>
        <v/>
      </c>
      <c r="Z41" s="451" t="str">
        <f t="shared" si="11"/>
        <v/>
      </c>
    </row>
    <row r="42" spans="1:26" x14ac:dyDescent="0.35">
      <c r="A42" s="438">
        <v>45659</v>
      </c>
      <c r="B42" s="446">
        <v>15</v>
      </c>
      <c r="C42" s="439" t="s">
        <v>605</v>
      </c>
      <c r="D42" s="439" t="s">
        <v>606</v>
      </c>
      <c r="E42" s="439" t="s">
        <v>662</v>
      </c>
      <c r="F42" s="439" t="s">
        <v>570</v>
      </c>
      <c r="G42" s="440" t="b">
        <f>IF(A42="","",IF(Daten!$AE$4=0,TRUE,MONTH(A42)=Daten!$AE$4))</f>
        <v>1</v>
      </c>
      <c r="H42" s="454" t="s">
        <v>306</v>
      </c>
      <c r="I42" s="440" t="s">
        <v>79</v>
      </c>
      <c r="J42" s="440"/>
      <c r="K42" s="439" t="s">
        <v>637</v>
      </c>
      <c r="L42" s="452"/>
      <c r="M42" s="448">
        <v>15</v>
      </c>
      <c r="N42" s="448" t="str">
        <f t="shared" si="0"/>
        <v/>
      </c>
      <c r="O42" s="448" t="str">
        <f t="shared" si="1"/>
        <v/>
      </c>
      <c r="P42" s="448" t="str">
        <f t="shared" si="2"/>
        <v/>
      </c>
      <c r="Q42" s="448" t="str">
        <f t="shared" si="3"/>
        <v/>
      </c>
      <c r="R42" s="448" t="str">
        <f t="shared" si="4"/>
        <v/>
      </c>
      <c r="S42" s="448" t="str">
        <f>IF(OR(A42="", B42=""), "", IF(H42="Sonstige Einnahmen", ABS(B42), ""))</f>
        <v/>
      </c>
      <c r="T42" s="448" t="str">
        <f t="shared" si="5"/>
        <v/>
      </c>
      <c r="U42" s="448" t="str">
        <f t="shared" si="6"/>
        <v/>
      </c>
      <c r="V42" s="448" t="str">
        <f t="shared" si="7"/>
        <v/>
      </c>
      <c r="W42" s="448" t="str">
        <f t="shared" si="8"/>
        <v/>
      </c>
      <c r="X42" s="448" t="str">
        <f t="shared" si="9"/>
        <v/>
      </c>
      <c r="Y42" s="448" t="str">
        <f t="shared" si="10"/>
        <v/>
      </c>
      <c r="Z42" s="449" t="str">
        <f t="shared" si="11"/>
        <v/>
      </c>
    </row>
    <row r="43" spans="1:26" x14ac:dyDescent="0.35">
      <c r="A43" s="441">
        <v>45660</v>
      </c>
      <c r="B43" s="447">
        <v>7.5</v>
      </c>
      <c r="C43" s="442" t="s">
        <v>592</v>
      </c>
      <c r="D43" s="442" t="s">
        <v>593</v>
      </c>
      <c r="E43" s="442" t="s">
        <v>651</v>
      </c>
      <c r="F43" s="442" t="s">
        <v>570</v>
      </c>
      <c r="G43" s="443" t="b">
        <f>IF(A43="","",IF(Daten!$AE$4=0,TRUE,MONTH(A43)=Daten!$AE$4))</f>
        <v>1</v>
      </c>
      <c r="H43" s="454" t="s">
        <v>306</v>
      </c>
      <c r="I43" s="443" t="s">
        <v>79</v>
      </c>
      <c r="J43" s="443"/>
      <c r="K43" s="442" t="s">
        <v>637</v>
      </c>
      <c r="L43" s="453"/>
      <c r="M43" s="450">
        <v>7.5</v>
      </c>
      <c r="N43" s="450" t="str">
        <f t="shared" si="0"/>
        <v/>
      </c>
      <c r="O43" s="450" t="str">
        <f t="shared" si="1"/>
        <v/>
      </c>
      <c r="P43" s="450" t="str">
        <f t="shared" si="2"/>
        <v/>
      </c>
      <c r="Q43" s="450" t="str">
        <f t="shared" si="3"/>
        <v/>
      </c>
      <c r="R43" s="450" t="str">
        <f t="shared" si="4"/>
        <v/>
      </c>
      <c r="S43" s="450" t="str">
        <f>IF(OR(A43="", B43=""), "", IF(H43="Sonstige Einnahmen", ABS(B43), ""))</f>
        <v/>
      </c>
      <c r="T43" s="450" t="str">
        <f t="shared" si="5"/>
        <v/>
      </c>
      <c r="U43" s="450" t="str">
        <f t="shared" si="6"/>
        <v/>
      </c>
      <c r="V43" s="450" t="str">
        <f t="shared" si="7"/>
        <v/>
      </c>
      <c r="W43" s="450" t="str">
        <f t="shared" si="8"/>
        <v/>
      </c>
      <c r="X43" s="450" t="str">
        <f t="shared" si="9"/>
        <v/>
      </c>
      <c r="Y43" s="450" t="str">
        <f t="shared" si="10"/>
        <v/>
      </c>
      <c r="Z43" s="451" t="str">
        <f t="shared" si="11"/>
        <v/>
      </c>
    </row>
    <row r="44" spans="1:26" x14ac:dyDescent="0.35">
      <c r="A44" s="438">
        <v>45660</v>
      </c>
      <c r="B44" s="446">
        <v>15</v>
      </c>
      <c r="C44" s="439" t="s">
        <v>592</v>
      </c>
      <c r="D44" s="439" t="s">
        <v>593</v>
      </c>
      <c r="E44" s="439" t="s">
        <v>649</v>
      </c>
      <c r="F44" s="439" t="s">
        <v>570</v>
      </c>
      <c r="G44" s="440" t="b">
        <f>IF(A44="","",IF(Daten!$AE$4=0,TRUE,MONTH(A44)=Daten!$AE$4))</f>
        <v>1</v>
      </c>
      <c r="H44" s="454" t="s">
        <v>415</v>
      </c>
      <c r="I44" s="440" t="s">
        <v>79</v>
      </c>
      <c r="J44" s="440"/>
      <c r="K44" s="439" t="s">
        <v>637</v>
      </c>
      <c r="L44" s="452"/>
      <c r="M44" s="448" t="str">
        <f>IF(OR(A44="", B44=""), "", IF(H44="Mitgliedsbeiträge", ABS(B44), ""))</f>
        <v/>
      </c>
      <c r="N44" s="448" t="str">
        <f t="shared" si="0"/>
        <v/>
      </c>
      <c r="O44" s="448" t="str">
        <f t="shared" si="1"/>
        <v/>
      </c>
      <c r="P44" s="448" t="str">
        <f t="shared" si="2"/>
        <v/>
      </c>
      <c r="Q44" s="448" t="str">
        <f t="shared" si="3"/>
        <v/>
      </c>
      <c r="R44" s="448" t="str">
        <f t="shared" si="4"/>
        <v/>
      </c>
      <c r="S44" s="448">
        <v>15</v>
      </c>
      <c r="T44" s="448" t="str">
        <f t="shared" si="5"/>
        <v/>
      </c>
      <c r="U44" s="448" t="str">
        <f t="shared" si="6"/>
        <v/>
      </c>
      <c r="V44" s="448" t="str">
        <f t="shared" si="7"/>
        <v/>
      </c>
      <c r="W44" s="448" t="str">
        <f t="shared" si="8"/>
        <v/>
      </c>
      <c r="X44" s="448" t="str">
        <f t="shared" si="9"/>
        <v/>
      </c>
      <c r="Y44" s="448" t="str">
        <f t="shared" si="10"/>
        <v/>
      </c>
      <c r="Z44" s="449" t="str">
        <f t="shared" si="11"/>
        <v/>
      </c>
    </row>
    <row r="45" spans="1:26" ht="58" x14ac:dyDescent="0.35">
      <c r="A45" s="441">
        <v>45660</v>
      </c>
      <c r="B45" s="447">
        <v>15</v>
      </c>
      <c r="C45" s="442" t="s">
        <v>582</v>
      </c>
      <c r="D45" s="442" t="s">
        <v>583</v>
      </c>
      <c r="E45" s="442" t="s">
        <v>650</v>
      </c>
      <c r="F45" s="442" t="s">
        <v>570</v>
      </c>
      <c r="G45" s="443" t="b">
        <f>IF(A45="","",IF(Daten!$AE$4=0,TRUE,MONTH(A45)=Daten!$AE$4))</f>
        <v>1</v>
      </c>
      <c r="H45" s="455" t="s">
        <v>415</v>
      </c>
      <c r="I45" s="443" t="s">
        <v>79</v>
      </c>
      <c r="J45" s="443"/>
      <c r="K45" s="442" t="s">
        <v>637</v>
      </c>
      <c r="L45" s="453" t="s">
        <v>781</v>
      </c>
      <c r="M45" s="450" t="str">
        <f>IF(OR(A45="", B45=""), "", IF(H45="Mitgliedsbeiträge", ABS(B45), ""))</f>
        <v/>
      </c>
      <c r="N45" s="450" t="str">
        <f t="shared" si="0"/>
        <v/>
      </c>
      <c r="O45" s="450" t="str">
        <f t="shared" si="1"/>
        <v/>
      </c>
      <c r="P45" s="450" t="str">
        <f t="shared" si="2"/>
        <v/>
      </c>
      <c r="Q45" s="450" t="str">
        <f t="shared" si="3"/>
        <v/>
      </c>
      <c r="R45" s="450" t="str">
        <f t="shared" si="4"/>
        <v/>
      </c>
      <c r="S45" s="450">
        <v>15</v>
      </c>
      <c r="T45" s="450" t="str">
        <f t="shared" si="5"/>
        <v/>
      </c>
      <c r="U45" s="450" t="str">
        <f t="shared" si="6"/>
        <v/>
      </c>
      <c r="V45" s="450" t="str">
        <f t="shared" si="7"/>
        <v/>
      </c>
      <c r="W45" s="450" t="str">
        <f t="shared" si="8"/>
        <v/>
      </c>
      <c r="X45" s="450" t="str">
        <f t="shared" si="9"/>
        <v/>
      </c>
      <c r="Y45" s="450" t="str">
        <f t="shared" si="10"/>
        <v/>
      </c>
      <c r="Z45" s="451" t="str">
        <f t="shared" si="11"/>
        <v/>
      </c>
    </row>
    <row r="46" spans="1:26" x14ac:dyDescent="0.35">
      <c r="A46" s="438">
        <v>45660</v>
      </c>
      <c r="B46" s="446">
        <v>7.5</v>
      </c>
      <c r="C46" s="439" t="s">
        <v>51</v>
      </c>
      <c r="D46" s="439" t="s">
        <v>589</v>
      </c>
      <c r="E46" s="439" t="s">
        <v>646</v>
      </c>
      <c r="F46" s="439" t="s">
        <v>570</v>
      </c>
      <c r="G46" s="440" t="b">
        <f>IF(A46="","",IF(Daten!$AE$4=0,TRUE,MONTH(A46)=Daten!$AE$4))</f>
        <v>1</v>
      </c>
      <c r="H46" s="454" t="s">
        <v>306</v>
      </c>
      <c r="I46" s="440" t="s">
        <v>79</v>
      </c>
      <c r="J46" s="440"/>
      <c r="K46" s="439" t="s">
        <v>637</v>
      </c>
      <c r="L46" s="452"/>
      <c r="M46" s="448">
        <v>7.5</v>
      </c>
      <c r="N46" s="448" t="str">
        <f t="shared" si="0"/>
        <v/>
      </c>
      <c r="O46" s="448" t="str">
        <f t="shared" si="1"/>
        <v/>
      </c>
      <c r="P46" s="448" t="str">
        <f t="shared" si="2"/>
        <v/>
      </c>
      <c r="Q46" s="448" t="str">
        <f t="shared" si="3"/>
        <v/>
      </c>
      <c r="R46" s="448" t="str">
        <f t="shared" si="4"/>
        <v/>
      </c>
      <c r="S46" s="448" t="str">
        <f>IF(OR(A46="", B46=""), "", IF(H46="Sonstige Einnahmen", ABS(B46), ""))</f>
        <v/>
      </c>
      <c r="T46" s="448" t="str">
        <f t="shared" si="5"/>
        <v/>
      </c>
      <c r="U46" s="448" t="str">
        <f t="shared" si="6"/>
        <v/>
      </c>
      <c r="V46" s="448" t="str">
        <f t="shared" si="7"/>
        <v/>
      </c>
      <c r="W46" s="448" t="str">
        <f t="shared" si="8"/>
        <v/>
      </c>
      <c r="X46" s="448" t="str">
        <f t="shared" si="9"/>
        <v/>
      </c>
      <c r="Y46" s="448" t="str">
        <f t="shared" si="10"/>
        <v/>
      </c>
      <c r="Z46" s="449" t="str">
        <f t="shared" si="11"/>
        <v/>
      </c>
    </row>
    <row r="47" spans="1:26" x14ac:dyDescent="0.35">
      <c r="A47" s="441">
        <v>45660</v>
      </c>
      <c r="B47" s="447">
        <v>15</v>
      </c>
      <c r="C47" s="442" t="s">
        <v>627</v>
      </c>
      <c r="D47" s="442" t="s">
        <v>591</v>
      </c>
      <c r="E47" s="442" t="s">
        <v>647</v>
      </c>
      <c r="F47" s="442" t="s">
        <v>570</v>
      </c>
      <c r="G47" s="443" t="b">
        <f>IF(A47="","",IF(Daten!$AE$4=0,TRUE,MONTH(A47)=Daten!$AE$4))</f>
        <v>1</v>
      </c>
      <c r="H47" s="454" t="s">
        <v>306</v>
      </c>
      <c r="I47" s="443" t="s">
        <v>79</v>
      </c>
      <c r="J47" s="443"/>
      <c r="K47" s="442" t="s">
        <v>637</v>
      </c>
      <c r="L47" s="453"/>
      <c r="M47" s="450">
        <v>15</v>
      </c>
      <c r="N47" s="450" t="str">
        <f t="shared" si="0"/>
        <v/>
      </c>
      <c r="O47" s="450" t="str">
        <f t="shared" si="1"/>
        <v/>
      </c>
      <c r="P47" s="450" t="str">
        <f t="shared" si="2"/>
        <v/>
      </c>
      <c r="Q47" s="450" t="str">
        <f t="shared" si="3"/>
        <v/>
      </c>
      <c r="R47" s="450" t="str">
        <f t="shared" si="4"/>
        <v/>
      </c>
      <c r="S47" s="450" t="str">
        <f>IF(OR(A47="", B47=""), "", IF(H47="Sonstige Einnahmen", ABS(B47), ""))</f>
        <v/>
      </c>
      <c r="T47" s="450" t="str">
        <f t="shared" si="5"/>
        <v/>
      </c>
      <c r="U47" s="450" t="str">
        <f t="shared" si="6"/>
        <v/>
      </c>
      <c r="V47" s="450" t="str">
        <f t="shared" si="7"/>
        <v/>
      </c>
      <c r="W47" s="450" t="str">
        <f t="shared" si="8"/>
        <v/>
      </c>
      <c r="X47" s="450" t="str">
        <f t="shared" si="9"/>
        <v/>
      </c>
      <c r="Y47" s="450" t="str">
        <f t="shared" si="10"/>
        <v/>
      </c>
      <c r="Z47" s="451" t="str">
        <f t="shared" si="11"/>
        <v/>
      </c>
    </row>
    <row r="48" spans="1:26" x14ac:dyDescent="0.35">
      <c r="A48" s="438">
        <v>45663</v>
      </c>
      <c r="B48" s="446">
        <v>15</v>
      </c>
      <c r="C48" s="439" t="s">
        <v>584</v>
      </c>
      <c r="D48" s="439" t="s">
        <v>585</v>
      </c>
      <c r="E48" s="439" t="s">
        <v>642</v>
      </c>
      <c r="F48" s="439" t="s">
        <v>570</v>
      </c>
      <c r="G48" s="440" t="b">
        <f>IF(A48="","",IF(Daten!$AE$4=0,TRUE,MONTH(A48)=Daten!$AE$4))</f>
        <v>1</v>
      </c>
      <c r="H48" s="454" t="s">
        <v>415</v>
      </c>
      <c r="I48" s="440" t="s">
        <v>79</v>
      </c>
      <c r="J48" s="440"/>
      <c r="K48" s="439" t="s">
        <v>637</v>
      </c>
      <c r="L48" s="452"/>
      <c r="M48" s="448" t="str">
        <f>IF(OR(A48="", B48=""), "", IF(H48="Mitgliedsbeiträge", ABS(B48), ""))</f>
        <v/>
      </c>
      <c r="N48" s="448" t="str">
        <f t="shared" si="0"/>
        <v/>
      </c>
      <c r="O48" s="448" t="str">
        <f t="shared" si="1"/>
        <v/>
      </c>
      <c r="P48" s="448" t="str">
        <f t="shared" si="2"/>
        <v/>
      </c>
      <c r="Q48" s="448" t="str">
        <f t="shared" si="3"/>
        <v/>
      </c>
      <c r="R48" s="448" t="str">
        <f t="shared" si="4"/>
        <v/>
      </c>
      <c r="S48" s="448">
        <v>15</v>
      </c>
      <c r="T48" s="448" t="str">
        <f t="shared" si="5"/>
        <v/>
      </c>
      <c r="U48" s="448" t="str">
        <f t="shared" si="6"/>
        <v/>
      </c>
      <c r="V48" s="448" t="str">
        <f t="shared" si="7"/>
        <v/>
      </c>
      <c r="W48" s="448" t="str">
        <f t="shared" si="8"/>
        <v/>
      </c>
      <c r="X48" s="448" t="str">
        <f t="shared" si="9"/>
        <v/>
      </c>
      <c r="Y48" s="448" t="str">
        <f t="shared" si="10"/>
        <v/>
      </c>
      <c r="Z48" s="449" t="str">
        <f t="shared" si="11"/>
        <v/>
      </c>
    </row>
    <row r="49" spans="1:26" x14ac:dyDescent="0.35">
      <c r="A49" s="441">
        <v>45665</v>
      </c>
      <c r="B49" s="447">
        <v>-497</v>
      </c>
      <c r="C49" s="442" t="s">
        <v>587</v>
      </c>
      <c r="D49" s="442" t="s">
        <v>588</v>
      </c>
      <c r="E49" s="442" t="s">
        <v>756</v>
      </c>
      <c r="F49" s="442" t="s">
        <v>576</v>
      </c>
      <c r="G49" s="443" t="b">
        <f>IF(A49="","",IF(Daten!$AE$4=0,TRUE,MONTH(A49)=Daten!$AE$4))</f>
        <v>1</v>
      </c>
      <c r="H49" s="454" t="s">
        <v>451</v>
      </c>
      <c r="I49" s="443" t="s">
        <v>79</v>
      </c>
      <c r="J49" s="443"/>
      <c r="K49" s="442" t="s">
        <v>637</v>
      </c>
      <c r="L49" s="453"/>
      <c r="M49" s="450" t="str">
        <f>IF(OR(A49="", B49=""), "", IF(H49="Mitgliedsbeiträge", ABS(B49), ""))</f>
        <v/>
      </c>
      <c r="N49" s="450" t="str">
        <f t="shared" si="0"/>
        <v/>
      </c>
      <c r="O49" s="450" t="str">
        <f t="shared" si="1"/>
        <v/>
      </c>
      <c r="P49" s="450" t="str">
        <f t="shared" si="2"/>
        <v/>
      </c>
      <c r="Q49" s="450" t="str">
        <f t="shared" si="3"/>
        <v/>
      </c>
      <c r="R49" s="450" t="str">
        <f t="shared" si="4"/>
        <v/>
      </c>
      <c r="S49" s="450" t="str">
        <f>IF(OR(A49="", B49=""), "", IF(H49="Sonstige Einnahmen", ABS(B49), ""))</f>
        <v/>
      </c>
      <c r="T49" s="450">
        <v>-497</v>
      </c>
      <c r="U49" s="450" t="str">
        <f t="shared" si="6"/>
        <v/>
      </c>
      <c r="V49" s="450" t="str">
        <f t="shared" si="7"/>
        <v/>
      </c>
      <c r="W49" s="450" t="str">
        <f t="shared" si="8"/>
        <v/>
      </c>
      <c r="X49" s="450" t="str">
        <f t="shared" si="9"/>
        <v/>
      </c>
      <c r="Y49" s="450" t="str">
        <f t="shared" si="10"/>
        <v/>
      </c>
      <c r="Z49" s="451" t="str">
        <f t="shared" si="11"/>
        <v/>
      </c>
    </row>
    <row r="50" spans="1:26" x14ac:dyDescent="0.35">
      <c r="A50" s="438">
        <v>45674</v>
      </c>
      <c r="B50" s="446">
        <v>-59.94</v>
      </c>
      <c r="C50" s="439" t="s">
        <v>579</v>
      </c>
      <c r="D50" s="439" t="s">
        <v>580</v>
      </c>
      <c r="E50" s="439" t="s">
        <v>755</v>
      </c>
      <c r="F50" s="439" t="s">
        <v>576</v>
      </c>
      <c r="G50" s="440" t="b">
        <f>IF(A50="","",IF(Daten!$AE$4=0,TRUE,MONTH(A50)=Daten!$AE$4))</f>
        <v>1</v>
      </c>
      <c r="H50" s="454" t="s">
        <v>389</v>
      </c>
      <c r="I50" s="440" t="s">
        <v>79</v>
      </c>
      <c r="J50" s="440"/>
      <c r="K50" s="439" t="s">
        <v>637</v>
      </c>
      <c r="L50" s="452"/>
      <c r="M50" s="448" t="str">
        <f>IF(OR(A50="", B50=""), "", IF(H50="Mitgliedsbeiträge", ABS(B50), ""))</f>
        <v/>
      </c>
      <c r="N50" s="448" t="str">
        <f t="shared" si="0"/>
        <v/>
      </c>
      <c r="O50" s="448" t="str">
        <f t="shared" si="1"/>
        <v/>
      </c>
      <c r="P50" s="448" t="str">
        <f t="shared" si="2"/>
        <v/>
      </c>
      <c r="Q50" s="448" t="str">
        <f t="shared" si="3"/>
        <v/>
      </c>
      <c r="R50" s="448" t="str">
        <f t="shared" si="4"/>
        <v/>
      </c>
      <c r="S50" s="448" t="str">
        <f>IF(OR(A50="", B50=""), "", IF(H50="Sonstige Einnahmen", ABS(B50), ""))</f>
        <v/>
      </c>
      <c r="T50" s="448">
        <v>-59.94</v>
      </c>
      <c r="U50" s="448" t="str">
        <f t="shared" si="6"/>
        <v/>
      </c>
      <c r="V50" s="448" t="str">
        <f t="shared" si="7"/>
        <v/>
      </c>
      <c r="W50" s="448" t="str">
        <f t="shared" si="8"/>
        <v/>
      </c>
      <c r="X50" s="448" t="str">
        <f t="shared" si="9"/>
        <v/>
      </c>
      <c r="Y50" s="448" t="str">
        <f t="shared" si="10"/>
        <v/>
      </c>
      <c r="Z50" s="449" t="str">
        <f t="shared" si="11"/>
        <v/>
      </c>
    </row>
    <row r="51" spans="1:26" x14ac:dyDescent="0.35">
      <c r="A51" s="441">
        <v>45677</v>
      </c>
      <c r="B51" s="447">
        <v>15</v>
      </c>
      <c r="C51" s="442" t="s">
        <v>571</v>
      </c>
      <c r="D51" s="442" t="s">
        <v>572</v>
      </c>
      <c r="E51" s="442" t="s">
        <v>636</v>
      </c>
      <c r="F51" s="442" t="s">
        <v>570</v>
      </c>
      <c r="G51" s="443" t="b">
        <f>IF(A51="","",IF(Daten!$AE$4=0,TRUE,MONTH(A51)=Daten!$AE$4))</f>
        <v>1</v>
      </c>
      <c r="H51" s="454" t="s">
        <v>415</v>
      </c>
      <c r="I51" s="443" t="s">
        <v>79</v>
      </c>
      <c r="J51" s="443"/>
      <c r="K51" s="442" t="s">
        <v>637</v>
      </c>
      <c r="L51" s="453"/>
      <c r="M51" s="450" t="str">
        <f>IF(OR(A51="", B51=""), "", IF(H51="Mitgliedsbeiträge", ABS(B51), ""))</f>
        <v/>
      </c>
      <c r="N51" s="450" t="str">
        <f t="shared" si="0"/>
        <v/>
      </c>
      <c r="O51" s="450" t="str">
        <f t="shared" si="1"/>
        <v/>
      </c>
      <c r="P51" s="450" t="str">
        <f t="shared" si="2"/>
        <v/>
      </c>
      <c r="Q51" s="450" t="str">
        <f t="shared" si="3"/>
        <v/>
      </c>
      <c r="R51" s="450" t="str">
        <f t="shared" si="4"/>
        <v/>
      </c>
      <c r="S51" s="450">
        <v>15</v>
      </c>
      <c r="T51" s="450" t="str">
        <f t="shared" ref="T51:T77" si="12">IF(OR(A51="", B51=""), "", IF(H51="Unterhaltung", ABS(B51), ""))</f>
        <v/>
      </c>
      <c r="U51" s="450" t="str">
        <f t="shared" si="6"/>
        <v/>
      </c>
      <c r="V51" s="450" t="str">
        <f t="shared" si="7"/>
        <v/>
      </c>
      <c r="W51" s="450" t="str">
        <f t="shared" si="8"/>
        <v/>
      </c>
      <c r="X51" s="450" t="str">
        <f t="shared" si="9"/>
        <v/>
      </c>
      <c r="Y51" s="450" t="str">
        <f t="shared" si="10"/>
        <v/>
      </c>
      <c r="Z51" s="451" t="str">
        <f t="shared" si="11"/>
        <v/>
      </c>
    </row>
    <row r="52" spans="1:26" x14ac:dyDescent="0.35">
      <c r="A52" s="438">
        <v>45684</v>
      </c>
      <c r="B52" s="446">
        <v>7.5</v>
      </c>
      <c r="C52" s="439" t="s">
        <v>609</v>
      </c>
      <c r="D52" s="439" t="s">
        <v>610</v>
      </c>
      <c r="E52" s="439" t="s">
        <v>665</v>
      </c>
      <c r="F52" s="439" t="s">
        <v>570</v>
      </c>
      <c r="G52" s="440" t="b">
        <f>IF(A52="","",IF(Daten!$AE$4=0,TRUE,MONTH(A52)=Daten!$AE$4))</f>
        <v>1</v>
      </c>
      <c r="H52" s="454" t="s">
        <v>306</v>
      </c>
      <c r="I52" s="440" t="s">
        <v>79</v>
      </c>
      <c r="J52" s="440"/>
      <c r="K52" s="439" t="s">
        <v>637</v>
      </c>
      <c r="L52" s="452"/>
      <c r="M52" s="448">
        <v>7.5</v>
      </c>
      <c r="N52" s="448" t="str">
        <f t="shared" si="0"/>
        <v/>
      </c>
      <c r="O52" s="448" t="str">
        <f t="shared" si="1"/>
        <v/>
      </c>
      <c r="P52" s="448" t="str">
        <f t="shared" si="2"/>
        <v/>
      </c>
      <c r="Q52" s="448" t="str">
        <f t="shared" si="3"/>
        <v/>
      </c>
      <c r="R52" s="448" t="str">
        <f t="shared" si="4"/>
        <v/>
      </c>
      <c r="S52" s="448" t="str">
        <f>IF(OR(A52="", B52=""), "", IF(H52="Sonstige Einnahmen", ABS(B52), ""))</f>
        <v/>
      </c>
      <c r="T52" s="448" t="str">
        <f t="shared" si="12"/>
        <v/>
      </c>
      <c r="U52" s="448" t="str">
        <f t="shared" si="6"/>
        <v/>
      </c>
      <c r="V52" s="448" t="str">
        <f t="shared" si="7"/>
        <v/>
      </c>
      <c r="W52" s="448" t="str">
        <f t="shared" si="8"/>
        <v/>
      </c>
      <c r="X52" s="448" t="str">
        <f t="shared" si="9"/>
        <v/>
      </c>
      <c r="Y52" s="448" t="str">
        <f t="shared" si="10"/>
        <v/>
      </c>
      <c r="Z52" s="449" t="str">
        <f t="shared" si="11"/>
        <v/>
      </c>
    </row>
    <row r="53" spans="1:26" x14ac:dyDescent="0.35">
      <c r="A53" s="441">
        <v>45684</v>
      </c>
      <c r="B53" s="447">
        <v>15</v>
      </c>
      <c r="C53" s="442" t="s">
        <v>603</v>
      </c>
      <c r="D53" s="442" t="s">
        <v>604</v>
      </c>
      <c r="E53" s="442" t="s">
        <v>666</v>
      </c>
      <c r="F53" s="442" t="s">
        <v>570</v>
      </c>
      <c r="G53" s="443" t="b">
        <f>IF(A53="","",IF(Daten!$AE$4=0,TRUE,MONTH(A53)=Daten!$AE$4))</f>
        <v>1</v>
      </c>
      <c r="H53" s="454" t="s">
        <v>415</v>
      </c>
      <c r="I53" s="443" t="s">
        <v>79</v>
      </c>
      <c r="J53" s="443"/>
      <c r="K53" s="442" t="s">
        <v>637</v>
      </c>
      <c r="L53" s="453"/>
      <c r="M53" s="450" t="str">
        <f>IF(OR(A53="", B53=""), "", IF(H53="Mitgliedsbeiträge", ABS(B53), ""))</f>
        <v/>
      </c>
      <c r="N53" s="450" t="str">
        <f t="shared" si="0"/>
        <v/>
      </c>
      <c r="O53" s="450" t="str">
        <f t="shared" si="1"/>
        <v/>
      </c>
      <c r="P53" s="450" t="str">
        <f t="shared" si="2"/>
        <v/>
      </c>
      <c r="Q53" s="450" t="str">
        <f t="shared" si="3"/>
        <v/>
      </c>
      <c r="R53" s="450" t="str">
        <f t="shared" si="4"/>
        <v/>
      </c>
      <c r="S53" s="450">
        <v>15</v>
      </c>
      <c r="T53" s="450" t="str">
        <f t="shared" si="12"/>
        <v/>
      </c>
      <c r="U53" s="450" t="str">
        <f t="shared" si="6"/>
        <v/>
      </c>
      <c r="V53" s="450" t="str">
        <f t="shared" si="7"/>
        <v/>
      </c>
      <c r="W53" s="450" t="str">
        <f t="shared" si="8"/>
        <v/>
      </c>
      <c r="X53" s="450" t="str">
        <f t="shared" si="9"/>
        <v/>
      </c>
      <c r="Y53" s="450" t="str">
        <f t="shared" si="10"/>
        <v/>
      </c>
      <c r="Z53" s="451" t="str">
        <f t="shared" si="11"/>
        <v/>
      </c>
    </row>
    <row r="54" spans="1:26" x14ac:dyDescent="0.35">
      <c r="A54" s="438">
        <v>45684</v>
      </c>
      <c r="B54" s="446">
        <v>7.5</v>
      </c>
      <c r="C54" s="439" t="s">
        <v>603</v>
      </c>
      <c r="D54" s="439" t="s">
        <v>604</v>
      </c>
      <c r="E54" s="439" t="s">
        <v>664</v>
      </c>
      <c r="F54" s="439" t="s">
        <v>570</v>
      </c>
      <c r="G54" s="440" t="b">
        <f>IF(A54="","",IF(Daten!$AE$4=0,TRUE,MONTH(A54)=Daten!$AE$4))</f>
        <v>1</v>
      </c>
      <c r="H54" s="454" t="s">
        <v>306</v>
      </c>
      <c r="I54" s="440" t="s">
        <v>79</v>
      </c>
      <c r="J54" s="440"/>
      <c r="K54" s="439" t="s">
        <v>637</v>
      </c>
      <c r="L54" s="452"/>
      <c r="M54" s="448">
        <v>7.5</v>
      </c>
      <c r="N54" s="448" t="str">
        <f t="shared" si="0"/>
        <v/>
      </c>
      <c r="O54" s="448" t="str">
        <f t="shared" si="1"/>
        <v/>
      </c>
      <c r="P54" s="448" t="str">
        <f t="shared" si="2"/>
        <v/>
      </c>
      <c r="Q54" s="448" t="str">
        <f t="shared" si="3"/>
        <v/>
      </c>
      <c r="R54" s="448" t="str">
        <f t="shared" si="4"/>
        <v/>
      </c>
      <c r="S54" s="448" t="str">
        <f>IF(OR(A54="", B54=""), "", IF(H54="Sonstige Einnahmen", ABS(B54), ""))</f>
        <v/>
      </c>
      <c r="T54" s="448" t="str">
        <f t="shared" si="12"/>
        <v/>
      </c>
      <c r="U54" s="448" t="str">
        <f t="shared" si="6"/>
        <v/>
      </c>
      <c r="V54" s="448" t="str">
        <f t="shared" si="7"/>
        <v/>
      </c>
      <c r="W54" s="448" t="str">
        <f t="shared" si="8"/>
        <v/>
      </c>
      <c r="X54" s="448" t="str">
        <f t="shared" si="9"/>
        <v/>
      </c>
      <c r="Y54" s="448" t="str">
        <f t="shared" si="10"/>
        <v/>
      </c>
      <c r="Z54" s="449" t="str">
        <f t="shared" si="11"/>
        <v/>
      </c>
    </row>
    <row r="55" spans="1:26" x14ac:dyDescent="0.35">
      <c r="A55" s="441">
        <v>45686</v>
      </c>
      <c r="B55" s="447">
        <v>15</v>
      </c>
      <c r="C55" s="442" t="s">
        <v>597</v>
      </c>
      <c r="D55" s="442" t="s">
        <v>598</v>
      </c>
      <c r="E55" s="442" t="s">
        <v>306</v>
      </c>
      <c r="F55" s="442" t="s">
        <v>570</v>
      </c>
      <c r="G55" s="443" t="b">
        <f>IF(A55="","",IF(Daten!$AE$4=0,TRUE,MONTH(A55)=Daten!$AE$4))</f>
        <v>1</v>
      </c>
      <c r="H55" s="454" t="s">
        <v>306</v>
      </c>
      <c r="I55" s="443" t="s">
        <v>79</v>
      </c>
      <c r="J55" s="443"/>
      <c r="K55" s="442" t="s">
        <v>637</v>
      </c>
      <c r="L55" s="453"/>
      <c r="M55" s="450">
        <v>15</v>
      </c>
      <c r="N55" s="450" t="str">
        <f t="shared" si="0"/>
        <v/>
      </c>
      <c r="O55" s="450" t="str">
        <f t="shared" si="1"/>
        <v/>
      </c>
      <c r="P55" s="450" t="str">
        <f t="shared" si="2"/>
        <v/>
      </c>
      <c r="Q55" s="450" t="str">
        <f t="shared" si="3"/>
        <v/>
      </c>
      <c r="R55" s="450" t="str">
        <f t="shared" si="4"/>
        <v/>
      </c>
      <c r="S55" s="450" t="str">
        <f>IF(OR(A55="", B55=""), "", IF(H55="Sonstige Einnahmen", ABS(B55), ""))</f>
        <v/>
      </c>
      <c r="T55" s="450" t="str">
        <f t="shared" si="12"/>
        <v/>
      </c>
      <c r="U55" s="450" t="str">
        <f t="shared" si="6"/>
        <v/>
      </c>
      <c r="V55" s="450" t="str">
        <f t="shared" si="7"/>
        <v/>
      </c>
      <c r="W55" s="450" t="str">
        <f t="shared" si="8"/>
        <v/>
      </c>
      <c r="X55" s="450" t="str">
        <f t="shared" si="9"/>
        <v/>
      </c>
      <c r="Y55" s="450" t="str">
        <f t="shared" si="10"/>
        <v/>
      </c>
      <c r="Z55" s="451" t="str">
        <f t="shared" si="11"/>
        <v/>
      </c>
    </row>
    <row r="56" spans="1:26" x14ac:dyDescent="0.35">
      <c r="A56" s="438">
        <v>45691</v>
      </c>
      <c r="B56" s="446">
        <v>15</v>
      </c>
      <c r="C56" s="439" t="s">
        <v>51</v>
      </c>
      <c r="D56" s="439" t="s">
        <v>589</v>
      </c>
      <c r="E56" s="439" t="s">
        <v>384</v>
      </c>
      <c r="F56" s="439" t="s">
        <v>570</v>
      </c>
      <c r="G56" s="440" t="b">
        <f>IF(A56="","",IF(Daten!$AE$4=0,TRUE,MONTH(A56)=Daten!$AE$4))</f>
        <v>1</v>
      </c>
      <c r="H56" s="454" t="s">
        <v>415</v>
      </c>
      <c r="I56" s="440" t="s">
        <v>78</v>
      </c>
      <c r="J56" s="440"/>
      <c r="K56" s="439" t="s">
        <v>637</v>
      </c>
      <c r="L56" s="452"/>
      <c r="M56" s="448" t="str">
        <f>IF(OR(A56="", B56=""), "", IF(H56="Mitgliedsbeiträge", ABS(B56), ""))</f>
        <v/>
      </c>
      <c r="N56" s="448" t="str">
        <f t="shared" si="0"/>
        <v/>
      </c>
      <c r="O56" s="448" t="str">
        <f t="shared" si="1"/>
        <v/>
      </c>
      <c r="P56" s="448" t="str">
        <f t="shared" si="2"/>
        <v/>
      </c>
      <c r="Q56" s="448" t="str">
        <f t="shared" si="3"/>
        <v/>
      </c>
      <c r="R56" s="448" t="str">
        <f t="shared" si="4"/>
        <v/>
      </c>
      <c r="S56" s="448">
        <v>15</v>
      </c>
      <c r="T56" s="448" t="str">
        <f t="shared" si="12"/>
        <v/>
      </c>
      <c r="U56" s="448" t="str">
        <f t="shared" si="6"/>
        <v/>
      </c>
      <c r="V56" s="448" t="str">
        <f t="shared" si="7"/>
        <v/>
      </c>
      <c r="W56" s="448" t="str">
        <f t="shared" si="8"/>
        <v/>
      </c>
      <c r="X56" s="448" t="str">
        <f t="shared" si="9"/>
        <v/>
      </c>
      <c r="Y56" s="448" t="str">
        <f t="shared" si="10"/>
        <v/>
      </c>
      <c r="Z56" s="449" t="str">
        <f t="shared" si="11"/>
        <v/>
      </c>
    </row>
    <row r="57" spans="1:26" x14ac:dyDescent="0.35">
      <c r="A57" s="441">
        <v>45691</v>
      </c>
      <c r="B57" s="447">
        <v>7.5</v>
      </c>
      <c r="C57" s="442" t="s">
        <v>51</v>
      </c>
      <c r="D57" s="442" t="s">
        <v>589</v>
      </c>
      <c r="E57" s="442" t="s">
        <v>646</v>
      </c>
      <c r="F57" s="442" t="s">
        <v>570</v>
      </c>
      <c r="G57" s="443" t="b">
        <f>IF(A57="","",IF(Daten!$AE$4=0,TRUE,MONTH(A57)=Daten!$AE$4))</f>
        <v>1</v>
      </c>
      <c r="H57" s="454" t="s">
        <v>306</v>
      </c>
      <c r="I57" s="443" t="s">
        <v>78</v>
      </c>
      <c r="J57" s="443"/>
      <c r="K57" s="442" t="s">
        <v>637</v>
      </c>
      <c r="L57" s="453"/>
      <c r="M57" s="450">
        <v>7.5</v>
      </c>
      <c r="N57" s="450" t="str">
        <f t="shared" si="0"/>
        <v/>
      </c>
      <c r="O57" s="450" t="str">
        <f t="shared" si="1"/>
        <v/>
      </c>
      <c r="P57" s="450" t="str">
        <f t="shared" si="2"/>
        <v/>
      </c>
      <c r="Q57" s="450" t="str">
        <f t="shared" si="3"/>
        <v/>
      </c>
      <c r="R57" s="450" t="str">
        <f t="shared" si="4"/>
        <v/>
      </c>
      <c r="S57" s="450" t="str">
        <f>IF(OR(A57="", B57=""), "", IF(H57="Sonstige Einnahmen", ABS(B57), ""))</f>
        <v/>
      </c>
      <c r="T57" s="450" t="str">
        <f t="shared" si="12"/>
        <v/>
      </c>
      <c r="U57" s="450" t="str">
        <f t="shared" si="6"/>
        <v/>
      </c>
      <c r="V57" s="450" t="str">
        <f t="shared" si="7"/>
        <v/>
      </c>
      <c r="W57" s="450" t="str">
        <f t="shared" si="8"/>
        <v/>
      </c>
      <c r="X57" s="450" t="str">
        <f t="shared" si="9"/>
        <v/>
      </c>
      <c r="Y57" s="450" t="str">
        <f t="shared" si="10"/>
        <v/>
      </c>
      <c r="Z57" s="451" t="str">
        <f t="shared" si="11"/>
        <v/>
      </c>
    </row>
    <row r="58" spans="1:26" x14ac:dyDescent="0.35">
      <c r="A58" s="438">
        <v>45691</v>
      </c>
      <c r="B58" s="446">
        <v>15</v>
      </c>
      <c r="C58" s="439" t="s">
        <v>595</v>
      </c>
      <c r="D58" s="439" t="s">
        <v>596</v>
      </c>
      <c r="E58" s="439" t="s">
        <v>656</v>
      </c>
      <c r="F58" s="439" t="s">
        <v>570</v>
      </c>
      <c r="G58" s="440" t="b">
        <f>IF(A58="","",IF(Daten!$AE$4=0,TRUE,MONTH(A58)=Daten!$AE$4))</f>
        <v>1</v>
      </c>
      <c r="H58" s="454" t="s">
        <v>306</v>
      </c>
      <c r="I58" s="440" t="s">
        <v>78</v>
      </c>
      <c r="J58" s="440"/>
      <c r="K58" s="439" t="s">
        <v>637</v>
      </c>
      <c r="L58" s="452"/>
      <c r="M58" s="448">
        <v>15</v>
      </c>
      <c r="N58" s="448" t="str">
        <f t="shared" si="0"/>
        <v/>
      </c>
      <c r="O58" s="448" t="str">
        <f t="shared" si="1"/>
        <v/>
      </c>
      <c r="P58" s="448" t="str">
        <f t="shared" si="2"/>
        <v/>
      </c>
      <c r="Q58" s="448" t="str">
        <f t="shared" si="3"/>
        <v/>
      </c>
      <c r="R58" s="448" t="str">
        <f t="shared" si="4"/>
        <v/>
      </c>
      <c r="S58" s="448" t="str">
        <f>IF(OR(A58="", B58=""), "", IF(H58="Sonstige Einnahmen", ABS(B58), ""))</f>
        <v/>
      </c>
      <c r="T58" s="448" t="str">
        <f t="shared" si="12"/>
        <v/>
      </c>
      <c r="U58" s="448" t="str">
        <f t="shared" si="6"/>
        <v/>
      </c>
      <c r="V58" s="448" t="str">
        <f t="shared" si="7"/>
        <v/>
      </c>
      <c r="W58" s="448" t="str">
        <f t="shared" si="8"/>
        <v/>
      </c>
      <c r="X58" s="448" t="str">
        <f t="shared" si="9"/>
        <v/>
      </c>
      <c r="Y58" s="448" t="str">
        <f t="shared" si="10"/>
        <v/>
      </c>
      <c r="Z58" s="449" t="str">
        <f t="shared" si="11"/>
        <v/>
      </c>
    </row>
    <row r="59" spans="1:26" x14ac:dyDescent="0.35">
      <c r="A59" s="441">
        <v>45691</v>
      </c>
      <c r="B59" s="447">
        <v>15</v>
      </c>
      <c r="C59" s="442" t="s">
        <v>66</v>
      </c>
      <c r="D59" s="442" t="s">
        <v>594</v>
      </c>
      <c r="E59" s="442" t="s">
        <v>653</v>
      </c>
      <c r="F59" s="442" t="s">
        <v>570</v>
      </c>
      <c r="G59" s="443" t="b">
        <f>IF(A59="","",IF(Daten!$AE$4=0,TRUE,MONTH(A59)=Daten!$AE$4))</f>
        <v>1</v>
      </c>
      <c r="H59" s="454" t="s">
        <v>415</v>
      </c>
      <c r="I59" s="443" t="s">
        <v>78</v>
      </c>
      <c r="J59" s="443"/>
      <c r="K59" s="442" t="s">
        <v>637</v>
      </c>
      <c r="L59" s="453"/>
      <c r="M59" s="450" t="str">
        <f>IF(OR(A59="", B59=""), "", IF(H59="Mitgliedsbeiträge", ABS(B59), ""))</f>
        <v/>
      </c>
      <c r="N59" s="450" t="str">
        <f t="shared" si="0"/>
        <v/>
      </c>
      <c r="O59" s="450" t="str">
        <f t="shared" si="1"/>
        <v/>
      </c>
      <c r="P59" s="450" t="str">
        <f t="shared" si="2"/>
        <v/>
      </c>
      <c r="Q59" s="450" t="str">
        <f t="shared" si="3"/>
        <v/>
      </c>
      <c r="R59" s="450" t="str">
        <f t="shared" si="4"/>
        <v/>
      </c>
      <c r="S59" s="450">
        <v>15</v>
      </c>
      <c r="T59" s="450" t="str">
        <f t="shared" si="12"/>
        <v/>
      </c>
      <c r="U59" s="450" t="str">
        <f t="shared" si="6"/>
        <v/>
      </c>
      <c r="V59" s="450" t="str">
        <f t="shared" si="7"/>
        <v/>
      </c>
      <c r="W59" s="450" t="str">
        <f t="shared" si="8"/>
        <v/>
      </c>
      <c r="X59" s="450" t="str">
        <f t="shared" si="9"/>
        <v/>
      </c>
      <c r="Y59" s="450" t="str">
        <f t="shared" si="10"/>
        <v/>
      </c>
      <c r="Z59" s="451" t="str">
        <f t="shared" si="11"/>
        <v/>
      </c>
    </row>
    <row r="60" spans="1:26" x14ac:dyDescent="0.35">
      <c r="A60" s="438">
        <v>45691</v>
      </c>
      <c r="B60" s="446">
        <v>319.89999999999998</v>
      </c>
      <c r="C60" s="439" t="s">
        <v>603</v>
      </c>
      <c r="D60" s="439" t="s">
        <v>604</v>
      </c>
      <c r="E60" s="439" t="s">
        <v>754</v>
      </c>
      <c r="F60" s="439" t="s">
        <v>581</v>
      </c>
      <c r="G60" s="440" t="b">
        <f>IF(A60="","",IF(Daten!$AE$4=0,TRUE,MONTH(A60)=Daten!$AE$4))</f>
        <v>1</v>
      </c>
      <c r="H60" s="454" t="s">
        <v>299</v>
      </c>
      <c r="I60" s="440" t="s">
        <v>78</v>
      </c>
      <c r="J60" s="440"/>
      <c r="K60" s="439" t="s">
        <v>637</v>
      </c>
      <c r="L60" s="452"/>
      <c r="M60" s="448" t="str">
        <f>IF(OR(A60="", B60=""), "", IF(H60="Mitgliedsbeiträge", ABS(B60), ""))</f>
        <v/>
      </c>
      <c r="N60" s="448" t="str">
        <f t="shared" si="0"/>
        <v/>
      </c>
      <c r="O60" s="448" t="str">
        <f t="shared" si="1"/>
        <v/>
      </c>
      <c r="P60" s="448" t="str">
        <f t="shared" si="2"/>
        <v/>
      </c>
      <c r="Q60" s="448" t="str">
        <f t="shared" si="3"/>
        <v/>
      </c>
      <c r="R60" s="448" t="str">
        <f t="shared" si="4"/>
        <v/>
      </c>
      <c r="S60" s="448">
        <v>319.89999999999998</v>
      </c>
      <c r="T60" s="448" t="str">
        <f t="shared" si="12"/>
        <v/>
      </c>
      <c r="U60" s="448" t="str">
        <f t="shared" si="6"/>
        <v/>
      </c>
      <c r="V60" s="448" t="str">
        <f t="shared" ref="V60:V91" si="13">IF(OR(A60="", B60=""), "", IF(H60="Veranstaltungen Ausgabe", ABS(B60), ""))</f>
        <v/>
      </c>
      <c r="W60" s="448" t="str">
        <f t="shared" si="8"/>
        <v/>
      </c>
      <c r="X60" s="448" t="str">
        <f t="shared" si="9"/>
        <v/>
      </c>
      <c r="Y60" s="448" t="str">
        <f t="shared" si="10"/>
        <v/>
      </c>
      <c r="Z60" s="449" t="str">
        <f t="shared" ref="Z60:Z91" si="14">IF(OR(A60="", B60=""), "", IF(H60="Kasse-Auszahlung", ABS(B60), ""))</f>
        <v/>
      </c>
    </row>
    <row r="61" spans="1:26" x14ac:dyDescent="0.35">
      <c r="A61" s="441">
        <v>45691</v>
      </c>
      <c r="B61" s="447">
        <v>7.5</v>
      </c>
      <c r="C61" s="442" t="s">
        <v>56</v>
      </c>
      <c r="D61" s="442" t="s">
        <v>602</v>
      </c>
      <c r="E61" s="442" t="s">
        <v>386</v>
      </c>
      <c r="F61" s="442" t="s">
        <v>570</v>
      </c>
      <c r="G61" s="443" t="b">
        <f>IF(A61="","",IF(Daten!$AE$4=0,TRUE,MONTH(A61)=Daten!$AE$4))</f>
        <v>1</v>
      </c>
      <c r="H61" s="454" t="s">
        <v>306</v>
      </c>
      <c r="I61" s="443" t="s">
        <v>78</v>
      </c>
      <c r="J61" s="443"/>
      <c r="K61" s="442" t="s">
        <v>637</v>
      </c>
      <c r="L61" s="453"/>
      <c r="M61" s="450">
        <v>7.5</v>
      </c>
      <c r="N61" s="450" t="str">
        <f t="shared" si="0"/>
        <v/>
      </c>
      <c r="O61" s="450" t="str">
        <f t="shared" si="1"/>
        <v/>
      </c>
      <c r="P61" s="450" t="str">
        <f t="shared" si="2"/>
        <v/>
      </c>
      <c r="Q61" s="450" t="str">
        <f t="shared" si="3"/>
        <v/>
      </c>
      <c r="R61" s="450" t="str">
        <f t="shared" si="4"/>
        <v/>
      </c>
      <c r="S61" s="450" t="str">
        <f>IF(OR(A61="", B61=""), "", IF(H61="Sonstige Einnahmen", ABS(B61), ""))</f>
        <v/>
      </c>
      <c r="T61" s="450" t="str">
        <f t="shared" si="12"/>
        <v/>
      </c>
      <c r="U61" s="450" t="str">
        <f t="shared" si="6"/>
        <v/>
      </c>
      <c r="V61" s="450" t="str">
        <f t="shared" si="13"/>
        <v/>
      </c>
      <c r="W61" s="450" t="str">
        <f t="shared" si="8"/>
        <v/>
      </c>
      <c r="X61" s="450" t="str">
        <f t="shared" si="9"/>
        <v/>
      </c>
      <c r="Y61" s="450" t="str">
        <f t="shared" si="10"/>
        <v/>
      </c>
      <c r="Z61" s="451" t="str">
        <f t="shared" si="14"/>
        <v/>
      </c>
    </row>
    <row r="62" spans="1:26" x14ac:dyDescent="0.35">
      <c r="A62" s="438">
        <v>45691</v>
      </c>
      <c r="B62" s="446">
        <v>7.5</v>
      </c>
      <c r="C62" s="439" t="s">
        <v>66</v>
      </c>
      <c r="D62" s="439" t="s">
        <v>594</v>
      </c>
      <c r="E62" s="439" t="s">
        <v>652</v>
      </c>
      <c r="F62" s="439" t="s">
        <v>570</v>
      </c>
      <c r="G62" s="440" t="b">
        <f>IF(A62="","",IF(Daten!$AE$4=0,TRUE,MONTH(A62)=Daten!$AE$4))</f>
        <v>1</v>
      </c>
      <c r="H62" s="454" t="s">
        <v>306</v>
      </c>
      <c r="I62" s="440" t="s">
        <v>78</v>
      </c>
      <c r="J62" s="440"/>
      <c r="K62" s="439" t="s">
        <v>637</v>
      </c>
      <c r="L62" s="452"/>
      <c r="M62" s="448">
        <v>7.5</v>
      </c>
      <c r="N62" s="448" t="str">
        <f t="shared" si="0"/>
        <v/>
      </c>
      <c r="O62" s="448" t="str">
        <f t="shared" si="1"/>
        <v/>
      </c>
      <c r="P62" s="448" t="str">
        <f t="shared" si="2"/>
        <v/>
      </c>
      <c r="Q62" s="448" t="str">
        <f t="shared" si="3"/>
        <v/>
      </c>
      <c r="R62" s="448" t="str">
        <f t="shared" si="4"/>
        <v/>
      </c>
      <c r="S62" s="448" t="str">
        <f>IF(OR(A62="", B62=""), "", IF(H62="Sonstige Einnahmen", ABS(B62), ""))</f>
        <v/>
      </c>
      <c r="T62" s="448" t="str">
        <f t="shared" si="12"/>
        <v/>
      </c>
      <c r="U62" s="448" t="str">
        <f t="shared" si="6"/>
        <v/>
      </c>
      <c r="V62" s="448" t="str">
        <f t="shared" si="13"/>
        <v/>
      </c>
      <c r="W62" s="448" t="str">
        <f t="shared" si="8"/>
        <v/>
      </c>
      <c r="X62" s="448" t="str">
        <f t="shared" si="9"/>
        <v/>
      </c>
      <c r="Y62" s="448" t="str">
        <f t="shared" si="10"/>
        <v/>
      </c>
      <c r="Z62" s="449" t="str">
        <f t="shared" si="14"/>
        <v/>
      </c>
    </row>
    <row r="63" spans="1:26" ht="58" x14ac:dyDescent="0.35">
      <c r="A63" s="441">
        <v>45691</v>
      </c>
      <c r="B63" s="447">
        <v>15</v>
      </c>
      <c r="C63" s="442" t="s">
        <v>56</v>
      </c>
      <c r="D63" s="442" t="s">
        <v>602</v>
      </c>
      <c r="E63" s="442" t="s">
        <v>657</v>
      </c>
      <c r="F63" s="442" t="s">
        <v>570</v>
      </c>
      <c r="G63" s="443" t="b">
        <f>IF(A63="","",IF(Daten!$AE$4=0,TRUE,MONTH(A63)=Daten!$AE$4))</f>
        <v>1</v>
      </c>
      <c r="H63" s="455" t="s">
        <v>463</v>
      </c>
      <c r="I63" s="443" t="s">
        <v>78</v>
      </c>
      <c r="J63" s="443"/>
      <c r="K63" s="442" t="s">
        <v>637</v>
      </c>
      <c r="L63" s="453" t="s">
        <v>781</v>
      </c>
      <c r="M63" s="450" t="str">
        <f>IF(OR(A63="", B63=""), "", IF(H63="Mitgliedsbeiträge", ABS(B63), ""))</f>
        <v/>
      </c>
      <c r="N63" s="450" t="str">
        <f t="shared" si="0"/>
        <v/>
      </c>
      <c r="O63" s="450" t="str">
        <f t="shared" si="1"/>
        <v/>
      </c>
      <c r="P63" s="450" t="str">
        <f t="shared" si="2"/>
        <v/>
      </c>
      <c r="Q63" s="450" t="str">
        <f t="shared" si="3"/>
        <v/>
      </c>
      <c r="R63" s="450" t="str">
        <f t="shared" si="4"/>
        <v/>
      </c>
      <c r="S63" s="450">
        <v>15</v>
      </c>
      <c r="T63" s="450" t="str">
        <f t="shared" si="12"/>
        <v/>
      </c>
      <c r="U63" s="450" t="str">
        <f t="shared" si="6"/>
        <v/>
      </c>
      <c r="V63" s="450" t="str">
        <f t="shared" si="13"/>
        <v/>
      </c>
      <c r="W63" s="450" t="str">
        <f t="shared" si="8"/>
        <v/>
      </c>
      <c r="X63" s="450" t="str">
        <f t="shared" si="9"/>
        <v/>
      </c>
      <c r="Y63" s="450" t="str">
        <f t="shared" si="10"/>
        <v/>
      </c>
      <c r="Z63" s="451" t="str">
        <f t="shared" si="14"/>
        <v/>
      </c>
    </row>
    <row r="64" spans="1:26" x14ac:dyDescent="0.35">
      <c r="A64" s="438">
        <v>45691</v>
      </c>
      <c r="B64" s="446">
        <v>15</v>
      </c>
      <c r="C64" s="439" t="s">
        <v>595</v>
      </c>
      <c r="D64" s="439" t="s">
        <v>596</v>
      </c>
      <c r="E64" s="439" t="s">
        <v>654</v>
      </c>
      <c r="F64" s="439" t="s">
        <v>570</v>
      </c>
      <c r="G64" s="440" t="b">
        <f>IF(A64="","",IF(Daten!$AE$4=0,TRUE,MONTH(A64)=Daten!$AE$4))</f>
        <v>1</v>
      </c>
      <c r="H64" s="454" t="s">
        <v>415</v>
      </c>
      <c r="I64" s="440" t="s">
        <v>78</v>
      </c>
      <c r="J64" s="440"/>
      <c r="K64" s="439" t="s">
        <v>637</v>
      </c>
      <c r="L64" s="452"/>
      <c r="M64" s="448" t="str">
        <f>IF(OR(A64="", B64=""), "", IF(H64="Mitgliedsbeiträge", ABS(B64), ""))</f>
        <v/>
      </c>
      <c r="N64" s="448" t="str">
        <f t="shared" si="0"/>
        <v/>
      </c>
      <c r="O64" s="448" t="str">
        <f t="shared" si="1"/>
        <v/>
      </c>
      <c r="P64" s="448" t="str">
        <f t="shared" si="2"/>
        <v/>
      </c>
      <c r="Q64" s="448" t="str">
        <f t="shared" si="3"/>
        <v/>
      </c>
      <c r="R64" s="448" t="str">
        <f t="shared" si="4"/>
        <v/>
      </c>
      <c r="S64" s="448">
        <v>15</v>
      </c>
      <c r="T64" s="448" t="str">
        <f t="shared" si="12"/>
        <v/>
      </c>
      <c r="U64" s="448" t="str">
        <f t="shared" si="6"/>
        <v/>
      </c>
      <c r="V64" s="448" t="str">
        <f t="shared" si="13"/>
        <v/>
      </c>
      <c r="W64" s="448" t="str">
        <f t="shared" si="8"/>
        <v/>
      </c>
      <c r="X64" s="448" t="str">
        <f t="shared" si="9"/>
        <v/>
      </c>
      <c r="Y64" s="448" t="str">
        <f t="shared" si="10"/>
        <v/>
      </c>
      <c r="Z64" s="449" t="str">
        <f t="shared" si="14"/>
        <v/>
      </c>
    </row>
    <row r="65" spans="1:26" x14ac:dyDescent="0.35">
      <c r="A65" s="441">
        <v>45691</v>
      </c>
      <c r="B65" s="447">
        <v>15</v>
      </c>
      <c r="C65" s="442" t="s">
        <v>597</v>
      </c>
      <c r="D65" s="442" t="s">
        <v>598</v>
      </c>
      <c r="E65" s="442" t="s">
        <v>385</v>
      </c>
      <c r="F65" s="442" t="s">
        <v>570</v>
      </c>
      <c r="G65" s="443" t="b">
        <f>IF(A65="","",IF(Daten!$AE$4=0,TRUE,MONTH(A65)=Daten!$AE$4))</f>
        <v>1</v>
      </c>
      <c r="H65" s="454" t="s">
        <v>415</v>
      </c>
      <c r="I65" s="443" t="s">
        <v>78</v>
      </c>
      <c r="J65" s="443"/>
      <c r="K65" s="442" t="s">
        <v>637</v>
      </c>
      <c r="L65" s="453"/>
      <c r="M65" s="450" t="str">
        <f>IF(OR(A65="", B65=""), "", IF(H65="Mitgliedsbeiträge", ABS(B65), ""))</f>
        <v/>
      </c>
      <c r="N65" s="450" t="str">
        <f t="shared" si="0"/>
        <v/>
      </c>
      <c r="O65" s="450" t="str">
        <f t="shared" si="1"/>
        <v/>
      </c>
      <c r="P65" s="450" t="str">
        <f t="shared" si="2"/>
        <v/>
      </c>
      <c r="Q65" s="450" t="str">
        <f t="shared" si="3"/>
        <v/>
      </c>
      <c r="R65" s="450" t="str">
        <f t="shared" si="4"/>
        <v/>
      </c>
      <c r="S65" s="450">
        <v>15</v>
      </c>
      <c r="T65" s="450" t="str">
        <f t="shared" si="12"/>
        <v/>
      </c>
      <c r="U65" s="450" t="str">
        <f t="shared" si="6"/>
        <v/>
      </c>
      <c r="V65" s="450" t="str">
        <f t="shared" si="13"/>
        <v/>
      </c>
      <c r="W65" s="450" t="str">
        <f t="shared" si="8"/>
        <v/>
      </c>
      <c r="X65" s="450" t="str">
        <f t="shared" si="9"/>
        <v/>
      </c>
      <c r="Y65" s="450" t="str">
        <f t="shared" si="10"/>
        <v/>
      </c>
      <c r="Z65" s="451" t="str">
        <f t="shared" si="14"/>
        <v/>
      </c>
    </row>
    <row r="66" spans="1:26" x14ac:dyDescent="0.35">
      <c r="A66" s="438">
        <v>45691</v>
      </c>
      <c r="B66" s="446">
        <v>15</v>
      </c>
      <c r="C66" s="439" t="s">
        <v>622</v>
      </c>
      <c r="D66" s="439" t="s">
        <v>623</v>
      </c>
      <c r="E66" s="439" t="s">
        <v>720</v>
      </c>
      <c r="F66" s="439" t="s">
        <v>570</v>
      </c>
      <c r="G66" s="440" t="b">
        <f>IF(A66="","",IF(Daten!$AE$4=0,TRUE,MONTH(A66)=Daten!$AE$4))</f>
        <v>1</v>
      </c>
      <c r="H66" s="454" t="s">
        <v>415</v>
      </c>
      <c r="I66" s="440" t="s">
        <v>78</v>
      </c>
      <c r="J66" s="440"/>
      <c r="K66" s="439" t="s">
        <v>637</v>
      </c>
      <c r="L66" s="452"/>
      <c r="M66" s="448" t="str">
        <f>IF(OR(A66="", B66=""), "", IF(H66="Mitgliedsbeiträge", ABS(B66), ""))</f>
        <v/>
      </c>
      <c r="N66" s="448" t="str">
        <f t="shared" si="0"/>
        <v/>
      </c>
      <c r="O66" s="448" t="str">
        <f t="shared" si="1"/>
        <v/>
      </c>
      <c r="P66" s="448" t="str">
        <f t="shared" si="2"/>
        <v/>
      </c>
      <c r="Q66" s="448" t="str">
        <f t="shared" si="3"/>
        <v/>
      </c>
      <c r="R66" s="448" t="str">
        <f t="shared" si="4"/>
        <v/>
      </c>
      <c r="S66" s="448">
        <v>15</v>
      </c>
      <c r="T66" s="448" t="str">
        <f t="shared" si="12"/>
        <v/>
      </c>
      <c r="U66" s="448" t="str">
        <f t="shared" si="6"/>
        <v/>
      </c>
      <c r="V66" s="448" t="str">
        <f t="shared" si="13"/>
        <v/>
      </c>
      <c r="W66" s="448" t="str">
        <f t="shared" si="8"/>
        <v/>
      </c>
      <c r="X66" s="448" t="str">
        <f t="shared" si="9"/>
        <v/>
      </c>
      <c r="Y66" s="448" t="str">
        <f t="shared" si="10"/>
        <v/>
      </c>
      <c r="Z66" s="449" t="str">
        <f t="shared" si="14"/>
        <v/>
      </c>
    </row>
    <row r="67" spans="1:26" x14ac:dyDescent="0.35">
      <c r="A67" s="441">
        <v>45691</v>
      </c>
      <c r="B67" s="447">
        <v>15</v>
      </c>
      <c r="C67" s="442" t="s">
        <v>622</v>
      </c>
      <c r="D67" s="442" t="s">
        <v>623</v>
      </c>
      <c r="E67" s="442" t="s">
        <v>719</v>
      </c>
      <c r="F67" s="442" t="s">
        <v>570</v>
      </c>
      <c r="G67" s="443" t="b">
        <f>IF(A67="","",IF(Daten!$AE$4=0,TRUE,MONTH(A67)=Daten!$AE$4))</f>
        <v>1</v>
      </c>
      <c r="H67" s="454" t="s">
        <v>306</v>
      </c>
      <c r="I67" s="443" t="s">
        <v>78</v>
      </c>
      <c r="J67" s="443"/>
      <c r="K67" s="442" t="s">
        <v>637</v>
      </c>
      <c r="L67" s="453"/>
      <c r="M67" s="450">
        <v>15</v>
      </c>
      <c r="N67" s="450" t="str">
        <f t="shared" si="0"/>
        <v/>
      </c>
      <c r="O67" s="450" t="str">
        <f t="shared" si="1"/>
        <v/>
      </c>
      <c r="P67" s="450" t="str">
        <f t="shared" si="2"/>
        <v/>
      </c>
      <c r="Q67" s="450" t="str">
        <f t="shared" si="3"/>
        <v/>
      </c>
      <c r="R67" s="450" t="str">
        <f t="shared" si="4"/>
        <v/>
      </c>
      <c r="S67" s="450" t="str">
        <f>IF(OR(A67="", B67=""), "", IF(H67="Sonstige Einnahmen", ABS(B67), ""))</f>
        <v/>
      </c>
      <c r="T67" s="450" t="str">
        <f t="shared" si="12"/>
        <v/>
      </c>
      <c r="U67" s="450" t="str">
        <f t="shared" si="6"/>
        <v/>
      </c>
      <c r="V67" s="450" t="str">
        <f t="shared" si="13"/>
        <v/>
      </c>
      <c r="W67" s="450" t="str">
        <f t="shared" si="8"/>
        <v/>
      </c>
      <c r="X67" s="450" t="str">
        <f t="shared" si="9"/>
        <v/>
      </c>
      <c r="Y67" s="450" t="str">
        <f t="shared" si="10"/>
        <v/>
      </c>
      <c r="Z67" s="451" t="str">
        <f t="shared" si="14"/>
        <v/>
      </c>
    </row>
    <row r="68" spans="1:26" x14ac:dyDescent="0.35">
      <c r="A68" s="438">
        <v>45691</v>
      </c>
      <c r="B68" s="446">
        <v>15</v>
      </c>
      <c r="C68" s="439" t="s">
        <v>627</v>
      </c>
      <c r="D68" s="439" t="s">
        <v>591</v>
      </c>
      <c r="E68" s="439" t="s">
        <v>659</v>
      </c>
      <c r="F68" s="439" t="s">
        <v>570</v>
      </c>
      <c r="G68" s="440" t="b">
        <f>IF(A68="","",IF(Daten!$AE$4=0,TRUE,MONTH(A68)=Daten!$AE$4))</f>
        <v>1</v>
      </c>
      <c r="H68" s="454" t="s">
        <v>415</v>
      </c>
      <c r="I68" s="440" t="s">
        <v>78</v>
      </c>
      <c r="J68" s="440"/>
      <c r="K68" s="439" t="s">
        <v>637</v>
      </c>
      <c r="L68" s="452"/>
      <c r="M68" s="448" t="str">
        <f>IF(OR(A68="", B68=""), "", IF(H68="Mitgliedsbeiträge", ABS(B68), ""))</f>
        <v/>
      </c>
      <c r="N68" s="448" t="str">
        <f t="shared" si="0"/>
        <v/>
      </c>
      <c r="O68" s="448" t="str">
        <f t="shared" si="1"/>
        <v/>
      </c>
      <c r="P68" s="448" t="str">
        <f t="shared" si="2"/>
        <v/>
      </c>
      <c r="Q68" s="448" t="str">
        <f t="shared" si="3"/>
        <v/>
      </c>
      <c r="R68" s="448" t="str">
        <f t="shared" si="4"/>
        <v/>
      </c>
      <c r="S68" s="448">
        <v>15</v>
      </c>
      <c r="T68" s="448" t="str">
        <f t="shared" si="12"/>
        <v/>
      </c>
      <c r="U68" s="448" t="str">
        <f t="shared" si="6"/>
        <v/>
      </c>
      <c r="V68" s="448" t="str">
        <f t="shared" si="13"/>
        <v/>
      </c>
      <c r="W68" s="448" t="str">
        <f t="shared" si="8"/>
        <v/>
      </c>
      <c r="X68" s="448" t="str">
        <f t="shared" si="9"/>
        <v/>
      </c>
      <c r="Y68" s="448" t="str">
        <f t="shared" si="10"/>
        <v/>
      </c>
      <c r="Z68" s="449" t="str">
        <f t="shared" si="14"/>
        <v/>
      </c>
    </row>
    <row r="69" spans="1:26" x14ac:dyDescent="0.35">
      <c r="A69" s="441">
        <v>45691</v>
      </c>
      <c r="B69" s="447">
        <v>15</v>
      </c>
      <c r="C69" s="442" t="s">
        <v>584</v>
      </c>
      <c r="D69" s="442" t="s">
        <v>585</v>
      </c>
      <c r="E69" s="442" t="s">
        <v>655</v>
      </c>
      <c r="F69" s="442" t="s">
        <v>570</v>
      </c>
      <c r="G69" s="443" t="b">
        <f>IF(A69="","",IF(Daten!$AE$4=0,TRUE,MONTH(A69)=Daten!$AE$4))</f>
        <v>1</v>
      </c>
      <c r="H69" s="454" t="s">
        <v>306</v>
      </c>
      <c r="I69" s="443" t="s">
        <v>78</v>
      </c>
      <c r="J69" s="443"/>
      <c r="K69" s="442" t="s">
        <v>637</v>
      </c>
      <c r="L69" s="453"/>
      <c r="M69" s="450">
        <v>15</v>
      </c>
      <c r="N69" s="450" t="str">
        <f t="shared" si="0"/>
        <v/>
      </c>
      <c r="O69" s="450" t="str">
        <f t="shared" si="1"/>
        <v/>
      </c>
      <c r="P69" s="450" t="str">
        <f t="shared" si="2"/>
        <v/>
      </c>
      <c r="Q69" s="450" t="str">
        <f t="shared" si="3"/>
        <v/>
      </c>
      <c r="R69" s="450" t="str">
        <f t="shared" si="4"/>
        <v/>
      </c>
      <c r="S69" s="450" t="str">
        <f>IF(OR(A69="", B69=""), "", IF(H69="Sonstige Einnahmen", ABS(B69), ""))</f>
        <v/>
      </c>
      <c r="T69" s="450" t="str">
        <f t="shared" si="12"/>
        <v/>
      </c>
      <c r="U69" s="450" t="str">
        <f t="shared" si="6"/>
        <v/>
      </c>
      <c r="V69" s="450" t="str">
        <f t="shared" si="13"/>
        <v/>
      </c>
      <c r="W69" s="450" t="str">
        <f t="shared" si="8"/>
        <v/>
      </c>
      <c r="X69" s="450" t="str">
        <f t="shared" si="9"/>
        <v/>
      </c>
      <c r="Y69" s="450" t="str">
        <f t="shared" si="10"/>
        <v/>
      </c>
      <c r="Z69" s="451" t="str">
        <f t="shared" si="14"/>
        <v/>
      </c>
    </row>
    <row r="70" spans="1:26" x14ac:dyDescent="0.35">
      <c r="A70" s="438">
        <v>45691</v>
      </c>
      <c r="B70" s="446">
        <v>15</v>
      </c>
      <c r="C70" s="439" t="s">
        <v>627</v>
      </c>
      <c r="D70" s="439" t="s">
        <v>591</v>
      </c>
      <c r="E70" s="439" t="s">
        <v>647</v>
      </c>
      <c r="F70" s="439" t="s">
        <v>570</v>
      </c>
      <c r="G70" s="440" t="b">
        <f>IF(A70="","",IF(Daten!$AE$4=0,TRUE,MONTH(A70)=Daten!$AE$4))</f>
        <v>1</v>
      </c>
      <c r="H70" s="454" t="s">
        <v>306</v>
      </c>
      <c r="I70" s="440" t="s">
        <v>78</v>
      </c>
      <c r="J70" s="440"/>
      <c r="K70" s="439" t="s">
        <v>637</v>
      </c>
      <c r="L70" s="452"/>
      <c r="M70" s="448">
        <v>15</v>
      </c>
      <c r="N70" s="448" t="str">
        <f t="shared" si="0"/>
        <v/>
      </c>
      <c r="O70" s="448" t="str">
        <f t="shared" si="1"/>
        <v/>
      </c>
      <c r="P70" s="448" t="str">
        <f t="shared" si="2"/>
        <v/>
      </c>
      <c r="Q70" s="448" t="str">
        <f t="shared" si="3"/>
        <v/>
      </c>
      <c r="R70" s="448" t="str">
        <f t="shared" si="4"/>
        <v/>
      </c>
      <c r="S70" s="448" t="str">
        <f>IF(OR(A70="", B70=""), "", IF(H70="Sonstige Einnahmen", ABS(B70), ""))</f>
        <v/>
      </c>
      <c r="T70" s="448" t="str">
        <f t="shared" si="12"/>
        <v/>
      </c>
      <c r="U70" s="448" t="str">
        <f t="shared" si="6"/>
        <v/>
      </c>
      <c r="V70" s="448" t="str">
        <f t="shared" si="13"/>
        <v/>
      </c>
      <c r="W70" s="448" t="str">
        <f t="shared" si="8"/>
        <v/>
      </c>
      <c r="X70" s="448" t="str">
        <f t="shared" si="9"/>
        <v/>
      </c>
      <c r="Y70" s="448" t="str">
        <f t="shared" si="10"/>
        <v/>
      </c>
      <c r="Z70" s="449" t="str">
        <f t="shared" si="14"/>
        <v/>
      </c>
    </row>
    <row r="71" spans="1:26" x14ac:dyDescent="0.35">
      <c r="A71" s="441">
        <v>45691</v>
      </c>
      <c r="B71" s="447">
        <v>15</v>
      </c>
      <c r="C71" s="442" t="s">
        <v>605</v>
      </c>
      <c r="D71" s="442" t="s">
        <v>606</v>
      </c>
      <c r="E71" s="442" t="s">
        <v>660</v>
      </c>
      <c r="F71" s="442" t="s">
        <v>570</v>
      </c>
      <c r="G71" s="443" t="b">
        <f>IF(A71="","",IF(Daten!$AE$4=0,TRUE,MONTH(A71)=Daten!$AE$4))</f>
        <v>1</v>
      </c>
      <c r="H71" s="454" t="s">
        <v>415</v>
      </c>
      <c r="I71" s="443" t="s">
        <v>78</v>
      </c>
      <c r="J71" s="443"/>
      <c r="K71" s="442" t="s">
        <v>637</v>
      </c>
      <c r="L71" s="453"/>
      <c r="M71" s="450" t="str">
        <f>IF(OR(A71="", B71=""), "", IF(H71="Mitgliedsbeiträge", ABS(B71), ""))</f>
        <v/>
      </c>
      <c r="N71" s="450" t="str">
        <f t="shared" si="0"/>
        <v/>
      </c>
      <c r="O71" s="450" t="str">
        <f t="shared" si="1"/>
        <v/>
      </c>
      <c r="P71" s="450" t="str">
        <f t="shared" si="2"/>
        <v/>
      </c>
      <c r="Q71" s="450" t="str">
        <f t="shared" si="3"/>
        <v/>
      </c>
      <c r="R71" s="450" t="str">
        <f t="shared" si="4"/>
        <v/>
      </c>
      <c r="S71" s="450">
        <v>15</v>
      </c>
      <c r="T71" s="450" t="str">
        <f t="shared" si="12"/>
        <v/>
      </c>
      <c r="U71" s="450" t="str">
        <f t="shared" si="6"/>
        <v/>
      </c>
      <c r="V71" s="450" t="str">
        <f t="shared" si="13"/>
        <v/>
      </c>
      <c r="W71" s="450" t="str">
        <f t="shared" si="8"/>
        <v/>
      </c>
      <c r="X71" s="450" t="str">
        <f t="shared" si="9"/>
        <v/>
      </c>
      <c r="Y71" s="450" t="str">
        <f t="shared" si="10"/>
        <v/>
      </c>
      <c r="Z71" s="451" t="str">
        <f t="shared" si="14"/>
        <v/>
      </c>
    </row>
    <row r="72" spans="1:26" x14ac:dyDescent="0.35">
      <c r="A72" s="438">
        <v>45691</v>
      </c>
      <c r="B72" s="446">
        <v>15</v>
      </c>
      <c r="C72" s="439" t="s">
        <v>605</v>
      </c>
      <c r="D72" s="439" t="s">
        <v>606</v>
      </c>
      <c r="E72" s="439" t="s">
        <v>662</v>
      </c>
      <c r="F72" s="439" t="s">
        <v>570</v>
      </c>
      <c r="G72" s="440" t="b">
        <f>IF(A72="","",IF(Daten!$AE$4=0,TRUE,MONTH(A72)=Daten!$AE$4))</f>
        <v>1</v>
      </c>
      <c r="H72" s="454" t="s">
        <v>306</v>
      </c>
      <c r="I72" s="440" t="s">
        <v>78</v>
      </c>
      <c r="J72" s="440"/>
      <c r="K72" s="439" t="s">
        <v>637</v>
      </c>
      <c r="L72" s="452"/>
      <c r="M72" s="448">
        <v>15</v>
      </c>
      <c r="N72" s="448" t="str">
        <f t="shared" si="0"/>
        <v/>
      </c>
      <c r="O72" s="448" t="str">
        <f t="shared" si="1"/>
        <v/>
      </c>
      <c r="P72" s="448" t="str">
        <f t="shared" si="2"/>
        <v/>
      </c>
      <c r="Q72" s="448" t="str">
        <f t="shared" si="3"/>
        <v/>
      </c>
      <c r="R72" s="448" t="str">
        <f t="shared" si="4"/>
        <v/>
      </c>
      <c r="S72" s="448" t="str">
        <f>IF(OR(A72="", B72=""), "", IF(H72="Sonstige Einnahmen", ABS(B72), ""))</f>
        <v/>
      </c>
      <c r="T72" s="448" t="str">
        <f t="shared" si="12"/>
        <v/>
      </c>
      <c r="U72" s="448" t="str">
        <f t="shared" si="6"/>
        <v/>
      </c>
      <c r="V72" s="448" t="str">
        <f t="shared" si="13"/>
        <v/>
      </c>
      <c r="W72" s="448" t="str">
        <f t="shared" si="8"/>
        <v/>
      </c>
      <c r="X72" s="448" t="str">
        <f t="shared" si="9"/>
        <v/>
      </c>
      <c r="Y72" s="448" t="str">
        <f t="shared" si="10"/>
        <v/>
      </c>
      <c r="Z72" s="449" t="str">
        <f t="shared" si="14"/>
        <v/>
      </c>
    </row>
    <row r="73" spans="1:26" x14ac:dyDescent="0.35">
      <c r="A73" s="441">
        <v>45691</v>
      </c>
      <c r="B73" s="447">
        <v>15</v>
      </c>
      <c r="C73" s="442" t="s">
        <v>607</v>
      </c>
      <c r="D73" s="442" t="s">
        <v>608</v>
      </c>
      <c r="E73" s="442" t="s">
        <v>661</v>
      </c>
      <c r="F73" s="442" t="s">
        <v>570</v>
      </c>
      <c r="G73" s="443" t="b">
        <f>IF(A73="","",IF(Daten!$AE$4=0,TRUE,MONTH(A73)=Daten!$AE$4))</f>
        <v>1</v>
      </c>
      <c r="H73" s="454" t="s">
        <v>306</v>
      </c>
      <c r="I73" s="443" t="s">
        <v>78</v>
      </c>
      <c r="J73" s="443"/>
      <c r="K73" s="442" t="s">
        <v>637</v>
      </c>
      <c r="L73" s="453"/>
      <c r="M73" s="450">
        <v>15</v>
      </c>
      <c r="N73" s="450" t="str">
        <f t="shared" si="0"/>
        <v/>
      </c>
      <c r="O73" s="450" t="str">
        <f t="shared" si="1"/>
        <v/>
      </c>
      <c r="P73" s="450" t="str">
        <f t="shared" si="2"/>
        <v/>
      </c>
      <c r="Q73" s="450" t="str">
        <f t="shared" si="3"/>
        <v/>
      </c>
      <c r="R73" s="450" t="str">
        <f t="shared" si="4"/>
        <v/>
      </c>
      <c r="S73" s="450" t="str">
        <f>IF(OR(A73="", B73=""), "", IF(H73="Sonstige Einnahmen", ABS(B73), ""))</f>
        <v/>
      </c>
      <c r="T73" s="450" t="str">
        <f t="shared" si="12"/>
        <v/>
      </c>
      <c r="U73" s="450" t="str">
        <f t="shared" si="6"/>
        <v/>
      </c>
      <c r="V73" s="450" t="str">
        <f t="shared" si="13"/>
        <v/>
      </c>
      <c r="W73" s="450" t="str">
        <f t="shared" si="8"/>
        <v/>
      </c>
      <c r="X73" s="450" t="str">
        <f t="shared" si="9"/>
        <v/>
      </c>
      <c r="Y73" s="450" t="str">
        <f t="shared" si="10"/>
        <v/>
      </c>
      <c r="Z73" s="451" t="str">
        <f t="shared" si="14"/>
        <v/>
      </c>
    </row>
    <row r="74" spans="1:26" x14ac:dyDescent="0.35">
      <c r="A74" s="438">
        <v>45691</v>
      </c>
      <c r="B74" s="446">
        <v>-4.3</v>
      </c>
      <c r="C74" s="439"/>
      <c r="D74" s="439">
        <v>0</v>
      </c>
      <c r="E74" s="439" t="s">
        <v>663</v>
      </c>
      <c r="F74" s="439" t="s">
        <v>381</v>
      </c>
      <c r="G74" s="440" t="b">
        <f>IF(A74="","",IF(Daten!$AE$4=0,TRUE,MONTH(A74)=Daten!$AE$4))</f>
        <v>1</v>
      </c>
      <c r="H74" s="456" t="s">
        <v>782</v>
      </c>
      <c r="I74" s="440" t="s">
        <v>78</v>
      </c>
      <c r="J74" s="440"/>
      <c r="K74" s="439" t="s">
        <v>637</v>
      </c>
      <c r="L74" s="452" t="s">
        <v>783</v>
      </c>
      <c r="M74" s="448" t="str">
        <f>IF(OR(A74="", B74=""), "", IF(H74="Mitgliedsbeiträge", ABS(B74), ""))</f>
        <v/>
      </c>
      <c r="N74" s="448" t="str">
        <f t="shared" si="0"/>
        <v/>
      </c>
      <c r="O74" s="448" t="str">
        <f t="shared" si="1"/>
        <v/>
      </c>
      <c r="P74" s="448" t="str">
        <f t="shared" si="2"/>
        <v/>
      </c>
      <c r="Q74" s="448" t="str">
        <f t="shared" si="3"/>
        <v/>
      </c>
      <c r="R74" s="448" t="str">
        <f t="shared" si="4"/>
        <v/>
      </c>
      <c r="S74" s="448" t="str">
        <f>IF(OR(A74="", B74=""), "", IF(H74="Sonstige Einnahmen", ABS(B74), ""))</f>
        <v/>
      </c>
      <c r="T74" s="448" t="str">
        <f t="shared" si="12"/>
        <v/>
      </c>
      <c r="U74" s="448" t="str">
        <f t="shared" si="6"/>
        <v/>
      </c>
      <c r="V74" s="448" t="str">
        <f t="shared" si="13"/>
        <v/>
      </c>
      <c r="W74" s="448" t="str">
        <f t="shared" si="8"/>
        <v/>
      </c>
      <c r="X74" s="448" t="str">
        <f t="shared" si="9"/>
        <v/>
      </c>
      <c r="Y74" s="448" t="str">
        <f t="shared" si="10"/>
        <v/>
      </c>
      <c r="Z74" s="449" t="str">
        <f t="shared" si="14"/>
        <v/>
      </c>
    </row>
    <row r="75" spans="1:26" x14ac:dyDescent="0.35">
      <c r="A75" s="441">
        <v>45692</v>
      </c>
      <c r="B75" s="447">
        <v>7.5</v>
      </c>
      <c r="C75" s="442" t="s">
        <v>592</v>
      </c>
      <c r="D75" s="442" t="s">
        <v>593</v>
      </c>
      <c r="E75" s="442" t="s">
        <v>651</v>
      </c>
      <c r="F75" s="442" t="s">
        <v>570</v>
      </c>
      <c r="G75" s="443" t="b">
        <f>IF(A75="","",IF(Daten!$AE$4=0,TRUE,MONTH(A75)=Daten!$AE$4))</f>
        <v>1</v>
      </c>
      <c r="H75" s="454" t="s">
        <v>306</v>
      </c>
      <c r="I75" s="443" t="s">
        <v>78</v>
      </c>
      <c r="J75" s="443"/>
      <c r="K75" s="442" t="s">
        <v>637</v>
      </c>
      <c r="L75" s="453"/>
      <c r="M75" s="450">
        <v>7.5</v>
      </c>
      <c r="N75" s="450" t="str">
        <f t="shared" si="0"/>
        <v/>
      </c>
      <c r="O75" s="450" t="str">
        <f t="shared" si="1"/>
        <v/>
      </c>
      <c r="P75" s="450" t="str">
        <f t="shared" si="2"/>
        <v/>
      </c>
      <c r="Q75" s="450" t="str">
        <f t="shared" si="3"/>
        <v/>
      </c>
      <c r="R75" s="450" t="str">
        <f t="shared" si="4"/>
        <v/>
      </c>
      <c r="S75" s="450" t="str">
        <f>IF(OR(A75="", B75=""), "", IF(H75="Sonstige Einnahmen", ABS(B75), ""))</f>
        <v/>
      </c>
      <c r="T75" s="450" t="str">
        <f t="shared" si="12"/>
        <v/>
      </c>
      <c r="U75" s="450" t="str">
        <f t="shared" si="6"/>
        <v/>
      </c>
      <c r="V75" s="450" t="str">
        <f t="shared" si="13"/>
        <v/>
      </c>
      <c r="W75" s="450" t="str">
        <f t="shared" si="8"/>
        <v/>
      </c>
      <c r="X75" s="450" t="str">
        <f t="shared" si="9"/>
        <v/>
      </c>
      <c r="Y75" s="450" t="str">
        <f t="shared" si="10"/>
        <v/>
      </c>
      <c r="Z75" s="451" t="str">
        <f t="shared" si="14"/>
        <v/>
      </c>
    </row>
    <row r="76" spans="1:26" x14ac:dyDescent="0.35">
      <c r="A76" s="438">
        <v>45692</v>
      </c>
      <c r="B76" s="446">
        <v>15</v>
      </c>
      <c r="C76" s="439" t="s">
        <v>592</v>
      </c>
      <c r="D76" s="439" t="s">
        <v>593</v>
      </c>
      <c r="E76" s="439" t="s">
        <v>649</v>
      </c>
      <c r="F76" s="439" t="s">
        <v>570</v>
      </c>
      <c r="G76" s="440" t="b">
        <f>IF(A76="","",IF(Daten!$AE$4=0,TRUE,MONTH(A76)=Daten!$AE$4))</f>
        <v>1</v>
      </c>
      <c r="H76" s="454" t="s">
        <v>415</v>
      </c>
      <c r="I76" s="440" t="s">
        <v>78</v>
      </c>
      <c r="J76" s="440"/>
      <c r="K76" s="439" t="s">
        <v>637</v>
      </c>
      <c r="L76" s="452"/>
      <c r="M76" s="448" t="str">
        <f t="shared" ref="M76:M97" si="15">IF(OR(A76="", B76=""), "", IF(H76="Mitgliedsbeiträge", ABS(B76), ""))</f>
        <v/>
      </c>
      <c r="N76" s="448" t="str">
        <f t="shared" si="0"/>
        <v/>
      </c>
      <c r="O76" s="448" t="str">
        <f t="shared" si="1"/>
        <v/>
      </c>
      <c r="P76" s="448" t="str">
        <f t="shared" si="2"/>
        <v/>
      </c>
      <c r="Q76" s="448" t="str">
        <f t="shared" si="3"/>
        <v/>
      </c>
      <c r="R76" s="448" t="str">
        <f t="shared" si="4"/>
        <v/>
      </c>
      <c r="S76" s="448">
        <v>15</v>
      </c>
      <c r="T76" s="448" t="str">
        <f t="shared" si="12"/>
        <v/>
      </c>
      <c r="U76" s="448" t="str">
        <f t="shared" si="6"/>
        <v/>
      </c>
      <c r="V76" s="448" t="str">
        <f t="shared" si="13"/>
        <v/>
      </c>
      <c r="W76" s="448" t="str">
        <f t="shared" si="8"/>
        <v/>
      </c>
      <c r="X76" s="448" t="str">
        <f t="shared" si="9"/>
        <v/>
      </c>
      <c r="Y76" s="448" t="str">
        <f t="shared" si="10"/>
        <v/>
      </c>
      <c r="Z76" s="449" t="str">
        <f t="shared" si="14"/>
        <v/>
      </c>
    </row>
    <row r="77" spans="1:26" ht="58" x14ac:dyDescent="0.35">
      <c r="A77" s="441">
        <v>45692</v>
      </c>
      <c r="B77" s="447">
        <v>15</v>
      </c>
      <c r="C77" s="442" t="s">
        <v>582</v>
      </c>
      <c r="D77" s="442" t="s">
        <v>583</v>
      </c>
      <c r="E77" s="442" t="s">
        <v>650</v>
      </c>
      <c r="F77" s="442" t="s">
        <v>570</v>
      </c>
      <c r="G77" s="443" t="b">
        <f>IF(A77="","",IF(Daten!$AE$4=0,TRUE,MONTH(A77)=Daten!$AE$4))</f>
        <v>1</v>
      </c>
      <c r="H77" s="455" t="s">
        <v>415</v>
      </c>
      <c r="I77" s="443" t="s">
        <v>78</v>
      </c>
      <c r="J77" s="443"/>
      <c r="K77" s="442" t="s">
        <v>637</v>
      </c>
      <c r="L77" s="453" t="s">
        <v>781</v>
      </c>
      <c r="M77" s="450" t="str">
        <f t="shared" si="15"/>
        <v/>
      </c>
      <c r="N77" s="450" t="str">
        <f t="shared" si="0"/>
        <v/>
      </c>
      <c r="O77" s="450" t="str">
        <f t="shared" si="1"/>
        <v/>
      </c>
      <c r="P77" s="450" t="str">
        <f t="shared" si="2"/>
        <v/>
      </c>
      <c r="Q77" s="450" t="str">
        <f t="shared" si="3"/>
        <v/>
      </c>
      <c r="R77" s="450" t="str">
        <f t="shared" si="4"/>
        <v/>
      </c>
      <c r="S77" s="450">
        <v>15</v>
      </c>
      <c r="T77" s="450" t="str">
        <f t="shared" si="12"/>
        <v/>
      </c>
      <c r="U77" s="450" t="str">
        <f t="shared" si="6"/>
        <v/>
      </c>
      <c r="V77" s="450" t="str">
        <f t="shared" si="13"/>
        <v/>
      </c>
      <c r="W77" s="450" t="str">
        <f t="shared" si="8"/>
        <v/>
      </c>
      <c r="X77" s="450" t="str">
        <f t="shared" si="9"/>
        <v/>
      </c>
      <c r="Y77" s="450" t="str">
        <f t="shared" si="10"/>
        <v/>
      </c>
      <c r="Z77" s="451" t="str">
        <f t="shared" si="14"/>
        <v/>
      </c>
    </row>
    <row r="78" spans="1:26" x14ac:dyDescent="0.35">
      <c r="A78" s="438">
        <v>45692</v>
      </c>
      <c r="B78" s="446">
        <v>-59.8</v>
      </c>
      <c r="C78" s="439" t="s">
        <v>577</v>
      </c>
      <c r="D78" s="439" t="s">
        <v>578</v>
      </c>
      <c r="E78" s="439" t="s">
        <v>639</v>
      </c>
      <c r="F78" s="439" t="s">
        <v>576</v>
      </c>
      <c r="G78" s="440" t="b">
        <f>IF(A78="","",IF(Daten!$AE$4=0,TRUE,MONTH(A78)=Daten!$AE$4))</f>
        <v>1</v>
      </c>
      <c r="H78" s="454" t="s">
        <v>459</v>
      </c>
      <c r="I78" s="440" t="s">
        <v>78</v>
      </c>
      <c r="J78" s="440"/>
      <c r="K78" s="439" t="s">
        <v>637</v>
      </c>
      <c r="L78" s="452"/>
      <c r="M78" s="448" t="str">
        <f t="shared" si="15"/>
        <v/>
      </c>
      <c r="N78" s="448" t="str">
        <f t="shared" si="0"/>
        <v/>
      </c>
      <c r="O78" s="448" t="str">
        <f t="shared" si="1"/>
        <v/>
      </c>
      <c r="P78" s="448" t="str">
        <f t="shared" si="2"/>
        <v/>
      </c>
      <c r="Q78" s="448" t="str">
        <f t="shared" si="3"/>
        <v/>
      </c>
      <c r="R78" s="448" t="str">
        <f t="shared" si="4"/>
        <v/>
      </c>
      <c r="S78" s="448" t="str">
        <f>IF(OR(A78="", B78=""), "", IF(H78="Sonstige Einnahmen", ABS(B78), ""))</f>
        <v/>
      </c>
      <c r="T78" s="448">
        <v>-59.8</v>
      </c>
      <c r="U78" s="448" t="str">
        <f t="shared" si="6"/>
        <v/>
      </c>
      <c r="V78" s="448" t="str">
        <f t="shared" si="13"/>
        <v/>
      </c>
      <c r="W78" s="448" t="str">
        <f t="shared" si="8"/>
        <v/>
      </c>
      <c r="X78" s="448" t="str">
        <f t="shared" si="9"/>
        <v/>
      </c>
      <c r="Y78" s="448" t="str">
        <f t="shared" si="10"/>
        <v/>
      </c>
      <c r="Z78" s="449" t="str">
        <f t="shared" si="14"/>
        <v/>
      </c>
    </row>
    <row r="79" spans="1:26" x14ac:dyDescent="0.35">
      <c r="A79" s="441">
        <v>45693</v>
      </c>
      <c r="B79" s="447">
        <v>112.57</v>
      </c>
      <c r="C79" s="442" t="s">
        <v>582</v>
      </c>
      <c r="D79" s="442" t="s">
        <v>583</v>
      </c>
      <c r="E79" s="442" t="s">
        <v>730</v>
      </c>
      <c r="F79" s="442" t="s">
        <v>581</v>
      </c>
      <c r="G79" s="443" t="b">
        <f>IF(A79="","",IF(Daten!$AE$4=0,TRUE,MONTH(A79)=Daten!$AE$4))</f>
        <v>1</v>
      </c>
      <c r="H79" s="454" t="s">
        <v>304</v>
      </c>
      <c r="I79" s="443" t="s">
        <v>78</v>
      </c>
      <c r="J79" s="443"/>
      <c r="K79" s="442" t="s">
        <v>637</v>
      </c>
      <c r="L79" s="453"/>
      <c r="M79" s="450" t="str">
        <f t="shared" si="15"/>
        <v/>
      </c>
      <c r="N79" s="450" t="str">
        <f t="shared" si="0"/>
        <v/>
      </c>
      <c r="O79" s="450" t="str">
        <f t="shared" si="1"/>
        <v/>
      </c>
      <c r="P79" s="450" t="str">
        <f t="shared" si="2"/>
        <v/>
      </c>
      <c r="Q79" s="450" t="str">
        <f t="shared" si="3"/>
        <v/>
      </c>
      <c r="R79" s="450" t="str">
        <f t="shared" si="4"/>
        <v/>
      </c>
      <c r="S79" s="450">
        <v>112.57</v>
      </c>
      <c r="T79" s="450" t="str">
        <f>IF(OR(A79="", B79=""), "", IF(H79="Unterhaltung", ABS(B79), ""))</f>
        <v/>
      </c>
      <c r="U79" s="450" t="str">
        <f t="shared" si="6"/>
        <v/>
      </c>
      <c r="V79" s="450" t="str">
        <f t="shared" si="13"/>
        <v/>
      </c>
      <c r="W79" s="450" t="str">
        <f t="shared" si="8"/>
        <v/>
      </c>
      <c r="X79" s="450" t="str">
        <f t="shared" si="9"/>
        <v/>
      </c>
      <c r="Y79" s="450" t="str">
        <f t="shared" si="10"/>
        <v/>
      </c>
      <c r="Z79" s="451" t="str">
        <f t="shared" si="14"/>
        <v/>
      </c>
    </row>
    <row r="80" spans="1:26" x14ac:dyDescent="0.35">
      <c r="A80" s="438">
        <v>45693</v>
      </c>
      <c r="B80" s="446">
        <v>277.26</v>
      </c>
      <c r="C80" s="439" t="s">
        <v>582</v>
      </c>
      <c r="D80" s="439" t="s">
        <v>583</v>
      </c>
      <c r="E80" s="439" t="s">
        <v>184</v>
      </c>
      <c r="F80" s="439" t="s">
        <v>581</v>
      </c>
      <c r="G80" s="440" t="b">
        <f>IF(A80="","",IF(Daten!$AE$4=0,TRUE,MONTH(A80)=Daten!$AE$4))</f>
        <v>1</v>
      </c>
      <c r="H80" s="454" t="s">
        <v>299</v>
      </c>
      <c r="I80" s="440" t="s">
        <v>78</v>
      </c>
      <c r="J80" s="440"/>
      <c r="K80" s="439" t="s">
        <v>637</v>
      </c>
      <c r="L80" s="452"/>
      <c r="M80" s="448" t="str">
        <f t="shared" si="15"/>
        <v/>
      </c>
      <c r="N80" s="448" t="str">
        <f t="shared" si="0"/>
        <v/>
      </c>
      <c r="O80" s="448" t="str">
        <f t="shared" si="1"/>
        <v/>
      </c>
      <c r="P80" s="448" t="str">
        <f t="shared" si="2"/>
        <v/>
      </c>
      <c r="Q80" s="448" t="str">
        <f t="shared" si="3"/>
        <v/>
      </c>
      <c r="R80" s="448" t="str">
        <f t="shared" si="4"/>
        <v/>
      </c>
      <c r="S80" s="448">
        <v>277.26</v>
      </c>
      <c r="T80" s="448" t="str">
        <f>IF(OR(A80="", B80=""), "", IF(H80="Unterhaltung", ABS(B80), ""))</f>
        <v/>
      </c>
      <c r="U80" s="448" t="str">
        <f t="shared" si="6"/>
        <v/>
      </c>
      <c r="V80" s="448" t="str">
        <f t="shared" si="13"/>
        <v/>
      </c>
      <c r="W80" s="448" t="str">
        <f t="shared" si="8"/>
        <v/>
      </c>
      <c r="X80" s="448" t="str">
        <f t="shared" si="9"/>
        <v/>
      </c>
      <c r="Y80" s="448" t="str">
        <f t="shared" si="10"/>
        <v/>
      </c>
      <c r="Z80" s="449" t="str">
        <f t="shared" si="14"/>
        <v/>
      </c>
    </row>
    <row r="81" spans="1:26" x14ac:dyDescent="0.35">
      <c r="A81" s="441">
        <v>45693</v>
      </c>
      <c r="B81" s="447">
        <v>15</v>
      </c>
      <c r="C81" s="442" t="s">
        <v>584</v>
      </c>
      <c r="D81" s="442" t="s">
        <v>585</v>
      </c>
      <c r="E81" s="442" t="s">
        <v>642</v>
      </c>
      <c r="F81" s="442" t="s">
        <v>570</v>
      </c>
      <c r="G81" s="443" t="b">
        <f>IF(A81="","",IF(Daten!$AE$4=0,TRUE,MONTH(A81)=Daten!$AE$4))</f>
        <v>1</v>
      </c>
      <c r="H81" s="454" t="s">
        <v>415</v>
      </c>
      <c r="I81" s="443" t="s">
        <v>78</v>
      </c>
      <c r="J81" s="443"/>
      <c r="K81" s="442" t="s">
        <v>637</v>
      </c>
      <c r="L81" s="453"/>
      <c r="M81" s="450" t="str">
        <f t="shared" si="15"/>
        <v/>
      </c>
      <c r="N81" s="450" t="str">
        <f t="shared" si="0"/>
        <v/>
      </c>
      <c r="O81" s="450" t="str">
        <f t="shared" si="1"/>
        <v/>
      </c>
      <c r="P81" s="450" t="str">
        <f t="shared" si="2"/>
        <v/>
      </c>
      <c r="Q81" s="450" t="str">
        <f t="shared" si="3"/>
        <v/>
      </c>
      <c r="R81" s="450" t="str">
        <f t="shared" si="4"/>
        <v/>
      </c>
      <c r="S81" s="450">
        <v>15</v>
      </c>
      <c r="T81" s="450" t="str">
        <f>IF(OR(A81="", B81=""), "", IF(H81="Unterhaltung", ABS(B81), ""))</f>
        <v/>
      </c>
      <c r="U81" s="450" t="str">
        <f t="shared" si="6"/>
        <v/>
      </c>
      <c r="V81" s="450" t="str">
        <f t="shared" si="13"/>
        <v/>
      </c>
      <c r="W81" s="450" t="str">
        <f t="shared" si="8"/>
        <v/>
      </c>
      <c r="X81" s="450" t="str">
        <f t="shared" si="9"/>
        <v/>
      </c>
      <c r="Y81" s="450" t="str">
        <f t="shared" si="10"/>
        <v/>
      </c>
      <c r="Z81" s="451" t="str">
        <f t="shared" si="14"/>
        <v/>
      </c>
    </row>
    <row r="82" spans="1:26" x14ac:dyDescent="0.35">
      <c r="A82" s="438">
        <v>45693</v>
      </c>
      <c r="B82" s="446">
        <v>-497</v>
      </c>
      <c r="C82" s="439" t="s">
        <v>587</v>
      </c>
      <c r="D82" s="439" t="s">
        <v>588</v>
      </c>
      <c r="E82" s="439" t="s">
        <v>753</v>
      </c>
      <c r="F82" s="439" t="s">
        <v>576</v>
      </c>
      <c r="G82" s="440" t="b">
        <f>IF(A82="","",IF(Daten!$AE$4=0,TRUE,MONTH(A82)=Daten!$AE$4))</f>
        <v>1</v>
      </c>
      <c r="H82" s="454" t="s">
        <v>451</v>
      </c>
      <c r="I82" s="440" t="s">
        <v>78</v>
      </c>
      <c r="J82" s="440"/>
      <c r="K82" s="439" t="s">
        <v>637</v>
      </c>
      <c r="L82" s="452"/>
      <c r="M82" s="448" t="str">
        <f t="shared" si="15"/>
        <v/>
      </c>
      <c r="N82" s="448" t="str">
        <f t="shared" si="0"/>
        <v/>
      </c>
      <c r="O82" s="448" t="str">
        <f t="shared" si="1"/>
        <v/>
      </c>
      <c r="P82" s="448" t="str">
        <f t="shared" si="2"/>
        <v/>
      </c>
      <c r="Q82" s="448" t="str">
        <f t="shared" si="3"/>
        <v/>
      </c>
      <c r="R82" s="448" t="str">
        <f t="shared" si="4"/>
        <v/>
      </c>
      <c r="S82" s="448" t="str">
        <f>IF(OR(A82="", B82=""), "", IF(H82="Sonstige Einnahmen", ABS(B82), ""))</f>
        <v/>
      </c>
      <c r="T82" s="448">
        <v>-497</v>
      </c>
      <c r="U82" s="448" t="str">
        <f t="shared" si="6"/>
        <v/>
      </c>
      <c r="V82" s="448" t="str">
        <f t="shared" si="13"/>
        <v/>
      </c>
      <c r="W82" s="448" t="str">
        <f t="shared" si="8"/>
        <v/>
      </c>
      <c r="X82" s="448" t="str">
        <f t="shared" si="9"/>
        <v/>
      </c>
      <c r="Y82" s="448" t="str">
        <f t="shared" si="10"/>
        <v/>
      </c>
      <c r="Z82" s="449" t="str">
        <f t="shared" si="14"/>
        <v/>
      </c>
    </row>
    <row r="83" spans="1:26" x14ac:dyDescent="0.35">
      <c r="A83" s="441">
        <v>45695</v>
      </c>
      <c r="B83" s="447">
        <v>75.239999999999995</v>
      </c>
      <c r="C83" s="442" t="s">
        <v>383</v>
      </c>
      <c r="D83" s="442" t="s">
        <v>606</v>
      </c>
      <c r="E83" s="442" t="s">
        <v>751</v>
      </c>
      <c r="F83" s="442" t="s">
        <v>581</v>
      </c>
      <c r="G83" s="443" t="b">
        <f>IF(A83="","",IF(Daten!$AE$4=0,TRUE,MONTH(A83)=Daten!$AE$4))</f>
        <v>1</v>
      </c>
      <c r="H83" s="454" t="s">
        <v>302</v>
      </c>
      <c r="I83" s="443" t="s">
        <v>78</v>
      </c>
      <c r="J83" s="443"/>
      <c r="K83" s="442" t="s">
        <v>637</v>
      </c>
      <c r="L83" s="453"/>
      <c r="M83" s="450" t="str">
        <f t="shared" si="15"/>
        <v/>
      </c>
      <c r="N83" s="450" t="str">
        <f t="shared" si="0"/>
        <v/>
      </c>
      <c r="O83" s="450" t="str">
        <f t="shared" si="1"/>
        <v/>
      </c>
      <c r="P83" s="450" t="str">
        <f t="shared" si="2"/>
        <v/>
      </c>
      <c r="Q83" s="450" t="str">
        <f t="shared" si="3"/>
        <v/>
      </c>
      <c r="R83" s="450" t="str">
        <f t="shared" si="4"/>
        <v/>
      </c>
      <c r="S83" s="450">
        <v>75.239999999999995</v>
      </c>
      <c r="T83" s="450" t="str">
        <f>IF(OR(A83="", B83=""), "", IF(H83="Unterhaltung", ABS(B83), ""))</f>
        <v/>
      </c>
      <c r="U83" s="450" t="str">
        <f t="shared" si="6"/>
        <v/>
      </c>
      <c r="V83" s="450" t="str">
        <f t="shared" si="13"/>
        <v/>
      </c>
      <c r="W83" s="450" t="str">
        <f t="shared" si="8"/>
        <v/>
      </c>
      <c r="X83" s="450" t="str">
        <f t="shared" si="9"/>
        <v/>
      </c>
      <c r="Y83" s="450" t="str">
        <f t="shared" si="10"/>
        <v/>
      </c>
      <c r="Z83" s="451" t="str">
        <f t="shared" si="14"/>
        <v/>
      </c>
    </row>
    <row r="84" spans="1:26" x14ac:dyDescent="0.35">
      <c r="A84" s="438">
        <v>45695</v>
      </c>
      <c r="B84" s="446">
        <v>108.63</v>
      </c>
      <c r="C84" s="439" t="s">
        <v>383</v>
      </c>
      <c r="D84" s="439" t="s">
        <v>606</v>
      </c>
      <c r="E84" s="439" t="s">
        <v>752</v>
      </c>
      <c r="F84" s="439" t="s">
        <v>581</v>
      </c>
      <c r="G84" s="440" t="b">
        <f>IF(A84="","",IF(Daten!$AE$4=0,TRUE,MONTH(A84)=Daten!$AE$4))</f>
        <v>1</v>
      </c>
      <c r="H84" s="454" t="s">
        <v>419</v>
      </c>
      <c r="I84" s="440" t="s">
        <v>78</v>
      </c>
      <c r="J84" s="440"/>
      <c r="K84" s="439" t="s">
        <v>637</v>
      </c>
      <c r="L84" s="452"/>
      <c r="M84" s="448" t="str">
        <f t="shared" si="15"/>
        <v/>
      </c>
      <c r="N84" s="448" t="str">
        <f t="shared" si="0"/>
        <v/>
      </c>
      <c r="O84" s="448" t="str">
        <f t="shared" si="1"/>
        <v/>
      </c>
      <c r="P84" s="448" t="str">
        <f t="shared" si="2"/>
        <v/>
      </c>
      <c r="Q84" s="448" t="str">
        <f t="shared" si="3"/>
        <v/>
      </c>
      <c r="R84" s="448" t="str">
        <f t="shared" si="4"/>
        <v/>
      </c>
      <c r="S84" s="448">
        <v>108.63</v>
      </c>
      <c r="T84" s="448" t="str">
        <f>IF(OR(A84="", B84=""), "", IF(H84="Unterhaltung", ABS(B84), ""))</f>
        <v/>
      </c>
      <c r="U84" s="448" t="str">
        <f t="shared" si="6"/>
        <v/>
      </c>
      <c r="V84" s="448" t="str">
        <f t="shared" si="13"/>
        <v/>
      </c>
      <c r="W84" s="448" t="str">
        <f t="shared" si="8"/>
        <v/>
      </c>
      <c r="X84" s="448" t="str">
        <f t="shared" si="9"/>
        <v/>
      </c>
      <c r="Y84" s="448" t="str">
        <f t="shared" si="10"/>
        <v/>
      </c>
      <c r="Z84" s="449" t="str">
        <f t="shared" si="14"/>
        <v/>
      </c>
    </row>
    <row r="85" spans="1:26" x14ac:dyDescent="0.35">
      <c r="A85" s="441">
        <v>45702</v>
      </c>
      <c r="B85" s="447">
        <v>84.18</v>
      </c>
      <c r="C85" s="442" t="s">
        <v>383</v>
      </c>
      <c r="D85" s="442" t="s">
        <v>606</v>
      </c>
      <c r="E85" s="442" t="s">
        <v>750</v>
      </c>
      <c r="F85" s="442" t="s">
        <v>581</v>
      </c>
      <c r="G85" s="443" t="b">
        <f>IF(A85="","",IF(Daten!$AE$4=0,TRUE,MONTH(A85)=Daten!$AE$4))</f>
        <v>1</v>
      </c>
      <c r="H85" s="454" t="s">
        <v>299</v>
      </c>
      <c r="I85" s="443" t="s">
        <v>78</v>
      </c>
      <c r="J85" s="443"/>
      <c r="K85" s="442" t="s">
        <v>637</v>
      </c>
      <c r="L85" s="453"/>
      <c r="M85" s="450" t="str">
        <f t="shared" si="15"/>
        <v/>
      </c>
      <c r="N85" s="450" t="str">
        <f t="shared" si="0"/>
        <v/>
      </c>
      <c r="O85" s="450" t="str">
        <f t="shared" si="1"/>
        <v/>
      </c>
      <c r="P85" s="450" t="str">
        <f t="shared" si="2"/>
        <v/>
      </c>
      <c r="Q85" s="450" t="str">
        <f t="shared" si="3"/>
        <v/>
      </c>
      <c r="R85" s="450" t="str">
        <f t="shared" si="4"/>
        <v/>
      </c>
      <c r="S85" s="450">
        <v>84.18</v>
      </c>
      <c r="T85" s="450" t="str">
        <f>IF(OR(A85="", B85=""), "", IF(H85="Unterhaltung", ABS(B85), ""))</f>
        <v/>
      </c>
      <c r="U85" s="450" t="str">
        <f t="shared" si="6"/>
        <v/>
      </c>
      <c r="V85" s="450" t="str">
        <f t="shared" si="13"/>
        <v/>
      </c>
      <c r="W85" s="450" t="str">
        <f t="shared" si="8"/>
        <v/>
      </c>
      <c r="X85" s="450" t="str">
        <f t="shared" si="9"/>
        <v/>
      </c>
      <c r="Y85" s="450" t="str">
        <f t="shared" si="10"/>
        <v/>
      </c>
      <c r="Z85" s="451" t="str">
        <f t="shared" si="14"/>
        <v/>
      </c>
    </row>
    <row r="86" spans="1:26" ht="43.5" x14ac:dyDescent="0.35">
      <c r="A86" s="438">
        <v>45705</v>
      </c>
      <c r="B86" s="446">
        <v>112.57</v>
      </c>
      <c r="C86" s="439" t="s">
        <v>618</v>
      </c>
      <c r="D86" s="439" t="s">
        <v>594</v>
      </c>
      <c r="E86" s="439" t="s">
        <v>746</v>
      </c>
      <c r="F86" s="439" t="s">
        <v>581</v>
      </c>
      <c r="G86" s="440" t="b">
        <f>IF(A86="","",IF(Daten!$AE$4=0,TRUE,MONTH(A86)=Daten!$AE$4))</f>
        <v>1</v>
      </c>
      <c r="H86" s="455" t="s">
        <v>304</v>
      </c>
      <c r="I86" s="440" t="s">
        <v>78</v>
      </c>
      <c r="J86" s="440"/>
      <c r="K86" s="439" t="s">
        <v>637</v>
      </c>
      <c r="L86" s="452" t="s">
        <v>784</v>
      </c>
      <c r="M86" s="448" t="str">
        <f t="shared" si="15"/>
        <v/>
      </c>
      <c r="N86" s="448" t="str">
        <f t="shared" si="0"/>
        <v/>
      </c>
      <c r="O86" s="448" t="str">
        <f t="shared" si="1"/>
        <v/>
      </c>
      <c r="P86" s="448" t="str">
        <f t="shared" si="2"/>
        <v/>
      </c>
      <c r="Q86" s="448" t="str">
        <f t="shared" si="3"/>
        <v/>
      </c>
      <c r="R86" s="448" t="str">
        <f t="shared" si="4"/>
        <v/>
      </c>
      <c r="S86" s="448">
        <v>112.57</v>
      </c>
      <c r="T86" s="448" t="str">
        <f>IF(OR(A86="", B86=""), "", IF(H86="Unterhaltung", ABS(B86), ""))</f>
        <v/>
      </c>
      <c r="U86" s="448" t="str">
        <f t="shared" si="6"/>
        <v/>
      </c>
      <c r="V86" s="448" t="str">
        <f t="shared" si="13"/>
        <v/>
      </c>
      <c r="W86" s="448" t="str">
        <f t="shared" si="8"/>
        <v/>
      </c>
      <c r="X86" s="448" t="str">
        <f t="shared" si="9"/>
        <v/>
      </c>
      <c r="Y86" s="448" t="str">
        <f t="shared" si="10"/>
        <v/>
      </c>
      <c r="Z86" s="449" t="str">
        <f t="shared" si="14"/>
        <v/>
      </c>
    </row>
    <row r="87" spans="1:26" x14ac:dyDescent="0.35">
      <c r="A87" s="441">
        <v>45705</v>
      </c>
      <c r="B87" s="447">
        <v>150</v>
      </c>
      <c r="C87" s="442" t="s">
        <v>618</v>
      </c>
      <c r="D87" s="442" t="s">
        <v>594</v>
      </c>
      <c r="E87" s="442" t="s">
        <v>747</v>
      </c>
      <c r="F87" s="442" t="s">
        <v>581</v>
      </c>
      <c r="G87" s="443" t="b">
        <f>IF(A87="","",IF(Daten!$AE$4=0,TRUE,MONTH(A87)=Daten!$AE$4))</f>
        <v>1</v>
      </c>
      <c r="H87" s="454" t="s">
        <v>425</v>
      </c>
      <c r="I87" s="443" t="s">
        <v>78</v>
      </c>
      <c r="J87" s="443"/>
      <c r="K87" s="442" t="s">
        <v>637</v>
      </c>
      <c r="L87" s="453"/>
      <c r="M87" s="450" t="str">
        <f t="shared" si="15"/>
        <v/>
      </c>
      <c r="N87" s="450" t="str">
        <f t="shared" si="0"/>
        <v/>
      </c>
      <c r="O87" s="450" t="str">
        <f t="shared" si="1"/>
        <v/>
      </c>
      <c r="P87" s="450" t="str">
        <f t="shared" si="2"/>
        <v/>
      </c>
      <c r="Q87" s="450" t="str">
        <f t="shared" si="3"/>
        <v/>
      </c>
      <c r="R87" s="450" t="str">
        <f t="shared" si="4"/>
        <v/>
      </c>
      <c r="S87" s="450">
        <v>150</v>
      </c>
      <c r="T87" s="450" t="str">
        <f>IF(OR(A87="", B87=""), "", IF(H87="Unterhaltung", ABS(B87), ""))</f>
        <v/>
      </c>
      <c r="U87" s="450" t="str">
        <f t="shared" si="6"/>
        <v/>
      </c>
      <c r="V87" s="450" t="str">
        <f t="shared" si="13"/>
        <v/>
      </c>
      <c r="W87" s="450" t="str">
        <f t="shared" si="8"/>
        <v/>
      </c>
      <c r="X87" s="450" t="str">
        <f t="shared" si="9"/>
        <v/>
      </c>
      <c r="Y87" s="450" t="str">
        <f t="shared" si="10"/>
        <v/>
      </c>
      <c r="Z87" s="451" t="str">
        <f t="shared" si="14"/>
        <v/>
      </c>
    </row>
    <row r="88" spans="1:26" x14ac:dyDescent="0.35">
      <c r="A88" s="438">
        <v>45705</v>
      </c>
      <c r="B88" s="446">
        <v>-59.94</v>
      </c>
      <c r="C88" s="439" t="s">
        <v>579</v>
      </c>
      <c r="D88" s="439" t="s">
        <v>580</v>
      </c>
      <c r="E88" s="439" t="s">
        <v>748</v>
      </c>
      <c r="F88" s="439" t="s">
        <v>576</v>
      </c>
      <c r="G88" s="440" t="b">
        <f>IF(A88="","",IF(Daten!$AE$4=0,TRUE,MONTH(A88)=Daten!$AE$4))</f>
        <v>1</v>
      </c>
      <c r="H88" s="454" t="s">
        <v>389</v>
      </c>
      <c r="I88" s="440" t="s">
        <v>78</v>
      </c>
      <c r="J88" s="440"/>
      <c r="K88" s="439" t="s">
        <v>637</v>
      </c>
      <c r="L88" s="452"/>
      <c r="M88" s="448" t="str">
        <f t="shared" si="15"/>
        <v/>
      </c>
      <c r="N88" s="448" t="str">
        <f t="shared" si="0"/>
        <v/>
      </c>
      <c r="O88" s="448" t="str">
        <f t="shared" si="1"/>
        <v/>
      </c>
      <c r="P88" s="448" t="str">
        <f t="shared" si="2"/>
        <v/>
      </c>
      <c r="Q88" s="448" t="str">
        <f t="shared" si="3"/>
        <v/>
      </c>
      <c r="R88" s="448" t="str">
        <f t="shared" si="4"/>
        <v/>
      </c>
      <c r="S88" s="448" t="str">
        <f>IF(OR(A88="", B88=""), "", IF(H88="Sonstige Einnahmen", ABS(B88), ""))</f>
        <v/>
      </c>
      <c r="T88" s="448">
        <v>-59.94</v>
      </c>
      <c r="U88" s="448" t="str">
        <f t="shared" si="6"/>
        <v/>
      </c>
      <c r="V88" s="448" t="str">
        <f t="shared" si="13"/>
        <v/>
      </c>
      <c r="W88" s="448" t="str">
        <f t="shared" si="8"/>
        <v/>
      </c>
      <c r="X88" s="448" t="str">
        <f t="shared" si="9"/>
        <v/>
      </c>
      <c r="Y88" s="448" t="str">
        <f t="shared" si="10"/>
        <v/>
      </c>
      <c r="Z88" s="449" t="str">
        <f t="shared" si="14"/>
        <v/>
      </c>
    </row>
    <row r="89" spans="1:26" x14ac:dyDescent="0.35">
      <c r="A89" s="441">
        <v>45705</v>
      </c>
      <c r="B89" s="447">
        <v>76.75</v>
      </c>
      <c r="C89" s="442" t="s">
        <v>618</v>
      </c>
      <c r="D89" s="442" t="s">
        <v>594</v>
      </c>
      <c r="E89" s="442" t="s">
        <v>749</v>
      </c>
      <c r="F89" s="442" t="s">
        <v>599</v>
      </c>
      <c r="G89" s="443" t="b">
        <f>IF(A89="","",IF(Daten!$AE$4=0,TRUE,MONTH(A89)=Daten!$AE$4))</f>
        <v>1</v>
      </c>
      <c r="H89" s="454" t="s">
        <v>299</v>
      </c>
      <c r="I89" s="443" t="s">
        <v>78</v>
      </c>
      <c r="J89" s="443"/>
      <c r="K89" s="442" t="s">
        <v>637</v>
      </c>
      <c r="L89" s="453"/>
      <c r="M89" s="450" t="str">
        <f t="shared" si="15"/>
        <v/>
      </c>
      <c r="N89" s="450" t="str">
        <f t="shared" si="0"/>
        <v/>
      </c>
      <c r="O89" s="450" t="str">
        <f t="shared" si="1"/>
        <v/>
      </c>
      <c r="P89" s="450" t="str">
        <f t="shared" si="2"/>
        <v/>
      </c>
      <c r="Q89" s="450" t="str">
        <f t="shared" si="3"/>
        <v/>
      </c>
      <c r="R89" s="450" t="str">
        <f t="shared" si="4"/>
        <v/>
      </c>
      <c r="S89" s="450">
        <v>76.75</v>
      </c>
      <c r="T89" s="450" t="str">
        <f t="shared" ref="T89:T100" si="16">IF(OR(A89="", B89=""), "", IF(H89="Unterhaltung", ABS(B89), ""))</f>
        <v/>
      </c>
      <c r="U89" s="450" t="str">
        <f t="shared" si="6"/>
        <v/>
      </c>
      <c r="V89" s="450" t="str">
        <f t="shared" si="13"/>
        <v/>
      </c>
      <c r="W89" s="450" t="str">
        <f t="shared" si="8"/>
        <v/>
      </c>
      <c r="X89" s="450" t="str">
        <f t="shared" si="9"/>
        <v/>
      </c>
      <c r="Y89" s="450" t="str">
        <f t="shared" si="10"/>
        <v/>
      </c>
      <c r="Z89" s="451" t="str">
        <f t="shared" si="14"/>
        <v/>
      </c>
    </row>
    <row r="90" spans="1:26" x14ac:dyDescent="0.35">
      <c r="A90" s="438">
        <v>45706</v>
      </c>
      <c r="B90" s="446">
        <v>15</v>
      </c>
      <c r="C90" s="439" t="s">
        <v>571</v>
      </c>
      <c r="D90" s="439" t="s">
        <v>572</v>
      </c>
      <c r="E90" s="439" t="s">
        <v>636</v>
      </c>
      <c r="F90" s="439" t="s">
        <v>570</v>
      </c>
      <c r="G90" s="440" t="b">
        <f>IF(A90="","",IF(Daten!$AE$4=0,TRUE,MONTH(A90)=Daten!$AE$4))</f>
        <v>1</v>
      </c>
      <c r="H90" s="454" t="s">
        <v>415</v>
      </c>
      <c r="I90" s="440" t="s">
        <v>78</v>
      </c>
      <c r="J90" s="440"/>
      <c r="K90" s="439" t="s">
        <v>637</v>
      </c>
      <c r="L90" s="452"/>
      <c r="M90" s="448" t="str">
        <f t="shared" si="15"/>
        <v/>
      </c>
      <c r="N90" s="448" t="str">
        <f t="shared" si="0"/>
        <v/>
      </c>
      <c r="O90" s="448" t="str">
        <f t="shared" si="1"/>
        <v/>
      </c>
      <c r="P90" s="448" t="str">
        <f t="shared" si="2"/>
        <v/>
      </c>
      <c r="Q90" s="448" t="str">
        <f t="shared" si="3"/>
        <v/>
      </c>
      <c r="R90" s="448" t="str">
        <f t="shared" si="4"/>
        <v/>
      </c>
      <c r="S90" s="448">
        <v>15</v>
      </c>
      <c r="T90" s="448" t="str">
        <f t="shared" si="16"/>
        <v/>
      </c>
      <c r="U90" s="448" t="str">
        <f t="shared" si="6"/>
        <v/>
      </c>
      <c r="V90" s="448" t="str">
        <f t="shared" si="13"/>
        <v/>
      </c>
      <c r="W90" s="448" t="str">
        <f t="shared" si="8"/>
        <v/>
      </c>
      <c r="X90" s="448" t="str">
        <f t="shared" si="9"/>
        <v/>
      </c>
      <c r="Y90" s="448" t="str">
        <f t="shared" si="10"/>
        <v/>
      </c>
      <c r="Z90" s="449" t="str">
        <f t="shared" si="14"/>
        <v/>
      </c>
    </row>
    <row r="91" spans="1:26" ht="58" x14ac:dyDescent="0.35">
      <c r="A91" s="441">
        <v>45706</v>
      </c>
      <c r="B91" s="447">
        <v>326.2</v>
      </c>
      <c r="C91" s="442" t="s">
        <v>595</v>
      </c>
      <c r="D91" s="442" t="s">
        <v>596</v>
      </c>
      <c r="E91" s="442" t="s">
        <v>745</v>
      </c>
      <c r="F91" s="442" t="s">
        <v>581</v>
      </c>
      <c r="G91" s="443" t="b">
        <f>IF(A91="","",IF(Daten!$AE$4=0,TRUE,MONTH(A91)=Daten!$AE$4))</f>
        <v>1</v>
      </c>
      <c r="H91" s="455" t="s">
        <v>302</v>
      </c>
      <c r="I91" s="443" t="s">
        <v>78</v>
      </c>
      <c r="J91" s="443"/>
      <c r="K91" s="442" t="s">
        <v>637</v>
      </c>
      <c r="L91" s="453" t="s">
        <v>785</v>
      </c>
      <c r="M91" s="450" t="str">
        <f t="shared" si="15"/>
        <v/>
      </c>
      <c r="N91" s="450" t="str">
        <f t="shared" si="0"/>
        <v/>
      </c>
      <c r="O91" s="450" t="str">
        <f t="shared" si="1"/>
        <v/>
      </c>
      <c r="P91" s="450" t="str">
        <f t="shared" si="2"/>
        <v/>
      </c>
      <c r="Q91" s="450" t="str">
        <f t="shared" si="3"/>
        <v/>
      </c>
      <c r="R91" s="450" t="str">
        <f t="shared" si="4"/>
        <v/>
      </c>
      <c r="S91" s="450">
        <v>326.2</v>
      </c>
      <c r="T91" s="450" t="str">
        <f t="shared" si="16"/>
        <v/>
      </c>
      <c r="U91" s="450" t="str">
        <f t="shared" si="6"/>
        <v/>
      </c>
      <c r="V91" s="450" t="str">
        <f t="shared" si="13"/>
        <v/>
      </c>
      <c r="W91" s="450" t="str">
        <f t="shared" si="8"/>
        <v/>
      </c>
      <c r="X91" s="450" t="str">
        <f t="shared" si="9"/>
        <v/>
      </c>
      <c r="Y91" s="450" t="str">
        <f t="shared" si="10"/>
        <v/>
      </c>
      <c r="Z91" s="451" t="str">
        <f t="shared" si="14"/>
        <v/>
      </c>
    </row>
    <row r="92" spans="1:26" x14ac:dyDescent="0.35">
      <c r="A92" s="438">
        <v>45707</v>
      </c>
      <c r="B92" s="446">
        <v>112.57</v>
      </c>
      <c r="C92" s="439" t="s">
        <v>603</v>
      </c>
      <c r="D92" s="439" t="s">
        <v>604</v>
      </c>
      <c r="E92" s="439" t="s">
        <v>744</v>
      </c>
      <c r="F92" s="439" t="s">
        <v>581</v>
      </c>
      <c r="G92" s="440" t="b">
        <f>IF(A92="","",IF(Daten!$AE$4=0,TRUE,MONTH(A92)=Daten!$AE$4))</f>
        <v>1</v>
      </c>
      <c r="H92" s="454" t="s">
        <v>304</v>
      </c>
      <c r="I92" s="440" t="s">
        <v>78</v>
      </c>
      <c r="J92" s="440"/>
      <c r="K92" s="439" t="s">
        <v>637</v>
      </c>
      <c r="L92" s="452"/>
      <c r="M92" s="448" t="str">
        <f t="shared" si="15"/>
        <v/>
      </c>
      <c r="N92" s="448" t="str">
        <f t="shared" ref="N92:N155" si="17">IF(OR(A92="", B92=""), "", IF(H92="Spenden", ABS(B92), ""))</f>
        <v/>
      </c>
      <c r="O92" s="448" t="str">
        <f t="shared" ref="O92:O155" si="18">IF(OR(A92="", B92=""), "", IF(H92="Zuschüsse", ABS(B92), ""))</f>
        <v/>
      </c>
      <c r="P92" s="448" t="str">
        <f t="shared" ref="P92:P155" si="19">IF(OR(A92="", B92=""), "", IF(H92="Verwaltung", ABS(B92), ""))</f>
        <v/>
      </c>
      <c r="Q92" s="448" t="str">
        <f t="shared" ref="Q92:Q155" si="20">IF(OR(A92="", B92=""), "", IF(H92="Vermögen", ABS(B92), ""))</f>
        <v/>
      </c>
      <c r="R92" s="448" t="str">
        <f t="shared" ref="R92:R155" si="21">IF(OR(A92="", B92=""), "", IF(H92="Vermögen", ABS(B92), ""))</f>
        <v/>
      </c>
      <c r="S92" s="448">
        <v>112.57</v>
      </c>
      <c r="T92" s="448" t="str">
        <f t="shared" si="16"/>
        <v/>
      </c>
      <c r="U92" s="448" t="str">
        <f t="shared" ref="U92:U155" si="22">IF(OR(A92="", B92=""), "", IF(H92="Fortbildung", ABS(B92), ""))</f>
        <v/>
      </c>
      <c r="V92" s="448" t="str">
        <f t="shared" ref="V92:V123" si="23">IF(OR(A92="", B92=""), "", IF(H92="Veranstaltungen Ausgabe", ABS(B92), ""))</f>
        <v/>
      </c>
      <c r="W92" s="448" t="str">
        <f t="shared" ref="W92:W155" si="24">IF(OR(A92="", B92=""), "", IF(H92="Bürobetrieb", ABS(B92), ""))</f>
        <v/>
      </c>
      <c r="X92" s="448" t="str">
        <f t="shared" ref="X92:X155" si="25">IF(OR(A92="", B92=""), "", IF(H92="Aufwandsentschädigungen", ABS(B92), ""))</f>
        <v/>
      </c>
      <c r="Y92" s="448" t="str">
        <f t="shared" ref="Y92:Y155" si="26">IF(OR(A92="", B92=""), "", IF(H92="Sonstige Ausgaben", ABS(B92), ""))</f>
        <v/>
      </c>
      <c r="Z92" s="449" t="str">
        <f t="shared" ref="Z92:Z123" si="27">IF(OR(A92="", B92=""), "", IF(H92="Kasse-Auszahlung", ABS(B92), ""))</f>
        <v/>
      </c>
    </row>
    <row r="93" spans="1:26" x14ac:dyDescent="0.35">
      <c r="A93" s="441">
        <v>45708</v>
      </c>
      <c r="B93" s="447">
        <v>112.57</v>
      </c>
      <c r="C93" s="442" t="s">
        <v>51</v>
      </c>
      <c r="D93" s="442" t="s">
        <v>589</v>
      </c>
      <c r="E93" s="442" t="s">
        <v>742</v>
      </c>
      <c r="F93" s="442" t="s">
        <v>581</v>
      </c>
      <c r="G93" s="443" t="b">
        <f>IF(A93="","",IF(Daten!$AE$4=0,TRUE,MONTH(A93)=Daten!$AE$4))</f>
        <v>1</v>
      </c>
      <c r="H93" s="454" t="s">
        <v>302</v>
      </c>
      <c r="I93" s="443" t="s">
        <v>78</v>
      </c>
      <c r="J93" s="443"/>
      <c r="K93" s="442" t="s">
        <v>637</v>
      </c>
      <c r="L93" s="453"/>
      <c r="M93" s="450" t="str">
        <f t="shared" si="15"/>
        <v/>
      </c>
      <c r="N93" s="450" t="str">
        <f t="shared" si="17"/>
        <v/>
      </c>
      <c r="O93" s="450" t="str">
        <f t="shared" si="18"/>
        <v/>
      </c>
      <c r="P93" s="450" t="str">
        <f t="shared" si="19"/>
        <v/>
      </c>
      <c r="Q93" s="450" t="str">
        <f t="shared" si="20"/>
        <v/>
      </c>
      <c r="R93" s="450" t="str">
        <f t="shared" si="21"/>
        <v/>
      </c>
      <c r="S93" s="450">
        <v>112.57</v>
      </c>
      <c r="T93" s="450" t="str">
        <f t="shared" si="16"/>
        <v/>
      </c>
      <c r="U93" s="450" t="str">
        <f t="shared" si="22"/>
        <v/>
      </c>
      <c r="V93" s="450" t="str">
        <f t="shared" si="23"/>
        <v/>
      </c>
      <c r="W93" s="450" t="str">
        <f t="shared" si="24"/>
        <v/>
      </c>
      <c r="X93" s="450" t="str">
        <f t="shared" si="25"/>
        <v/>
      </c>
      <c r="Y93" s="450" t="str">
        <f t="shared" si="26"/>
        <v/>
      </c>
      <c r="Z93" s="451" t="str">
        <f t="shared" si="27"/>
        <v/>
      </c>
    </row>
    <row r="94" spans="1:26" x14ac:dyDescent="0.35">
      <c r="A94" s="438">
        <v>45708</v>
      </c>
      <c r="B94" s="446">
        <v>136.09</v>
      </c>
      <c r="C94" s="439" t="s">
        <v>51</v>
      </c>
      <c r="D94" s="439" t="s">
        <v>589</v>
      </c>
      <c r="E94" s="439" t="s">
        <v>743</v>
      </c>
      <c r="F94" s="439" t="s">
        <v>581</v>
      </c>
      <c r="G94" s="440" t="b">
        <f>IF(A94="","",IF(Daten!$AE$4=0,TRUE,MONTH(A94)=Daten!$AE$4))</f>
        <v>1</v>
      </c>
      <c r="H94" s="454" t="s">
        <v>299</v>
      </c>
      <c r="I94" s="440" t="s">
        <v>78</v>
      </c>
      <c r="J94" s="440"/>
      <c r="K94" s="439" t="s">
        <v>637</v>
      </c>
      <c r="L94" s="452"/>
      <c r="M94" s="448" t="str">
        <f t="shared" si="15"/>
        <v/>
      </c>
      <c r="N94" s="448" t="str">
        <f t="shared" si="17"/>
        <v/>
      </c>
      <c r="O94" s="448" t="str">
        <f t="shared" si="18"/>
        <v/>
      </c>
      <c r="P94" s="448" t="str">
        <f t="shared" si="19"/>
        <v/>
      </c>
      <c r="Q94" s="448" t="str">
        <f t="shared" si="20"/>
        <v/>
      </c>
      <c r="R94" s="448" t="str">
        <f t="shared" si="21"/>
        <v/>
      </c>
      <c r="S94" s="448">
        <v>136.09</v>
      </c>
      <c r="T94" s="448" t="str">
        <f t="shared" si="16"/>
        <v/>
      </c>
      <c r="U94" s="448" t="str">
        <f t="shared" si="22"/>
        <v/>
      </c>
      <c r="V94" s="448" t="str">
        <f t="shared" si="23"/>
        <v/>
      </c>
      <c r="W94" s="448" t="str">
        <f t="shared" si="24"/>
        <v/>
      </c>
      <c r="X94" s="448" t="str">
        <f t="shared" si="25"/>
        <v/>
      </c>
      <c r="Y94" s="448" t="str">
        <f t="shared" si="26"/>
        <v/>
      </c>
      <c r="Z94" s="449" t="str">
        <f t="shared" si="27"/>
        <v/>
      </c>
    </row>
    <row r="95" spans="1:26" x14ac:dyDescent="0.35">
      <c r="A95" s="441">
        <v>45713</v>
      </c>
      <c r="B95" s="447">
        <v>45.14</v>
      </c>
      <c r="C95" s="442" t="s">
        <v>592</v>
      </c>
      <c r="D95" s="442" t="s">
        <v>593</v>
      </c>
      <c r="E95" s="442" t="s">
        <v>741</v>
      </c>
      <c r="F95" s="442" t="s">
        <v>581</v>
      </c>
      <c r="G95" s="443" t="b">
        <f>IF(A95="","",IF(Daten!$AE$4=0,TRUE,MONTH(A95)=Daten!$AE$4))</f>
        <v>1</v>
      </c>
      <c r="H95" s="454" t="s">
        <v>299</v>
      </c>
      <c r="I95" s="443" t="s">
        <v>78</v>
      </c>
      <c r="J95" s="443"/>
      <c r="K95" s="442" t="s">
        <v>637</v>
      </c>
      <c r="L95" s="453"/>
      <c r="M95" s="450" t="str">
        <f t="shared" si="15"/>
        <v/>
      </c>
      <c r="N95" s="450" t="str">
        <f t="shared" si="17"/>
        <v/>
      </c>
      <c r="O95" s="450" t="str">
        <f t="shared" si="18"/>
        <v/>
      </c>
      <c r="P95" s="450" t="str">
        <f t="shared" si="19"/>
        <v/>
      </c>
      <c r="Q95" s="450" t="str">
        <f t="shared" si="20"/>
        <v/>
      </c>
      <c r="R95" s="450" t="str">
        <f t="shared" si="21"/>
        <v/>
      </c>
      <c r="S95" s="450">
        <v>45.14</v>
      </c>
      <c r="T95" s="450" t="str">
        <f t="shared" si="16"/>
        <v/>
      </c>
      <c r="U95" s="450" t="str">
        <f t="shared" si="22"/>
        <v/>
      </c>
      <c r="V95" s="450" t="str">
        <f t="shared" si="23"/>
        <v/>
      </c>
      <c r="W95" s="450" t="str">
        <f t="shared" si="24"/>
        <v/>
      </c>
      <c r="X95" s="450" t="str">
        <f t="shared" si="25"/>
        <v/>
      </c>
      <c r="Y95" s="450" t="str">
        <f t="shared" si="26"/>
        <v/>
      </c>
      <c r="Z95" s="451" t="str">
        <f t="shared" si="27"/>
        <v/>
      </c>
    </row>
    <row r="96" spans="1:26" x14ac:dyDescent="0.35">
      <c r="A96" s="438">
        <v>45713</v>
      </c>
      <c r="B96" s="446">
        <v>15</v>
      </c>
      <c r="C96" s="439" t="s">
        <v>603</v>
      </c>
      <c r="D96" s="439" t="s">
        <v>604</v>
      </c>
      <c r="E96" s="439" t="s">
        <v>666</v>
      </c>
      <c r="F96" s="439" t="s">
        <v>570</v>
      </c>
      <c r="G96" s="440" t="b">
        <f>IF(A96="","",IF(Daten!$AE$4=0,TRUE,MONTH(A96)=Daten!$AE$4))</f>
        <v>1</v>
      </c>
      <c r="H96" s="454" t="s">
        <v>415</v>
      </c>
      <c r="I96" s="440" t="s">
        <v>78</v>
      </c>
      <c r="J96" s="440"/>
      <c r="K96" s="439" t="s">
        <v>637</v>
      </c>
      <c r="L96" s="452"/>
      <c r="M96" s="448" t="str">
        <f t="shared" si="15"/>
        <v/>
      </c>
      <c r="N96" s="448" t="str">
        <f t="shared" si="17"/>
        <v/>
      </c>
      <c r="O96" s="448" t="str">
        <f t="shared" si="18"/>
        <v/>
      </c>
      <c r="P96" s="448" t="str">
        <f t="shared" si="19"/>
        <v/>
      </c>
      <c r="Q96" s="448" t="str">
        <f t="shared" si="20"/>
        <v/>
      </c>
      <c r="R96" s="448" t="str">
        <f t="shared" si="21"/>
        <v/>
      </c>
      <c r="S96" s="448">
        <v>15</v>
      </c>
      <c r="T96" s="448" t="str">
        <f t="shared" si="16"/>
        <v/>
      </c>
      <c r="U96" s="448" t="str">
        <f t="shared" si="22"/>
        <v/>
      </c>
      <c r="V96" s="448" t="str">
        <f t="shared" si="23"/>
        <v/>
      </c>
      <c r="W96" s="448" t="str">
        <f t="shared" si="24"/>
        <v/>
      </c>
      <c r="X96" s="448" t="str">
        <f t="shared" si="25"/>
        <v/>
      </c>
      <c r="Y96" s="448" t="str">
        <f t="shared" si="26"/>
        <v/>
      </c>
      <c r="Z96" s="449" t="str">
        <f t="shared" si="27"/>
        <v/>
      </c>
    </row>
    <row r="97" spans="1:26" x14ac:dyDescent="0.35">
      <c r="A97" s="441">
        <v>45714</v>
      </c>
      <c r="B97" s="447">
        <v>120</v>
      </c>
      <c r="C97" s="442" t="s">
        <v>592</v>
      </c>
      <c r="D97" s="442" t="s">
        <v>593</v>
      </c>
      <c r="E97" s="442" t="s">
        <v>740</v>
      </c>
      <c r="F97" s="442" t="s">
        <v>581</v>
      </c>
      <c r="G97" s="443" t="b">
        <f>IF(A97="","",IF(Daten!$AE$4=0,TRUE,MONTH(A97)=Daten!$AE$4))</f>
        <v>1</v>
      </c>
      <c r="H97" s="454" t="s">
        <v>425</v>
      </c>
      <c r="I97" s="443" t="s">
        <v>78</v>
      </c>
      <c r="J97" s="443"/>
      <c r="K97" s="442" t="s">
        <v>637</v>
      </c>
      <c r="L97" s="453"/>
      <c r="M97" s="450" t="str">
        <f t="shared" si="15"/>
        <v/>
      </c>
      <c r="N97" s="450" t="str">
        <f t="shared" si="17"/>
        <v/>
      </c>
      <c r="O97" s="450" t="str">
        <f t="shared" si="18"/>
        <v/>
      </c>
      <c r="P97" s="450" t="str">
        <f t="shared" si="19"/>
        <v/>
      </c>
      <c r="Q97" s="450" t="str">
        <f t="shared" si="20"/>
        <v/>
      </c>
      <c r="R97" s="450" t="str">
        <f t="shared" si="21"/>
        <v/>
      </c>
      <c r="S97" s="450">
        <v>120</v>
      </c>
      <c r="T97" s="450" t="str">
        <f t="shared" si="16"/>
        <v/>
      </c>
      <c r="U97" s="450" t="str">
        <f t="shared" si="22"/>
        <v/>
      </c>
      <c r="V97" s="450" t="str">
        <f t="shared" si="23"/>
        <v/>
      </c>
      <c r="W97" s="450" t="str">
        <f t="shared" si="24"/>
        <v/>
      </c>
      <c r="X97" s="450" t="str">
        <f t="shared" si="25"/>
        <v/>
      </c>
      <c r="Y97" s="450" t="str">
        <f t="shared" si="26"/>
        <v/>
      </c>
      <c r="Z97" s="451" t="str">
        <f t="shared" si="27"/>
        <v/>
      </c>
    </row>
    <row r="98" spans="1:26" x14ac:dyDescent="0.35">
      <c r="A98" s="438">
        <v>45714</v>
      </c>
      <c r="B98" s="446">
        <v>7.5</v>
      </c>
      <c r="C98" s="439" t="s">
        <v>609</v>
      </c>
      <c r="D98" s="439" t="s">
        <v>610</v>
      </c>
      <c r="E98" s="439" t="s">
        <v>665</v>
      </c>
      <c r="F98" s="439" t="s">
        <v>570</v>
      </c>
      <c r="G98" s="440" t="b">
        <f>IF(A98="","",IF(Daten!$AE$4=0,TRUE,MONTH(A98)=Daten!$AE$4))</f>
        <v>1</v>
      </c>
      <c r="H98" s="454" t="s">
        <v>306</v>
      </c>
      <c r="I98" s="440" t="s">
        <v>78</v>
      </c>
      <c r="J98" s="440"/>
      <c r="K98" s="439" t="s">
        <v>637</v>
      </c>
      <c r="L98" s="452"/>
      <c r="M98" s="448">
        <v>7.5</v>
      </c>
      <c r="N98" s="448" t="str">
        <f t="shared" si="17"/>
        <v/>
      </c>
      <c r="O98" s="448" t="str">
        <f t="shared" si="18"/>
        <v/>
      </c>
      <c r="P98" s="448" t="str">
        <f t="shared" si="19"/>
        <v/>
      </c>
      <c r="Q98" s="448" t="str">
        <f t="shared" si="20"/>
        <v/>
      </c>
      <c r="R98" s="448" t="str">
        <f t="shared" si="21"/>
        <v/>
      </c>
      <c r="S98" s="448" t="str">
        <f>IF(OR(A98="", B98=""), "", IF(H98="Sonstige Einnahmen", ABS(B98), ""))</f>
        <v/>
      </c>
      <c r="T98" s="448" t="str">
        <f t="shared" si="16"/>
        <v/>
      </c>
      <c r="U98" s="448" t="str">
        <f t="shared" si="22"/>
        <v/>
      </c>
      <c r="V98" s="448" t="str">
        <f t="shared" si="23"/>
        <v/>
      </c>
      <c r="W98" s="448" t="str">
        <f t="shared" si="24"/>
        <v/>
      </c>
      <c r="X98" s="448" t="str">
        <f t="shared" si="25"/>
        <v/>
      </c>
      <c r="Y98" s="448" t="str">
        <f t="shared" si="26"/>
        <v/>
      </c>
      <c r="Z98" s="449" t="str">
        <f t="shared" si="27"/>
        <v/>
      </c>
    </row>
    <row r="99" spans="1:26" x14ac:dyDescent="0.35">
      <c r="A99" s="441">
        <v>45715</v>
      </c>
      <c r="B99" s="447">
        <v>7.5</v>
      </c>
      <c r="C99" s="442" t="s">
        <v>603</v>
      </c>
      <c r="D99" s="442" t="s">
        <v>604</v>
      </c>
      <c r="E99" s="442" t="s">
        <v>664</v>
      </c>
      <c r="F99" s="442" t="s">
        <v>570</v>
      </c>
      <c r="G99" s="443" t="b">
        <f>IF(A99="","",IF(Daten!$AE$4=0,TRUE,MONTH(A99)=Daten!$AE$4))</f>
        <v>1</v>
      </c>
      <c r="H99" s="454" t="s">
        <v>306</v>
      </c>
      <c r="I99" s="443" t="s">
        <v>78</v>
      </c>
      <c r="J99" s="443"/>
      <c r="K99" s="442" t="s">
        <v>637</v>
      </c>
      <c r="L99" s="453"/>
      <c r="M99" s="450">
        <v>7.5</v>
      </c>
      <c r="N99" s="450" t="str">
        <f t="shared" si="17"/>
        <v/>
      </c>
      <c r="O99" s="450" t="str">
        <f t="shared" si="18"/>
        <v/>
      </c>
      <c r="P99" s="450" t="str">
        <f t="shared" si="19"/>
        <v/>
      </c>
      <c r="Q99" s="450" t="str">
        <f t="shared" si="20"/>
        <v/>
      </c>
      <c r="R99" s="450" t="str">
        <f t="shared" si="21"/>
        <v/>
      </c>
      <c r="S99" s="450" t="str">
        <f>IF(OR(A99="", B99=""), "", IF(H99="Sonstige Einnahmen", ABS(B99), ""))</f>
        <v/>
      </c>
      <c r="T99" s="450" t="str">
        <f t="shared" si="16"/>
        <v/>
      </c>
      <c r="U99" s="450" t="str">
        <f t="shared" si="22"/>
        <v/>
      </c>
      <c r="V99" s="450" t="str">
        <f t="shared" si="23"/>
        <v/>
      </c>
      <c r="W99" s="450" t="str">
        <f t="shared" si="24"/>
        <v/>
      </c>
      <c r="X99" s="450" t="str">
        <f t="shared" si="25"/>
        <v/>
      </c>
      <c r="Y99" s="450" t="str">
        <f t="shared" si="26"/>
        <v/>
      </c>
      <c r="Z99" s="451" t="str">
        <f t="shared" si="27"/>
        <v/>
      </c>
    </row>
    <row r="100" spans="1:26" x14ac:dyDescent="0.35">
      <c r="A100" s="438">
        <v>45716</v>
      </c>
      <c r="B100" s="446">
        <v>15</v>
      </c>
      <c r="C100" s="439" t="s">
        <v>597</v>
      </c>
      <c r="D100" s="439" t="s">
        <v>598</v>
      </c>
      <c r="E100" s="439" t="s">
        <v>306</v>
      </c>
      <c r="F100" s="439" t="s">
        <v>570</v>
      </c>
      <c r="G100" s="440" t="b">
        <f>IF(A100="","",IF(Daten!$AE$4=0,TRUE,MONTH(A100)=Daten!$AE$4))</f>
        <v>1</v>
      </c>
      <c r="H100" s="454" t="s">
        <v>306</v>
      </c>
      <c r="I100" s="440" t="s">
        <v>78</v>
      </c>
      <c r="J100" s="440"/>
      <c r="K100" s="439" t="s">
        <v>637</v>
      </c>
      <c r="L100" s="452"/>
      <c r="M100" s="448">
        <v>15</v>
      </c>
      <c r="N100" s="448" t="str">
        <f t="shared" si="17"/>
        <v/>
      </c>
      <c r="O100" s="448" t="str">
        <f t="shared" si="18"/>
        <v/>
      </c>
      <c r="P100" s="448" t="str">
        <f t="shared" si="19"/>
        <v/>
      </c>
      <c r="Q100" s="448" t="str">
        <f t="shared" si="20"/>
        <v/>
      </c>
      <c r="R100" s="448" t="str">
        <f t="shared" si="21"/>
        <v/>
      </c>
      <c r="S100" s="448" t="str">
        <f>IF(OR(A100="", B100=""), "", IF(H100="Sonstige Einnahmen", ABS(B100), ""))</f>
        <v/>
      </c>
      <c r="T100" s="448" t="str">
        <f t="shared" si="16"/>
        <v/>
      </c>
      <c r="U100" s="448" t="str">
        <f t="shared" si="22"/>
        <v/>
      </c>
      <c r="V100" s="448" t="str">
        <f t="shared" si="23"/>
        <v/>
      </c>
      <c r="W100" s="448" t="str">
        <f t="shared" si="24"/>
        <v/>
      </c>
      <c r="X100" s="448" t="str">
        <f t="shared" si="25"/>
        <v/>
      </c>
      <c r="Y100" s="448" t="str">
        <f t="shared" si="26"/>
        <v/>
      </c>
      <c r="Z100" s="449" t="str">
        <f t="shared" si="27"/>
        <v/>
      </c>
    </row>
    <row r="101" spans="1:26" x14ac:dyDescent="0.35">
      <c r="A101" s="441">
        <v>45716</v>
      </c>
      <c r="B101" s="447">
        <v>-80.12</v>
      </c>
      <c r="C101" s="442" t="s">
        <v>611</v>
      </c>
      <c r="D101" s="442" t="s">
        <v>612</v>
      </c>
      <c r="E101" s="442" t="s">
        <v>739</v>
      </c>
      <c r="F101" s="442" t="s">
        <v>624</v>
      </c>
      <c r="G101" s="443" t="b">
        <f>IF(A101="","",IF(Daten!$AE$4=0,TRUE,MONTH(A101)=Daten!$AE$4))</f>
        <v>1</v>
      </c>
      <c r="H101" s="454" t="s">
        <v>390</v>
      </c>
      <c r="I101" s="443" t="s">
        <v>78</v>
      </c>
      <c r="J101" s="443"/>
      <c r="K101" s="442" t="s">
        <v>637</v>
      </c>
      <c r="L101" s="453"/>
      <c r="M101" s="450" t="str">
        <f>IF(OR(A101="", B101=""), "", IF(H101="Mitgliedsbeiträge", ABS(B101), ""))</f>
        <v/>
      </c>
      <c r="N101" s="450" t="str">
        <f t="shared" si="17"/>
        <v/>
      </c>
      <c r="O101" s="450" t="str">
        <f t="shared" si="18"/>
        <v/>
      </c>
      <c r="P101" s="450" t="str">
        <f t="shared" si="19"/>
        <v/>
      </c>
      <c r="Q101" s="450" t="str">
        <f t="shared" si="20"/>
        <v/>
      </c>
      <c r="R101" s="450" t="str">
        <f t="shared" si="21"/>
        <v/>
      </c>
      <c r="S101" s="450" t="str">
        <f>IF(OR(A101="", B101=""), "", IF(H101="Sonstige Einnahmen", ABS(B101), ""))</f>
        <v/>
      </c>
      <c r="T101" s="450">
        <v>-80.12</v>
      </c>
      <c r="U101" s="450" t="str">
        <f t="shared" si="22"/>
        <v/>
      </c>
      <c r="V101" s="450" t="str">
        <f t="shared" si="23"/>
        <v/>
      </c>
      <c r="W101" s="450" t="str">
        <f t="shared" si="24"/>
        <v/>
      </c>
      <c r="X101" s="450" t="str">
        <f t="shared" si="25"/>
        <v/>
      </c>
      <c r="Y101" s="450" t="str">
        <f t="shared" si="26"/>
        <v/>
      </c>
      <c r="Z101" s="451" t="str">
        <f t="shared" si="27"/>
        <v/>
      </c>
    </row>
    <row r="102" spans="1:26" x14ac:dyDescent="0.35">
      <c r="A102" s="438">
        <v>45719</v>
      </c>
      <c r="B102" s="446">
        <v>15</v>
      </c>
      <c r="C102" s="439" t="s">
        <v>622</v>
      </c>
      <c r="D102" s="439" t="s">
        <v>623</v>
      </c>
      <c r="E102" s="439" t="s">
        <v>719</v>
      </c>
      <c r="F102" s="439" t="s">
        <v>570</v>
      </c>
      <c r="G102" s="440" t="b">
        <f>IF(A102="","",IF(Daten!$AE$4=0,TRUE,MONTH(A102)=Daten!$AE$4))</f>
        <v>1</v>
      </c>
      <c r="H102" s="454" t="s">
        <v>306</v>
      </c>
      <c r="I102" s="440" t="s">
        <v>77</v>
      </c>
      <c r="J102" s="440"/>
      <c r="K102" s="439" t="s">
        <v>637</v>
      </c>
      <c r="L102" s="452"/>
      <c r="M102" s="448">
        <v>15</v>
      </c>
      <c r="N102" s="448" t="str">
        <f t="shared" si="17"/>
        <v/>
      </c>
      <c r="O102" s="448" t="str">
        <f t="shared" si="18"/>
        <v/>
      </c>
      <c r="P102" s="448" t="str">
        <f t="shared" si="19"/>
        <v/>
      </c>
      <c r="Q102" s="448" t="str">
        <f t="shared" si="20"/>
        <v/>
      </c>
      <c r="R102" s="448" t="str">
        <f t="shared" si="21"/>
        <v/>
      </c>
      <c r="S102" s="448" t="str">
        <f>IF(OR(A102="", B102=""), "", IF(H102="Sonstige Einnahmen", ABS(B102), ""))</f>
        <v/>
      </c>
      <c r="T102" s="448" t="str">
        <f t="shared" ref="T102:T127" si="28">IF(OR(A102="", B102=""), "", IF(H102="Unterhaltung", ABS(B102), ""))</f>
        <v/>
      </c>
      <c r="U102" s="448" t="str">
        <f t="shared" si="22"/>
        <v/>
      </c>
      <c r="V102" s="448" t="str">
        <f t="shared" si="23"/>
        <v/>
      </c>
      <c r="W102" s="448" t="str">
        <f t="shared" si="24"/>
        <v/>
      </c>
      <c r="X102" s="448" t="str">
        <f t="shared" si="25"/>
        <v/>
      </c>
      <c r="Y102" s="448" t="str">
        <f t="shared" si="26"/>
        <v/>
      </c>
      <c r="Z102" s="449" t="str">
        <f t="shared" si="27"/>
        <v/>
      </c>
    </row>
    <row r="103" spans="1:26" x14ac:dyDescent="0.35">
      <c r="A103" s="441">
        <v>45719</v>
      </c>
      <c r="B103" s="447">
        <v>15</v>
      </c>
      <c r="C103" s="442" t="s">
        <v>51</v>
      </c>
      <c r="D103" s="442" t="s">
        <v>589</v>
      </c>
      <c r="E103" s="442" t="s">
        <v>384</v>
      </c>
      <c r="F103" s="442" t="s">
        <v>570</v>
      </c>
      <c r="G103" s="443" t="b">
        <f>IF(A103="","",IF(Daten!$AE$4=0,TRUE,MONTH(A103)=Daten!$AE$4))</f>
        <v>1</v>
      </c>
      <c r="H103" s="454" t="s">
        <v>415</v>
      </c>
      <c r="I103" s="443" t="s">
        <v>77</v>
      </c>
      <c r="J103" s="443"/>
      <c r="K103" s="442" t="s">
        <v>637</v>
      </c>
      <c r="L103" s="453"/>
      <c r="M103" s="450" t="str">
        <f>IF(OR(A103="", B103=""), "", IF(H103="Mitgliedsbeiträge", ABS(B103), ""))</f>
        <v/>
      </c>
      <c r="N103" s="450" t="str">
        <f t="shared" si="17"/>
        <v/>
      </c>
      <c r="O103" s="450" t="str">
        <f t="shared" si="18"/>
        <v/>
      </c>
      <c r="P103" s="450" t="str">
        <f t="shared" si="19"/>
        <v/>
      </c>
      <c r="Q103" s="450" t="str">
        <f t="shared" si="20"/>
        <v/>
      </c>
      <c r="R103" s="450" t="str">
        <f t="shared" si="21"/>
        <v/>
      </c>
      <c r="S103" s="450">
        <v>15</v>
      </c>
      <c r="T103" s="450" t="str">
        <f t="shared" si="28"/>
        <v/>
      </c>
      <c r="U103" s="450" t="str">
        <f t="shared" si="22"/>
        <v/>
      </c>
      <c r="V103" s="450" t="str">
        <f t="shared" si="23"/>
        <v/>
      </c>
      <c r="W103" s="450" t="str">
        <f t="shared" si="24"/>
        <v/>
      </c>
      <c r="X103" s="450" t="str">
        <f t="shared" si="25"/>
        <v/>
      </c>
      <c r="Y103" s="450" t="str">
        <f t="shared" si="26"/>
        <v/>
      </c>
      <c r="Z103" s="451" t="str">
        <f t="shared" si="27"/>
        <v/>
      </c>
    </row>
    <row r="104" spans="1:26" x14ac:dyDescent="0.35">
      <c r="A104" s="438">
        <v>45719</v>
      </c>
      <c r="B104" s="446">
        <v>7.5</v>
      </c>
      <c r="C104" s="439" t="s">
        <v>51</v>
      </c>
      <c r="D104" s="439" t="s">
        <v>589</v>
      </c>
      <c r="E104" s="439" t="s">
        <v>646</v>
      </c>
      <c r="F104" s="439" t="s">
        <v>570</v>
      </c>
      <c r="G104" s="440" t="b">
        <f>IF(A104="","",IF(Daten!$AE$4=0,TRUE,MONTH(A104)=Daten!$AE$4))</f>
        <v>1</v>
      </c>
      <c r="H104" s="454" t="s">
        <v>306</v>
      </c>
      <c r="I104" s="440" t="s">
        <v>77</v>
      </c>
      <c r="J104" s="440"/>
      <c r="K104" s="439" t="s">
        <v>637</v>
      </c>
      <c r="L104" s="452"/>
      <c r="M104" s="448">
        <v>7.5</v>
      </c>
      <c r="N104" s="448" t="str">
        <f t="shared" si="17"/>
        <v/>
      </c>
      <c r="O104" s="448" t="str">
        <f t="shared" si="18"/>
        <v/>
      </c>
      <c r="P104" s="448" t="str">
        <f t="shared" si="19"/>
        <v/>
      </c>
      <c r="Q104" s="448" t="str">
        <f t="shared" si="20"/>
        <v/>
      </c>
      <c r="R104" s="448" t="str">
        <f t="shared" si="21"/>
        <v/>
      </c>
      <c r="S104" s="448" t="str">
        <f>IF(OR(A104="", B104=""), "", IF(H104="Sonstige Einnahmen", ABS(B104), ""))</f>
        <v/>
      </c>
      <c r="T104" s="448" t="str">
        <f t="shared" si="28"/>
        <v/>
      </c>
      <c r="U104" s="448" t="str">
        <f t="shared" si="22"/>
        <v/>
      </c>
      <c r="V104" s="448" t="str">
        <f t="shared" si="23"/>
        <v/>
      </c>
      <c r="W104" s="448" t="str">
        <f t="shared" si="24"/>
        <v/>
      </c>
      <c r="X104" s="448" t="str">
        <f t="shared" si="25"/>
        <v/>
      </c>
      <c r="Y104" s="448" t="str">
        <f t="shared" si="26"/>
        <v/>
      </c>
      <c r="Z104" s="449" t="str">
        <f t="shared" si="27"/>
        <v/>
      </c>
    </row>
    <row r="105" spans="1:26" x14ac:dyDescent="0.35">
      <c r="A105" s="441">
        <v>45719</v>
      </c>
      <c r="B105" s="447">
        <v>15</v>
      </c>
      <c r="C105" s="442" t="s">
        <v>66</v>
      </c>
      <c r="D105" s="442" t="s">
        <v>594</v>
      </c>
      <c r="E105" s="442" t="s">
        <v>653</v>
      </c>
      <c r="F105" s="442" t="s">
        <v>570</v>
      </c>
      <c r="G105" s="443" t="b">
        <f>IF(A105="","",IF(Daten!$AE$4=0,TRUE,MONTH(A105)=Daten!$AE$4))</f>
        <v>1</v>
      </c>
      <c r="H105" s="454" t="s">
        <v>415</v>
      </c>
      <c r="I105" s="443" t="s">
        <v>77</v>
      </c>
      <c r="J105" s="443"/>
      <c r="K105" s="442" t="s">
        <v>637</v>
      </c>
      <c r="L105" s="453"/>
      <c r="M105" s="450" t="str">
        <f>IF(OR(A105="", B105=""), "", IF(H105="Mitgliedsbeiträge", ABS(B105), ""))</f>
        <v/>
      </c>
      <c r="N105" s="450" t="str">
        <f t="shared" si="17"/>
        <v/>
      </c>
      <c r="O105" s="450" t="str">
        <f t="shared" si="18"/>
        <v/>
      </c>
      <c r="P105" s="450" t="str">
        <f t="shared" si="19"/>
        <v/>
      </c>
      <c r="Q105" s="450" t="str">
        <f t="shared" si="20"/>
        <v/>
      </c>
      <c r="R105" s="450" t="str">
        <f t="shared" si="21"/>
        <v/>
      </c>
      <c r="S105" s="450">
        <v>15</v>
      </c>
      <c r="T105" s="450" t="str">
        <f t="shared" si="28"/>
        <v/>
      </c>
      <c r="U105" s="450" t="str">
        <f t="shared" si="22"/>
        <v/>
      </c>
      <c r="V105" s="450" t="str">
        <f t="shared" si="23"/>
        <v/>
      </c>
      <c r="W105" s="450" t="str">
        <f t="shared" si="24"/>
        <v/>
      </c>
      <c r="X105" s="450" t="str">
        <f t="shared" si="25"/>
        <v/>
      </c>
      <c r="Y105" s="450" t="str">
        <f t="shared" si="26"/>
        <v/>
      </c>
      <c r="Z105" s="451" t="str">
        <f t="shared" si="27"/>
        <v/>
      </c>
    </row>
    <row r="106" spans="1:26" x14ac:dyDescent="0.35">
      <c r="A106" s="438">
        <v>45719</v>
      </c>
      <c r="B106" s="446">
        <v>15</v>
      </c>
      <c r="C106" s="439" t="s">
        <v>597</v>
      </c>
      <c r="D106" s="439" t="s">
        <v>598</v>
      </c>
      <c r="E106" s="439" t="s">
        <v>385</v>
      </c>
      <c r="F106" s="439" t="s">
        <v>570</v>
      </c>
      <c r="G106" s="440" t="b">
        <f>IF(A106="","",IF(Daten!$AE$4=0,TRUE,MONTH(A106)=Daten!$AE$4))</f>
        <v>1</v>
      </c>
      <c r="H106" s="454" t="s">
        <v>415</v>
      </c>
      <c r="I106" s="440" t="s">
        <v>77</v>
      </c>
      <c r="J106" s="440"/>
      <c r="K106" s="439" t="s">
        <v>637</v>
      </c>
      <c r="L106" s="452"/>
      <c r="M106" s="448" t="str">
        <f>IF(OR(A106="", B106=""), "", IF(H106="Mitgliedsbeiträge", ABS(B106), ""))</f>
        <v/>
      </c>
      <c r="N106" s="448" t="str">
        <f t="shared" si="17"/>
        <v/>
      </c>
      <c r="O106" s="448" t="str">
        <f t="shared" si="18"/>
        <v/>
      </c>
      <c r="P106" s="448" t="str">
        <f t="shared" si="19"/>
        <v/>
      </c>
      <c r="Q106" s="448" t="str">
        <f t="shared" si="20"/>
        <v/>
      </c>
      <c r="R106" s="448" t="str">
        <f t="shared" si="21"/>
        <v/>
      </c>
      <c r="S106" s="448">
        <v>15</v>
      </c>
      <c r="T106" s="448" t="str">
        <f t="shared" si="28"/>
        <v/>
      </c>
      <c r="U106" s="448" t="str">
        <f t="shared" si="22"/>
        <v/>
      </c>
      <c r="V106" s="448" t="str">
        <f t="shared" si="23"/>
        <v/>
      </c>
      <c r="W106" s="448" t="str">
        <f t="shared" si="24"/>
        <v/>
      </c>
      <c r="X106" s="448" t="str">
        <f t="shared" si="25"/>
        <v/>
      </c>
      <c r="Y106" s="448" t="str">
        <f t="shared" si="26"/>
        <v/>
      </c>
      <c r="Z106" s="449" t="str">
        <f t="shared" si="27"/>
        <v/>
      </c>
    </row>
    <row r="107" spans="1:26" x14ac:dyDescent="0.35">
      <c r="A107" s="441">
        <v>45719</v>
      </c>
      <c r="B107" s="447">
        <v>15</v>
      </c>
      <c r="C107" s="442" t="s">
        <v>595</v>
      </c>
      <c r="D107" s="442" t="s">
        <v>596</v>
      </c>
      <c r="E107" s="442" t="s">
        <v>656</v>
      </c>
      <c r="F107" s="442" t="s">
        <v>570</v>
      </c>
      <c r="G107" s="443" t="b">
        <f>IF(A107="","",IF(Daten!$AE$4=0,TRUE,MONTH(A107)=Daten!$AE$4))</f>
        <v>1</v>
      </c>
      <c r="H107" s="454" t="s">
        <v>306</v>
      </c>
      <c r="I107" s="443" t="s">
        <v>77</v>
      </c>
      <c r="J107" s="443"/>
      <c r="K107" s="442" t="s">
        <v>637</v>
      </c>
      <c r="L107" s="453"/>
      <c r="M107" s="450">
        <v>15</v>
      </c>
      <c r="N107" s="450" t="str">
        <f t="shared" si="17"/>
        <v/>
      </c>
      <c r="O107" s="450" t="str">
        <f t="shared" si="18"/>
        <v/>
      </c>
      <c r="P107" s="450" t="str">
        <f t="shared" si="19"/>
        <v/>
      </c>
      <c r="Q107" s="450" t="str">
        <f t="shared" si="20"/>
        <v/>
      </c>
      <c r="R107" s="450" t="str">
        <f t="shared" si="21"/>
        <v/>
      </c>
      <c r="S107" s="450" t="str">
        <f>IF(OR(A107="", B107=""), "", IF(H107="Sonstige Einnahmen", ABS(B107), ""))</f>
        <v/>
      </c>
      <c r="T107" s="450" t="str">
        <f t="shared" si="28"/>
        <v/>
      </c>
      <c r="U107" s="450" t="str">
        <f t="shared" si="22"/>
        <v/>
      </c>
      <c r="V107" s="450" t="str">
        <f t="shared" si="23"/>
        <v/>
      </c>
      <c r="W107" s="450" t="str">
        <f t="shared" si="24"/>
        <v/>
      </c>
      <c r="X107" s="450" t="str">
        <f t="shared" si="25"/>
        <v/>
      </c>
      <c r="Y107" s="450" t="str">
        <f t="shared" si="26"/>
        <v/>
      </c>
      <c r="Z107" s="451" t="str">
        <f t="shared" si="27"/>
        <v/>
      </c>
    </row>
    <row r="108" spans="1:26" x14ac:dyDescent="0.35">
      <c r="A108" s="438">
        <v>45719</v>
      </c>
      <c r="B108" s="446">
        <v>15</v>
      </c>
      <c r="C108" s="439" t="s">
        <v>595</v>
      </c>
      <c r="D108" s="439" t="s">
        <v>596</v>
      </c>
      <c r="E108" s="439" t="s">
        <v>654</v>
      </c>
      <c r="F108" s="439" t="s">
        <v>570</v>
      </c>
      <c r="G108" s="440" t="b">
        <f>IF(A108="","",IF(Daten!$AE$4=0,TRUE,MONTH(A108)=Daten!$AE$4))</f>
        <v>1</v>
      </c>
      <c r="H108" s="454" t="s">
        <v>415</v>
      </c>
      <c r="I108" s="440" t="s">
        <v>77</v>
      </c>
      <c r="J108" s="440"/>
      <c r="K108" s="439" t="s">
        <v>637</v>
      </c>
      <c r="L108" s="452"/>
      <c r="M108" s="448" t="str">
        <f>IF(OR(A108="", B108=""), "", IF(H108="Mitgliedsbeiträge", ABS(B108), ""))</f>
        <v/>
      </c>
      <c r="N108" s="448" t="str">
        <f t="shared" si="17"/>
        <v/>
      </c>
      <c r="O108" s="448" t="str">
        <f t="shared" si="18"/>
        <v/>
      </c>
      <c r="P108" s="448" t="str">
        <f t="shared" si="19"/>
        <v/>
      </c>
      <c r="Q108" s="448" t="str">
        <f t="shared" si="20"/>
        <v/>
      </c>
      <c r="R108" s="448" t="str">
        <f t="shared" si="21"/>
        <v/>
      </c>
      <c r="S108" s="448">
        <v>15</v>
      </c>
      <c r="T108" s="448" t="str">
        <f t="shared" si="28"/>
        <v/>
      </c>
      <c r="U108" s="448" t="str">
        <f t="shared" si="22"/>
        <v/>
      </c>
      <c r="V108" s="448" t="str">
        <f t="shared" si="23"/>
        <v/>
      </c>
      <c r="W108" s="448" t="str">
        <f t="shared" si="24"/>
        <v/>
      </c>
      <c r="X108" s="448" t="str">
        <f t="shared" si="25"/>
        <v/>
      </c>
      <c r="Y108" s="448" t="str">
        <f t="shared" si="26"/>
        <v/>
      </c>
      <c r="Z108" s="449" t="str">
        <f t="shared" si="27"/>
        <v/>
      </c>
    </row>
    <row r="109" spans="1:26" x14ac:dyDescent="0.35">
      <c r="A109" s="441">
        <v>45719</v>
      </c>
      <c r="B109" s="447">
        <v>7.5</v>
      </c>
      <c r="C109" s="442" t="s">
        <v>66</v>
      </c>
      <c r="D109" s="442" t="s">
        <v>594</v>
      </c>
      <c r="E109" s="442" t="s">
        <v>652</v>
      </c>
      <c r="F109" s="442" t="s">
        <v>570</v>
      </c>
      <c r="G109" s="443" t="b">
        <f>IF(A109="","",IF(Daten!$AE$4=0,TRUE,MONTH(A109)=Daten!$AE$4))</f>
        <v>1</v>
      </c>
      <c r="H109" s="454" t="s">
        <v>306</v>
      </c>
      <c r="I109" s="443" t="s">
        <v>77</v>
      </c>
      <c r="J109" s="443"/>
      <c r="K109" s="442" t="s">
        <v>637</v>
      </c>
      <c r="L109" s="453"/>
      <c r="M109" s="450">
        <v>7.5</v>
      </c>
      <c r="N109" s="450" t="str">
        <f t="shared" si="17"/>
        <v/>
      </c>
      <c r="O109" s="450" t="str">
        <f t="shared" si="18"/>
        <v/>
      </c>
      <c r="P109" s="450" t="str">
        <f t="shared" si="19"/>
        <v/>
      </c>
      <c r="Q109" s="450" t="str">
        <f t="shared" si="20"/>
        <v/>
      </c>
      <c r="R109" s="450" t="str">
        <f t="shared" si="21"/>
        <v/>
      </c>
      <c r="S109" s="450" t="str">
        <f>IF(OR(A109="", B109=""), "", IF(H109="Sonstige Einnahmen", ABS(B109), ""))</f>
        <v/>
      </c>
      <c r="T109" s="450" t="str">
        <f t="shared" si="28"/>
        <v/>
      </c>
      <c r="U109" s="450" t="str">
        <f t="shared" si="22"/>
        <v/>
      </c>
      <c r="V109" s="450" t="str">
        <f t="shared" si="23"/>
        <v/>
      </c>
      <c r="W109" s="450" t="str">
        <f t="shared" si="24"/>
        <v/>
      </c>
      <c r="X109" s="450" t="str">
        <f t="shared" si="25"/>
        <v/>
      </c>
      <c r="Y109" s="450" t="str">
        <f t="shared" si="26"/>
        <v/>
      </c>
      <c r="Z109" s="451" t="str">
        <f t="shared" si="27"/>
        <v/>
      </c>
    </row>
    <row r="110" spans="1:26" x14ac:dyDescent="0.35">
      <c r="A110" s="438">
        <v>45719</v>
      </c>
      <c r="B110" s="446">
        <v>7.5</v>
      </c>
      <c r="C110" s="439" t="s">
        <v>56</v>
      </c>
      <c r="D110" s="439" t="s">
        <v>602</v>
      </c>
      <c r="E110" s="439" t="s">
        <v>386</v>
      </c>
      <c r="F110" s="439" t="s">
        <v>570</v>
      </c>
      <c r="G110" s="440" t="b">
        <f>IF(A110="","",IF(Daten!$AE$4=0,TRUE,MONTH(A110)=Daten!$AE$4))</f>
        <v>1</v>
      </c>
      <c r="H110" s="454" t="s">
        <v>306</v>
      </c>
      <c r="I110" s="440" t="s">
        <v>77</v>
      </c>
      <c r="J110" s="440"/>
      <c r="K110" s="439" t="s">
        <v>637</v>
      </c>
      <c r="L110" s="452"/>
      <c r="M110" s="448">
        <v>7.5</v>
      </c>
      <c r="N110" s="448" t="str">
        <f t="shared" si="17"/>
        <v/>
      </c>
      <c r="O110" s="448" t="str">
        <f t="shared" si="18"/>
        <v/>
      </c>
      <c r="P110" s="448" t="str">
        <f t="shared" si="19"/>
        <v/>
      </c>
      <c r="Q110" s="448" t="str">
        <f t="shared" si="20"/>
        <v/>
      </c>
      <c r="R110" s="448" t="str">
        <f t="shared" si="21"/>
        <v/>
      </c>
      <c r="S110" s="448" t="str">
        <f>IF(OR(A110="", B110=""), "", IF(H110="Sonstige Einnahmen", ABS(B110), ""))</f>
        <v/>
      </c>
      <c r="T110" s="448" t="str">
        <f t="shared" si="28"/>
        <v/>
      </c>
      <c r="U110" s="448" t="str">
        <f t="shared" si="22"/>
        <v/>
      </c>
      <c r="V110" s="448" t="str">
        <f t="shared" si="23"/>
        <v/>
      </c>
      <c r="W110" s="448" t="str">
        <f t="shared" si="24"/>
        <v/>
      </c>
      <c r="X110" s="448" t="str">
        <f t="shared" si="25"/>
        <v/>
      </c>
      <c r="Y110" s="448" t="str">
        <f t="shared" si="26"/>
        <v/>
      </c>
      <c r="Z110" s="449" t="str">
        <f t="shared" si="27"/>
        <v/>
      </c>
    </row>
    <row r="111" spans="1:26" ht="58" x14ac:dyDescent="0.35">
      <c r="A111" s="441">
        <v>45719</v>
      </c>
      <c r="B111" s="447">
        <v>15</v>
      </c>
      <c r="C111" s="442" t="s">
        <v>56</v>
      </c>
      <c r="D111" s="442" t="s">
        <v>602</v>
      </c>
      <c r="E111" s="442" t="s">
        <v>657</v>
      </c>
      <c r="F111" s="442" t="s">
        <v>570</v>
      </c>
      <c r="G111" s="443" t="b">
        <f>IF(A111="","",IF(Daten!$AE$4=0,TRUE,MONTH(A111)=Daten!$AE$4))</f>
        <v>1</v>
      </c>
      <c r="H111" s="455" t="s">
        <v>463</v>
      </c>
      <c r="I111" s="443" t="s">
        <v>77</v>
      </c>
      <c r="J111" s="443"/>
      <c r="K111" s="442" t="s">
        <v>637</v>
      </c>
      <c r="L111" s="453" t="s">
        <v>781</v>
      </c>
      <c r="M111" s="450" t="str">
        <f>IF(OR(A111="", B111=""), "", IF(H111="Mitgliedsbeiträge", ABS(B111), ""))</f>
        <v/>
      </c>
      <c r="N111" s="450" t="str">
        <f t="shared" si="17"/>
        <v/>
      </c>
      <c r="O111" s="450" t="str">
        <f t="shared" si="18"/>
        <v/>
      </c>
      <c r="P111" s="450" t="str">
        <f t="shared" si="19"/>
        <v/>
      </c>
      <c r="Q111" s="450" t="str">
        <f t="shared" si="20"/>
        <v/>
      </c>
      <c r="R111" s="450" t="str">
        <f t="shared" si="21"/>
        <v/>
      </c>
      <c r="S111" s="450">
        <v>15</v>
      </c>
      <c r="T111" s="450" t="str">
        <f t="shared" si="28"/>
        <v/>
      </c>
      <c r="U111" s="450" t="str">
        <f t="shared" si="22"/>
        <v/>
      </c>
      <c r="V111" s="450" t="str">
        <f t="shared" si="23"/>
        <v/>
      </c>
      <c r="W111" s="450" t="str">
        <f t="shared" si="24"/>
        <v/>
      </c>
      <c r="X111" s="450" t="str">
        <f t="shared" si="25"/>
        <v/>
      </c>
      <c r="Y111" s="450" t="str">
        <f t="shared" si="26"/>
        <v/>
      </c>
      <c r="Z111" s="451" t="str">
        <f t="shared" si="27"/>
        <v/>
      </c>
    </row>
    <row r="112" spans="1:26" x14ac:dyDescent="0.35">
      <c r="A112" s="438">
        <v>45719</v>
      </c>
      <c r="B112" s="446">
        <v>120</v>
      </c>
      <c r="C112" s="439" t="s">
        <v>603</v>
      </c>
      <c r="D112" s="439" t="s">
        <v>604</v>
      </c>
      <c r="E112" s="439" t="s">
        <v>658</v>
      </c>
      <c r="F112" s="439" t="s">
        <v>570</v>
      </c>
      <c r="G112" s="440" t="b">
        <f>IF(A112="","",IF(Daten!$AE$4=0,TRUE,MONTH(A112)=Daten!$AE$4))</f>
        <v>1</v>
      </c>
      <c r="H112" s="454" t="s">
        <v>425</v>
      </c>
      <c r="I112" s="440" t="s">
        <v>77</v>
      </c>
      <c r="J112" s="440"/>
      <c r="K112" s="439" t="s">
        <v>637</v>
      </c>
      <c r="L112" s="452"/>
      <c r="M112" s="448" t="str">
        <f>IF(OR(A112="", B112=""), "", IF(H112="Mitgliedsbeiträge", ABS(B112), ""))</f>
        <v/>
      </c>
      <c r="N112" s="448" t="str">
        <f t="shared" si="17"/>
        <v/>
      </c>
      <c r="O112" s="448" t="str">
        <f t="shared" si="18"/>
        <v/>
      </c>
      <c r="P112" s="448" t="str">
        <f t="shared" si="19"/>
        <v/>
      </c>
      <c r="Q112" s="448" t="str">
        <f t="shared" si="20"/>
        <v/>
      </c>
      <c r="R112" s="448" t="str">
        <f t="shared" si="21"/>
        <v/>
      </c>
      <c r="S112" s="448">
        <v>120</v>
      </c>
      <c r="T112" s="448" t="str">
        <f t="shared" si="28"/>
        <v/>
      </c>
      <c r="U112" s="448" t="str">
        <f t="shared" si="22"/>
        <v/>
      </c>
      <c r="V112" s="448" t="str">
        <f t="shared" si="23"/>
        <v/>
      </c>
      <c r="W112" s="448" t="str">
        <f t="shared" si="24"/>
        <v/>
      </c>
      <c r="X112" s="448" t="str">
        <f t="shared" si="25"/>
        <v/>
      </c>
      <c r="Y112" s="448" t="str">
        <f t="shared" si="26"/>
        <v/>
      </c>
      <c r="Z112" s="449" t="str">
        <f t="shared" si="27"/>
        <v/>
      </c>
    </row>
    <row r="113" spans="1:26" x14ac:dyDescent="0.35">
      <c r="A113" s="441">
        <v>45719</v>
      </c>
      <c r="B113" s="447">
        <v>15</v>
      </c>
      <c r="C113" s="442" t="s">
        <v>622</v>
      </c>
      <c r="D113" s="442" t="s">
        <v>623</v>
      </c>
      <c r="E113" s="442" t="s">
        <v>720</v>
      </c>
      <c r="F113" s="442" t="s">
        <v>570</v>
      </c>
      <c r="G113" s="443" t="b">
        <f>IF(A113="","",IF(Daten!$AE$4=0,TRUE,MONTH(A113)=Daten!$AE$4))</f>
        <v>1</v>
      </c>
      <c r="H113" s="454" t="s">
        <v>415</v>
      </c>
      <c r="I113" s="443" t="s">
        <v>77</v>
      </c>
      <c r="J113" s="443"/>
      <c r="K113" s="442" t="s">
        <v>637</v>
      </c>
      <c r="L113" s="453"/>
      <c r="M113" s="450" t="str">
        <f>IF(OR(A113="", B113=""), "", IF(H113="Mitgliedsbeiträge", ABS(B113), ""))</f>
        <v/>
      </c>
      <c r="N113" s="450" t="str">
        <f t="shared" si="17"/>
        <v/>
      </c>
      <c r="O113" s="450" t="str">
        <f t="shared" si="18"/>
        <v/>
      </c>
      <c r="P113" s="450" t="str">
        <f t="shared" si="19"/>
        <v/>
      </c>
      <c r="Q113" s="450" t="str">
        <f t="shared" si="20"/>
        <v/>
      </c>
      <c r="R113" s="450" t="str">
        <f t="shared" si="21"/>
        <v/>
      </c>
      <c r="S113" s="450">
        <v>15</v>
      </c>
      <c r="T113" s="450" t="str">
        <f t="shared" si="28"/>
        <v/>
      </c>
      <c r="U113" s="450" t="str">
        <f t="shared" si="22"/>
        <v/>
      </c>
      <c r="V113" s="450" t="str">
        <f t="shared" si="23"/>
        <v/>
      </c>
      <c r="W113" s="450" t="str">
        <f t="shared" si="24"/>
        <v/>
      </c>
      <c r="X113" s="450" t="str">
        <f t="shared" si="25"/>
        <v/>
      </c>
      <c r="Y113" s="450" t="str">
        <f t="shared" si="26"/>
        <v/>
      </c>
      <c r="Z113" s="451" t="str">
        <f t="shared" si="27"/>
        <v/>
      </c>
    </row>
    <row r="114" spans="1:26" x14ac:dyDescent="0.35">
      <c r="A114" s="438">
        <v>45719</v>
      </c>
      <c r="B114" s="446">
        <v>15</v>
      </c>
      <c r="C114" s="439" t="s">
        <v>584</v>
      </c>
      <c r="D114" s="439" t="s">
        <v>585</v>
      </c>
      <c r="E114" s="439" t="s">
        <v>655</v>
      </c>
      <c r="F114" s="439" t="s">
        <v>570</v>
      </c>
      <c r="G114" s="440" t="b">
        <f>IF(A114="","",IF(Daten!$AE$4=0,TRUE,MONTH(A114)=Daten!$AE$4))</f>
        <v>1</v>
      </c>
      <c r="H114" s="454" t="s">
        <v>306</v>
      </c>
      <c r="I114" s="440" t="s">
        <v>77</v>
      </c>
      <c r="J114" s="440"/>
      <c r="K114" s="439" t="s">
        <v>637</v>
      </c>
      <c r="L114" s="452"/>
      <c r="M114" s="448">
        <v>15</v>
      </c>
      <c r="N114" s="448" t="str">
        <f t="shared" si="17"/>
        <v/>
      </c>
      <c r="O114" s="448" t="str">
        <f t="shared" si="18"/>
        <v/>
      </c>
      <c r="P114" s="448" t="str">
        <f t="shared" si="19"/>
        <v/>
      </c>
      <c r="Q114" s="448" t="str">
        <f t="shared" si="20"/>
        <v/>
      </c>
      <c r="R114" s="448" t="str">
        <f t="shared" si="21"/>
        <v/>
      </c>
      <c r="S114" s="448" t="str">
        <f>IF(OR(A114="", B114=""), "", IF(H114="Sonstige Einnahmen", ABS(B114), ""))</f>
        <v/>
      </c>
      <c r="T114" s="448" t="str">
        <f t="shared" si="28"/>
        <v/>
      </c>
      <c r="U114" s="448" t="str">
        <f t="shared" si="22"/>
        <v/>
      </c>
      <c r="V114" s="448" t="str">
        <f t="shared" si="23"/>
        <v/>
      </c>
      <c r="W114" s="448" t="str">
        <f t="shared" si="24"/>
        <v/>
      </c>
      <c r="X114" s="448" t="str">
        <f t="shared" si="25"/>
        <v/>
      </c>
      <c r="Y114" s="448" t="str">
        <f t="shared" si="26"/>
        <v/>
      </c>
      <c r="Z114" s="449" t="str">
        <f t="shared" si="27"/>
        <v/>
      </c>
    </row>
    <row r="115" spans="1:26" x14ac:dyDescent="0.35">
      <c r="A115" s="441">
        <v>45719</v>
      </c>
      <c r="B115" s="447">
        <v>15</v>
      </c>
      <c r="C115" s="442" t="s">
        <v>627</v>
      </c>
      <c r="D115" s="442" t="s">
        <v>591</v>
      </c>
      <c r="E115" s="442" t="s">
        <v>647</v>
      </c>
      <c r="F115" s="442" t="s">
        <v>570</v>
      </c>
      <c r="G115" s="443" t="b">
        <f>IF(A115="","",IF(Daten!$AE$4=0,TRUE,MONTH(A115)=Daten!$AE$4))</f>
        <v>1</v>
      </c>
      <c r="H115" s="454" t="s">
        <v>306</v>
      </c>
      <c r="I115" s="443" t="s">
        <v>77</v>
      </c>
      <c r="J115" s="443"/>
      <c r="K115" s="442" t="s">
        <v>637</v>
      </c>
      <c r="L115" s="453"/>
      <c r="M115" s="450">
        <v>15</v>
      </c>
      <c r="N115" s="450" t="str">
        <f t="shared" si="17"/>
        <v/>
      </c>
      <c r="O115" s="450" t="str">
        <f t="shared" si="18"/>
        <v/>
      </c>
      <c r="P115" s="450" t="str">
        <f t="shared" si="19"/>
        <v/>
      </c>
      <c r="Q115" s="450" t="str">
        <f t="shared" si="20"/>
        <v/>
      </c>
      <c r="R115" s="450" t="str">
        <f t="shared" si="21"/>
        <v/>
      </c>
      <c r="S115" s="450" t="str">
        <f>IF(OR(A115="", B115=""), "", IF(H115="Sonstige Einnahmen", ABS(B115), ""))</f>
        <v/>
      </c>
      <c r="T115" s="450" t="str">
        <f t="shared" si="28"/>
        <v/>
      </c>
      <c r="U115" s="450" t="str">
        <f t="shared" si="22"/>
        <v/>
      </c>
      <c r="V115" s="450" t="str">
        <f t="shared" si="23"/>
        <v/>
      </c>
      <c r="W115" s="450" t="str">
        <f t="shared" si="24"/>
        <v/>
      </c>
      <c r="X115" s="450" t="str">
        <f t="shared" si="25"/>
        <v/>
      </c>
      <c r="Y115" s="450" t="str">
        <f t="shared" si="26"/>
        <v/>
      </c>
      <c r="Z115" s="451" t="str">
        <f t="shared" si="27"/>
        <v/>
      </c>
    </row>
    <row r="116" spans="1:26" x14ac:dyDescent="0.35">
      <c r="A116" s="438">
        <v>45719</v>
      </c>
      <c r="B116" s="446">
        <v>15</v>
      </c>
      <c r="C116" s="439" t="s">
        <v>627</v>
      </c>
      <c r="D116" s="439" t="s">
        <v>591</v>
      </c>
      <c r="E116" s="439" t="s">
        <v>659</v>
      </c>
      <c r="F116" s="439" t="s">
        <v>570</v>
      </c>
      <c r="G116" s="440" t="b">
        <f>IF(A116="","",IF(Daten!$AE$4=0,TRUE,MONTH(A116)=Daten!$AE$4))</f>
        <v>1</v>
      </c>
      <c r="H116" s="454" t="s">
        <v>415</v>
      </c>
      <c r="I116" s="440" t="s">
        <v>77</v>
      </c>
      <c r="J116" s="440"/>
      <c r="K116" s="439" t="s">
        <v>637</v>
      </c>
      <c r="L116" s="452"/>
      <c r="M116" s="448" t="str">
        <f>IF(OR(A116="", B116=""), "", IF(H116="Mitgliedsbeiträge", ABS(B116), ""))</f>
        <v/>
      </c>
      <c r="N116" s="448" t="str">
        <f t="shared" si="17"/>
        <v/>
      </c>
      <c r="O116" s="448" t="str">
        <f t="shared" si="18"/>
        <v/>
      </c>
      <c r="P116" s="448" t="str">
        <f t="shared" si="19"/>
        <v/>
      </c>
      <c r="Q116" s="448" t="str">
        <f t="shared" si="20"/>
        <v/>
      </c>
      <c r="R116" s="448" t="str">
        <f t="shared" si="21"/>
        <v/>
      </c>
      <c r="S116" s="448">
        <v>15</v>
      </c>
      <c r="T116" s="448" t="str">
        <f t="shared" si="28"/>
        <v/>
      </c>
      <c r="U116" s="448" t="str">
        <f t="shared" si="22"/>
        <v/>
      </c>
      <c r="V116" s="448" t="str">
        <f t="shared" si="23"/>
        <v/>
      </c>
      <c r="W116" s="448" t="str">
        <f t="shared" si="24"/>
        <v/>
      </c>
      <c r="X116" s="448" t="str">
        <f t="shared" si="25"/>
        <v/>
      </c>
      <c r="Y116" s="448" t="str">
        <f t="shared" si="26"/>
        <v/>
      </c>
      <c r="Z116" s="449" t="str">
        <f t="shared" si="27"/>
        <v/>
      </c>
    </row>
    <row r="117" spans="1:26" x14ac:dyDescent="0.35">
      <c r="A117" s="441">
        <v>45719</v>
      </c>
      <c r="B117" s="447">
        <v>15</v>
      </c>
      <c r="C117" s="442" t="s">
        <v>605</v>
      </c>
      <c r="D117" s="442" t="s">
        <v>606</v>
      </c>
      <c r="E117" s="442" t="s">
        <v>660</v>
      </c>
      <c r="F117" s="442" t="s">
        <v>570</v>
      </c>
      <c r="G117" s="443" t="b">
        <f>IF(A117="","",IF(Daten!$AE$4=0,TRUE,MONTH(A117)=Daten!$AE$4))</f>
        <v>1</v>
      </c>
      <c r="H117" s="454" t="s">
        <v>415</v>
      </c>
      <c r="I117" s="443" t="s">
        <v>77</v>
      </c>
      <c r="J117" s="443"/>
      <c r="K117" s="442" t="s">
        <v>637</v>
      </c>
      <c r="L117" s="453"/>
      <c r="M117" s="450" t="str">
        <f>IF(OR(A117="", B117=""), "", IF(H117="Mitgliedsbeiträge", ABS(B117), ""))</f>
        <v/>
      </c>
      <c r="N117" s="450" t="str">
        <f t="shared" si="17"/>
        <v/>
      </c>
      <c r="O117" s="450" t="str">
        <f t="shared" si="18"/>
        <v/>
      </c>
      <c r="P117" s="450" t="str">
        <f t="shared" si="19"/>
        <v/>
      </c>
      <c r="Q117" s="450" t="str">
        <f t="shared" si="20"/>
        <v/>
      </c>
      <c r="R117" s="450" t="str">
        <f t="shared" si="21"/>
        <v/>
      </c>
      <c r="S117" s="450">
        <v>15</v>
      </c>
      <c r="T117" s="450" t="str">
        <f t="shared" si="28"/>
        <v/>
      </c>
      <c r="U117" s="450" t="str">
        <f t="shared" si="22"/>
        <v/>
      </c>
      <c r="V117" s="450" t="str">
        <f t="shared" si="23"/>
        <v/>
      </c>
      <c r="W117" s="450" t="str">
        <f t="shared" si="24"/>
        <v/>
      </c>
      <c r="X117" s="450" t="str">
        <f t="shared" si="25"/>
        <v/>
      </c>
      <c r="Y117" s="450" t="str">
        <f t="shared" si="26"/>
        <v/>
      </c>
      <c r="Z117" s="451" t="str">
        <f t="shared" si="27"/>
        <v/>
      </c>
    </row>
    <row r="118" spans="1:26" x14ac:dyDescent="0.35">
      <c r="A118" s="438">
        <v>45719</v>
      </c>
      <c r="B118" s="446">
        <v>15</v>
      </c>
      <c r="C118" s="439" t="s">
        <v>605</v>
      </c>
      <c r="D118" s="439" t="s">
        <v>606</v>
      </c>
      <c r="E118" s="439" t="s">
        <v>662</v>
      </c>
      <c r="F118" s="439" t="s">
        <v>570</v>
      </c>
      <c r="G118" s="440" t="b">
        <f>IF(A118="","",IF(Daten!$AE$4=0,TRUE,MONTH(A118)=Daten!$AE$4))</f>
        <v>1</v>
      </c>
      <c r="H118" s="454" t="s">
        <v>306</v>
      </c>
      <c r="I118" s="440" t="s">
        <v>77</v>
      </c>
      <c r="J118" s="440"/>
      <c r="K118" s="439" t="s">
        <v>637</v>
      </c>
      <c r="L118" s="452"/>
      <c r="M118" s="448">
        <v>15</v>
      </c>
      <c r="N118" s="448" t="str">
        <f t="shared" si="17"/>
        <v/>
      </c>
      <c r="O118" s="448" t="str">
        <f t="shared" si="18"/>
        <v/>
      </c>
      <c r="P118" s="448" t="str">
        <f t="shared" si="19"/>
        <v/>
      </c>
      <c r="Q118" s="448" t="str">
        <f t="shared" si="20"/>
        <v/>
      </c>
      <c r="R118" s="448" t="str">
        <f t="shared" si="21"/>
        <v/>
      </c>
      <c r="S118" s="448" t="str">
        <f>IF(OR(A118="", B118=""), "", IF(H118="Sonstige Einnahmen", ABS(B118), ""))</f>
        <v/>
      </c>
      <c r="T118" s="448" t="str">
        <f t="shared" si="28"/>
        <v/>
      </c>
      <c r="U118" s="448" t="str">
        <f t="shared" si="22"/>
        <v/>
      </c>
      <c r="V118" s="448" t="str">
        <f t="shared" si="23"/>
        <v/>
      </c>
      <c r="W118" s="448" t="str">
        <f t="shared" si="24"/>
        <v/>
      </c>
      <c r="X118" s="448" t="str">
        <f t="shared" si="25"/>
        <v/>
      </c>
      <c r="Y118" s="448" t="str">
        <f t="shared" si="26"/>
        <v/>
      </c>
      <c r="Z118" s="449" t="str">
        <f t="shared" si="27"/>
        <v/>
      </c>
    </row>
    <row r="119" spans="1:26" x14ac:dyDescent="0.35">
      <c r="A119" s="441">
        <v>45719</v>
      </c>
      <c r="B119" s="447">
        <v>15</v>
      </c>
      <c r="C119" s="442" t="s">
        <v>607</v>
      </c>
      <c r="D119" s="442" t="s">
        <v>608</v>
      </c>
      <c r="E119" s="442" t="s">
        <v>661</v>
      </c>
      <c r="F119" s="442" t="s">
        <v>570</v>
      </c>
      <c r="G119" s="443" t="b">
        <f>IF(A119="","",IF(Daten!$AE$4=0,TRUE,MONTH(A119)=Daten!$AE$4))</f>
        <v>1</v>
      </c>
      <c r="H119" s="454" t="s">
        <v>306</v>
      </c>
      <c r="I119" s="443" t="s">
        <v>77</v>
      </c>
      <c r="J119" s="443"/>
      <c r="K119" s="442" t="s">
        <v>637</v>
      </c>
      <c r="L119" s="453"/>
      <c r="M119" s="450">
        <v>15</v>
      </c>
      <c r="N119" s="450" t="str">
        <f t="shared" si="17"/>
        <v/>
      </c>
      <c r="O119" s="450" t="str">
        <f t="shared" si="18"/>
        <v/>
      </c>
      <c r="P119" s="450" t="str">
        <f t="shared" si="19"/>
        <v/>
      </c>
      <c r="Q119" s="450" t="str">
        <f t="shared" si="20"/>
        <v/>
      </c>
      <c r="R119" s="450" t="str">
        <f t="shared" si="21"/>
        <v/>
      </c>
      <c r="S119" s="450" t="str">
        <f>IF(OR(A119="", B119=""), "", IF(H119="Sonstige Einnahmen", ABS(B119), ""))</f>
        <v/>
      </c>
      <c r="T119" s="450" t="str">
        <f t="shared" si="28"/>
        <v/>
      </c>
      <c r="U119" s="450" t="str">
        <f t="shared" si="22"/>
        <v/>
      </c>
      <c r="V119" s="450" t="str">
        <f t="shared" si="23"/>
        <v/>
      </c>
      <c r="W119" s="450" t="str">
        <f t="shared" si="24"/>
        <v/>
      </c>
      <c r="X119" s="450" t="str">
        <f t="shared" si="25"/>
        <v/>
      </c>
      <c r="Y119" s="450" t="str">
        <f t="shared" si="26"/>
        <v/>
      </c>
      <c r="Z119" s="451" t="str">
        <f t="shared" si="27"/>
        <v/>
      </c>
    </row>
    <row r="120" spans="1:26" ht="58" x14ac:dyDescent="0.35">
      <c r="A120" s="438">
        <v>45719</v>
      </c>
      <c r="B120" s="446">
        <v>60</v>
      </c>
      <c r="C120" s="439" t="s">
        <v>605</v>
      </c>
      <c r="D120" s="439" t="s">
        <v>606</v>
      </c>
      <c r="E120" s="439" t="s">
        <v>689</v>
      </c>
      <c r="F120" s="439" t="s">
        <v>570</v>
      </c>
      <c r="G120" s="440" t="b">
        <f>IF(A120="","",IF(Daten!$AE$4=0,TRUE,MONTH(A120)=Daten!$AE$4))</f>
        <v>1</v>
      </c>
      <c r="H120" s="455" t="s">
        <v>425</v>
      </c>
      <c r="I120" s="440" t="s">
        <v>77</v>
      </c>
      <c r="J120" s="440"/>
      <c r="K120" s="439" t="s">
        <v>637</v>
      </c>
      <c r="L120" s="452" t="s">
        <v>786</v>
      </c>
      <c r="M120" s="448" t="str">
        <f>IF(OR(A120="", B120=""), "", IF(H120="Mitgliedsbeiträge", ABS(B120), ""))</f>
        <v/>
      </c>
      <c r="N120" s="448" t="str">
        <f t="shared" si="17"/>
        <v/>
      </c>
      <c r="O120" s="448" t="str">
        <f t="shared" si="18"/>
        <v/>
      </c>
      <c r="P120" s="448" t="str">
        <f t="shared" si="19"/>
        <v/>
      </c>
      <c r="Q120" s="448" t="str">
        <f t="shared" si="20"/>
        <v/>
      </c>
      <c r="R120" s="448" t="str">
        <f t="shared" si="21"/>
        <v/>
      </c>
      <c r="S120" s="448">
        <v>60</v>
      </c>
      <c r="T120" s="448" t="str">
        <f t="shared" si="28"/>
        <v/>
      </c>
      <c r="U120" s="448" t="str">
        <f t="shared" si="22"/>
        <v/>
      </c>
      <c r="V120" s="448" t="str">
        <f t="shared" si="23"/>
        <v/>
      </c>
      <c r="W120" s="448" t="str">
        <f t="shared" si="24"/>
        <v/>
      </c>
      <c r="X120" s="448" t="str">
        <f t="shared" si="25"/>
        <v/>
      </c>
      <c r="Y120" s="448" t="str">
        <f t="shared" si="26"/>
        <v/>
      </c>
      <c r="Z120" s="449" t="str">
        <f t="shared" si="27"/>
        <v/>
      </c>
    </row>
    <row r="121" spans="1:26" x14ac:dyDescent="0.35">
      <c r="A121" s="441">
        <v>45719</v>
      </c>
      <c r="B121" s="447">
        <v>-6</v>
      </c>
      <c r="C121" s="442"/>
      <c r="D121" s="442">
        <v>0</v>
      </c>
      <c r="E121" s="442" t="s">
        <v>663</v>
      </c>
      <c r="F121" s="442" t="s">
        <v>381</v>
      </c>
      <c r="G121" s="443" t="b">
        <f>IF(A121="","",IF(Daten!$AE$4=0,TRUE,MONTH(A121)=Daten!$AE$4))</f>
        <v>1</v>
      </c>
      <c r="H121" s="456" t="s">
        <v>782</v>
      </c>
      <c r="I121" s="443" t="s">
        <v>77</v>
      </c>
      <c r="J121" s="443"/>
      <c r="K121" s="442" t="s">
        <v>637</v>
      </c>
      <c r="L121" s="453" t="s">
        <v>783</v>
      </c>
      <c r="M121" s="450" t="str">
        <f>IF(OR(A121="", B121=""), "", IF(H121="Mitgliedsbeiträge", ABS(B121), ""))</f>
        <v/>
      </c>
      <c r="N121" s="450" t="str">
        <f t="shared" si="17"/>
        <v/>
      </c>
      <c r="O121" s="450" t="str">
        <f t="shared" si="18"/>
        <v/>
      </c>
      <c r="P121" s="450" t="str">
        <f t="shared" si="19"/>
        <v/>
      </c>
      <c r="Q121" s="450" t="str">
        <f t="shared" si="20"/>
        <v/>
      </c>
      <c r="R121" s="450" t="str">
        <f t="shared" si="21"/>
        <v/>
      </c>
      <c r="S121" s="450" t="str">
        <f>IF(OR(A121="", B121=""), "", IF(H121="Sonstige Einnahmen", ABS(B121), ""))</f>
        <v/>
      </c>
      <c r="T121" s="450" t="str">
        <f t="shared" si="28"/>
        <v/>
      </c>
      <c r="U121" s="450" t="str">
        <f t="shared" si="22"/>
        <v/>
      </c>
      <c r="V121" s="450" t="str">
        <f t="shared" si="23"/>
        <v/>
      </c>
      <c r="W121" s="450" t="str">
        <f t="shared" si="24"/>
        <v/>
      </c>
      <c r="X121" s="450" t="str">
        <f t="shared" si="25"/>
        <v/>
      </c>
      <c r="Y121" s="450" t="str">
        <f t="shared" si="26"/>
        <v/>
      </c>
      <c r="Z121" s="451" t="str">
        <f t="shared" si="27"/>
        <v/>
      </c>
    </row>
    <row r="122" spans="1:26" ht="58" x14ac:dyDescent="0.35">
      <c r="A122" s="438">
        <v>45720</v>
      </c>
      <c r="B122" s="446">
        <v>60</v>
      </c>
      <c r="C122" s="439" t="s">
        <v>582</v>
      </c>
      <c r="D122" s="439" t="s">
        <v>583</v>
      </c>
      <c r="E122" s="439" t="s">
        <v>648</v>
      </c>
      <c r="F122" s="439" t="s">
        <v>570</v>
      </c>
      <c r="G122" s="440" t="b">
        <f>IF(A122="","",IF(Daten!$AE$4=0,TRUE,MONTH(A122)=Daten!$AE$4))</f>
        <v>1</v>
      </c>
      <c r="H122" s="455" t="s">
        <v>425</v>
      </c>
      <c r="I122" s="440" t="s">
        <v>77</v>
      </c>
      <c r="J122" s="440"/>
      <c r="K122" s="439" t="s">
        <v>637</v>
      </c>
      <c r="L122" s="452" t="s">
        <v>786</v>
      </c>
      <c r="M122" s="448" t="str">
        <f>IF(OR(A122="", B122=""), "", IF(H122="Mitgliedsbeiträge", ABS(B122), ""))</f>
        <v/>
      </c>
      <c r="N122" s="448" t="str">
        <f t="shared" si="17"/>
        <v/>
      </c>
      <c r="O122" s="448" t="str">
        <f t="shared" si="18"/>
        <v/>
      </c>
      <c r="P122" s="448" t="str">
        <f t="shared" si="19"/>
        <v/>
      </c>
      <c r="Q122" s="448" t="str">
        <f t="shared" si="20"/>
        <v/>
      </c>
      <c r="R122" s="448" t="str">
        <f t="shared" si="21"/>
        <v/>
      </c>
      <c r="S122" s="448">
        <v>60</v>
      </c>
      <c r="T122" s="448" t="str">
        <f t="shared" si="28"/>
        <v/>
      </c>
      <c r="U122" s="448" t="str">
        <f t="shared" si="22"/>
        <v/>
      </c>
      <c r="V122" s="448" t="str">
        <f t="shared" si="23"/>
        <v/>
      </c>
      <c r="W122" s="448" t="str">
        <f t="shared" si="24"/>
        <v/>
      </c>
      <c r="X122" s="448" t="str">
        <f t="shared" si="25"/>
        <v/>
      </c>
      <c r="Y122" s="448" t="str">
        <f t="shared" si="26"/>
        <v/>
      </c>
      <c r="Z122" s="449" t="str">
        <f t="shared" si="27"/>
        <v/>
      </c>
    </row>
    <row r="123" spans="1:26" x14ac:dyDescent="0.35">
      <c r="A123" s="441">
        <v>45720</v>
      </c>
      <c r="B123" s="447">
        <v>7.5</v>
      </c>
      <c r="C123" s="442" t="s">
        <v>592</v>
      </c>
      <c r="D123" s="442" t="s">
        <v>593</v>
      </c>
      <c r="E123" s="442" t="s">
        <v>651</v>
      </c>
      <c r="F123" s="442" t="s">
        <v>570</v>
      </c>
      <c r="G123" s="443" t="b">
        <f>IF(A123="","",IF(Daten!$AE$4=0,TRUE,MONTH(A123)=Daten!$AE$4))</f>
        <v>1</v>
      </c>
      <c r="H123" s="454" t="s">
        <v>306</v>
      </c>
      <c r="I123" s="443" t="s">
        <v>77</v>
      </c>
      <c r="J123" s="443"/>
      <c r="K123" s="442" t="s">
        <v>637</v>
      </c>
      <c r="L123" s="453"/>
      <c r="M123" s="450">
        <v>7.5</v>
      </c>
      <c r="N123" s="450" t="str">
        <f t="shared" si="17"/>
        <v/>
      </c>
      <c r="O123" s="450" t="str">
        <f t="shared" si="18"/>
        <v/>
      </c>
      <c r="P123" s="450" t="str">
        <f t="shared" si="19"/>
        <v/>
      </c>
      <c r="Q123" s="450" t="str">
        <f t="shared" si="20"/>
        <v/>
      </c>
      <c r="R123" s="450" t="str">
        <f t="shared" si="21"/>
        <v/>
      </c>
      <c r="S123" s="450" t="str">
        <f>IF(OR(A123="", B123=""), "", IF(H123="Sonstige Einnahmen", ABS(B123), ""))</f>
        <v/>
      </c>
      <c r="T123" s="450" t="str">
        <f t="shared" si="28"/>
        <v/>
      </c>
      <c r="U123" s="450" t="str">
        <f t="shared" si="22"/>
        <v/>
      </c>
      <c r="V123" s="450" t="str">
        <f t="shared" si="23"/>
        <v/>
      </c>
      <c r="W123" s="450" t="str">
        <f t="shared" si="24"/>
        <v/>
      </c>
      <c r="X123" s="450" t="str">
        <f t="shared" si="25"/>
        <v/>
      </c>
      <c r="Y123" s="450" t="str">
        <f t="shared" si="26"/>
        <v/>
      </c>
      <c r="Z123" s="451" t="str">
        <f t="shared" si="27"/>
        <v/>
      </c>
    </row>
    <row r="124" spans="1:26" ht="58" x14ac:dyDescent="0.35">
      <c r="A124" s="438">
        <v>45720</v>
      </c>
      <c r="B124" s="446">
        <v>15</v>
      </c>
      <c r="C124" s="439" t="s">
        <v>582</v>
      </c>
      <c r="D124" s="439" t="s">
        <v>583</v>
      </c>
      <c r="E124" s="439" t="s">
        <v>650</v>
      </c>
      <c r="F124" s="439" t="s">
        <v>570</v>
      </c>
      <c r="G124" s="440" t="b">
        <f>IF(A124="","",IF(Daten!$AE$4=0,TRUE,MONTH(A124)=Daten!$AE$4))</f>
        <v>1</v>
      </c>
      <c r="H124" s="455" t="s">
        <v>415</v>
      </c>
      <c r="I124" s="440" t="s">
        <v>77</v>
      </c>
      <c r="J124" s="440"/>
      <c r="K124" s="439" t="s">
        <v>637</v>
      </c>
      <c r="L124" s="452" t="s">
        <v>781</v>
      </c>
      <c r="M124" s="448" t="str">
        <f t="shared" ref="M124:M141" si="29">IF(OR(A124="", B124=""), "", IF(H124="Mitgliedsbeiträge", ABS(B124), ""))</f>
        <v/>
      </c>
      <c r="N124" s="448" t="str">
        <f t="shared" si="17"/>
        <v/>
      </c>
      <c r="O124" s="448" t="str">
        <f t="shared" si="18"/>
        <v/>
      </c>
      <c r="P124" s="448" t="str">
        <f t="shared" si="19"/>
        <v/>
      </c>
      <c r="Q124" s="448" t="str">
        <f t="shared" si="20"/>
        <v/>
      </c>
      <c r="R124" s="448" t="str">
        <f t="shared" si="21"/>
        <v/>
      </c>
      <c r="S124" s="448">
        <v>15</v>
      </c>
      <c r="T124" s="448" t="str">
        <f t="shared" si="28"/>
        <v/>
      </c>
      <c r="U124" s="448" t="str">
        <f t="shared" si="22"/>
        <v/>
      </c>
      <c r="V124" s="448" t="str">
        <f t="shared" ref="V124:V155" si="30">IF(OR(A124="", B124=""), "", IF(H124="Veranstaltungen Ausgabe", ABS(B124), ""))</f>
        <v/>
      </c>
      <c r="W124" s="448" t="str">
        <f t="shared" si="24"/>
        <v/>
      </c>
      <c r="X124" s="448" t="str">
        <f t="shared" si="25"/>
        <v/>
      </c>
      <c r="Y124" s="448" t="str">
        <f t="shared" si="26"/>
        <v/>
      </c>
      <c r="Z124" s="449" t="str">
        <f t="shared" ref="Z124:Z155" si="31">IF(OR(A124="", B124=""), "", IF(H124="Kasse-Auszahlung", ABS(B124), ""))</f>
        <v/>
      </c>
    </row>
    <row r="125" spans="1:26" x14ac:dyDescent="0.35">
      <c r="A125" s="441">
        <v>45720</v>
      </c>
      <c r="B125" s="447">
        <v>15</v>
      </c>
      <c r="C125" s="442" t="s">
        <v>592</v>
      </c>
      <c r="D125" s="442" t="s">
        <v>593</v>
      </c>
      <c r="E125" s="442" t="s">
        <v>649</v>
      </c>
      <c r="F125" s="442" t="s">
        <v>570</v>
      </c>
      <c r="G125" s="443" t="b">
        <f>IF(A125="","",IF(Daten!$AE$4=0,TRUE,MONTH(A125)=Daten!$AE$4))</f>
        <v>1</v>
      </c>
      <c r="H125" s="454" t="s">
        <v>415</v>
      </c>
      <c r="I125" s="443" t="s">
        <v>77</v>
      </c>
      <c r="J125" s="443"/>
      <c r="K125" s="442" t="s">
        <v>637</v>
      </c>
      <c r="L125" s="453"/>
      <c r="M125" s="450" t="str">
        <f t="shared" si="29"/>
        <v/>
      </c>
      <c r="N125" s="450" t="str">
        <f t="shared" si="17"/>
        <v/>
      </c>
      <c r="O125" s="450" t="str">
        <f t="shared" si="18"/>
        <v/>
      </c>
      <c r="P125" s="450" t="str">
        <f t="shared" si="19"/>
        <v/>
      </c>
      <c r="Q125" s="450" t="str">
        <f t="shared" si="20"/>
        <v/>
      </c>
      <c r="R125" s="450" t="str">
        <f t="shared" si="21"/>
        <v/>
      </c>
      <c r="S125" s="450">
        <v>15</v>
      </c>
      <c r="T125" s="450" t="str">
        <f t="shared" si="28"/>
        <v/>
      </c>
      <c r="U125" s="450" t="str">
        <f t="shared" si="22"/>
        <v/>
      </c>
      <c r="V125" s="450" t="str">
        <f t="shared" si="30"/>
        <v/>
      </c>
      <c r="W125" s="450" t="str">
        <f t="shared" si="24"/>
        <v/>
      </c>
      <c r="X125" s="450" t="str">
        <f t="shared" si="25"/>
        <v/>
      </c>
      <c r="Y125" s="450" t="str">
        <f t="shared" si="26"/>
        <v/>
      </c>
      <c r="Z125" s="451" t="str">
        <f t="shared" si="31"/>
        <v/>
      </c>
    </row>
    <row r="126" spans="1:26" x14ac:dyDescent="0.35">
      <c r="A126" s="438">
        <v>45721</v>
      </c>
      <c r="B126" s="446">
        <v>15</v>
      </c>
      <c r="C126" s="439" t="s">
        <v>584</v>
      </c>
      <c r="D126" s="439" t="s">
        <v>585</v>
      </c>
      <c r="E126" s="439" t="s">
        <v>642</v>
      </c>
      <c r="F126" s="439" t="s">
        <v>570</v>
      </c>
      <c r="G126" s="440" t="b">
        <f>IF(A126="","",IF(Daten!$AE$4=0,TRUE,MONTH(A126)=Daten!$AE$4))</f>
        <v>1</v>
      </c>
      <c r="H126" s="454" t="s">
        <v>415</v>
      </c>
      <c r="I126" s="440" t="s">
        <v>77</v>
      </c>
      <c r="J126" s="440"/>
      <c r="K126" s="439" t="s">
        <v>637</v>
      </c>
      <c r="L126" s="452"/>
      <c r="M126" s="448" t="str">
        <f t="shared" si="29"/>
        <v/>
      </c>
      <c r="N126" s="448" t="str">
        <f t="shared" si="17"/>
        <v/>
      </c>
      <c r="O126" s="448" t="str">
        <f t="shared" si="18"/>
        <v/>
      </c>
      <c r="P126" s="448" t="str">
        <f t="shared" si="19"/>
        <v/>
      </c>
      <c r="Q126" s="448" t="str">
        <f t="shared" si="20"/>
        <v/>
      </c>
      <c r="R126" s="448" t="str">
        <f t="shared" si="21"/>
        <v/>
      </c>
      <c r="S126" s="448">
        <v>15</v>
      </c>
      <c r="T126" s="448" t="str">
        <f t="shared" si="28"/>
        <v/>
      </c>
      <c r="U126" s="448" t="str">
        <f t="shared" si="22"/>
        <v/>
      </c>
      <c r="V126" s="448" t="str">
        <f t="shared" si="30"/>
        <v/>
      </c>
      <c r="W126" s="448" t="str">
        <f t="shared" si="24"/>
        <v/>
      </c>
      <c r="X126" s="448" t="str">
        <f t="shared" si="25"/>
        <v/>
      </c>
      <c r="Y126" s="448" t="str">
        <f t="shared" si="26"/>
        <v/>
      </c>
      <c r="Z126" s="449" t="str">
        <f t="shared" si="31"/>
        <v/>
      </c>
    </row>
    <row r="127" spans="1:26" x14ac:dyDescent="0.35">
      <c r="A127" s="441">
        <v>45721</v>
      </c>
      <c r="B127" s="447">
        <v>33</v>
      </c>
      <c r="C127" s="442" t="s">
        <v>584</v>
      </c>
      <c r="D127" s="442" t="s">
        <v>585</v>
      </c>
      <c r="E127" s="442" t="s">
        <v>737</v>
      </c>
      <c r="F127" s="442" t="s">
        <v>581</v>
      </c>
      <c r="G127" s="443" t="b">
        <f>IF(A127="","",IF(Daten!$AE$4=0,TRUE,MONTH(A127)=Daten!$AE$4))</f>
        <v>1</v>
      </c>
      <c r="H127" s="454" t="s">
        <v>425</v>
      </c>
      <c r="I127" s="443" t="s">
        <v>77</v>
      </c>
      <c r="J127" s="443"/>
      <c r="K127" s="442" t="s">
        <v>637</v>
      </c>
      <c r="L127" s="453"/>
      <c r="M127" s="450" t="str">
        <f t="shared" si="29"/>
        <v/>
      </c>
      <c r="N127" s="450" t="str">
        <f t="shared" si="17"/>
        <v/>
      </c>
      <c r="O127" s="450" t="str">
        <f t="shared" si="18"/>
        <v/>
      </c>
      <c r="P127" s="450" t="str">
        <f t="shared" si="19"/>
        <v/>
      </c>
      <c r="Q127" s="450" t="str">
        <f t="shared" si="20"/>
        <v/>
      </c>
      <c r="R127" s="450" t="str">
        <f t="shared" si="21"/>
        <v/>
      </c>
      <c r="S127" s="450">
        <v>33</v>
      </c>
      <c r="T127" s="450" t="str">
        <f t="shared" si="28"/>
        <v/>
      </c>
      <c r="U127" s="450" t="str">
        <f t="shared" si="22"/>
        <v/>
      </c>
      <c r="V127" s="450" t="str">
        <f t="shared" si="30"/>
        <v/>
      </c>
      <c r="W127" s="450" t="str">
        <f t="shared" si="24"/>
        <v/>
      </c>
      <c r="X127" s="450" t="str">
        <f t="shared" si="25"/>
        <v/>
      </c>
      <c r="Y127" s="450" t="str">
        <f t="shared" si="26"/>
        <v/>
      </c>
      <c r="Z127" s="451" t="str">
        <f t="shared" si="31"/>
        <v/>
      </c>
    </row>
    <row r="128" spans="1:26" x14ac:dyDescent="0.35">
      <c r="A128" s="438">
        <v>45721</v>
      </c>
      <c r="B128" s="446">
        <v>-497</v>
      </c>
      <c r="C128" s="439" t="s">
        <v>587</v>
      </c>
      <c r="D128" s="439" t="s">
        <v>588</v>
      </c>
      <c r="E128" s="439" t="s">
        <v>738</v>
      </c>
      <c r="F128" s="439" t="s">
        <v>576</v>
      </c>
      <c r="G128" s="440" t="b">
        <f>IF(A128="","",IF(Daten!$AE$4=0,TRUE,MONTH(A128)=Daten!$AE$4))</f>
        <v>1</v>
      </c>
      <c r="H128" s="454" t="s">
        <v>451</v>
      </c>
      <c r="I128" s="440" t="s">
        <v>77</v>
      </c>
      <c r="J128" s="440"/>
      <c r="K128" s="439" t="s">
        <v>637</v>
      </c>
      <c r="L128" s="452"/>
      <c r="M128" s="448" t="str">
        <f t="shared" si="29"/>
        <v/>
      </c>
      <c r="N128" s="448" t="str">
        <f t="shared" si="17"/>
        <v/>
      </c>
      <c r="O128" s="448" t="str">
        <f t="shared" si="18"/>
        <v/>
      </c>
      <c r="P128" s="448" t="str">
        <f t="shared" si="19"/>
        <v/>
      </c>
      <c r="Q128" s="448" t="str">
        <f t="shared" si="20"/>
        <v/>
      </c>
      <c r="R128" s="448" t="str">
        <f t="shared" si="21"/>
        <v/>
      </c>
      <c r="S128" s="448" t="str">
        <f>IF(OR(A128="", B128=""), "", IF(H128="Sonstige Einnahmen", ABS(B128), ""))</f>
        <v/>
      </c>
      <c r="T128" s="448">
        <v>-497</v>
      </c>
      <c r="U128" s="448" t="str">
        <f t="shared" si="22"/>
        <v/>
      </c>
      <c r="V128" s="448" t="str">
        <f t="shared" si="30"/>
        <v/>
      </c>
      <c r="W128" s="448" t="str">
        <f t="shared" si="24"/>
        <v/>
      </c>
      <c r="X128" s="448" t="str">
        <f t="shared" si="25"/>
        <v/>
      </c>
      <c r="Y128" s="448" t="str">
        <f t="shared" si="26"/>
        <v/>
      </c>
      <c r="Z128" s="449" t="str">
        <f t="shared" si="31"/>
        <v/>
      </c>
    </row>
    <row r="129" spans="1:26" x14ac:dyDescent="0.35">
      <c r="A129" s="441">
        <v>45726</v>
      </c>
      <c r="B129" s="447">
        <v>70</v>
      </c>
      <c r="C129" s="442" t="s">
        <v>571</v>
      </c>
      <c r="D129" s="442" t="s">
        <v>572</v>
      </c>
      <c r="E129" s="442" t="s">
        <v>734</v>
      </c>
      <c r="F129" s="442" t="s">
        <v>599</v>
      </c>
      <c r="G129" s="443" t="b">
        <f>IF(A129="","",IF(Daten!$AE$4=0,TRUE,MONTH(A129)=Daten!$AE$4))</f>
        <v>1</v>
      </c>
      <c r="H129" s="454" t="s">
        <v>425</v>
      </c>
      <c r="I129" s="443" t="s">
        <v>77</v>
      </c>
      <c r="J129" s="443"/>
      <c r="K129" s="442" t="s">
        <v>637</v>
      </c>
      <c r="L129" s="453"/>
      <c r="M129" s="450" t="str">
        <f t="shared" si="29"/>
        <v/>
      </c>
      <c r="N129" s="450" t="str">
        <f t="shared" si="17"/>
        <v/>
      </c>
      <c r="O129" s="450" t="str">
        <f t="shared" si="18"/>
        <v/>
      </c>
      <c r="P129" s="450" t="str">
        <f t="shared" si="19"/>
        <v/>
      </c>
      <c r="Q129" s="450" t="str">
        <f t="shared" si="20"/>
        <v/>
      </c>
      <c r="R129" s="450" t="str">
        <f t="shared" si="21"/>
        <v/>
      </c>
      <c r="S129" s="450">
        <v>70</v>
      </c>
      <c r="T129" s="450" t="str">
        <f>IF(OR(A129="", B129=""), "", IF(H129="Unterhaltung", ABS(B129), ""))</f>
        <v/>
      </c>
      <c r="U129" s="450" t="str">
        <f t="shared" si="22"/>
        <v/>
      </c>
      <c r="V129" s="450" t="str">
        <f t="shared" si="30"/>
        <v/>
      </c>
      <c r="W129" s="450" t="str">
        <f t="shared" si="24"/>
        <v/>
      </c>
      <c r="X129" s="450" t="str">
        <f t="shared" si="25"/>
        <v/>
      </c>
      <c r="Y129" s="450" t="str">
        <f t="shared" si="26"/>
        <v/>
      </c>
      <c r="Z129" s="451" t="str">
        <f t="shared" si="31"/>
        <v/>
      </c>
    </row>
    <row r="130" spans="1:26" x14ac:dyDescent="0.35">
      <c r="A130" s="438">
        <v>45726</v>
      </c>
      <c r="B130" s="446">
        <v>75.239999999999995</v>
      </c>
      <c r="C130" s="439" t="s">
        <v>571</v>
      </c>
      <c r="D130" s="439" t="s">
        <v>572</v>
      </c>
      <c r="E130" s="439" t="s">
        <v>735</v>
      </c>
      <c r="F130" s="439" t="s">
        <v>599</v>
      </c>
      <c r="G130" s="440" t="b">
        <f>IF(A130="","",IF(Daten!$AE$4=0,TRUE,MONTH(A130)=Daten!$AE$4))</f>
        <v>1</v>
      </c>
      <c r="H130" s="454" t="s">
        <v>302</v>
      </c>
      <c r="I130" s="440" t="s">
        <v>77</v>
      </c>
      <c r="J130" s="440"/>
      <c r="K130" s="439" t="s">
        <v>637</v>
      </c>
      <c r="L130" s="452"/>
      <c r="M130" s="448" t="str">
        <f t="shared" si="29"/>
        <v/>
      </c>
      <c r="N130" s="448" t="str">
        <f t="shared" si="17"/>
        <v/>
      </c>
      <c r="O130" s="448" t="str">
        <f t="shared" si="18"/>
        <v/>
      </c>
      <c r="P130" s="448" t="str">
        <f t="shared" si="19"/>
        <v/>
      </c>
      <c r="Q130" s="448" t="str">
        <f t="shared" si="20"/>
        <v/>
      </c>
      <c r="R130" s="448" t="str">
        <f t="shared" si="21"/>
        <v/>
      </c>
      <c r="S130" s="448">
        <v>75.239999999999995</v>
      </c>
      <c r="T130" s="448" t="str">
        <f>IF(OR(A130="", B130=""), "", IF(H130="Unterhaltung", ABS(B130), ""))</f>
        <v/>
      </c>
      <c r="U130" s="448" t="str">
        <f t="shared" si="22"/>
        <v/>
      </c>
      <c r="V130" s="448" t="str">
        <f t="shared" si="30"/>
        <v/>
      </c>
      <c r="W130" s="448" t="str">
        <f t="shared" si="24"/>
        <v/>
      </c>
      <c r="X130" s="448" t="str">
        <f t="shared" si="25"/>
        <v/>
      </c>
      <c r="Y130" s="448" t="str">
        <f t="shared" si="26"/>
        <v/>
      </c>
      <c r="Z130" s="449" t="str">
        <f t="shared" si="31"/>
        <v/>
      </c>
    </row>
    <row r="131" spans="1:26" x14ac:dyDescent="0.35">
      <c r="A131" s="441">
        <v>45726</v>
      </c>
      <c r="B131" s="447">
        <v>75.239999999999995</v>
      </c>
      <c r="C131" s="442" t="s">
        <v>614</v>
      </c>
      <c r="D131" s="442" t="s">
        <v>591</v>
      </c>
      <c r="E131" s="442" t="s">
        <v>302</v>
      </c>
      <c r="F131" s="442" t="s">
        <v>581</v>
      </c>
      <c r="G131" s="443" t="b">
        <f>IF(A131="","",IF(Daten!$AE$4=0,TRUE,MONTH(A131)=Daten!$AE$4))</f>
        <v>1</v>
      </c>
      <c r="H131" s="454" t="s">
        <v>302</v>
      </c>
      <c r="I131" s="443" t="s">
        <v>77</v>
      </c>
      <c r="J131" s="443"/>
      <c r="K131" s="442" t="s">
        <v>637</v>
      </c>
      <c r="L131" s="453"/>
      <c r="M131" s="450" t="str">
        <f t="shared" si="29"/>
        <v/>
      </c>
      <c r="N131" s="450" t="str">
        <f t="shared" si="17"/>
        <v/>
      </c>
      <c r="O131" s="450" t="str">
        <f t="shared" si="18"/>
        <v/>
      </c>
      <c r="P131" s="450" t="str">
        <f t="shared" si="19"/>
        <v/>
      </c>
      <c r="Q131" s="450" t="str">
        <f t="shared" si="20"/>
        <v/>
      </c>
      <c r="R131" s="450" t="str">
        <f t="shared" si="21"/>
        <v/>
      </c>
      <c r="S131" s="450">
        <v>75.239999999999995</v>
      </c>
      <c r="T131" s="450" t="str">
        <f>IF(OR(A131="", B131=""), "", IF(H131="Unterhaltung", ABS(B131), ""))</f>
        <v/>
      </c>
      <c r="U131" s="450" t="str">
        <f t="shared" si="22"/>
        <v/>
      </c>
      <c r="V131" s="450" t="str">
        <f t="shared" si="30"/>
        <v/>
      </c>
      <c r="W131" s="450" t="str">
        <f t="shared" si="24"/>
        <v/>
      </c>
      <c r="X131" s="450" t="str">
        <f t="shared" si="25"/>
        <v/>
      </c>
      <c r="Y131" s="450" t="str">
        <f t="shared" si="26"/>
        <v/>
      </c>
      <c r="Z131" s="451" t="str">
        <f t="shared" si="31"/>
        <v/>
      </c>
    </row>
    <row r="132" spans="1:26" x14ac:dyDescent="0.35">
      <c r="A132" s="438">
        <v>45726</v>
      </c>
      <c r="B132" s="446">
        <v>60</v>
      </c>
      <c r="C132" s="439" t="s">
        <v>614</v>
      </c>
      <c r="D132" s="439" t="s">
        <v>591</v>
      </c>
      <c r="E132" s="439" t="s">
        <v>736</v>
      </c>
      <c r="F132" s="439" t="s">
        <v>581</v>
      </c>
      <c r="G132" s="440" t="b">
        <f>IF(A132="","",IF(Daten!$AE$4=0,TRUE,MONTH(A132)=Daten!$AE$4))</f>
        <v>1</v>
      </c>
      <c r="H132" s="454" t="s">
        <v>425</v>
      </c>
      <c r="I132" s="440" t="s">
        <v>77</v>
      </c>
      <c r="J132" s="440"/>
      <c r="K132" s="439" t="s">
        <v>637</v>
      </c>
      <c r="L132" s="452"/>
      <c r="M132" s="448" t="str">
        <f t="shared" si="29"/>
        <v/>
      </c>
      <c r="N132" s="448" t="str">
        <f t="shared" si="17"/>
        <v/>
      </c>
      <c r="O132" s="448" t="str">
        <f t="shared" si="18"/>
        <v/>
      </c>
      <c r="P132" s="448" t="str">
        <f t="shared" si="19"/>
        <v/>
      </c>
      <c r="Q132" s="448" t="str">
        <f t="shared" si="20"/>
        <v/>
      </c>
      <c r="R132" s="448" t="str">
        <f t="shared" si="21"/>
        <v/>
      </c>
      <c r="S132" s="448">
        <v>60</v>
      </c>
      <c r="T132" s="448" t="str">
        <f>IF(OR(A132="", B132=""), "", IF(H132="Unterhaltung", ABS(B132), ""))</f>
        <v/>
      </c>
      <c r="U132" s="448" t="str">
        <f t="shared" si="22"/>
        <v/>
      </c>
      <c r="V132" s="448" t="str">
        <f t="shared" si="30"/>
        <v/>
      </c>
      <c r="W132" s="448" t="str">
        <f t="shared" si="24"/>
        <v/>
      </c>
      <c r="X132" s="448" t="str">
        <f t="shared" si="25"/>
        <v/>
      </c>
      <c r="Y132" s="448" t="str">
        <f t="shared" si="26"/>
        <v/>
      </c>
      <c r="Z132" s="449" t="str">
        <f t="shared" si="31"/>
        <v/>
      </c>
    </row>
    <row r="133" spans="1:26" x14ac:dyDescent="0.35">
      <c r="A133" s="441">
        <v>45733</v>
      </c>
      <c r="B133" s="447">
        <v>154.63</v>
      </c>
      <c r="C133" s="442" t="s">
        <v>571</v>
      </c>
      <c r="D133" s="442" t="s">
        <v>572</v>
      </c>
      <c r="E133" s="442" t="s">
        <v>732</v>
      </c>
      <c r="F133" s="442" t="s">
        <v>581</v>
      </c>
      <c r="G133" s="443" t="b">
        <f>IF(A133="","",IF(Daten!$AE$4=0,TRUE,MONTH(A133)=Daten!$AE$4))</f>
        <v>1</v>
      </c>
      <c r="H133" s="454" t="s">
        <v>299</v>
      </c>
      <c r="I133" s="443" t="s">
        <v>77</v>
      </c>
      <c r="J133" s="443"/>
      <c r="K133" s="442" t="s">
        <v>637</v>
      </c>
      <c r="L133" s="453"/>
      <c r="M133" s="450" t="str">
        <f t="shared" si="29"/>
        <v/>
      </c>
      <c r="N133" s="450" t="str">
        <f t="shared" si="17"/>
        <v/>
      </c>
      <c r="O133" s="450" t="str">
        <f t="shared" si="18"/>
        <v/>
      </c>
      <c r="P133" s="450" t="str">
        <f t="shared" si="19"/>
        <v/>
      </c>
      <c r="Q133" s="450" t="str">
        <f t="shared" si="20"/>
        <v/>
      </c>
      <c r="R133" s="450" t="str">
        <f t="shared" si="21"/>
        <v/>
      </c>
      <c r="S133" s="450">
        <v>154.63</v>
      </c>
      <c r="T133" s="450" t="str">
        <f>IF(OR(A133="", B133=""), "", IF(H133="Unterhaltung", ABS(B133), ""))</f>
        <v/>
      </c>
      <c r="U133" s="450" t="str">
        <f t="shared" si="22"/>
        <v/>
      </c>
      <c r="V133" s="450" t="str">
        <f t="shared" si="30"/>
        <v/>
      </c>
      <c r="W133" s="450" t="str">
        <f t="shared" si="24"/>
        <v/>
      </c>
      <c r="X133" s="450" t="str">
        <f t="shared" si="25"/>
        <v/>
      </c>
      <c r="Y133" s="450" t="str">
        <f t="shared" si="26"/>
        <v/>
      </c>
      <c r="Z133" s="451" t="str">
        <f t="shared" si="31"/>
        <v/>
      </c>
    </row>
    <row r="134" spans="1:26" x14ac:dyDescent="0.35">
      <c r="A134" s="438">
        <v>45733</v>
      </c>
      <c r="B134" s="446">
        <v>-138</v>
      </c>
      <c r="C134" s="439" t="s">
        <v>577</v>
      </c>
      <c r="D134" s="439" t="s">
        <v>578</v>
      </c>
      <c r="E134" s="439" t="s">
        <v>639</v>
      </c>
      <c r="F134" s="439" t="s">
        <v>576</v>
      </c>
      <c r="G134" s="440" t="b">
        <f>IF(A134="","",IF(Daten!$AE$4=0,TRUE,MONTH(A134)=Daten!$AE$4))</f>
        <v>1</v>
      </c>
      <c r="H134" s="454" t="s">
        <v>459</v>
      </c>
      <c r="I134" s="440" t="s">
        <v>77</v>
      </c>
      <c r="J134" s="440"/>
      <c r="K134" s="439" t="s">
        <v>637</v>
      </c>
      <c r="L134" s="452"/>
      <c r="M134" s="448" t="str">
        <f t="shared" si="29"/>
        <v/>
      </c>
      <c r="N134" s="448" t="str">
        <f t="shared" si="17"/>
        <v/>
      </c>
      <c r="O134" s="448" t="str">
        <f t="shared" si="18"/>
        <v/>
      </c>
      <c r="P134" s="448" t="str">
        <f t="shared" si="19"/>
        <v/>
      </c>
      <c r="Q134" s="448" t="str">
        <f t="shared" si="20"/>
        <v/>
      </c>
      <c r="R134" s="448" t="str">
        <f t="shared" si="21"/>
        <v/>
      </c>
      <c r="S134" s="448" t="str">
        <f>IF(OR(A134="", B134=""), "", IF(H134="Sonstige Einnahmen", ABS(B134), ""))</f>
        <v/>
      </c>
      <c r="T134" s="448">
        <v>-138</v>
      </c>
      <c r="U134" s="448" t="str">
        <f t="shared" si="22"/>
        <v/>
      </c>
      <c r="V134" s="448" t="str">
        <f t="shared" si="30"/>
        <v/>
      </c>
      <c r="W134" s="448" t="str">
        <f t="shared" si="24"/>
        <v/>
      </c>
      <c r="X134" s="448" t="str">
        <f t="shared" si="25"/>
        <v/>
      </c>
      <c r="Y134" s="448" t="str">
        <f t="shared" si="26"/>
        <v/>
      </c>
      <c r="Z134" s="449" t="str">
        <f t="shared" si="31"/>
        <v/>
      </c>
    </row>
    <row r="135" spans="1:26" x14ac:dyDescent="0.35">
      <c r="A135" s="441">
        <v>45733</v>
      </c>
      <c r="B135" s="447">
        <v>-59.94</v>
      </c>
      <c r="C135" s="442" t="s">
        <v>579</v>
      </c>
      <c r="D135" s="442" t="s">
        <v>580</v>
      </c>
      <c r="E135" s="442" t="s">
        <v>733</v>
      </c>
      <c r="F135" s="442" t="s">
        <v>576</v>
      </c>
      <c r="G135" s="443" t="b">
        <f>IF(A135="","",IF(Daten!$AE$4=0,TRUE,MONTH(A135)=Daten!$AE$4))</f>
        <v>1</v>
      </c>
      <c r="H135" s="454" t="s">
        <v>389</v>
      </c>
      <c r="I135" s="443" t="s">
        <v>77</v>
      </c>
      <c r="J135" s="443"/>
      <c r="K135" s="442" t="s">
        <v>637</v>
      </c>
      <c r="L135" s="453"/>
      <c r="M135" s="450" t="str">
        <f t="shared" si="29"/>
        <v/>
      </c>
      <c r="N135" s="450" t="str">
        <f t="shared" si="17"/>
        <v/>
      </c>
      <c r="O135" s="450" t="str">
        <f t="shared" si="18"/>
        <v/>
      </c>
      <c r="P135" s="450" t="str">
        <f t="shared" si="19"/>
        <v/>
      </c>
      <c r="Q135" s="450" t="str">
        <f t="shared" si="20"/>
        <v/>
      </c>
      <c r="R135" s="450" t="str">
        <f t="shared" si="21"/>
        <v/>
      </c>
      <c r="S135" s="450" t="str">
        <f>IF(OR(A135="", B135=""), "", IF(H135="Sonstige Einnahmen", ABS(B135), ""))</f>
        <v/>
      </c>
      <c r="T135" s="450">
        <v>-59.94</v>
      </c>
      <c r="U135" s="450" t="str">
        <f t="shared" si="22"/>
        <v/>
      </c>
      <c r="V135" s="450" t="str">
        <f t="shared" si="30"/>
        <v/>
      </c>
      <c r="W135" s="450" t="str">
        <f t="shared" si="24"/>
        <v/>
      </c>
      <c r="X135" s="450" t="str">
        <f t="shared" si="25"/>
        <v/>
      </c>
      <c r="Y135" s="450" t="str">
        <f t="shared" si="26"/>
        <v/>
      </c>
      <c r="Z135" s="451" t="str">
        <f t="shared" si="31"/>
        <v/>
      </c>
    </row>
    <row r="136" spans="1:26" x14ac:dyDescent="0.35">
      <c r="A136" s="438">
        <v>45734</v>
      </c>
      <c r="B136" s="446">
        <v>15</v>
      </c>
      <c r="C136" s="439" t="s">
        <v>571</v>
      </c>
      <c r="D136" s="439" t="s">
        <v>572</v>
      </c>
      <c r="E136" s="439" t="s">
        <v>636</v>
      </c>
      <c r="F136" s="439" t="s">
        <v>570</v>
      </c>
      <c r="G136" s="440" t="b">
        <f>IF(A136="","",IF(Daten!$AE$4=0,TRUE,MONTH(A136)=Daten!$AE$4))</f>
        <v>1</v>
      </c>
      <c r="H136" s="454" t="s">
        <v>415</v>
      </c>
      <c r="I136" s="440" t="s">
        <v>77</v>
      </c>
      <c r="J136" s="440"/>
      <c r="K136" s="439" t="s">
        <v>637</v>
      </c>
      <c r="L136" s="452"/>
      <c r="M136" s="448" t="str">
        <f t="shared" si="29"/>
        <v/>
      </c>
      <c r="N136" s="448" t="str">
        <f t="shared" si="17"/>
        <v/>
      </c>
      <c r="O136" s="448" t="str">
        <f t="shared" si="18"/>
        <v/>
      </c>
      <c r="P136" s="448" t="str">
        <f t="shared" si="19"/>
        <v/>
      </c>
      <c r="Q136" s="448" t="str">
        <f t="shared" si="20"/>
        <v/>
      </c>
      <c r="R136" s="448" t="str">
        <f t="shared" si="21"/>
        <v/>
      </c>
      <c r="S136" s="448">
        <v>15</v>
      </c>
      <c r="T136" s="448" t="str">
        <f t="shared" ref="T136:T171" si="32">IF(OR(A136="", B136=""), "", IF(H136="Unterhaltung", ABS(B136), ""))</f>
        <v/>
      </c>
      <c r="U136" s="448" t="str">
        <f t="shared" si="22"/>
        <v/>
      </c>
      <c r="V136" s="448" t="str">
        <f t="shared" si="30"/>
        <v/>
      </c>
      <c r="W136" s="448" t="str">
        <f t="shared" si="24"/>
        <v/>
      </c>
      <c r="X136" s="448" t="str">
        <f t="shared" si="25"/>
        <v/>
      </c>
      <c r="Y136" s="448" t="str">
        <f t="shared" si="26"/>
        <v/>
      </c>
      <c r="Z136" s="449" t="str">
        <f t="shared" si="31"/>
        <v/>
      </c>
    </row>
    <row r="137" spans="1:26" x14ac:dyDescent="0.35">
      <c r="A137" s="441">
        <v>45740</v>
      </c>
      <c r="B137" s="447">
        <v>112.57</v>
      </c>
      <c r="C137" s="442" t="s">
        <v>617</v>
      </c>
      <c r="D137" s="442" t="s">
        <v>602</v>
      </c>
      <c r="E137" s="442" t="s">
        <v>730</v>
      </c>
      <c r="F137" s="442" t="s">
        <v>581</v>
      </c>
      <c r="G137" s="443" t="b">
        <f>IF(A137="","",IF(Daten!$AE$4=0,TRUE,MONTH(A137)=Daten!$AE$4))</f>
        <v>1</v>
      </c>
      <c r="H137" s="454" t="s">
        <v>304</v>
      </c>
      <c r="I137" s="443" t="s">
        <v>77</v>
      </c>
      <c r="J137" s="443"/>
      <c r="K137" s="442" t="s">
        <v>637</v>
      </c>
      <c r="L137" s="453"/>
      <c r="M137" s="450" t="str">
        <f t="shared" si="29"/>
        <v/>
      </c>
      <c r="N137" s="450" t="str">
        <f t="shared" si="17"/>
        <v/>
      </c>
      <c r="O137" s="450" t="str">
        <f t="shared" si="18"/>
        <v/>
      </c>
      <c r="P137" s="450" t="str">
        <f t="shared" si="19"/>
        <v/>
      </c>
      <c r="Q137" s="450" t="str">
        <f t="shared" si="20"/>
        <v/>
      </c>
      <c r="R137" s="450" t="str">
        <f t="shared" si="21"/>
        <v/>
      </c>
      <c r="S137" s="450">
        <v>112.57</v>
      </c>
      <c r="T137" s="450" t="str">
        <f t="shared" si="32"/>
        <v/>
      </c>
      <c r="U137" s="450" t="str">
        <f t="shared" si="22"/>
        <v/>
      </c>
      <c r="V137" s="450" t="str">
        <f t="shared" si="30"/>
        <v/>
      </c>
      <c r="W137" s="450" t="str">
        <f t="shared" si="24"/>
        <v/>
      </c>
      <c r="X137" s="450" t="str">
        <f t="shared" si="25"/>
        <v/>
      </c>
      <c r="Y137" s="450" t="str">
        <f t="shared" si="26"/>
        <v/>
      </c>
      <c r="Z137" s="451" t="str">
        <f t="shared" si="31"/>
        <v/>
      </c>
    </row>
    <row r="138" spans="1:26" x14ac:dyDescent="0.35">
      <c r="A138" s="438">
        <v>45740</v>
      </c>
      <c r="B138" s="446">
        <v>80</v>
      </c>
      <c r="C138" s="439" t="s">
        <v>617</v>
      </c>
      <c r="D138" s="439" t="s">
        <v>602</v>
      </c>
      <c r="E138" s="439" t="s">
        <v>731</v>
      </c>
      <c r="F138" s="439" t="s">
        <v>581</v>
      </c>
      <c r="G138" s="440" t="b">
        <f>IF(A138="","",IF(Daten!$AE$4=0,TRUE,MONTH(A138)=Daten!$AE$4))</f>
        <v>1</v>
      </c>
      <c r="H138" s="454" t="s">
        <v>425</v>
      </c>
      <c r="I138" s="440" t="s">
        <v>77</v>
      </c>
      <c r="J138" s="440"/>
      <c r="K138" s="439" t="s">
        <v>637</v>
      </c>
      <c r="L138" s="452"/>
      <c r="M138" s="448" t="str">
        <f t="shared" si="29"/>
        <v/>
      </c>
      <c r="N138" s="448" t="str">
        <f t="shared" si="17"/>
        <v/>
      </c>
      <c r="O138" s="448" t="str">
        <f t="shared" si="18"/>
        <v/>
      </c>
      <c r="P138" s="448" t="str">
        <f t="shared" si="19"/>
        <v/>
      </c>
      <c r="Q138" s="448" t="str">
        <f t="shared" si="20"/>
        <v/>
      </c>
      <c r="R138" s="448" t="str">
        <f t="shared" si="21"/>
        <v/>
      </c>
      <c r="S138" s="448">
        <v>80</v>
      </c>
      <c r="T138" s="448" t="str">
        <f t="shared" si="32"/>
        <v/>
      </c>
      <c r="U138" s="448" t="str">
        <f t="shared" si="22"/>
        <v/>
      </c>
      <c r="V138" s="448" t="str">
        <f t="shared" si="30"/>
        <v/>
      </c>
      <c r="W138" s="448" t="str">
        <f t="shared" si="24"/>
        <v/>
      </c>
      <c r="X138" s="448" t="str">
        <f t="shared" si="25"/>
        <v/>
      </c>
      <c r="Y138" s="448" t="str">
        <f t="shared" si="26"/>
        <v/>
      </c>
      <c r="Z138" s="449" t="str">
        <f t="shared" si="31"/>
        <v/>
      </c>
    </row>
    <row r="139" spans="1:26" x14ac:dyDescent="0.35">
      <c r="A139" s="441">
        <v>45740</v>
      </c>
      <c r="B139" s="447">
        <v>184.12</v>
      </c>
      <c r="C139" s="442" t="s">
        <v>617</v>
      </c>
      <c r="D139" s="442" t="s">
        <v>602</v>
      </c>
      <c r="E139" s="442" t="s">
        <v>184</v>
      </c>
      <c r="F139" s="442" t="s">
        <v>581</v>
      </c>
      <c r="G139" s="443" t="b">
        <f>IF(A139="","",IF(Daten!$AE$4=0,TRUE,MONTH(A139)=Daten!$AE$4))</f>
        <v>1</v>
      </c>
      <c r="H139" s="454" t="s">
        <v>299</v>
      </c>
      <c r="I139" s="443" t="s">
        <v>77</v>
      </c>
      <c r="J139" s="443"/>
      <c r="K139" s="442" t="s">
        <v>637</v>
      </c>
      <c r="L139" s="453"/>
      <c r="M139" s="450" t="str">
        <f t="shared" si="29"/>
        <v/>
      </c>
      <c r="N139" s="450" t="str">
        <f t="shared" si="17"/>
        <v/>
      </c>
      <c r="O139" s="450" t="str">
        <f t="shared" si="18"/>
        <v/>
      </c>
      <c r="P139" s="450" t="str">
        <f t="shared" si="19"/>
        <v/>
      </c>
      <c r="Q139" s="450" t="str">
        <f t="shared" si="20"/>
        <v/>
      </c>
      <c r="R139" s="450" t="str">
        <f t="shared" si="21"/>
        <v/>
      </c>
      <c r="S139" s="450">
        <v>184.12</v>
      </c>
      <c r="T139" s="450" t="str">
        <f t="shared" si="32"/>
        <v/>
      </c>
      <c r="U139" s="450" t="str">
        <f t="shared" si="22"/>
        <v/>
      </c>
      <c r="V139" s="450" t="str">
        <f t="shared" si="30"/>
        <v/>
      </c>
      <c r="W139" s="450" t="str">
        <f t="shared" si="24"/>
        <v/>
      </c>
      <c r="X139" s="450" t="str">
        <f t="shared" si="25"/>
        <v/>
      </c>
      <c r="Y139" s="450" t="str">
        <f t="shared" si="26"/>
        <v/>
      </c>
      <c r="Z139" s="451" t="str">
        <f t="shared" si="31"/>
        <v/>
      </c>
    </row>
    <row r="140" spans="1:26" x14ac:dyDescent="0.35">
      <c r="A140" s="438">
        <v>45741</v>
      </c>
      <c r="B140" s="446">
        <v>15</v>
      </c>
      <c r="C140" s="439" t="s">
        <v>603</v>
      </c>
      <c r="D140" s="439" t="s">
        <v>604</v>
      </c>
      <c r="E140" s="439" t="s">
        <v>666</v>
      </c>
      <c r="F140" s="439" t="s">
        <v>570</v>
      </c>
      <c r="G140" s="440" t="b">
        <f>IF(A140="","",IF(Daten!$AE$4=0,TRUE,MONTH(A140)=Daten!$AE$4))</f>
        <v>1</v>
      </c>
      <c r="H140" s="454" t="s">
        <v>415</v>
      </c>
      <c r="I140" s="440" t="s">
        <v>77</v>
      </c>
      <c r="J140" s="440"/>
      <c r="K140" s="439" t="s">
        <v>637</v>
      </c>
      <c r="L140" s="452"/>
      <c r="M140" s="448" t="str">
        <f t="shared" si="29"/>
        <v/>
      </c>
      <c r="N140" s="448" t="str">
        <f t="shared" si="17"/>
        <v/>
      </c>
      <c r="O140" s="448" t="str">
        <f t="shared" si="18"/>
        <v/>
      </c>
      <c r="P140" s="448" t="str">
        <f t="shared" si="19"/>
        <v/>
      </c>
      <c r="Q140" s="448" t="str">
        <f t="shared" si="20"/>
        <v/>
      </c>
      <c r="R140" s="448" t="str">
        <f t="shared" si="21"/>
        <v/>
      </c>
      <c r="S140" s="448">
        <v>15</v>
      </c>
      <c r="T140" s="448" t="str">
        <f t="shared" si="32"/>
        <v/>
      </c>
      <c r="U140" s="448" t="str">
        <f t="shared" si="22"/>
        <v/>
      </c>
      <c r="V140" s="448" t="str">
        <f t="shared" si="30"/>
        <v/>
      </c>
      <c r="W140" s="448" t="str">
        <f t="shared" si="24"/>
        <v/>
      </c>
      <c r="X140" s="448" t="str">
        <f t="shared" si="25"/>
        <v/>
      </c>
      <c r="Y140" s="448" t="str">
        <f t="shared" si="26"/>
        <v/>
      </c>
      <c r="Z140" s="449" t="str">
        <f t="shared" si="31"/>
        <v/>
      </c>
    </row>
    <row r="141" spans="1:26" x14ac:dyDescent="0.35">
      <c r="A141" s="441">
        <v>45742</v>
      </c>
      <c r="B141" s="447">
        <v>112.57</v>
      </c>
      <c r="C141" s="442" t="s">
        <v>592</v>
      </c>
      <c r="D141" s="442" t="s">
        <v>593</v>
      </c>
      <c r="E141" s="442" t="s">
        <v>729</v>
      </c>
      <c r="F141" s="442" t="s">
        <v>581</v>
      </c>
      <c r="G141" s="443" t="b">
        <f>IF(A141="","",IF(Daten!$AE$4=0,TRUE,MONTH(A141)=Daten!$AE$4))</f>
        <v>1</v>
      </c>
      <c r="H141" s="454" t="s">
        <v>304</v>
      </c>
      <c r="I141" s="443" t="s">
        <v>77</v>
      </c>
      <c r="J141" s="443"/>
      <c r="K141" s="442" t="s">
        <v>637</v>
      </c>
      <c r="L141" s="453"/>
      <c r="M141" s="450" t="str">
        <f t="shared" si="29"/>
        <v/>
      </c>
      <c r="N141" s="450" t="str">
        <f t="shared" si="17"/>
        <v/>
      </c>
      <c r="O141" s="450" t="str">
        <f t="shared" si="18"/>
        <v/>
      </c>
      <c r="P141" s="450" t="str">
        <f t="shared" si="19"/>
        <v/>
      </c>
      <c r="Q141" s="450" t="str">
        <f t="shared" si="20"/>
        <v/>
      </c>
      <c r="R141" s="450" t="str">
        <f t="shared" si="21"/>
        <v/>
      </c>
      <c r="S141" s="450">
        <v>112.57</v>
      </c>
      <c r="T141" s="450" t="str">
        <f t="shared" si="32"/>
        <v/>
      </c>
      <c r="U141" s="450" t="str">
        <f t="shared" si="22"/>
        <v/>
      </c>
      <c r="V141" s="450" t="str">
        <f t="shared" si="30"/>
        <v/>
      </c>
      <c r="W141" s="450" t="str">
        <f t="shared" si="24"/>
        <v/>
      </c>
      <c r="X141" s="450" t="str">
        <f t="shared" si="25"/>
        <v/>
      </c>
      <c r="Y141" s="450" t="str">
        <f t="shared" si="26"/>
        <v/>
      </c>
      <c r="Z141" s="451" t="str">
        <f t="shared" si="31"/>
        <v/>
      </c>
    </row>
    <row r="142" spans="1:26" x14ac:dyDescent="0.35">
      <c r="A142" s="438">
        <v>45742</v>
      </c>
      <c r="B142" s="446">
        <v>7.5</v>
      </c>
      <c r="C142" s="439" t="s">
        <v>609</v>
      </c>
      <c r="D142" s="439" t="s">
        <v>610</v>
      </c>
      <c r="E142" s="439" t="s">
        <v>665</v>
      </c>
      <c r="F142" s="439" t="s">
        <v>570</v>
      </c>
      <c r="G142" s="440" t="b">
        <f>IF(A142="","",IF(Daten!$AE$4=0,TRUE,MONTH(A142)=Daten!$AE$4))</f>
        <v>1</v>
      </c>
      <c r="H142" s="454" t="s">
        <v>306</v>
      </c>
      <c r="I142" s="440" t="s">
        <v>77</v>
      </c>
      <c r="J142" s="440"/>
      <c r="K142" s="439" t="s">
        <v>637</v>
      </c>
      <c r="L142" s="452"/>
      <c r="M142" s="448">
        <v>7.5</v>
      </c>
      <c r="N142" s="448" t="str">
        <f t="shared" si="17"/>
        <v/>
      </c>
      <c r="O142" s="448" t="str">
        <f t="shared" si="18"/>
        <v/>
      </c>
      <c r="P142" s="448" t="str">
        <f t="shared" si="19"/>
        <v/>
      </c>
      <c r="Q142" s="448" t="str">
        <f t="shared" si="20"/>
        <v/>
      </c>
      <c r="R142" s="448" t="str">
        <f t="shared" si="21"/>
        <v/>
      </c>
      <c r="S142" s="448" t="str">
        <f>IF(OR(A142="", B142=""), "", IF(H142="Sonstige Einnahmen", ABS(B142), ""))</f>
        <v/>
      </c>
      <c r="T142" s="448" t="str">
        <f t="shared" si="32"/>
        <v/>
      </c>
      <c r="U142" s="448" t="str">
        <f t="shared" si="22"/>
        <v/>
      </c>
      <c r="V142" s="448" t="str">
        <f t="shared" si="30"/>
        <v/>
      </c>
      <c r="W142" s="448" t="str">
        <f t="shared" si="24"/>
        <v/>
      </c>
      <c r="X142" s="448" t="str">
        <f t="shared" si="25"/>
        <v/>
      </c>
      <c r="Y142" s="448" t="str">
        <f t="shared" si="26"/>
        <v/>
      </c>
      <c r="Z142" s="449" t="str">
        <f t="shared" si="31"/>
        <v/>
      </c>
    </row>
    <row r="143" spans="1:26" x14ac:dyDescent="0.35">
      <c r="A143" s="441">
        <v>45743</v>
      </c>
      <c r="B143" s="447">
        <v>7.5</v>
      </c>
      <c r="C143" s="442" t="s">
        <v>603</v>
      </c>
      <c r="D143" s="442" t="s">
        <v>604</v>
      </c>
      <c r="E143" s="442" t="s">
        <v>664</v>
      </c>
      <c r="F143" s="442" t="s">
        <v>570</v>
      </c>
      <c r="G143" s="443" t="b">
        <f>IF(A143="","",IF(Daten!$AE$4=0,TRUE,MONTH(A143)=Daten!$AE$4))</f>
        <v>1</v>
      </c>
      <c r="H143" s="454" t="s">
        <v>306</v>
      </c>
      <c r="I143" s="443" t="s">
        <v>77</v>
      </c>
      <c r="J143" s="443"/>
      <c r="K143" s="442" t="s">
        <v>637</v>
      </c>
      <c r="L143" s="453"/>
      <c r="M143" s="450">
        <v>7.5</v>
      </c>
      <c r="N143" s="450" t="str">
        <f t="shared" si="17"/>
        <v/>
      </c>
      <c r="O143" s="450" t="str">
        <f t="shared" si="18"/>
        <v/>
      </c>
      <c r="P143" s="450" t="str">
        <f t="shared" si="19"/>
        <v/>
      </c>
      <c r="Q143" s="450" t="str">
        <f t="shared" si="20"/>
        <v/>
      </c>
      <c r="R143" s="450" t="str">
        <f t="shared" si="21"/>
        <v/>
      </c>
      <c r="S143" s="450" t="str">
        <f>IF(OR(A143="", B143=""), "", IF(H143="Sonstige Einnahmen", ABS(B143), ""))</f>
        <v/>
      </c>
      <c r="T143" s="450" t="str">
        <f t="shared" si="32"/>
        <v/>
      </c>
      <c r="U143" s="450" t="str">
        <f t="shared" si="22"/>
        <v/>
      </c>
      <c r="V143" s="450" t="str">
        <f t="shared" si="30"/>
        <v/>
      </c>
      <c r="W143" s="450" t="str">
        <f t="shared" si="24"/>
        <v/>
      </c>
      <c r="X143" s="450" t="str">
        <f t="shared" si="25"/>
        <v/>
      </c>
      <c r="Y143" s="450" t="str">
        <f t="shared" si="26"/>
        <v/>
      </c>
      <c r="Z143" s="451" t="str">
        <f t="shared" si="31"/>
        <v/>
      </c>
    </row>
    <row r="144" spans="1:26" x14ac:dyDescent="0.35">
      <c r="A144" s="438">
        <v>45743</v>
      </c>
      <c r="B144" s="446">
        <v>40</v>
      </c>
      <c r="C144" s="439" t="s">
        <v>597</v>
      </c>
      <c r="D144" s="439" t="s">
        <v>598</v>
      </c>
      <c r="E144" s="439" t="s">
        <v>677</v>
      </c>
      <c r="F144" s="439" t="s">
        <v>570</v>
      </c>
      <c r="G144" s="440" t="b">
        <f>IF(A144="","",IF(Daten!$AE$4=0,TRUE,MONTH(A144)=Daten!$AE$4))</f>
        <v>1</v>
      </c>
      <c r="H144" s="454" t="s">
        <v>425</v>
      </c>
      <c r="I144" s="440" t="s">
        <v>77</v>
      </c>
      <c r="J144" s="440"/>
      <c r="K144" s="439" t="s">
        <v>637</v>
      </c>
      <c r="L144" s="452"/>
      <c r="M144" s="448" t="str">
        <f>IF(OR(A144="", B144=""), "", IF(H144="Mitgliedsbeiträge", ABS(B144), ""))</f>
        <v/>
      </c>
      <c r="N144" s="448" t="str">
        <f t="shared" si="17"/>
        <v/>
      </c>
      <c r="O144" s="448" t="str">
        <f t="shared" si="18"/>
        <v/>
      </c>
      <c r="P144" s="448" t="str">
        <f t="shared" si="19"/>
        <v/>
      </c>
      <c r="Q144" s="448" t="str">
        <f t="shared" si="20"/>
        <v/>
      </c>
      <c r="R144" s="448" t="str">
        <f t="shared" si="21"/>
        <v/>
      </c>
      <c r="S144" s="448">
        <v>40</v>
      </c>
      <c r="T144" s="448" t="str">
        <f t="shared" si="32"/>
        <v/>
      </c>
      <c r="U144" s="448" t="str">
        <f t="shared" si="22"/>
        <v/>
      </c>
      <c r="V144" s="448" t="str">
        <f t="shared" si="30"/>
        <v/>
      </c>
      <c r="W144" s="448" t="str">
        <f t="shared" si="24"/>
        <v/>
      </c>
      <c r="X144" s="448" t="str">
        <f t="shared" si="25"/>
        <v/>
      </c>
      <c r="Y144" s="448" t="str">
        <f t="shared" si="26"/>
        <v/>
      </c>
      <c r="Z144" s="449" t="str">
        <f t="shared" si="31"/>
        <v/>
      </c>
    </row>
    <row r="145" spans="1:26" x14ac:dyDescent="0.35">
      <c r="A145" s="441">
        <v>45743</v>
      </c>
      <c r="B145" s="447">
        <v>67.44</v>
      </c>
      <c r="C145" s="442" t="s">
        <v>584</v>
      </c>
      <c r="D145" s="442" t="s">
        <v>585</v>
      </c>
      <c r="E145" s="442" t="s">
        <v>728</v>
      </c>
      <c r="F145" s="442" t="s">
        <v>581</v>
      </c>
      <c r="G145" s="443" t="b">
        <f>IF(A145="","",IF(Daten!$AE$4=0,TRUE,MONTH(A145)=Daten!$AE$4))</f>
        <v>1</v>
      </c>
      <c r="H145" s="454" t="s">
        <v>302</v>
      </c>
      <c r="I145" s="443" t="s">
        <v>77</v>
      </c>
      <c r="J145" s="443"/>
      <c r="K145" s="442" t="s">
        <v>637</v>
      </c>
      <c r="L145" s="453"/>
      <c r="M145" s="450" t="str">
        <f>IF(OR(A145="", B145=""), "", IF(H145="Mitgliedsbeiträge", ABS(B145), ""))</f>
        <v/>
      </c>
      <c r="N145" s="450" t="str">
        <f t="shared" si="17"/>
        <v/>
      </c>
      <c r="O145" s="450" t="str">
        <f t="shared" si="18"/>
        <v/>
      </c>
      <c r="P145" s="450" t="str">
        <f t="shared" si="19"/>
        <v/>
      </c>
      <c r="Q145" s="450" t="str">
        <f t="shared" si="20"/>
        <v/>
      </c>
      <c r="R145" s="450" t="str">
        <f t="shared" si="21"/>
        <v/>
      </c>
      <c r="S145" s="450">
        <v>67.44</v>
      </c>
      <c r="T145" s="450" t="str">
        <f t="shared" si="32"/>
        <v/>
      </c>
      <c r="U145" s="450" t="str">
        <f t="shared" si="22"/>
        <v/>
      </c>
      <c r="V145" s="450" t="str">
        <f t="shared" si="30"/>
        <v/>
      </c>
      <c r="W145" s="450" t="str">
        <f t="shared" si="24"/>
        <v/>
      </c>
      <c r="X145" s="450" t="str">
        <f t="shared" si="25"/>
        <v/>
      </c>
      <c r="Y145" s="450" t="str">
        <f t="shared" si="26"/>
        <v/>
      </c>
      <c r="Z145" s="451" t="str">
        <f t="shared" si="31"/>
        <v/>
      </c>
    </row>
    <row r="146" spans="1:26" x14ac:dyDescent="0.35">
      <c r="A146" s="438">
        <v>45744</v>
      </c>
      <c r="B146" s="446">
        <v>291.62</v>
      </c>
      <c r="C146" s="439" t="s">
        <v>595</v>
      </c>
      <c r="D146" s="439" t="s">
        <v>596</v>
      </c>
      <c r="E146" s="439" t="s">
        <v>727</v>
      </c>
      <c r="F146" s="439" t="s">
        <v>581</v>
      </c>
      <c r="G146" s="440" t="b">
        <f>IF(A146="","",IF(Daten!$AE$4=0,TRUE,MONTH(A146)=Daten!$AE$4))</f>
        <v>1</v>
      </c>
      <c r="H146" s="454" t="s">
        <v>299</v>
      </c>
      <c r="I146" s="440" t="s">
        <v>77</v>
      </c>
      <c r="J146" s="440"/>
      <c r="K146" s="439" t="s">
        <v>637</v>
      </c>
      <c r="L146" s="452"/>
      <c r="M146" s="448" t="str">
        <f>IF(OR(A146="", B146=""), "", IF(H146="Mitgliedsbeiträge", ABS(B146), ""))</f>
        <v/>
      </c>
      <c r="N146" s="448" t="str">
        <f t="shared" si="17"/>
        <v/>
      </c>
      <c r="O146" s="448" t="str">
        <f t="shared" si="18"/>
        <v/>
      </c>
      <c r="P146" s="448" t="str">
        <f t="shared" si="19"/>
        <v/>
      </c>
      <c r="Q146" s="448" t="str">
        <f t="shared" si="20"/>
        <v/>
      </c>
      <c r="R146" s="448" t="str">
        <f t="shared" si="21"/>
        <v/>
      </c>
      <c r="S146" s="448">
        <v>291.62</v>
      </c>
      <c r="T146" s="448" t="str">
        <f t="shared" si="32"/>
        <v/>
      </c>
      <c r="U146" s="448" t="str">
        <f t="shared" si="22"/>
        <v/>
      </c>
      <c r="V146" s="448" t="str">
        <f t="shared" si="30"/>
        <v/>
      </c>
      <c r="W146" s="448" t="str">
        <f t="shared" si="24"/>
        <v/>
      </c>
      <c r="X146" s="448" t="str">
        <f t="shared" si="25"/>
        <v/>
      </c>
      <c r="Y146" s="448" t="str">
        <f t="shared" si="26"/>
        <v/>
      </c>
      <c r="Z146" s="449" t="str">
        <f t="shared" si="31"/>
        <v/>
      </c>
    </row>
    <row r="147" spans="1:26" ht="72.5" x14ac:dyDescent="0.35">
      <c r="A147" s="441">
        <v>45744</v>
      </c>
      <c r="B147" s="447">
        <v>140</v>
      </c>
      <c r="C147" s="442" t="s">
        <v>51</v>
      </c>
      <c r="D147" s="442" t="s">
        <v>589</v>
      </c>
      <c r="E147" s="442" t="s">
        <v>387</v>
      </c>
      <c r="F147" s="442" t="s">
        <v>581</v>
      </c>
      <c r="G147" s="443" t="b">
        <f>IF(A147="","",IF(Daten!$AE$4=0,TRUE,MONTH(A147)=Daten!$AE$4))</f>
        <v>1</v>
      </c>
      <c r="H147" s="455" t="s">
        <v>415</v>
      </c>
      <c r="I147" s="443" t="s">
        <v>77</v>
      </c>
      <c r="J147" s="443"/>
      <c r="K147" s="442" t="s">
        <v>637</v>
      </c>
      <c r="L147" s="453" t="s">
        <v>787</v>
      </c>
      <c r="M147" s="450" t="str">
        <f>IF(OR(A147="", B147=""), "", IF(H147="Mitgliedsbeiträge", ABS(B147), ""))</f>
        <v/>
      </c>
      <c r="N147" s="450" t="str">
        <f t="shared" si="17"/>
        <v/>
      </c>
      <c r="O147" s="450" t="str">
        <f t="shared" si="18"/>
        <v/>
      </c>
      <c r="P147" s="450" t="str">
        <f t="shared" si="19"/>
        <v/>
      </c>
      <c r="Q147" s="450" t="str">
        <f t="shared" si="20"/>
        <v/>
      </c>
      <c r="R147" s="450" t="str">
        <f t="shared" si="21"/>
        <v/>
      </c>
      <c r="S147" s="450">
        <v>140</v>
      </c>
      <c r="T147" s="450" t="str">
        <f t="shared" si="32"/>
        <v/>
      </c>
      <c r="U147" s="450" t="str">
        <f t="shared" si="22"/>
        <v/>
      </c>
      <c r="V147" s="450" t="str">
        <f t="shared" si="30"/>
        <v/>
      </c>
      <c r="W147" s="450" t="str">
        <f t="shared" si="24"/>
        <v/>
      </c>
      <c r="X147" s="450" t="str">
        <f t="shared" si="25"/>
        <v/>
      </c>
      <c r="Y147" s="450" t="str">
        <f t="shared" si="26"/>
        <v/>
      </c>
      <c r="Z147" s="451" t="str">
        <f t="shared" si="31"/>
        <v/>
      </c>
    </row>
    <row r="148" spans="1:26" x14ac:dyDescent="0.35">
      <c r="A148" s="438">
        <v>45747</v>
      </c>
      <c r="B148" s="446">
        <v>15</v>
      </c>
      <c r="C148" s="439" t="s">
        <v>597</v>
      </c>
      <c r="D148" s="439" t="s">
        <v>598</v>
      </c>
      <c r="E148" s="439" t="s">
        <v>306</v>
      </c>
      <c r="F148" s="439" t="s">
        <v>570</v>
      </c>
      <c r="G148" s="440" t="b">
        <f>IF(A148="","",IF(Daten!$AE$4=0,TRUE,MONTH(A148)=Daten!$AE$4))</f>
        <v>1</v>
      </c>
      <c r="H148" s="454" t="s">
        <v>306</v>
      </c>
      <c r="I148" s="440" t="s">
        <v>77</v>
      </c>
      <c r="J148" s="440"/>
      <c r="K148" s="439" t="s">
        <v>637</v>
      </c>
      <c r="L148" s="452"/>
      <c r="M148" s="448">
        <v>15</v>
      </c>
      <c r="N148" s="448" t="str">
        <f t="shared" si="17"/>
        <v/>
      </c>
      <c r="O148" s="448" t="str">
        <f t="shared" si="18"/>
        <v/>
      </c>
      <c r="P148" s="448" t="str">
        <f t="shared" si="19"/>
        <v/>
      </c>
      <c r="Q148" s="448" t="str">
        <f t="shared" si="20"/>
        <v/>
      </c>
      <c r="R148" s="448" t="str">
        <f t="shared" si="21"/>
        <v/>
      </c>
      <c r="S148" s="448" t="str">
        <f>IF(OR(A148="", B148=""), "", IF(H148="Sonstige Einnahmen", ABS(B148), ""))</f>
        <v/>
      </c>
      <c r="T148" s="448" t="str">
        <f t="shared" si="32"/>
        <v/>
      </c>
      <c r="U148" s="448" t="str">
        <f t="shared" si="22"/>
        <v/>
      </c>
      <c r="V148" s="448" t="str">
        <f t="shared" si="30"/>
        <v/>
      </c>
      <c r="W148" s="448" t="str">
        <f t="shared" si="24"/>
        <v/>
      </c>
      <c r="X148" s="448" t="str">
        <f t="shared" si="25"/>
        <v/>
      </c>
      <c r="Y148" s="448" t="str">
        <f t="shared" si="26"/>
        <v/>
      </c>
      <c r="Z148" s="449" t="str">
        <f t="shared" si="31"/>
        <v/>
      </c>
    </row>
    <row r="149" spans="1:26" x14ac:dyDescent="0.35">
      <c r="A149" s="441">
        <v>45747</v>
      </c>
      <c r="B149" s="447">
        <v>12.83</v>
      </c>
      <c r="C149" s="442" t="s">
        <v>597</v>
      </c>
      <c r="D149" s="442" t="s">
        <v>598</v>
      </c>
      <c r="E149" s="442" t="s">
        <v>726</v>
      </c>
      <c r="F149" s="442" t="s">
        <v>581</v>
      </c>
      <c r="G149" s="443" t="b">
        <f>IF(A149="","",IF(Daten!$AE$4=0,TRUE,MONTH(A149)=Daten!$AE$4))</f>
        <v>1</v>
      </c>
      <c r="H149" s="454" t="s">
        <v>302</v>
      </c>
      <c r="I149" s="443" t="s">
        <v>77</v>
      </c>
      <c r="J149" s="443"/>
      <c r="K149" s="442" t="s">
        <v>637</v>
      </c>
      <c r="L149" s="453"/>
      <c r="M149" s="450" t="str">
        <f>IF(OR(A149="", B149=""), "", IF(H149="Mitgliedsbeiträge", ABS(B149), ""))</f>
        <v/>
      </c>
      <c r="N149" s="450" t="str">
        <f t="shared" si="17"/>
        <v/>
      </c>
      <c r="O149" s="450" t="str">
        <f t="shared" si="18"/>
        <v/>
      </c>
      <c r="P149" s="450" t="str">
        <f t="shared" si="19"/>
        <v/>
      </c>
      <c r="Q149" s="450" t="str">
        <f t="shared" si="20"/>
        <v/>
      </c>
      <c r="R149" s="450" t="str">
        <f t="shared" si="21"/>
        <v/>
      </c>
      <c r="S149" s="450">
        <v>12.83</v>
      </c>
      <c r="T149" s="450" t="str">
        <f t="shared" si="32"/>
        <v/>
      </c>
      <c r="U149" s="450" t="str">
        <f t="shared" si="22"/>
        <v/>
      </c>
      <c r="V149" s="450" t="str">
        <f t="shared" si="30"/>
        <v/>
      </c>
      <c r="W149" s="450" t="str">
        <f t="shared" si="24"/>
        <v/>
      </c>
      <c r="X149" s="450" t="str">
        <f t="shared" si="25"/>
        <v/>
      </c>
      <c r="Y149" s="450" t="str">
        <f t="shared" si="26"/>
        <v/>
      </c>
      <c r="Z149" s="451" t="str">
        <f t="shared" si="31"/>
        <v/>
      </c>
    </row>
    <row r="150" spans="1:26" x14ac:dyDescent="0.35">
      <c r="A150" s="438">
        <v>45748</v>
      </c>
      <c r="B150" s="446">
        <v>15</v>
      </c>
      <c r="C150" s="439" t="s">
        <v>622</v>
      </c>
      <c r="D150" s="439" t="s">
        <v>623</v>
      </c>
      <c r="E150" s="439" t="s">
        <v>720</v>
      </c>
      <c r="F150" s="439" t="s">
        <v>570</v>
      </c>
      <c r="G150" s="440" t="b">
        <f>IF(A150="","",IF(Daten!$AE$4=0,TRUE,MONTH(A150)=Daten!$AE$4))</f>
        <v>1</v>
      </c>
      <c r="H150" s="454" t="s">
        <v>415</v>
      </c>
      <c r="I150" s="440" t="s">
        <v>76</v>
      </c>
      <c r="J150" s="440"/>
      <c r="K150" s="439" t="s">
        <v>637</v>
      </c>
      <c r="L150" s="452"/>
      <c r="M150" s="448" t="str">
        <f>IF(OR(A150="", B150=""), "", IF(H150="Mitgliedsbeiträge", ABS(B150), ""))</f>
        <v/>
      </c>
      <c r="N150" s="448" t="str">
        <f t="shared" si="17"/>
        <v/>
      </c>
      <c r="O150" s="448" t="str">
        <f t="shared" si="18"/>
        <v/>
      </c>
      <c r="P150" s="448" t="str">
        <f t="shared" si="19"/>
        <v/>
      </c>
      <c r="Q150" s="448" t="str">
        <f t="shared" si="20"/>
        <v/>
      </c>
      <c r="R150" s="448" t="str">
        <f t="shared" si="21"/>
        <v/>
      </c>
      <c r="S150" s="448">
        <v>15</v>
      </c>
      <c r="T150" s="448" t="str">
        <f t="shared" si="32"/>
        <v/>
      </c>
      <c r="U150" s="448" t="str">
        <f t="shared" si="22"/>
        <v/>
      </c>
      <c r="V150" s="448" t="str">
        <f t="shared" si="30"/>
        <v/>
      </c>
      <c r="W150" s="448" t="str">
        <f t="shared" si="24"/>
        <v/>
      </c>
      <c r="X150" s="448" t="str">
        <f t="shared" si="25"/>
        <v/>
      </c>
      <c r="Y150" s="448" t="str">
        <f t="shared" si="26"/>
        <v/>
      </c>
      <c r="Z150" s="449" t="str">
        <f t="shared" si="31"/>
        <v/>
      </c>
    </row>
    <row r="151" spans="1:26" x14ac:dyDescent="0.35">
      <c r="A151" s="441">
        <v>45748</v>
      </c>
      <c r="B151" s="447">
        <v>15</v>
      </c>
      <c r="C151" s="442" t="s">
        <v>622</v>
      </c>
      <c r="D151" s="442" t="s">
        <v>623</v>
      </c>
      <c r="E151" s="442" t="s">
        <v>719</v>
      </c>
      <c r="F151" s="442" t="s">
        <v>570</v>
      </c>
      <c r="G151" s="443" t="b">
        <f>IF(A151="","",IF(Daten!$AE$4=0,TRUE,MONTH(A151)=Daten!$AE$4))</f>
        <v>1</v>
      </c>
      <c r="H151" s="454" t="s">
        <v>306</v>
      </c>
      <c r="I151" s="443" t="s">
        <v>76</v>
      </c>
      <c r="J151" s="443"/>
      <c r="K151" s="442" t="s">
        <v>637</v>
      </c>
      <c r="L151" s="453"/>
      <c r="M151" s="450">
        <v>15</v>
      </c>
      <c r="N151" s="450" t="str">
        <f t="shared" si="17"/>
        <v/>
      </c>
      <c r="O151" s="450" t="str">
        <f t="shared" si="18"/>
        <v/>
      </c>
      <c r="P151" s="450" t="str">
        <f t="shared" si="19"/>
        <v/>
      </c>
      <c r="Q151" s="450" t="str">
        <f t="shared" si="20"/>
        <v/>
      </c>
      <c r="R151" s="450" t="str">
        <f t="shared" si="21"/>
        <v/>
      </c>
      <c r="S151" s="450" t="str">
        <f>IF(OR(A151="", B151=""), "", IF(H151="Sonstige Einnahmen", ABS(B151), ""))</f>
        <v/>
      </c>
      <c r="T151" s="450" t="str">
        <f t="shared" si="32"/>
        <v/>
      </c>
      <c r="U151" s="450" t="str">
        <f t="shared" si="22"/>
        <v/>
      </c>
      <c r="V151" s="450" t="str">
        <f t="shared" si="30"/>
        <v/>
      </c>
      <c r="W151" s="450" t="str">
        <f t="shared" si="24"/>
        <v/>
      </c>
      <c r="X151" s="450" t="str">
        <f t="shared" si="25"/>
        <v/>
      </c>
      <c r="Y151" s="450" t="str">
        <f t="shared" si="26"/>
        <v/>
      </c>
      <c r="Z151" s="451" t="str">
        <f t="shared" si="31"/>
        <v/>
      </c>
    </row>
    <row r="152" spans="1:26" x14ac:dyDescent="0.35">
      <c r="A152" s="438">
        <v>45748</v>
      </c>
      <c r="B152" s="446">
        <v>15</v>
      </c>
      <c r="C152" s="439" t="s">
        <v>595</v>
      </c>
      <c r="D152" s="439" t="s">
        <v>596</v>
      </c>
      <c r="E152" s="439" t="s">
        <v>656</v>
      </c>
      <c r="F152" s="439" t="s">
        <v>570</v>
      </c>
      <c r="G152" s="440" t="b">
        <f>IF(A152="","",IF(Daten!$AE$4=0,TRUE,MONTH(A152)=Daten!$AE$4))</f>
        <v>1</v>
      </c>
      <c r="H152" s="454" t="s">
        <v>306</v>
      </c>
      <c r="I152" s="440" t="s">
        <v>76</v>
      </c>
      <c r="J152" s="440"/>
      <c r="K152" s="439" t="s">
        <v>637</v>
      </c>
      <c r="L152" s="452"/>
      <c r="M152" s="448">
        <v>15</v>
      </c>
      <c r="N152" s="448" t="str">
        <f t="shared" si="17"/>
        <v/>
      </c>
      <c r="O152" s="448" t="str">
        <f t="shared" si="18"/>
        <v/>
      </c>
      <c r="P152" s="448" t="str">
        <f t="shared" si="19"/>
        <v/>
      </c>
      <c r="Q152" s="448" t="str">
        <f t="shared" si="20"/>
        <v/>
      </c>
      <c r="R152" s="448" t="str">
        <f t="shared" si="21"/>
        <v/>
      </c>
      <c r="S152" s="448" t="str">
        <f>IF(OR(A152="", B152=""), "", IF(H152="Sonstige Einnahmen", ABS(B152), ""))</f>
        <v/>
      </c>
      <c r="T152" s="448" t="str">
        <f t="shared" si="32"/>
        <v/>
      </c>
      <c r="U152" s="448" t="str">
        <f t="shared" si="22"/>
        <v/>
      </c>
      <c r="V152" s="448" t="str">
        <f t="shared" si="30"/>
        <v/>
      </c>
      <c r="W152" s="448" t="str">
        <f t="shared" si="24"/>
        <v/>
      </c>
      <c r="X152" s="448" t="str">
        <f t="shared" si="25"/>
        <v/>
      </c>
      <c r="Y152" s="448" t="str">
        <f t="shared" si="26"/>
        <v/>
      </c>
      <c r="Z152" s="449" t="str">
        <f t="shared" si="31"/>
        <v/>
      </c>
    </row>
    <row r="153" spans="1:26" ht="58" x14ac:dyDescent="0.35">
      <c r="A153" s="441">
        <v>45748</v>
      </c>
      <c r="B153" s="447">
        <v>15</v>
      </c>
      <c r="C153" s="442" t="s">
        <v>56</v>
      </c>
      <c r="D153" s="442" t="s">
        <v>602</v>
      </c>
      <c r="E153" s="442" t="s">
        <v>657</v>
      </c>
      <c r="F153" s="442" t="s">
        <v>570</v>
      </c>
      <c r="G153" s="443" t="b">
        <f>IF(A153="","",IF(Daten!$AE$4=0,TRUE,MONTH(A153)=Daten!$AE$4))</f>
        <v>1</v>
      </c>
      <c r="H153" s="455" t="s">
        <v>463</v>
      </c>
      <c r="I153" s="443" t="s">
        <v>76</v>
      </c>
      <c r="J153" s="443"/>
      <c r="K153" s="442" t="s">
        <v>637</v>
      </c>
      <c r="L153" s="453" t="s">
        <v>781</v>
      </c>
      <c r="M153" s="450" t="str">
        <f>IF(OR(A153="", B153=""), "", IF(H153="Mitgliedsbeiträge", ABS(B153), ""))</f>
        <v/>
      </c>
      <c r="N153" s="450" t="str">
        <f t="shared" si="17"/>
        <v/>
      </c>
      <c r="O153" s="450" t="str">
        <f t="shared" si="18"/>
        <v/>
      </c>
      <c r="P153" s="450" t="str">
        <f t="shared" si="19"/>
        <v/>
      </c>
      <c r="Q153" s="450" t="str">
        <f t="shared" si="20"/>
        <v/>
      </c>
      <c r="R153" s="450" t="str">
        <f t="shared" si="21"/>
        <v/>
      </c>
      <c r="S153" s="450">
        <v>15</v>
      </c>
      <c r="T153" s="450" t="str">
        <f t="shared" si="32"/>
        <v/>
      </c>
      <c r="U153" s="450" t="str">
        <f t="shared" si="22"/>
        <v/>
      </c>
      <c r="V153" s="450" t="str">
        <f t="shared" si="30"/>
        <v/>
      </c>
      <c r="W153" s="450" t="str">
        <f t="shared" si="24"/>
        <v/>
      </c>
      <c r="X153" s="450" t="str">
        <f t="shared" si="25"/>
        <v/>
      </c>
      <c r="Y153" s="450" t="str">
        <f t="shared" si="26"/>
        <v/>
      </c>
      <c r="Z153" s="451" t="str">
        <f t="shared" si="31"/>
        <v/>
      </c>
    </row>
    <row r="154" spans="1:26" x14ac:dyDescent="0.35">
      <c r="A154" s="438">
        <v>45748</v>
      </c>
      <c r="B154" s="446">
        <v>7.5</v>
      </c>
      <c r="C154" s="439" t="s">
        <v>56</v>
      </c>
      <c r="D154" s="439" t="s">
        <v>602</v>
      </c>
      <c r="E154" s="439" t="s">
        <v>386</v>
      </c>
      <c r="F154" s="439" t="s">
        <v>570</v>
      </c>
      <c r="G154" s="440" t="b">
        <f>IF(A154="","",IF(Daten!$AE$4=0,TRUE,MONTH(A154)=Daten!$AE$4))</f>
        <v>1</v>
      </c>
      <c r="H154" s="454" t="s">
        <v>306</v>
      </c>
      <c r="I154" s="440" t="s">
        <v>76</v>
      </c>
      <c r="J154" s="440"/>
      <c r="K154" s="439" t="s">
        <v>637</v>
      </c>
      <c r="L154" s="452"/>
      <c r="M154" s="448">
        <v>7.5</v>
      </c>
      <c r="N154" s="448" t="str">
        <f t="shared" si="17"/>
        <v/>
      </c>
      <c r="O154" s="448" t="str">
        <f t="shared" si="18"/>
        <v/>
      </c>
      <c r="P154" s="448" t="str">
        <f t="shared" si="19"/>
        <v/>
      </c>
      <c r="Q154" s="448" t="str">
        <f t="shared" si="20"/>
        <v/>
      </c>
      <c r="R154" s="448" t="str">
        <f t="shared" si="21"/>
        <v/>
      </c>
      <c r="S154" s="448" t="str">
        <f>IF(OR(A154="", B154=""), "", IF(H154="Sonstige Einnahmen", ABS(B154), ""))</f>
        <v/>
      </c>
      <c r="T154" s="448" t="str">
        <f t="shared" si="32"/>
        <v/>
      </c>
      <c r="U154" s="448" t="str">
        <f t="shared" si="22"/>
        <v/>
      </c>
      <c r="V154" s="448" t="str">
        <f t="shared" si="30"/>
        <v/>
      </c>
      <c r="W154" s="448" t="str">
        <f t="shared" si="24"/>
        <v/>
      </c>
      <c r="X154" s="448" t="str">
        <f t="shared" si="25"/>
        <v/>
      </c>
      <c r="Y154" s="448" t="str">
        <f t="shared" si="26"/>
        <v/>
      </c>
      <c r="Z154" s="449" t="str">
        <f t="shared" si="31"/>
        <v/>
      </c>
    </row>
    <row r="155" spans="1:26" x14ac:dyDescent="0.35">
      <c r="A155" s="441">
        <v>45748</v>
      </c>
      <c r="B155" s="447">
        <v>15</v>
      </c>
      <c r="C155" s="442" t="s">
        <v>627</v>
      </c>
      <c r="D155" s="442" t="s">
        <v>591</v>
      </c>
      <c r="E155" s="442" t="s">
        <v>659</v>
      </c>
      <c r="F155" s="442" t="s">
        <v>570</v>
      </c>
      <c r="G155" s="443" t="b">
        <f>IF(A155="","",IF(Daten!$AE$4=0,TRUE,MONTH(A155)=Daten!$AE$4))</f>
        <v>1</v>
      </c>
      <c r="H155" s="454" t="s">
        <v>415</v>
      </c>
      <c r="I155" s="443" t="s">
        <v>76</v>
      </c>
      <c r="J155" s="443"/>
      <c r="K155" s="442" t="s">
        <v>637</v>
      </c>
      <c r="L155" s="453"/>
      <c r="M155" s="450" t="str">
        <f>IF(OR(A155="", B155=""), "", IF(H155="Mitgliedsbeiträge", ABS(B155), ""))</f>
        <v/>
      </c>
      <c r="N155" s="450" t="str">
        <f t="shared" si="17"/>
        <v/>
      </c>
      <c r="O155" s="450" t="str">
        <f t="shared" si="18"/>
        <v/>
      </c>
      <c r="P155" s="450" t="str">
        <f t="shared" si="19"/>
        <v/>
      </c>
      <c r="Q155" s="450" t="str">
        <f t="shared" si="20"/>
        <v/>
      </c>
      <c r="R155" s="450" t="str">
        <f t="shared" si="21"/>
        <v/>
      </c>
      <c r="S155" s="450">
        <v>15</v>
      </c>
      <c r="T155" s="450" t="str">
        <f t="shared" si="32"/>
        <v/>
      </c>
      <c r="U155" s="450" t="str">
        <f t="shared" si="22"/>
        <v/>
      </c>
      <c r="V155" s="450" t="str">
        <f t="shared" si="30"/>
        <v/>
      </c>
      <c r="W155" s="450" t="str">
        <f t="shared" si="24"/>
        <v/>
      </c>
      <c r="X155" s="450" t="str">
        <f t="shared" si="25"/>
        <v/>
      </c>
      <c r="Y155" s="450" t="str">
        <f t="shared" si="26"/>
        <v/>
      </c>
      <c r="Z155" s="451" t="str">
        <f t="shared" si="31"/>
        <v/>
      </c>
    </row>
    <row r="156" spans="1:26" x14ac:dyDescent="0.35">
      <c r="A156" s="438">
        <v>45748</v>
      </c>
      <c r="B156" s="446">
        <v>15</v>
      </c>
      <c r="C156" s="439" t="s">
        <v>605</v>
      </c>
      <c r="D156" s="439" t="s">
        <v>606</v>
      </c>
      <c r="E156" s="439" t="s">
        <v>660</v>
      </c>
      <c r="F156" s="439" t="s">
        <v>570</v>
      </c>
      <c r="G156" s="440" t="b">
        <f>IF(A156="","",IF(Daten!$AE$4=0,TRUE,MONTH(A156)=Daten!$AE$4))</f>
        <v>1</v>
      </c>
      <c r="H156" s="454" t="s">
        <v>415</v>
      </c>
      <c r="I156" s="440" t="s">
        <v>76</v>
      </c>
      <c r="J156" s="440"/>
      <c r="K156" s="439" t="s">
        <v>637</v>
      </c>
      <c r="L156" s="452"/>
      <c r="M156" s="448" t="str">
        <f>IF(OR(A156="", B156=""), "", IF(H156="Mitgliedsbeiträge", ABS(B156), ""))</f>
        <v/>
      </c>
      <c r="N156" s="448" t="str">
        <f t="shared" ref="N156:N219" si="33">IF(OR(A156="", B156=""), "", IF(H156="Spenden", ABS(B156), ""))</f>
        <v/>
      </c>
      <c r="O156" s="448" t="str">
        <f t="shared" ref="O156:O219" si="34">IF(OR(A156="", B156=""), "", IF(H156="Zuschüsse", ABS(B156), ""))</f>
        <v/>
      </c>
      <c r="P156" s="448" t="str">
        <f t="shared" ref="P156:P219" si="35">IF(OR(A156="", B156=""), "", IF(H156="Verwaltung", ABS(B156), ""))</f>
        <v/>
      </c>
      <c r="Q156" s="448" t="str">
        <f t="shared" ref="Q156:Q219" si="36">IF(OR(A156="", B156=""), "", IF(H156="Vermögen", ABS(B156), ""))</f>
        <v/>
      </c>
      <c r="R156" s="448" t="str">
        <f t="shared" ref="R156:R219" si="37">IF(OR(A156="", B156=""), "", IF(H156="Vermögen", ABS(B156), ""))</f>
        <v/>
      </c>
      <c r="S156" s="448">
        <v>15</v>
      </c>
      <c r="T156" s="448" t="str">
        <f t="shared" si="32"/>
        <v/>
      </c>
      <c r="U156" s="448" t="str">
        <f t="shared" ref="U156:U219" si="38">IF(OR(A156="", B156=""), "", IF(H156="Fortbildung", ABS(B156), ""))</f>
        <v/>
      </c>
      <c r="V156" s="448" t="str">
        <f t="shared" ref="V156:V187" si="39">IF(OR(A156="", B156=""), "", IF(H156="Veranstaltungen Ausgabe", ABS(B156), ""))</f>
        <v/>
      </c>
      <c r="W156" s="448" t="str">
        <f t="shared" ref="W156:W219" si="40">IF(OR(A156="", B156=""), "", IF(H156="Bürobetrieb", ABS(B156), ""))</f>
        <v/>
      </c>
      <c r="X156" s="448" t="str">
        <f t="shared" ref="X156:X219" si="41">IF(OR(A156="", B156=""), "", IF(H156="Aufwandsentschädigungen", ABS(B156), ""))</f>
        <v/>
      </c>
      <c r="Y156" s="448" t="str">
        <f t="shared" ref="Y156:Y219" si="42">IF(OR(A156="", B156=""), "", IF(H156="Sonstige Ausgaben", ABS(B156), ""))</f>
        <v/>
      </c>
      <c r="Z156" s="449" t="str">
        <f t="shared" ref="Z156:Z176" si="43">IF(OR(A156="", B156=""), "", IF(H156="Kasse-Auszahlung", ABS(B156), ""))</f>
        <v/>
      </c>
    </row>
    <row r="157" spans="1:26" x14ac:dyDescent="0.35">
      <c r="A157" s="441">
        <v>45748</v>
      </c>
      <c r="B157" s="447">
        <v>15</v>
      </c>
      <c r="C157" s="442" t="s">
        <v>607</v>
      </c>
      <c r="D157" s="442" t="s">
        <v>608</v>
      </c>
      <c r="E157" s="442" t="s">
        <v>661</v>
      </c>
      <c r="F157" s="442" t="s">
        <v>570</v>
      </c>
      <c r="G157" s="443" t="b">
        <f>IF(A157="","",IF(Daten!$AE$4=0,TRUE,MONTH(A157)=Daten!$AE$4))</f>
        <v>1</v>
      </c>
      <c r="H157" s="454" t="s">
        <v>306</v>
      </c>
      <c r="I157" s="443" t="s">
        <v>76</v>
      </c>
      <c r="J157" s="443"/>
      <c r="K157" s="442" t="s">
        <v>637</v>
      </c>
      <c r="L157" s="453"/>
      <c r="M157" s="450">
        <v>15</v>
      </c>
      <c r="N157" s="450" t="str">
        <f t="shared" si="33"/>
        <v/>
      </c>
      <c r="O157" s="450" t="str">
        <f t="shared" si="34"/>
        <v/>
      </c>
      <c r="P157" s="450" t="str">
        <f t="shared" si="35"/>
        <v/>
      </c>
      <c r="Q157" s="450" t="str">
        <f t="shared" si="36"/>
        <v/>
      </c>
      <c r="R157" s="450" t="str">
        <f t="shared" si="37"/>
        <v/>
      </c>
      <c r="S157" s="450" t="str">
        <f>IF(OR(A157="", B157=""), "", IF(H157="Sonstige Einnahmen", ABS(B157), ""))</f>
        <v/>
      </c>
      <c r="T157" s="450" t="str">
        <f t="shared" si="32"/>
        <v/>
      </c>
      <c r="U157" s="450" t="str">
        <f t="shared" si="38"/>
        <v/>
      </c>
      <c r="V157" s="450" t="str">
        <f t="shared" si="39"/>
        <v/>
      </c>
      <c r="W157" s="450" t="str">
        <f t="shared" si="40"/>
        <v/>
      </c>
      <c r="X157" s="450" t="str">
        <f t="shared" si="41"/>
        <v/>
      </c>
      <c r="Y157" s="450" t="str">
        <f t="shared" si="42"/>
        <v/>
      </c>
      <c r="Z157" s="451" t="str">
        <f t="shared" si="43"/>
        <v/>
      </c>
    </row>
    <row r="158" spans="1:26" x14ac:dyDescent="0.35">
      <c r="A158" s="438">
        <v>45748</v>
      </c>
      <c r="B158" s="446">
        <v>15</v>
      </c>
      <c r="C158" s="439" t="s">
        <v>605</v>
      </c>
      <c r="D158" s="439" t="s">
        <v>606</v>
      </c>
      <c r="E158" s="439" t="s">
        <v>662</v>
      </c>
      <c r="F158" s="439" t="s">
        <v>570</v>
      </c>
      <c r="G158" s="440" t="b">
        <f>IF(A158="","",IF(Daten!$AE$4=0,TRUE,MONTH(A158)=Daten!$AE$4))</f>
        <v>1</v>
      </c>
      <c r="H158" s="454" t="s">
        <v>306</v>
      </c>
      <c r="I158" s="440" t="s">
        <v>76</v>
      </c>
      <c r="J158" s="440"/>
      <c r="K158" s="439" t="s">
        <v>637</v>
      </c>
      <c r="L158" s="452"/>
      <c r="M158" s="448">
        <v>15</v>
      </c>
      <c r="N158" s="448" t="str">
        <f t="shared" si="33"/>
        <v/>
      </c>
      <c r="O158" s="448" t="str">
        <f t="shared" si="34"/>
        <v/>
      </c>
      <c r="P158" s="448" t="str">
        <f t="shared" si="35"/>
        <v/>
      </c>
      <c r="Q158" s="448" t="str">
        <f t="shared" si="36"/>
        <v/>
      </c>
      <c r="R158" s="448" t="str">
        <f t="shared" si="37"/>
        <v/>
      </c>
      <c r="S158" s="448" t="str">
        <f>IF(OR(A158="", B158=""), "", IF(H158="Sonstige Einnahmen", ABS(B158), ""))</f>
        <v/>
      </c>
      <c r="T158" s="448" t="str">
        <f t="shared" si="32"/>
        <v/>
      </c>
      <c r="U158" s="448" t="str">
        <f t="shared" si="38"/>
        <v/>
      </c>
      <c r="V158" s="448" t="str">
        <f t="shared" si="39"/>
        <v/>
      </c>
      <c r="W158" s="448" t="str">
        <f t="shared" si="40"/>
        <v/>
      </c>
      <c r="X158" s="448" t="str">
        <f t="shared" si="41"/>
        <v/>
      </c>
      <c r="Y158" s="448" t="str">
        <f t="shared" si="42"/>
        <v/>
      </c>
      <c r="Z158" s="449" t="str">
        <f t="shared" si="43"/>
        <v/>
      </c>
    </row>
    <row r="159" spans="1:26" ht="29" x14ac:dyDescent="0.35">
      <c r="A159" s="441">
        <v>45748</v>
      </c>
      <c r="B159" s="447">
        <v>0</v>
      </c>
      <c r="C159" s="442"/>
      <c r="D159" s="442">
        <v>3529000972</v>
      </c>
      <c r="E159" s="442" t="s">
        <v>725</v>
      </c>
      <c r="F159" s="442" t="s">
        <v>382</v>
      </c>
      <c r="G159" s="443" t="b">
        <f>IF(A159="","",IF(Daten!$AE$4=0,TRUE,MONTH(A159)=Daten!$AE$4))</f>
        <v>1</v>
      </c>
      <c r="H159" s="454" t="s">
        <v>782</v>
      </c>
      <c r="I159" s="443" t="s">
        <v>76</v>
      </c>
      <c r="J159" s="443"/>
      <c r="K159" s="442" t="s">
        <v>637</v>
      </c>
      <c r="L159" s="453" t="s">
        <v>788</v>
      </c>
      <c r="M159" s="450" t="str">
        <f>IF(OR(A159="", B159=""), "", IF(H159="Mitgliedsbeiträge", ABS(B159), ""))</f>
        <v/>
      </c>
      <c r="N159" s="450" t="str">
        <f t="shared" si="33"/>
        <v/>
      </c>
      <c r="O159" s="450" t="str">
        <f t="shared" si="34"/>
        <v/>
      </c>
      <c r="P159" s="450" t="str">
        <f t="shared" si="35"/>
        <v/>
      </c>
      <c r="Q159" s="450" t="str">
        <f t="shared" si="36"/>
        <v/>
      </c>
      <c r="R159" s="450" t="str">
        <f t="shared" si="37"/>
        <v/>
      </c>
      <c r="S159" s="450" t="str">
        <f>IF(OR(A159="", B159=""), "", IF(H159="Sonstige Einnahmen", ABS(B159), ""))</f>
        <v/>
      </c>
      <c r="T159" s="450" t="str">
        <f t="shared" si="32"/>
        <v/>
      </c>
      <c r="U159" s="450" t="str">
        <f t="shared" si="38"/>
        <v/>
      </c>
      <c r="V159" s="450" t="str">
        <f t="shared" si="39"/>
        <v/>
      </c>
      <c r="W159" s="450" t="str">
        <f t="shared" si="40"/>
        <v/>
      </c>
      <c r="X159" s="450" t="str">
        <f t="shared" si="41"/>
        <v/>
      </c>
      <c r="Y159" s="450" t="str">
        <f t="shared" si="42"/>
        <v/>
      </c>
      <c r="Z159" s="451" t="str">
        <f t="shared" si="43"/>
        <v/>
      </c>
    </row>
    <row r="160" spans="1:26" x14ac:dyDescent="0.35">
      <c r="A160" s="438">
        <v>45748</v>
      </c>
      <c r="B160" s="446">
        <v>-6.2</v>
      </c>
      <c r="C160" s="439"/>
      <c r="D160" s="439">
        <v>0</v>
      </c>
      <c r="E160" s="439" t="s">
        <v>663</v>
      </c>
      <c r="F160" s="439" t="s">
        <v>381</v>
      </c>
      <c r="G160" s="440" t="b">
        <f>IF(A160="","",IF(Daten!$AE$4=0,TRUE,MONTH(A160)=Daten!$AE$4))</f>
        <v>1</v>
      </c>
      <c r="H160" s="456" t="s">
        <v>782</v>
      </c>
      <c r="I160" s="440" t="s">
        <v>76</v>
      </c>
      <c r="J160" s="440"/>
      <c r="K160" s="439" t="s">
        <v>637</v>
      </c>
      <c r="L160" s="452" t="s">
        <v>783</v>
      </c>
      <c r="M160" s="448" t="str">
        <f>IF(OR(A160="", B160=""), "", IF(H160="Mitgliedsbeiträge", ABS(B160), ""))</f>
        <v/>
      </c>
      <c r="N160" s="448" t="str">
        <f t="shared" si="33"/>
        <v/>
      </c>
      <c r="O160" s="448" t="str">
        <f t="shared" si="34"/>
        <v/>
      </c>
      <c r="P160" s="448" t="str">
        <f t="shared" si="35"/>
        <v/>
      </c>
      <c r="Q160" s="448" t="str">
        <f t="shared" si="36"/>
        <v/>
      </c>
      <c r="R160" s="448" t="str">
        <f t="shared" si="37"/>
        <v/>
      </c>
      <c r="S160" s="448" t="str">
        <f>IF(OR(A160="", B160=""), "", IF(H160="Sonstige Einnahmen", ABS(B160), ""))</f>
        <v/>
      </c>
      <c r="T160" s="448" t="str">
        <f t="shared" si="32"/>
        <v/>
      </c>
      <c r="U160" s="448" t="str">
        <f t="shared" si="38"/>
        <v/>
      </c>
      <c r="V160" s="448" t="str">
        <f t="shared" si="39"/>
        <v/>
      </c>
      <c r="W160" s="448" t="str">
        <f t="shared" si="40"/>
        <v/>
      </c>
      <c r="X160" s="448" t="str">
        <f t="shared" si="41"/>
        <v/>
      </c>
      <c r="Y160" s="448" t="str">
        <f t="shared" si="42"/>
        <v/>
      </c>
      <c r="Z160" s="449" t="str">
        <f t="shared" si="43"/>
        <v/>
      </c>
    </row>
    <row r="161" spans="1:26" ht="58" x14ac:dyDescent="0.35">
      <c r="A161" s="441">
        <v>45749</v>
      </c>
      <c r="B161" s="447">
        <v>15</v>
      </c>
      <c r="C161" s="442" t="s">
        <v>582</v>
      </c>
      <c r="D161" s="442" t="s">
        <v>583</v>
      </c>
      <c r="E161" s="442" t="s">
        <v>650</v>
      </c>
      <c r="F161" s="442" t="s">
        <v>570</v>
      </c>
      <c r="G161" s="443" t="b">
        <f>IF(A161="","",IF(Daten!$AE$4=0,TRUE,MONTH(A161)=Daten!$AE$4))</f>
        <v>1</v>
      </c>
      <c r="H161" s="455" t="s">
        <v>415</v>
      </c>
      <c r="I161" s="443" t="s">
        <v>76</v>
      </c>
      <c r="J161" s="443"/>
      <c r="K161" s="442" t="s">
        <v>637</v>
      </c>
      <c r="L161" s="453" t="s">
        <v>781</v>
      </c>
      <c r="M161" s="450" t="str">
        <f>IF(OR(A161="", B161=""), "", IF(H161="Mitgliedsbeiträge", ABS(B161), ""))</f>
        <v/>
      </c>
      <c r="N161" s="450" t="str">
        <f t="shared" si="33"/>
        <v/>
      </c>
      <c r="O161" s="450" t="str">
        <f t="shared" si="34"/>
        <v/>
      </c>
      <c r="P161" s="450" t="str">
        <f t="shared" si="35"/>
        <v/>
      </c>
      <c r="Q161" s="450" t="str">
        <f t="shared" si="36"/>
        <v/>
      </c>
      <c r="R161" s="450" t="str">
        <f t="shared" si="37"/>
        <v/>
      </c>
      <c r="S161" s="450">
        <v>15</v>
      </c>
      <c r="T161" s="450" t="str">
        <f t="shared" si="32"/>
        <v/>
      </c>
      <c r="U161" s="450" t="str">
        <f t="shared" si="38"/>
        <v/>
      </c>
      <c r="V161" s="450" t="str">
        <f t="shared" si="39"/>
        <v/>
      </c>
      <c r="W161" s="450" t="str">
        <f t="shared" si="40"/>
        <v/>
      </c>
      <c r="X161" s="450" t="str">
        <f t="shared" si="41"/>
        <v/>
      </c>
      <c r="Y161" s="450" t="str">
        <f t="shared" si="42"/>
        <v/>
      </c>
      <c r="Z161" s="451" t="str">
        <f t="shared" si="43"/>
        <v/>
      </c>
    </row>
    <row r="162" spans="1:26" x14ac:dyDescent="0.35">
      <c r="A162" s="438">
        <v>45749</v>
      </c>
      <c r="B162" s="446">
        <v>15</v>
      </c>
      <c r="C162" s="439" t="s">
        <v>51</v>
      </c>
      <c r="D162" s="439" t="s">
        <v>589</v>
      </c>
      <c r="E162" s="439" t="s">
        <v>384</v>
      </c>
      <c r="F162" s="439" t="s">
        <v>570</v>
      </c>
      <c r="G162" s="440" t="b">
        <f>IF(A162="","",IF(Daten!$AE$4=0,TRUE,MONTH(A162)=Daten!$AE$4))</f>
        <v>1</v>
      </c>
      <c r="H162" s="454" t="s">
        <v>415</v>
      </c>
      <c r="I162" s="440" t="s">
        <v>76</v>
      </c>
      <c r="J162" s="440"/>
      <c r="K162" s="439" t="s">
        <v>637</v>
      </c>
      <c r="L162" s="452"/>
      <c r="M162" s="448" t="str">
        <f>IF(OR(A162="", B162=""), "", IF(H162="Mitgliedsbeiträge", ABS(B162), ""))</f>
        <v/>
      </c>
      <c r="N162" s="448" t="str">
        <f t="shared" si="33"/>
        <v/>
      </c>
      <c r="O162" s="448" t="str">
        <f t="shared" si="34"/>
        <v/>
      </c>
      <c r="P162" s="448" t="str">
        <f t="shared" si="35"/>
        <v/>
      </c>
      <c r="Q162" s="448" t="str">
        <f t="shared" si="36"/>
        <v/>
      </c>
      <c r="R162" s="448" t="str">
        <f t="shared" si="37"/>
        <v/>
      </c>
      <c r="S162" s="448">
        <v>15</v>
      </c>
      <c r="T162" s="448" t="str">
        <f t="shared" si="32"/>
        <v/>
      </c>
      <c r="U162" s="448" t="str">
        <f t="shared" si="38"/>
        <v/>
      </c>
      <c r="V162" s="448" t="str">
        <f t="shared" si="39"/>
        <v/>
      </c>
      <c r="W162" s="448" t="str">
        <f t="shared" si="40"/>
        <v/>
      </c>
      <c r="X162" s="448" t="str">
        <f t="shared" si="41"/>
        <v/>
      </c>
      <c r="Y162" s="448" t="str">
        <f t="shared" si="42"/>
        <v/>
      </c>
      <c r="Z162" s="449" t="str">
        <f t="shared" si="43"/>
        <v/>
      </c>
    </row>
    <row r="163" spans="1:26" x14ac:dyDescent="0.35">
      <c r="A163" s="441">
        <v>45749</v>
      </c>
      <c r="B163" s="447">
        <v>7.5</v>
      </c>
      <c r="C163" s="442" t="s">
        <v>592</v>
      </c>
      <c r="D163" s="442" t="s">
        <v>593</v>
      </c>
      <c r="E163" s="442" t="s">
        <v>651</v>
      </c>
      <c r="F163" s="442" t="s">
        <v>570</v>
      </c>
      <c r="G163" s="443" t="b">
        <f>IF(A163="","",IF(Daten!$AE$4=0,TRUE,MONTH(A163)=Daten!$AE$4))</f>
        <v>1</v>
      </c>
      <c r="H163" s="454" t="s">
        <v>306</v>
      </c>
      <c r="I163" s="443" t="s">
        <v>76</v>
      </c>
      <c r="J163" s="443"/>
      <c r="K163" s="442" t="s">
        <v>637</v>
      </c>
      <c r="L163" s="453"/>
      <c r="M163" s="450">
        <v>7.5</v>
      </c>
      <c r="N163" s="450" t="str">
        <f t="shared" si="33"/>
        <v/>
      </c>
      <c r="O163" s="450" t="str">
        <f t="shared" si="34"/>
        <v/>
      </c>
      <c r="P163" s="450" t="str">
        <f t="shared" si="35"/>
        <v/>
      </c>
      <c r="Q163" s="450" t="str">
        <f t="shared" si="36"/>
        <v/>
      </c>
      <c r="R163" s="450" t="str">
        <f t="shared" si="37"/>
        <v/>
      </c>
      <c r="S163" s="450" t="str">
        <f>IF(OR(A163="", B163=""), "", IF(H163="Sonstige Einnahmen", ABS(B163), ""))</f>
        <v/>
      </c>
      <c r="T163" s="450" t="str">
        <f t="shared" si="32"/>
        <v/>
      </c>
      <c r="U163" s="450" t="str">
        <f t="shared" si="38"/>
        <v/>
      </c>
      <c r="V163" s="450" t="str">
        <f t="shared" si="39"/>
        <v/>
      </c>
      <c r="W163" s="450" t="str">
        <f t="shared" si="40"/>
        <v/>
      </c>
      <c r="X163" s="450" t="str">
        <f t="shared" si="41"/>
        <v/>
      </c>
      <c r="Y163" s="450" t="str">
        <f t="shared" si="42"/>
        <v/>
      </c>
      <c r="Z163" s="451" t="str">
        <f t="shared" si="43"/>
        <v/>
      </c>
    </row>
    <row r="164" spans="1:26" x14ac:dyDescent="0.35">
      <c r="A164" s="438">
        <v>45749</v>
      </c>
      <c r="B164" s="446">
        <v>15</v>
      </c>
      <c r="C164" s="439" t="s">
        <v>592</v>
      </c>
      <c r="D164" s="439" t="s">
        <v>593</v>
      </c>
      <c r="E164" s="439" t="s">
        <v>649</v>
      </c>
      <c r="F164" s="439" t="s">
        <v>570</v>
      </c>
      <c r="G164" s="440" t="b">
        <f>IF(A164="","",IF(Daten!$AE$4=0,TRUE,MONTH(A164)=Daten!$AE$4))</f>
        <v>1</v>
      </c>
      <c r="H164" s="454" t="s">
        <v>415</v>
      </c>
      <c r="I164" s="440" t="s">
        <v>76</v>
      </c>
      <c r="J164" s="440"/>
      <c r="K164" s="439" t="s">
        <v>637</v>
      </c>
      <c r="L164" s="452"/>
      <c r="M164" s="448" t="str">
        <f>IF(OR(A164="", B164=""), "", IF(H164="Mitgliedsbeiträge", ABS(B164), ""))</f>
        <v/>
      </c>
      <c r="N164" s="448" t="str">
        <f t="shared" si="33"/>
        <v/>
      </c>
      <c r="O164" s="448" t="str">
        <f t="shared" si="34"/>
        <v/>
      </c>
      <c r="P164" s="448" t="str">
        <f t="shared" si="35"/>
        <v/>
      </c>
      <c r="Q164" s="448" t="str">
        <f t="shared" si="36"/>
        <v/>
      </c>
      <c r="R164" s="448" t="str">
        <f t="shared" si="37"/>
        <v/>
      </c>
      <c r="S164" s="448">
        <v>15</v>
      </c>
      <c r="T164" s="448" t="str">
        <f t="shared" si="32"/>
        <v/>
      </c>
      <c r="U164" s="448" t="str">
        <f t="shared" si="38"/>
        <v/>
      </c>
      <c r="V164" s="448" t="str">
        <f t="shared" si="39"/>
        <v/>
      </c>
      <c r="W164" s="448" t="str">
        <f t="shared" si="40"/>
        <v/>
      </c>
      <c r="X164" s="448" t="str">
        <f t="shared" si="41"/>
        <v/>
      </c>
      <c r="Y164" s="448" t="str">
        <f t="shared" si="42"/>
        <v/>
      </c>
      <c r="Z164" s="449" t="str">
        <f t="shared" si="43"/>
        <v/>
      </c>
    </row>
    <row r="165" spans="1:26" x14ac:dyDescent="0.35">
      <c r="A165" s="441">
        <v>45749</v>
      </c>
      <c r="B165" s="447">
        <v>15</v>
      </c>
      <c r="C165" s="442" t="s">
        <v>597</v>
      </c>
      <c r="D165" s="442" t="s">
        <v>598</v>
      </c>
      <c r="E165" s="442" t="s">
        <v>385</v>
      </c>
      <c r="F165" s="442" t="s">
        <v>570</v>
      </c>
      <c r="G165" s="443" t="b">
        <f>IF(A165="","",IF(Daten!$AE$4=0,TRUE,MONTH(A165)=Daten!$AE$4))</f>
        <v>1</v>
      </c>
      <c r="H165" s="454" t="s">
        <v>415</v>
      </c>
      <c r="I165" s="443" t="s">
        <v>76</v>
      </c>
      <c r="J165" s="443"/>
      <c r="K165" s="442" t="s">
        <v>637</v>
      </c>
      <c r="L165" s="453"/>
      <c r="M165" s="450" t="str">
        <f>IF(OR(A165="", B165=""), "", IF(H165="Mitgliedsbeiträge", ABS(B165), ""))</f>
        <v/>
      </c>
      <c r="N165" s="450" t="str">
        <f t="shared" si="33"/>
        <v/>
      </c>
      <c r="O165" s="450" t="str">
        <f t="shared" si="34"/>
        <v/>
      </c>
      <c r="P165" s="450" t="str">
        <f t="shared" si="35"/>
        <v/>
      </c>
      <c r="Q165" s="450" t="str">
        <f t="shared" si="36"/>
        <v/>
      </c>
      <c r="R165" s="450" t="str">
        <f t="shared" si="37"/>
        <v/>
      </c>
      <c r="S165" s="450">
        <v>15</v>
      </c>
      <c r="T165" s="450" t="str">
        <f t="shared" si="32"/>
        <v/>
      </c>
      <c r="U165" s="450" t="str">
        <f t="shared" si="38"/>
        <v/>
      </c>
      <c r="V165" s="450" t="str">
        <f t="shared" si="39"/>
        <v/>
      </c>
      <c r="W165" s="450" t="str">
        <f t="shared" si="40"/>
        <v/>
      </c>
      <c r="X165" s="450" t="str">
        <f t="shared" si="41"/>
        <v/>
      </c>
      <c r="Y165" s="450" t="str">
        <f t="shared" si="42"/>
        <v/>
      </c>
      <c r="Z165" s="451" t="str">
        <f t="shared" si="43"/>
        <v/>
      </c>
    </row>
    <row r="166" spans="1:26" x14ac:dyDescent="0.35">
      <c r="A166" s="438">
        <v>45749</v>
      </c>
      <c r="B166" s="446">
        <v>7.5</v>
      </c>
      <c r="C166" s="439" t="s">
        <v>66</v>
      </c>
      <c r="D166" s="439" t="s">
        <v>594</v>
      </c>
      <c r="E166" s="439" t="s">
        <v>652</v>
      </c>
      <c r="F166" s="439" t="s">
        <v>570</v>
      </c>
      <c r="G166" s="440" t="b">
        <f>IF(A166="","",IF(Daten!$AE$4=0,TRUE,MONTH(A166)=Daten!$AE$4))</f>
        <v>1</v>
      </c>
      <c r="H166" s="454" t="s">
        <v>306</v>
      </c>
      <c r="I166" s="440" t="s">
        <v>76</v>
      </c>
      <c r="J166" s="440"/>
      <c r="K166" s="439" t="s">
        <v>637</v>
      </c>
      <c r="L166" s="452"/>
      <c r="M166" s="448">
        <v>7.5</v>
      </c>
      <c r="N166" s="448" t="str">
        <f t="shared" si="33"/>
        <v/>
      </c>
      <c r="O166" s="448" t="str">
        <f t="shared" si="34"/>
        <v/>
      </c>
      <c r="P166" s="448" t="str">
        <f t="shared" si="35"/>
        <v/>
      </c>
      <c r="Q166" s="448" t="str">
        <f t="shared" si="36"/>
        <v/>
      </c>
      <c r="R166" s="448" t="str">
        <f t="shared" si="37"/>
        <v/>
      </c>
      <c r="S166" s="448" t="str">
        <f>IF(OR(A166="", B166=""), "", IF(H166="Sonstige Einnahmen", ABS(B166), ""))</f>
        <v/>
      </c>
      <c r="T166" s="448" t="str">
        <f t="shared" si="32"/>
        <v/>
      </c>
      <c r="U166" s="448" t="str">
        <f t="shared" si="38"/>
        <v/>
      </c>
      <c r="V166" s="448" t="str">
        <f t="shared" si="39"/>
        <v/>
      </c>
      <c r="W166" s="448" t="str">
        <f t="shared" si="40"/>
        <v/>
      </c>
      <c r="X166" s="448" t="str">
        <f t="shared" si="41"/>
        <v/>
      </c>
      <c r="Y166" s="448" t="str">
        <f t="shared" si="42"/>
        <v/>
      </c>
      <c r="Z166" s="449" t="str">
        <f t="shared" si="43"/>
        <v/>
      </c>
    </row>
    <row r="167" spans="1:26" x14ac:dyDescent="0.35">
      <c r="A167" s="441">
        <v>45749</v>
      </c>
      <c r="B167" s="447">
        <v>15</v>
      </c>
      <c r="C167" s="442" t="s">
        <v>66</v>
      </c>
      <c r="D167" s="442" t="s">
        <v>594</v>
      </c>
      <c r="E167" s="442" t="s">
        <v>653</v>
      </c>
      <c r="F167" s="442" t="s">
        <v>570</v>
      </c>
      <c r="G167" s="443" t="b">
        <f>IF(A167="","",IF(Daten!$AE$4=0,TRUE,MONTH(A167)=Daten!$AE$4))</f>
        <v>1</v>
      </c>
      <c r="H167" s="454" t="s">
        <v>415</v>
      </c>
      <c r="I167" s="443" t="s">
        <v>76</v>
      </c>
      <c r="J167" s="443"/>
      <c r="K167" s="442" t="s">
        <v>637</v>
      </c>
      <c r="L167" s="453"/>
      <c r="M167" s="450" t="str">
        <f>IF(OR(A167="", B167=""), "", IF(H167="Mitgliedsbeiträge", ABS(B167), ""))</f>
        <v/>
      </c>
      <c r="N167" s="450" t="str">
        <f t="shared" si="33"/>
        <v/>
      </c>
      <c r="O167" s="450" t="str">
        <f t="shared" si="34"/>
        <v/>
      </c>
      <c r="P167" s="450" t="str">
        <f t="shared" si="35"/>
        <v/>
      </c>
      <c r="Q167" s="450" t="str">
        <f t="shared" si="36"/>
        <v/>
      </c>
      <c r="R167" s="450" t="str">
        <f t="shared" si="37"/>
        <v/>
      </c>
      <c r="S167" s="450">
        <v>15</v>
      </c>
      <c r="T167" s="450" t="str">
        <f t="shared" si="32"/>
        <v/>
      </c>
      <c r="U167" s="450" t="str">
        <f t="shared" si="38"/>
        <v/>
      </c>
      <c r="V167" s="450" t="str">
        <f t="shared" si="39"/>
        <v/>
      </c>
      <c r="W167" s="450" t="str">
        <f t="shared" si="40"/>
        <v/>
      </c>
      <c r="X167" s="450" t="str">
        <f t="shared" si="41"/>
        <v/>
      </c>
      <c r="Y167" s="450" t="str">
        <f t="shared" si="42"/>
        <v/>
      </c>
      <c r="Z167" s="451" t="str">
        <f t="shared" si="43"/>
        <v/>
      </c>
    </row>
    <row r="168" spans="1:26" x14ac:dyDescent="0.35">
      <c r="A168" s="438">
        <v>45749</v>
      </c>
      <c r="B168" s="446">
        <v>15</v>
      </c>
      <c r="C168" s="439" t="s">
        <v>595</v>
      </c>
      <c r="D168" s="439" t="s">
        <v>596</v>
      </c>
      <c r="E168" s="439" t="s">
        <v>654</v>
      </c>
      <c r="F168" s="439" t="s">
        <v>570</v>
      </c>
      <c r="G168" s="440" t="b">
        <f>IF(A168="","",IF(Daten!$AE$4=0,TRUE,MONTH(A168)=Daten!$AE$4))</f>
        <v>1</v>
      </c>
      <c r="H168" s="454" t="s">
        <v>415</v>
      </c>
      <c r="I168" s="440" t="s">
        <v>76</v>
      </c>
      <c r="J168" s="440"/>
      <c r="K168" s="439" t="s">
        <v>637</v>
      </c>
      <c r="L168" s="452"/>
      <c r="M168" s="448" t="str">
        <f>IF(OR(A168="", B168=""), "", IF(H168="Mitgliedsbeiträge", ABS(B168), ""))</f>
        <v/>
      </c>
      <c r="N168" s="448" t="str">
        <f t="shared" si="33"/>
        <v/>
      </c>
      <c r="O168" s="448" t="str">
        <f t="shared" si="34"/>
        <v/>
      </c>
      <c r="P168" s="448" t="str">
        <f t="shared" si="35"/>
        <v/>
      </c>
      <c r="Q168" s="448" t="str">
        <f t="shared" si="36"/>
        <v/>
      </c>
      <c r="R168" s="448" t="str">
        <f t="shared" si="37"/>
        <v/>
      </c>
      <c r="S168" s="448">
        <v>15</v>
      </c>
      <c r="T168" s="448" t="str">
        <f t="shared" si="32"/>
        <v/>
      </c>
      <c r="U168" s="448" t="str">
        <f t="shared" si="38"/>
        <v/>
      </c>
      <c r="V168" s="448" t="str">
        <f t="shared" si="39"/>
        <v/>
      </c>
      <c r="W168" s="448" t="str">
        <f t="shared" si="40"/>
        <v/>
      </c>
      <c r="X168" s="448" t="str">
        <f t="shared" si="41"/>
        <v/>
      </c>
      <c r="Y168" s="448" t="str">
        <f t="shared" si="42"/>
        <v/>
      </c>
      <c r="Z168" s="449" t="str">
        <f t="shared" si="43"/>
        <v/>
      </c>
    </row>
    <row r="169" spans="1:26" x14ac:dyDescent="0.35">
      <c r="A169" s="441">
        <v>45750</v>
      </c>
      <c r="B169" s="447">
        <v>7.5</v>
      </c>
      <c r="C169" s="442" t="s">
        <v>51</v>
      </c>
      <c r="D169" s="442" t="s">
        <v>589</v>
      </c>
      <c r="E169" s="442" t="s">
        <v>646</v>
      </c>
      <c r="F169" s="442" t="s">
        <v>570</v>
      </c>
      <c r="G169" s="443" t="b">
        <f>IF(A169="","",IF(Daten!$AE$4=0,TRUE,MONTH(A169)=Daten!$AE$4))</f>
        <v>1</v>
      </c>
      <c r="H169" s="454" t="s">
        <v>306</v>
      </c>
      <c r="I169" s="443" t="s">
        <v>76</v>
      </c>
      <c r="J169" s="443"/>
      <c r="K169" s="442" t="s">
        <v>637</v>
      </c>
      <c r="L169" s="453"/>
      <c r="M169" s="450">
        <v>7.5</v>
      </c>
      <c r="N169" s="450" t="str">
        <f t="shared" si="33"/>
        <v/>
      </c>
      <c r="O169" s="450" t="str">
        <f t="shared" si="34"/>
        <v/>
      </c>
      <c r="P169" s="450" t="str">
        <f t="shared" si="35"/>
        <v/>
      </c>
      <c r="Q169" s="450" t="str">
        <f t="shared" si="36"/>
        <v/>
      </c>
      <c r="R169" s="450" t="str">
        <f t="shared" si="37"/>
        <v/>
      </c>
      <c r="S169" s="450" t="str">
        <f>IF(OR(A169="", B169=""), "", IF(H169="Sonstige Einnahmen", ABS(B169), ""))</f>
        <v/>
      </c>
      <c r="T169" s="450" t="str">
        <f t="shared" si="32"/>
        <v/>
      </c>
      <c r="U169" s="450" t="str">
        <f t="shared" si="38"/>
        <v/>
      </c>
      <c r="V169" s="450" t="str">
        <f t="shared" si="39"/>
        <v/>
      </c>
      <c r="W169" s="450" t="str">
        <f t="shared" si="40"/>
        <v/>
      </c>
      <c r="X169" s="450" t="str">
        <f t="shared" si="41"/>
        <v/>
      </c>
      <c r="Y169" s="450" t="str">
        <f t="shared" si="42"/>
        <v/>
      </c>
      <c r="Z169" s="451" t="str">
        <f t="shared" si="43"/>
        <v/>
      </c>
    </row>
    <row r="170" spans="1:26" x14ac:dyDescent="0.35">
      <c r="A170" s="438">
        <v>45750</v>
      </c>
      <c r="B170" s="446">
        <v>15</v>
      </c>
      <c r="C170" s="439" t="s">
        <v>627</v>
      </c>
      <c r="D170" s="439" t="s">
        <v>591</v>
      </c>
      <c r="E170" s="439" t="s">
        <v>647</v>
      </c>
      <c r="F170" s="439" t="s">
        <v>570</v>
      </c>
      <c r="G170" s="440" t="b">
        <f>IF(A170="","",IF(Daten!$AE$4=0,TRUE,MONTH(A170)=Daten!$AE$4))</f>
        <v>1</v>
      </c>
      <c r="H170" s="454" t="s">
        <v>306</v>
      </c>
      <c r="I170" s="440" t="s">
        <v>76</v>
      </c>
      <c r="J170" s="440"/>
      <c r="K170" s="439" t="s">
        <v>637</v>
      </c>
      <c r="L170" s="452"/>
      <c r="M170" s="448">
        <v>15</v>
      </c>
      <c r="N170" s="448" t="str">
        <f t="shared" si="33"/>
        <v/>
      </c>
      <c r="O170" s="448" t="str">
        <f t="shared" si="34"/>
        <v/>
      </c>
      <c r="P170" s="448" t="str">
        <f t="shared" si="35"/>
        <v/>
      </c>
      <c r="Q170" s="448" t="str">
        <f t="shared" si="36"/>
        <v/>
      </c>
      <c r="R170" s="448" t="str">
        <f t="shared" si="37"/>
        <v/>
      </c>
      <c r="S170" s="448" t="str">
        <f>IF(OR(A170="", B170=""), "", IF(H170="Sonstige Einnahmen", ABS(B170), ""))</f>
        <v/>
      </c>
      <c r="T170" s="448" t="str">
        <f t="shared" si="32"/>
        <v/>
      </c>
      <c r="U170" s="448" t="str">
        <f t="shared" si="38"/>
        <v/>
      </c>
      <c r="V170" s="448" t="str">
        <f t="shared" si="39"/>
        <v/>
      </c>
      <c r="W170" s="448" t="str">
        <f t="shared" si="40"/>
        <v/>
      </c>
      <c r="X170" s="448" t="str">
        <f t="shared" si="41"/>
        <v/>
      </c>
      <c r="Y170" s="448" t="str">
        <f t="shared" si="42"/>
        <v/>
      </c>
      <c r="Z170" s="449" t="str">
        <f t="shared" si="43"/>
        <v/>
      </c>
    </row>
    <row r="171" spans="1:26" x14ac:dyDescent="0.35">
      <c r="A171" s="441">
        <v>45754</v>
      </c>
      <c r="B171" s="447">
        <v>15</v>
      </c>
      <c r="C171" s="442" t="s">
        <v>584</v>
      </c>
      <c r="D171" s="442" t="s">
        <v>585</v>
      </c>
      <c r="E171" s="442" t="s">
        <v>642</v>
      </c>
      <c r="F171" s="442" t="s">
        <v>570</v>
      </c>
      <c r="G171" s="443" t="b">
        <f>IF(A171="","",IF(Daten!$AE$4=0,TRUE,MONTH(A171)=Daten!$AE$4))</f>
        <v>1</v>
      </c>
      <c r="H171" s="454" t="s">
        <v>415</v>
      </c>
      <c r="I171" s="443" t="s">
        <v>76</v>
      </c>
      <c r="J171" s="443"/>
      <c r="K171" s="442" t="s">
        <v>637</v>
      </c>
      <c r="L171" s="453"/>
      <c r="M171" s="450" t="str">
        <f t="shared" ref="M171:M178" si="44">IF(OR(A171="", B171=""), "", IF(H171="Mitgliedsbeiträge", ABS(B171), ""))</f>
        <v/>
      </c>
      <c r="N171" s="450" t="str">
        <f t="shared" si="33"/>
        <v/>
      </c>
      <c r="O171" s="450" t="str">
        <f t="shared" si="34"/>
        <v/>
      </c>
      <c r="P171" s="450" t="str">
        <f t="shared" si="35"/>
        <v/>
      </c>
      <c r="Q171" s="450" t="str">
        <f t="shared" si="36"/>
        <v/>
      </c>
      <c r="R171" s="450" t="str">
        <f t="shared" si="37"/>
        <v/>
      </c>
      <c r="S171" s="450">
        <v>15</v>
      </c>
      <c r="T171" s="450" t="str">
        <f t="shared" si="32"/>
        <v/>
      </c>
      <c r="U171" s="450" t="str">
        <f t="shared" si="38"/>
        <v/>
      </c>
      <c r="V171" s="450" t="str">
        <f t="shared" si="39"/>
        <v/>
      </c>
      <c r="W171" s="450" t="str">
        <f t="shared" si="40"/>
        <v/>
      </c>
      <c r="X171" s="450" t="str">
        <f t="shared" si="41"/>
        <v/>
      </c>
      <c r="Y171" s="450" t="str">
        <f t="shared" si="42"/>
        <v/>
      </c>
      <c r="Z171" s="451" t="str">
        <f t="shared" si="43"/>
        <v/>
      </c>
    </row>
    <row r="172" spans="1:26" x14ac:dyDescent="0.35">
      <c r="A172" s="438">
        <v>45754</v>
      </c>
      <c r="B172" s="446">
        <v>-497</v>
      </c>
      <c r="C172" s="439" t="s">
        <v>587</v>
      </c>
      <c r="D172" s="439" t="s">
        <v>588</v>
      </c>
      <c r="E172" s="439" t="s">
        <v>724</v>
      </c>
      <c r="F172" s="439" t="s">
        <v>576</v>
      </c>
      <c r="G172" s="440" t="b">
        <f>IF(A172="","",IF(Daten!$AE$4=0,TRUE,MONTH(A172)=Daten!$AE$4))</f>
        <v>1</v>
      </c>
      <c r="H172" s="454" t="s">
        <v>451</v>
      </c>
      <c r="I172" s="440" t="s">
        <v>76</v>
      </c>
      <c r="J172" s="440"/>
      <c r="K172" s="439" t="s">
        <v>637</v>
      </c>
      <c r="L172" s="452"/>
      <c r="M172" s="448" t="str">
        <f t="shared" si="44"/>
        <v/>
      </c>
      <c r="N172" s="448" t="str">
        <f t="shared" si="33"/>
        <v/>
      </c>
      <c r="O172" s="448" t="str">
        <f t="shared" si="34"/>
        <v/>
      </c>
      <c r="P172" s="448" t="str">
        <f t="shared" si="35"/>
        <v/>
      </c>
      <c r="Q172" s="448" t="str">
        <f t="shared" si="36"/>
        <v/>
      </c>
      <c r="R172" s="448" t="str">
        <f t="shared" si="37"/>
        <v/>
      </c>
      <c r="S172" s="448" t="str">
        <f>IF(OR(A172="", B172=""), "", IF(H172="Sonstige Einnahmen", ABS(B172), ""))</f>
        <v/>
      </c>
      <c r="T172" s="448">
        <v>-497</v>
      </c>
      <c r="U172" s="448" t="str">
        <f t="shared" si="38"/>
        <v/>
      </c>
      <c r="V172" s="448" t="str">
        <f t="shared" si="39"/>
        <v/>
      </c>
      <c r="W172" s="448" t="str">
        <f t="shared" si="40"/>
        <v/>
      </c>
      <c r="X172" s="448" t="str">
        <f t="shared" si="41"/>
        <v/>
      </c>
      <c r="Y172" s="448" t="str">
        <f t="shared" si="42"/>
        <v/>
      </c>
      <c r="Z172" s="449" t="str">
        <f t="shared" si="43"/>
        <v/>
      </c>
    </row>
    <row r="173" spans="1:26" x14ac:dyDescent="0.35">
      <c r="A173" s="441">
        <v>45762</v>
      </c>
      <c r="B173" s="447">
        <v>-80.11</v>
      </c>
      <c r="C173" s="442" t="s">
        <v>611</v>
      </c>
      <c r="D173" s="442" t="s">
        <v>612</v>
      </c>
      <c r="E173" s="442" t="s">
        <v>722</v>
      </c>
      <c r="F173" s="442" t="s">
        <v>576</v>
      </c>
      <c r="G173" s="443" t="b">
        <f>IF(A173="","",IF(Daten!$AE$4=0,TRUE,MONTH(A173)=Daten!$AE$4))</f>
        <v>1</v>
      </c>
      <c r="H173" s="454" t="s">
        <v>390</v>
      </c>
      <c r="I173" s="443" t="s">
        <v>76</v>
      </c>
      <c r="J173" s="443"/>
      <c r="K173" s="442" t="s">
        <v>637</v>
      </c>
      <c r="L173" s="453"/>
      <c r="M173" s="450" t="str">
        <f t="shared" si="44"/>
        <v/>
      </c>
      <c r="N173" s="450" t="str">
        <f t="shared" si="33"/>
        <v/>
      </c>
      <c r="O173" s="450" t="str">
        <f t="shared" si="34"/>
        <v/>
      </c>
      <c r="P173" s="450" t="str">
        <f t="shared" si="35"/>
        <v/>
      </c>
      <c r="Q173" s="450" t="str">
        <f t="shared" si="36"/>
        <v/>
      </c>
      <c r="R173" s="450" t="str">
        <f t="shared" si="37"/>
        <v/>
      </c>
      <c r="S173" s="450" t="str">
        <f>IF(OR(A173="", B173=""), "", IF(H173="Sonstige Einnahmen", ABS(B173), ""))</f>
        <v/>
      </c>
      <c r="T173" s="450">
        <v>-80.11</v>
      </c>
      <c r="U173" s="450" t="str">
        <f t="shared" si="38"/>
        <v/>
      </c>
      <c r="V173" s="450" t="str">
        <f t="shared" si="39"/>
        <v/>
      </c>
      <c r="W173" s="450" t="str">
        <f t="shared" si="40"/>
        <v/>
      </c>
      <c r="X173" s="450" t="str">
        <f t="shared" si="41"/>
        <v/>
      </c>
      <c r="Y173" s="450" t="str">
        <f t="shared" si="42"/>
        <v/>
      </c>
      <c r="Z173" s="451" t="str">
        <f t="shared" si="43"/>
        <v/>
      </c>
    </row>
    <row r="174" spans="1:26" x14ac:dyDescent="0.35">
      <c r="A174" s="438">
        <v>45762</v>
      </c>
      <c r="B174" s="446">
        <v>-138</v>
      </c>
      <c r="C174" s="439" t="s">
        <v>577</v>
      </c>
      <c r="D174" s="439" t="s">
        <v>578</v>
      </c>
      <c r="E174" s="439" t="s">
        <v>639</v>
      </c>
      <c r="F174" s="439" t="s">
        <v>576</v>
      </c>
      <c r="G174" s="440" t="b">
        <f>IF(A174="","",IF(Daten!$AE$4=0,TRUE,MONTH(A174)=Daten!$AE$4))</f>
        <v>1</v>
      </c>
      <c r="H174" s="454" t="s">
        <v>459</v>
      </c>
      <c r="I174" s="440" t="s">
        <v>76</v>
      </c>
      <c r="J174" s="440"/>
      <c r="K174" s="439" t="s">
        <v>637</v>
      </c>
      <c r="L174" s="452"/>
      <c r="M174" s="448" t="str">
        <f t="shared" si="44"/>
        <v/>
      </c>
      <c r="N174" s="448" t="str">
        <f t="shared" si="33"/>
        <v/>
      </c>
      <c r="O174" s="448" t="str">
        <f t="shared" si="34"/>
        <v/>
      </c>
      <c r="P174" s="448" t="str">
        <f t="shared" si="35"/>
        <v/>
      </c>
      <c r="Q174" s="448" t="str">
        <f t="shared" si="36"/>
        <v/>
      </c>
      <c r="R174" s="448" t="str">
        <f t="shared" si="37"/>
        <v/>
      </c>
      <c r="S174" s="448" t="str">
        <f>IF(OR(A174="", B174=""), "", IF(H174="Sonstige Einnahmen", ABS(B174), ""))</f>
        <v/>
      </c>
      <c r="T174" s="448">
        <v>-138</v>
      </c>
      <c r="U174" s="448" t="str">
        <f t="shared" si="38"/>
        <v/>
      </c>
      <c r="V174" s="448" t="str">
        <f t="shared" si="39"/>
        <v/>
      </c>
      <c r="W174" s="448" t="str">
        <f t="shared" si="40"/>
        <v/>
      </c>
      <c r="X174" s="448" t="str">
        <f t="shared" si="41"/>
        <v/>
      </c>
      <c r="Y174" s="448" t="str">
        <f t="shared" si="42"/>
        <v/>
      </c>
      <c r="Z174" s="449" t="str">
        <f t="shared" si="43"/>
        <v/>
      </c>
    </row>
    <row r="175" spans="1:26" x14ac:dyDescent="0.35">
      <c r="A175" s="441">
        <v>45762</v>
      </c>
      <c r="B175" s="447">
        <v>-59.94</v>
      </c>
      <c r="C175" s="442" t="s">
        <v>579</v>
      </c>
      <c r="D175" s="442" t="s">
        <v>580</v>
      </c>
      <c r="E175" s="442" t="s">
        <v>723</v>
      </c>
      <c r="F175" s="442" t="s">
        <v>576</v>
      </c>
      <c r="G175" s="443" t="b">
        <f>IF(A175="","",IF(Daten!$AE$4=0,TRUE,MONTH(A175)=Daten!$AE$4))</f>
        <v>1</v>
      </c>
      <c r="H175" s="454" t="s">
        <v>389</v>
      </c>
      <c r="I175" s="443" t="s">
        <v>76</v>
      </c>
      <c r="J175" s="443"/>
      <c r="K175" s="442" t="s">
        <v>637</v>
      </c>
      <c r="L175" s="453"/>
      <c r="M175" s="450" t="str">
        <f t="shared" si="44"/>
        <v/>
      </c>
      <c r="N175" s="450" t="str">
        <f t="shared" si="33"/>
        <v/>
      </c>
      <c r="O175" s="450" t="str">
        <f t="shared" si="34"/>
        <v/>
      </c>
      <c r="P175" s="450" t="str">
        <f t="shared" si="35"/>
        <v/>
      </c>
      <c r="Q175" s="450" t="str">
        <f t="shared" si="36"/>
        <v/>
      </c>
      <c r="R175" s="450" t="str">
        <f t="shared" si="37"/>
        <v/>
      </c>
      <c r="S175" s="450" t="str">
        <f>IF(OR(A175="", B175=""), "", IF(H175="Sonstige Einnahmen", ABS(B175), ""))</f>
        <v/>
      </c>
      <c r="T175" s="450">
        <v>-59.94</v>
      </c>
      <c r="U175" s="450" t="str">
        <f t="shared" si="38"/>
        <v/>
      </c>
      <c r="V175" s="450" t="str">
        <f t="shared" si="39"/>
        <v/>
      </c>
      <c r="W175" s="450" t="str">
        <f t="shared" si="40"/>
        <v/>
      </c>
      <c r="X175" s="450" t="str">
        <f t="shared" si="41"/>
        <v/>
      </c>
      <c r="Y175" s="450" t="str">
        <f t="shared" si="42"/>
        <v/>
      </c>
      <c r="Z175" s="451" t="str">
        <f t="shared" si="43"/>
        <v/>
      </c>
    </row>
    <row r="176" spans="1:26" x14ac:dyDescent="0.35">
      <c r="A176" s="438">
        <v>45769</v>
      </c>
      <c r="B176" s="446">
        <v>15</v>
      </c>
      <c r="C176" s="439" t="s">
        <v>571</v>
      </c>
      <c r="D176" s="439" t="s">
        <v>572</v>
      </c>
      <c r="E176" s="439" t="s">
        <v>636</v>
      </c>
      <c r="F176" s="439" t="s">
        <v>570</v>
      </c>
      <c r="G176" s="440" t="b">
        <f>IF(A176="","",IF(Daten!$AE$4=0,TRUE,MONTH(A176)=Daten!$AE$4))</f>
        <v>1</v>
      </c>
      <c r="H176" s="454" t="s">
        <v>415</v>
      </c>
      <c r="I176" s="440" t="s">
        <v>76</v>
      </c>
      <c r="J176" s="440"/>
      <c r="K176" s="439" t="s">
        <v>637</v>
      </c>
      <c r="L176" s="452"/>
      <c r="M176" s="448" t="str">
        <f t="shared" si="44"/>
        <v/>
      </c>
      <c r="N176" s="448" t="str">
        <f t="shared" si="33"/>
        <v/>
      </c>
      <c r="O176" s="448" t="str">
        <f t="shared" si="34"/>
        <v/>
      </c>
      <c r="P176" s="448" t="str">
        <f t="shared" si="35"/>
        <v/>
      </c>
      <c r="Q176" s="448" t="str">
        <f t="shared" si="36"/>
        <v/>
      </c>
      <c r="R176" s="448" t="str">
        <f t="shared" si="37"/>
        <v/>
      </c>
      <c r="S176" s="448">
        <v>15</v>
      </c>
      <c r="T176" s="448" t="str">
        <f t="shared" ref="T176:T203" si="45">IF(OR(A176="", B176=""), "", IF(H176="Unterhaltung", ABS(B176), ""))</f>
        <v/>
      </c>
      <c r="U176" s="448" t="str">
        <f t="shared" si="38"/>
        <v/>
      </c>
      <c r="V176" s="448" t="str">
        <f t="shared" si="39"/>
        <v/>
      </c>
      <c r="W176" s="448" t="str">
        <f t="shared" si="40"/>
        <v/>
      </c>
      <c r="X176" s="448" t="str">
        <f t="shared" si="41"/>
        <v/>
      </c>
      <c r="Y176" s="448" t="str">
        <f t="shared" si="42"/>
        <v/>
      </c>
      <c r="Z176" s="449" t="str">
        <f t="shared" si="43"/>
        <v/>
      </c>
    </row>
    <row r="177" spans="1:26" x14ac:dyDescent="0.35">
      <c r="A177" s="441">
        <v>45772</v>
      </c>
      <c r="B177" s="447">
        <v>-300</v>
      </c>
      <c r="C177" s="442" t="s">
        <v>635</v>
      </c>
      <c r="D177" s="442">
        <v>0</v>
      </c>
      <c r="E177" s="442" t="s">
        <v>721</v>
      </c>
      <c r="F177" s="442" t="s">
        <v>634</v>
      </c>
      <c r="G177" s="443" t="b">
        <f>IF(A177="","",IF(Daten!$AE$4=0,TRUE,MONTH(A177)=Daten!$AE$4))</f>
        <v>1</v>
      </c>
      <c r="H177" s="454" t="s">
        <v>336</v>
      </c>
      <c r="I177" s="443" t="s">
        <v>76</v>
      </c>
      <c r="J177" s="443"/>
      <c r="K177" s="442" t="s">
        <v>637</v>
      </c>
      <c r="L177" s="453"/>
      <c r="M177" s="450" t="str">
        <f t="shared" si="44"/>
        <v/>
      </c>
      <c r="N177" s="450" t="str">
        <f t="shared" si="33"/>
        <v/>
      </c>
      <c r="O177" s="450" t="str">
        <f t="shared" si="34"/>
        <v/>
      </c>
      <c r="P177" s="450" t="str">
        <f t="shared" si="35"/>
        <v/>
      </c>
      <c r="Q177" s="450" t="str">
        <f t="shared" si="36"/>
        <v/>
      </c>
      <c r="R177" s="450" t="str">
        <f t="shared" si="37"/>
        <v/>
      </c>
      <c r="S177" s="450" t="str">
        <f>IF(OR(A177="", B177=""), "", IF(H177="Sonstige Einnahmen", ABS(B177), ""))</f>
        <v/>
      </c>
      <c r="T177" s="450" t="str">
        <f t="shared" si="45"/>
        <v/>
      </c>
      <c r="U177" s="450" t="str">
        <f t="shared" si="38"/>
        <v/>
      </c>
      <c r="V177" s="450" t="str">
        <f t="shared" si="39"/>
        <v/>
      </c>
      <c r="W177" s="450" t="str">
        <f t="shared" si="40"/>
        <v/>
      </c>
      <c r="X177" s="450" t="str">
        <f t="shared" si="41"/>
        <v/>
      </c>
      <c r="Y177" s="450" t="str">
        <f t="shared" si="42"/>
        <v/>
      </c>
      <c r="Z177" s="451">
        <v>-300</v>
      </c>
    </row>
    <row r="178" spans="1:26" x14ac:dyDescent="0.35">
      <c r="A178" s="438">
        <v>45772</v>
      </c>
      <c r="B178" s="446">
        <v>15</v>
      </c>
      <c r="C178" s="439" t="s">
        <v>603</v>
      </c>
      <c r="D178" s="439" t="s">
        <v>604</v>
      </c>
      <c r="E178" s="439" t="s">
        <v>666</v>
      </c>
      <c r="F178" s="439" t="s">
        <v>570</v>
      </c>
      <c r="G178" s="440" t="b">
        <f>IF(A178="","",IF(Daten!$AE$4=0,TRUE,MONTH(A178)=Daten!$AE$4))</f>
        <v>1</v>
      </c>
      <c r="H178" s="454" t="s">
        <v>415</v>
      </c>
      <c r="I178" s="440" t="s">
        <v>76</v>
      </c>
      <c r="J178" s="440"/>
      <c r="K178" s="439" t="s">
        <v>637</v>
      </c>
      <c r="L178" s="452"/>
      <c r="M178" s="448" t="str">
        <f t="shared" si="44"/>
        <v/>
      </c>
      <c r="N178" s="448" t="str">
        <f t="shared" si="33"/>
        <v/>
      </c>
      <c r="O178" s="448" t="str">
        <f t="shared" si="34"/>
        <v/>
      </c>
      <c r="P178" s="448" t="str">
        <f t="shared" si="35"/>
        <v/>
      </c>
      <c r="Q178" s="448" t="str">
        <f t="shared" si="36"/>
        <v/>
      </c>
      <c r="R178" s="448" t="str">
        <f t="shared" si="37"/>
        <v/>
      </c>
      <c r="S178" s="448">
        <v>15</v>
      </c>
      <c r="T178" s="448" t="str">
        <f t="shared" si="45"/>
        <v/>
      </c>
      <c r="U178" s="448" t="str">
        <f t="shared" si="38"/>
        <v/>
      </c>
      <c r="V178" s="448" t="str">
        <f t="shared" si="39"/>
        <v/>
      </c>
      <c r="W178" s="448" t="str">
        <f t="shared" si="40"/>
        <v/>
      </c>
      <c r="X178" s="448" t="str">
        <f t="shared" si="41"/>
        <v/>
      </c>
      <c r="Y178" s="448" t="str">
        <f t="shared" si="42"/>
        <v/>
      </c>
      <c r="Z178" s="449" t="str">
        <f t="shared" ref="Z178:Z241" si="46">IF(OR(A178="", B178=""), "", IF(H178="Kasse-Auszahlung", ABS(B178), ""))</f>
        <v/>
      </c>
    </row>
    <row r="179" spans="1:26" x14ac:dyDescent="0.35">
      <c r="A179" s="441">
        <v>45775</v>
      </c>
      <c r="B179" s="447">
        <v>7.5</v>
      </c>
      <c r="C179" s="442" t="s">
        <v>603</v>
      </c>
      <c r="D179" s="442" t="s">
        <v>604</v>
      </c>
      <c r="E179" s="442" t="s">
        <v>664</v>
      </c>
      <c r="F179" s="442" t="s">
        <v>570</v>
      </c>
      <c r="G179" s="443" t="b">
        <f>IF(A179="","",IF(Daten!$AE$4=0,TRUE,MONTH(A179)=Daten!$AE$4))</f>
        <v>1</v>
      </c>
      <c r="H179" s="454" t="s">
        <v>306</v>
      </c>
      <c r="I179" s="443" t="s">
        <v>76</v>
      </c>
      <c r="J179" s="443"/>
      <c r="K179" s="442" t="s">
        <v>637</v>
      </c>
      <c r="L179" s="453"/>
      <c r="M179" s="450">
        <v>7.5</v>
      </c>
      <c r="N179" s="450" t="str">
        <f t="shared" si="33"/>
        <v/>
      </c>
      <c r="O179" s="450" t="str">
        <f t="shared" si="34"/>
        <v/>
      </c>
      <c r="P179" s="450" t="str">
        <f t="shared" si="35"/>
        <v/>
      </c>
      <c r="Q179" s="450" t="str">
        <f t="shared" si="36"/>
        <v/>
      </c>
      <c r="R179" s="450" t="str">
        <f t="shared" si="37"/>
        <v/>
      </c>
      <c r="S179" s="450" t="str">
        <f>IF(OR(A179="", B179=""), "", IF(H179="Sonstige Einnahmen", ABS(B179), ""))</f>
        <v/>
      </c>
      <c r="T179" s="450" t="str">
        <f t="shared" si="45"/>
        <v/>
      </c>
      <c r="U179" s="450" t="str">
        <f t="shared" si="38"/>
        <v/>
      </c>
      <c r="V179" s="450" t="str">
        <f t="shared" si="39"/>
        <v/>
      </c>
      <c r="W179" s="450" t="str">
        <f t="shared" si="40"/>
        <v/>
      </c>
      <c r="X179" s="450" t="str">
        <f t="shared" si="41"/>
        <v/>
      </c>
      <c r="Y179" s="450" t="str">
        <f t="shared" si="42"/>
        <v/>
      </c>
      <c r="Z179" s="451" t="str">
        <f t="shared" si="46"/>
        <v/>
      </c>
    </row>
    <row r="180" spans="1:26" x14ac:dyDescent="0.35">
      <c r="A180" s="438">
        <v>45775</v>
      </c>
      <c r="B180" s="446">
        <v>7.5</v>
      </c>
      <c r="C180" s="439" t="s">
        <v>609</v>
      </c>
      <c r="D180" s="439" t="s">
        <v>610</v>
      </c>
      <c r="E180" s="439" t="s">
        <v>665</v>
      </c>
      <c r="F180" s="439" t="s">
        <v>570</v>
      </c>
      <c r="G180" s="440" t="b">
        <f>IF(A180="","",IF(Daten!$AE$4=0,TRUE,MONTH(A180)=Daten!$AE$4))</f>
        <v>1</v>
      </c>
      <c r="H180" s="454" t="s">
        <v>306</v>
      </c>
      <c r="I180" s="440" t="s">
        <v>76</v>
      </c>
      <c r="J180" s="440"/>
      <c r="K180" s="439" t="s">
        <v>637</v>
      </c>
      <c r="L180" s="452"/>
      <c r="M180" s="448">
        <v>7.5</v>
      </c>
      <c r="N180" s="448" t="str">
        <f t="shared" si="33"/>
        <v/>
      </c>
      <c r="O180" s="448" t="str">
        <f t="shared" si="34"/>
        <v/>
      </c>
      <c r="P180" s="448" t="str">
        <f t="shared" si="35"/>
        <v/>
      </c>
      <c r="Q180" s="448" t="str">
        <f t="shared" si="36"/>
        <v/>
      </c>
      <c r="R180" s="448" t="str">
        <f t="shared" si="37"/>
        <v/>
      </c>
      <c r="S180" s="448" t="str">
        <f>IF(OR(A180="", B180=""), "", IF(H180="Sonstige Einnahmen", ABS(B180), ""))</f>
        <v/>
      </c>
      <c r="T180" s="448" t="str">
        <f t="shared" si="45"/>
        <v/>
      </c>
      <c r="U180" s="448" t="str">
        <f t="shared" si="38"/>
        <v/>
      </c>
      <c r="V180" s="448" t="str">
        <f t="shared" si="39"/>
        <v/>
      </c>
      <c r="W180" s="448" t="str">
        <f t="shared" si="40"/>
        <v/>
      </c>
      <c r="X180" s="448" t="str">
        <f t="shared" si="41"/>
        <v/>
      </c>
      <c r="Y180" s="448" t="str">
        <f t="shared" si="42"/>
        <v/>
      </c>
      <c r="Z180" s="449" t="str">
        <f t="shared" si="46"/>
        <v/>
      </c>
    </row>
    <row r="181" spans="1:26" x14ac:dyDescent="0.35">
      <c r="A181" s="441">
        <v>45776</v>
      </c>
      <c r="B181" s="447">
        <v>15</v>
      </c>
      <c r="C181" s="442" t="s">
        <v>597</v>
      </c>
      <c r="D181" s="442" t="s">
        <v>598</v>
      </c>
      <c r="E181" s="442" t="s">
        <v>306</v>
      </c>
      <c r="F181" s="442" t="s">
        <v>570</v>
      </c>
      <c r="G181" s="443" t="b">
        <f>IF(A181="","",IF(Daten!$AE$4=0,TRUE,MONTH(A181)=Daten!$AE$4))</f>
        <v>1</v>
      </c>
      <c r="H181" s="454" t="s">
        <v>306</v>
      </c>
      <c r="I181" s="443" t="s">
        <v>76</v>
      </c>
      <c r="J181" s="443"/>
      <c r="K181" s="442" t="s">
        <v>637</v>
      </c>
      <c r="L181" s="453"/>
      <c r="M181" s="450">
        <v>15</v>
      </c>
      <c r="N181" s="450" t="str">
        <f t="shared" si="33"/>
        <v/>
      </c>
      <c r="O181" s="450" t="str">
        <f t="shared" si="34"/>
        <v/>
      </c>
      <c r="P181" s="450" t="str">
        <f t="shared" si="35"/>
        <v/>
      </c>
      <c r="Q181" s="450" t="str">
        <f t="shared" si="36"/>
        <v/>
      </c>
      <c r="R181" s="450" t="str">
        <f t="shared" si="37"/>
        <v/>
      </c>
      <c r="S181" s="450" t="str">
        <f>IF(OR(A181="", B181=""), "", IF(H181="Sonstige Einnahmen", ABS(B181), ""))</f>
        <v/>
      </c>
      <c r="T181" s="450" t="str">
        <f t="shared" si="45"/>
        <v/>
      </c>
      <c r="U181" s="450" t="str">
        <f t="shared" si="38"/>
        <v/>
      </c>
      <c r="V181" s="450" t="str">
        <f t="shared" si="39"/>
        <v/>
      </c>
      <c r="W181" s="450" t="str">
        <f t="shared" si="40"/>
        <v/>
      </c>
      <c r="X181" s="450" t="str">
        <f t="shared" si="41"/>
        <v/>
      </c>
      <c r="Y181" s="450" t="str">
        <f t="shared" si="42"/>
        <v/>
      </c>
      <c r="Z181" s="451" t="str">
        <f t="shared" si="46"/>
        <v/>
      </c>
    </row>
    <row r="182" spans="1:26" x14ac:dyDescent="0.35">
      <c r="A182" s="438">
        <v>45779</v>
      </c>
      <c r="B182" s="446">
        <v>15</v>
      </c>
      <c r="C182" s="439" t="s">
        <v>584</v>
      </c>
      <c r="D182" s="439" t="s">
        <v>585</v>
      </c>
      <c r="E182" s="439" t="s">
        <v>655</v>
      </c>
      <c r="F182" s="439" t="s">
        <v>570</v>
      </c>
      <c r="G182" s="440" t="b">
        <f>IF(A182="","",IF(Daten!$AE$4=0,TRUE,MONTH(A182)=Daten!$AE$4))</f>
        <v>1</v>
      </c>
      <c r="H182" s="454" t="s">
        <v>306</v>
      </c>
      <c r="I182" s="440" t="s">
        <v>75</v>
      </c>
      <c r="J182" s="440"/>
      <c r="K182" s="439" t="s">
        <v>637</v>
      </c>
      <c r="L182" s="452"/>
      <c r="M182" s="448">
        <v>15</v>
      </c>
      <c r="N182" s="448" t="str">
        <f t="shared" si="33"/>
        <v/>
      </c>
      <c r="O182" s="448" t="str">
        <f t="shared" si="34"/>
        <v/>
      </c>
      <c r="P182" s="448" t="str">
        <f t="shared" si="35"/>
        <v/>
      </c>
      <c r="Q182" s="448" t="str">
        <f t="shared" si="36"/>
        <v/>
      </c>
      <c r="R182" s="448" t="str">
        <f t="shared" si="37"/>
        <v/>
      </c>
      <c r="S182" s="448" t="str">
        <f>IF(OR(A182="", B182=""), "", IF(H182="Sonstige Einnahmen", ABS(B182), ""))</f>
        <v/>
      </c>
      <c r="T182" s="448" t="str">
        <f t="shared" si="45"/>
        <v/>
      </c>
      <c r="U182" s="448" t="str">
        <f t="shared" si="38"/>
        <v/>
      </c>
      <c r="V182" s="448" t="str">
        <f t="shared" si="39"/>
        <v/>
      </c>
      <c r="W182" s="448" t="str">
        <f t="shared" si="40"/>
        <v/>
      </c>
      <c r="X182" s="448" t="str">
        <f t="shared" si="41"/>
        <v/>
      </c>
      <c r="Y182" s="448" t="str">
        <f t="shared" si="42"/>
        <v/>
      </c>
      <c r="Z182" s="449" t="str">
        <f t="shared" si="46"/>
        <v/>
      </c>
    </row>
    <row r="183" spans="1:26" x14ac:dyDescent="0.35">
      <c r="A183" s="441">
        <v>45779</v>
      </c>
      <c r="B183" s="447">
        <v>15</v>
      </c>
      <c r="C183" s="442" t="s">
        <v>51</v>
      </c>
      <c r="D183" s="442" t="s">
        <v>589</v>
      </c>
      <c r="E183" s="442" t="s">
        <v>384</v>
      </c>
      <c r="F183" s="442" t="s">
        <v>570</v>
      </c>
      <c r="G183" s="443" t="b">
        <f>IF(A183="","",IF(Daten!$AE$4=0,TRUE,MONTH(A183)=Daten!$AE$4))</f>
        <v>1</v>
      </c>
      <c r="H183" s="454" t="s">
        <v>415</v>
      </c>
      <c r="I183" s="443" t="s">
        <v>75</v>
      </c>
      <c r="J183" s="443"/>
      <c r="K183" s="442" t="s">
        <v>637</v>
      </c>
      <c r="L183" s="453"/>
      <c r="M183" s="450" t="str">
        <f>IF(OR(A183="", B183=""), "", IF(H183="Mitgliedsbeiträge", ABS(B183), ""))</f>
        <v/>
      </c>
      <c r="N183" s="450" t="str">
        <f t="shared" si="33"/>
        <v/>
      </c>
      <c r="O183" s="450" t="str">
        <f t="shared" si="34"/>
        <v/>
      </c>
      <c r="P183" s="450" t="str">
        <f t="shared" si="35"/>
        <v/>
      </c>
      <c r="Q183" s="450" t="str">
        <f t="shared" si="36"/>
        <v/>
      </c>
      <c r="R183" s="450" t="str">
        <f t="shared" si="37"/>
        <v/>
      </c>
      <c r="S183" s="450">
        <v>15</v>
      </c>
      <c r="T183" s="450" t="str">
        <f t="shared" si="45"/>
        <v/>
      </c>
      <c r="U183" s="450" t="str">
        <f t="shared" si="38"/>
        <v/>
      </c>
      <c r="V183" s="450" t="str">
        <f t="shared" si="39"/>
        <v/>
      </c>
      <c r="W183" s="450" t="str">
        <f t="shared" si="40"/>
        <v/>
      </c>
      <c r="X183" s="450" t="str">
        <f t="shared" si="41"/>
        <v/>
      </c>
      <c r="Y183" s="450" t="str">
        <f t="shared" si="42"/>
        <v/>
      </c>
      <c r="Z183" s="451" t="str">
        <f t="shared" si="46"/>
        <v/>
      </c>
    </row>
    <row r="184" spans="1:26" x14ac:dyDescent="0.35">
      <c r="A184" s="438">
        <v>45779</v>
      </c>
      <c r="B184" s="446">
        <v>15</v>
      </c>
      <c r="C184" s="439" t="s">
        <v>627</v>
      </c>
      <c r="D184" s="439" t="s">
        <v>591</v>
      </c>
      <c r="E184" s="439" t="s">
        <v>659</v>
      </c>
      <c r="F184" s="439" t="s">
        <v>570</v>
      </c>
      <c r="G184" s="440" t="b">
        <f>IF(A184="","",IF(Daten!$AE$4=0,TRUE,MONTH(A184)=Daten!$AE$4))</f>
        <v>1</v>
      </c>
      <c r="H184" s="454" t="s">
        <v>415</v>
      </c>
      <c r="I184" s="440" t="s">
        <v>75</v>
      </c>
      <c r="J184" s="440"/>
      <c r="K184" s="439" t="s">
        <v>637</v>
      </c>
      <c r="L184" s="452"/>
      <c r="M184" s="448" t="str">
        <f>IF(OR(A184="", B184=""), "", IF(H184="Mitgliedsbeiträge", ABS(B184), ""))</f>
        <v/>
      </c>
      <c r="N184" s="448" t="str">
        <f t="shared" si="33"/>
        <v/>
      </c>
      <c r="O184" s="448" t="str">
        <f t="shared" si="34"/>
        <v/>
      </c>
      <c r="P184" s="448" t="str">
        <f t="shared" si="35"/>
        <v/>
      </c>
      <c r="Q184" s="448" t="str">
        <f t="shared" si="36"/>
        <v/>
      </c>
      <c r="R184" s="448" t="str">
        <f t="shared" si="37"/>
        <v/>
      </c>
      <c r="S184" s="448">
        <v>15</v>
      </c>
      <c r="T184" s="448" t="str">
        <f t="shared" si="45"/>
        <v/>
      </c>
      <c r="U184" s="448" t="str">
        <f t="shared" si="38"/>
        <v/>
      </c>
      <c r="V184" s="448" t="str">
        <f t="shared" si="39"/>
        <v/>
      </c>
      <c r="W184" s="448" t="str">
        <f t="shared" si="40"/>
        <v/>
      </c>
      <c r="X184" s="448" t="str">
        <f t="shared" si="41"/>
        <v/>
      </c>
      <c r="Y184" s="448" t="str">
        <f t="shared" si="42"/>
        <v/>
      </c>
      <c r="Z184" s="449" t="str">
        <f t="shared" si="46"/>
        <v/>
      </c>
    </row>
    <row r="185" spans="1:26" x14ac:dyDescent="0.35">
      <c r="A185" s="441">
        <v>45779</v>
      </c>
      <c r="B185" s="447">
        <v>15</v>
      </c>
      <c r="C185" s="442" t="s">
        <v>622</v>
      </c>
      <c r="D185" s="442" t="s">
        <v>623</v>
      </c>
      <c r="E185" s="442" t="s">
        <v>719</v>
      </c>
      <c r="F185" s="442" t="s">
        <v>570</v>
      </c>
      <c r="G185" s="443" t="b">
        <f>IF(A185="","",IF(Daten!$AE$4=0,TRUE,MONTH(A185)=Daten!$AE$4))</f>
        <v>1</v>
      </c>
      <c r="H185" s="454" t="s">
        <v>306</v>
      </c>
      <c r="I185" s="443" t="s">
        <v>75</v>
      </c>
      <c r="J185" s="443"/>
      <c r="K185" s="442" t="s">
        <v>637</v>
      </c>
      <c r="L185" s="453"/>
      <c r="M185" s="450">
        <v>15</v>
      </c>
      <c r="N185" s="450" t="str">
        <f t="shared" si="33"/>
        <v/>
      </c>
      <c r="O185" s="450" t="str">
        <f t="shared" si="34"/>
        <v/>
      </c>
      <c r="P185" s="450" t="str">
        <f t="shared" si="35"/>
        <v/>
      </c>
      <c r="Q185" s="450" t="str">
        <f t="shared" si="36"/>
        <v/>
      </c>
      <c r="R185" s="450" t="str">
        <f t="shared" si="37"/>
        <v/>
      </c>
      <c r="S185" s="450" t="str">
        <f>IF(OR(A185="", B185=""), "", IF(H185="Sonstige Einnahmen", ABS(B185), ""))</f>
        <v/>
      </c>
      <c r="T185" s="450" t="str">
        <f t="shared" si="45"/>
        <v/>
      </c>
      <c r="U185" s="450" t="str">
        <f t="shared" si="38"/>
        <v/>
      </c>
      <c r="V185" s="450" t="str">
        <f t="shared" si="39"/>
        <v/>
      </c>
      <c r="W185" s="450" t="str">
        <f t="shared" si="40"/>
        <v/>
      </c>
      <c r="X185" s="450" t="str">
        <f t="shared" si="41"/>
        <v/>
      </c>
      <c r="Y185" s="450" t="str">
        <f t="shared" si="42"/>
        <v/>
      </c>
      <c r="Z185" s="451" t="str">
        <f t="shared" si="46"/>
        <v/>
      </c>
    </row>
    <row r="186" spans="1:26" x14ac:dyDescent="0.35">
      <c r="A186" s="438">
        <v>45779</v>
      </c>
      <c r="B186" s="446">
        <v>15</v>
      </c>
      <c r="C186" s="439" t="s">
        <v>622</v>
      </c>
      <c r="D186" s="439" t="s">
        <v>623</v>
      </c>
      <c r="E186" s="439" t="s">
        <v>720</v>
      </c>
      <c r="F186" s="439" t="s">
        <v>570</v>
      </c>
      <c r="G186" s="440" t="b">
        <f>IF(A186="","",IF(Daten!$AE$4=0,TRUE,MONTH(A186)=Daten!$AE$4))</f>
        <v>1</v>
      </c>
      <c r="H186" s="454" t="s">
        <v>415</v>
      </c>
      <c r="I186" s="440" t="s">
        <v>75</v>
      </c>
      <c r="J186" s="440"/>
      <c r="K186" s="439" t="s">
        <v>637</v>
      </c>
      <c r="L186" s="452"/>
      <c r="M186" s="448" t="str">
        <f>IF(OR(A186="", B186=""), "", IF(H186="Mitgliedsbeiträge", ABS(B186), ""))</f>
        <v/>
      </c>
      <c r="N186" s="448" t="str">
        <f t="shared" si="33"/>
        <v/>
      </c>
      <c r="O186" s="448" t="str">
        <f t="shared" si="34"/>
        <v/>
      </c>
      <c r="P186" s="448" t="str">
        <f t="shared" si="35"/>
        <v/>
      </c>
      <c r="Q186" s="448" t="str">
        <f t="shared" si="36"/>
        <v/>
      </c>
      <c r="R186" s="448" t="str">
        <f t="shared" si="37"/>
        <v/>
      </c>
      <c r="S186" s="448">
        <v>15</v>
      </c>
      <c r="T186" s="448" t="str">
        <f t="shared" si="45"/>
        <v/>
      </c>
      <c r="U186" s="448" t="str">
        <f t="shared" si="38"/>
        <v/>
      </c>
      <c r="V186" s="448" t="str">
        <f t="shared" si="39"/>
        <v/>
      </c>
      <c r="W186" s="448" t="str">
        <f t="shared" si="40"/>
        <v/>
      </c>
      <c r="X186" s="448" t="str">
        <f t="shared" si="41"/>
        <v/>
      </c>
      <c r="Y186" s="448" t="str">
        <f t="shared" si="42"/>
        <v/>
      </c>
      <c r="Z186" s="449" t="str">
        <f t="shared" si="46"/>
        <v/>
      </c>
    </row>
    <row r="187" spans="1:26" x14ac:dyDescent="0.35">
      <c r="A187" s="441">
        <v>45779</v>
      </c>
      <c r="B187" s="447">
        <v>15</v>
      </c>
      <c r="C187" s="442" t="s">
        <v>595</v>
      </c>
      <c r="D187" s="442" t="s">
        <v>596</v>
      </c>
      <c r="E187" s="442" t="s">
        <v>654</v>
      </c>
      <c r="F187" s="442" t="s">
        <v>570</v>
      </c>
      <c r="G187" s="443" t="b">
        <f>IF(A187="","",IF(Daten!$AE$4=0,TRUE,MONTH(A187)=Daten!$AE$4))</f>
        <v>1</v>
      </c>
      <c r="H187" s="454" t="s">
        <v>415</v>
      </c>
      <c r="I187" s="443" t="s">
        <v>75</v>
      </c>
      <c r="J187" s="443"/>
      <c r="K187" s="442" t="s">
        <v>637</v>
      </c>
      <c r="L187" s="453"/>
      <c r="M187" s="450" t="str">
        <f>IF(OR(A187="", B187=""), "", IF(H187="Mitgliedsbeiträge", ABS(B187), ""))</f>
        <v/>
      </c>
      <c r="N187" s="450" t="str">
        <f t="shared" si="33"/>
        <v/>
      </c>
      <c r="O187" s="450" t="str">
        <f t="shared" si="34"/>
        <v/>
      </c>
      <c r="P187" s="450" t="str">
        <f t="shared" si="35"/>
        <v/>
      </c>
      <c r="Q187" s="450" t="str">
        <f t="shared" si="36"/>
        <v/>
      </c>
      <c r="R187" s="450" t="str">
        <f t="shared" si="37"/>
        <v/>
      </c>
      <c r="S187" s="450">
        <v>15</v>
      </c>
      <c r="T187" s="450" t="str">
        <f t="shared" si="45"/>
        <v/>
      </c>
      <c r="U187" s="450" t="str">
        <f t="shared" si="38"/>
        <v/>
      </c>
      <c r="V187" s="450" t="str">
        <f t="shared" si="39"/>
        <v/>
      </c>
      <c r="W187" s="450" t="str">
        <f t="shared" si="40"/>
        <v/>
      </c>
      <c r="X187" s="450" t="str">
        <f t="shared" si="41"/>
        <v/>
      </c>
      <c r="Y187" s="450" t="str">
        <f t="shared" si="42"/>
        <v/>
      </c>
      <c r="Z187" s="451" t="str">
        <f t="shared" si="46"/>
        <v/>
      </c>
    </row>
    <row r="188" spans="1:26" x14ac:dyDescent="0.35">
      <c r="A188" s="438">
        <v>45779</v>
      </c>
      <c r="B188" s="446">
        <v>7.5</v>
      </c>
      <c r="C188" s="439" t="s">
        <v>56</v>
      </c>
      <c r="D188" s="439" t="s">
        <v>602</v>
      </c>
      <c r="E188" s="439" t="s">
        <v>386</v>
      </c>
      <c r="F188" s="439" t="s">
        <v>570</v>
      </c>
      <c r="G188" s="440" t="b">
        <f>IF(A188="","",IF(Daten!$AE$4=0,TRUE,MONTH(A188)=Daten!$AE$4))</f>
        <v>1</v>
      </c>
      <c r="H188" s="454" t="s">
        <v>306</v>
      </c>
      <c r="I188" s="440" t="s">
        <v>75</v>
      </c>
      <c r="J188" s="440"/>
      <c r="K188" s="439" t="s">
        <v>637</v>
      </c>
      <c r="L188" s="452"/>
      <c r="M188" s="448">
        <v>7.5</v>
      </c>
      <c r="N188" s="448" t="str">
        <f t="shared" si="33"/>
        <v/>
      </c>
      <c r="O188" s="448" t="str">
        <f t="shared" si="34"/>
        <v/>
      </c>
      <c r="P188" s="448" t="str">
        <f t="shared" si="35"/>
        <v/>
      </c>
      <c r="Q188" s="448" t="str">
        <f t="shared" si="36"/>
        <v/>
      </c>
      <c r="R188" s="448" t="str">
        <f t="shared" si="37"/>
        <v/>
      </c>
      <c r="S188" s="448" t="str">
        <f>IF(OR(A188="", B188=""), "", IF(H188="Sonstige Einnahmen", ABS(B188), ""))</f>
        <v/>
      </c>
      <c r="T188" s="448" t="str">
        <f t="shared" si="45"/>
        <v/>
      </c>
      <c r="U188" s="448" t="str">
        <f t="shared" si="38"/>
        <v/>
      </c>
      <c r="V188" s="448" t="str">
        <f t="shared" ref="V188:V204" si="47">IF(OR(A188="", B188=""), "", IF(H188="Veranstaltungen Ausgabe", ABS(B188), ""))</f>
        <v/>
      </c>
      <c r="W188" s="448" t="str">
        <f t="shared" si="40"/>
        <v/>
      </c>
      <c r="X188" s="448" t="str">
        <f t="shared" si="41"/>
        <v/>
      </c>
      <c r="Y188" s="448" t="str">
        <f t="shared" si="42"/>
        <v/>
      </c>
      <c r="Z188" s="449" t="str">
        <f t="shared" si="46"/>
        <v/>
      </c>
    </row>
    <row r="189" spans="1:26" x14ac:dyDescent="0.35">
      <c r="A189" s="441">
        <v>45779</v>
      </c>
      <c r="B189" s="447">
        <v>7.5</v>
      </c>
      <c r="C189" s="442" t="s">
        <v>66</v>
      </c>
      <c r="D189" s="442" t="s">
        <v>594</v>
      </c>
      <c r="E189" s="442" t="s">
        <v>652</v>
      </c>
      <c r="F189" s="442" t="s">
        <v>570</v>
      </c>
      <c r="G189" s="443" t="b">
        <f>IF(A189="","",IF(Daten!$AE$4=0,TRUE,MONTH(A189)=Daten!$AE$4))</f>
        <v>1</v>
      </c>
      <c r="H189" s="454" t="s">
        <v>306</v>
      </c>
      <c r="I189" s="443" t="s">
        <v>75</v>
      </c>
      <c r="J189" s="443"/>
      <c r="K189" s="442" t="s">
        <v>637</v>
      </c>
      <c r="L189" s="453"/>
      <c r="M189" s="450">
        <v>7.5</v>
      </c>
      <c r="N189" s="450" t="str">
        <f t="shared" si="33"/>
        <v/>
      </c>
      <c r="O189" s="450" t="str">
        <f t="shared" si="34"/>
        <v/>
      </c>
      <c r="P189" s="450" t="str">
        <f t="shared" si="35"/>
        <v/>
      </c>
      <c r="Q189" s="450" t="str">
        <f t="shared" si="36"/>
        <v/>
      </c>
      <c r="R189" s="450" t="str">
        <f t="shared" si="37"/>
        <v/>
      </c>
      <c r="S189" s="450" t="str">
        <f>IF(OR(A189="", B189=""), "", IF(H189="Sonstige Einnahmen", ABS(B189), ""))</f>
        <v/>
      </c>
      <c r="T189" s="450" t="str">
        <f t="shared" si="45"/>
        <v/>
      </c>
      <c r="U189" s="450" t="str">
        <f t="shared" si="38"/>
        <v/>
      </c>
      <c r="V189" s="450" t="str">
        <f t="shared" si="47"/>
        <v/>
      </c>
      <c r="W189" s="450" t="str">
        <f t="shared" si="40"/>
        <v/>
      </c>
      <c r="X189" s="450" t="str">
        <f t="shared" si="41"/>
        <v/>
      </c>
      <c r="Y189" s="450" t="str">
        <f t="shared" si="42"/>
        <v/>
      </c>
      <c r="Z189" s="451" t="str">
        <f t="shared" si="46"/>
        <v/>
      </c>
    </row>
    <row r="190" spans="1:26" x14ac:dyDescent="0.35">
      <c r="A190" s="438">
        <v>45779</v>
      </c>
      <c r="B190" s="446">
        <v>15</v>
      </c>
      <c r="C190" s="439" t="s">
        <v>597</v>
      </c>
      <c r="D190" s="439" t="s">
        <v>598</v>
      </c>
      <c r="E190" s="439" t="s">
        <v>385</v>
      </c>
      <c r="F190" s="439" t="s">
        <v>570</v>
      </c>
      <c r="G190" s="440" t="b">
        <f>IF(A190="","",IF(Daten!$AE$4=0,TRUE,MONTH(A190)=Daten!$AE$4))</f>
        <v>1</v>
      </c>
      <c r="H190" s="454" t="s">
        <v>415</v>
      </c>
      <c r="I190" s="440" t="s">
        <v>75</v>
      </c>
      <c r="J190" s="440"/>
      <c r="K190" s="439" t="s">
        <v>637</v>
      </c>
      <c r="L190" s="452"/>
      <c r="M190" s="448" t="str">
        <f>IF(OR(A190="", B190=""), "", IF(H190="Mitgliedsbeiträge", ABS(B190), ""))</f>
        <v/>
      </c>
      <c r="N190" s="448" t="str">
        <f t="shared" si="33"/>
        <v/>
      </c>
      <c r="O190" s="448" t="str">
        <f t="shared" si="34"/>
        <v/>
      </c>
      <c r="P190" s="448" t="str">
        <f t="shared" si="35"/>
        <v/>
      </c>
      <c r="Q190" s="448" t="str">
        <f t="shared" si="36"/>
        <v/>
      </c>
      <c r="R190" s="448" t="str">
        <f t="shared" si="37"/>
        <v/>
      </c>
      <c r="S190" s="448">
        <v>15</v>
      </c>
      <c r="T190" s="448" t="str">
        <f t="shared" si="45"/>
        <v/>
      </c>
      <c r="U190" s="448" t="str">
        <f t="shared" si="38"/>
        <v/>
      </c>
      <c r="V190" s="448" t="str">
        <f t="shared" si="47"/>
        <v/>
      </c>
      <c r="W190" s="448" t="str">
        <f t="shared" si="40"/>
        <v/>
      </c>
      <c r="X190" s="448" t="str">
        <f t="shared" si="41"/>
        <v/>
      </c>
      <c r="Y190" s="448" t="str">
        <f t="shared" si="42"/>
        <v/>
      </c>
      <c r="Z190" s="449" t="str">
        <f t="shared" si="46"/>
        <v/>
      </c>
    </row>
    <row r="191" spans="1:26" ht="58" x14ac:dyDescent="0.35">
      <c r="A191" s="441">
        <v>45779</v>
      </c>
      <c r="B191" s="447">
        <v>15</v>
      </c>
      <c r="C191" s="442" t="s">
        <v>56</v>
      </c>
      <c r="D191" s="442" t="s">
        <v>602</v>
      </c>
      <c r="E191" s="442" t="s">
        <v>657</v>
      </c>
      <c r="F191" s="442" t="s">
        <v>570</v>
      </c>
      <c r="G191" s="443" t="b">
        <f>IF(A191="","",IF(Daten!$AE$4=0,TRUE,MONTH(A191)=Daten!$AE$4))</f>
        <v>1</v>
      </c>
      <c r="H191" s="455" t="s">
        <v>463</v>
      </c>
      <c r="I191" s="443" t="s">
        <v>75</v>
      </c>
      <c r="J191" s="443"/>
      <c r="K191" s="442" t="s">
        <v>637</v>
      </c>
      <c r="L191" s="453" t="s">
        <v>781</v>
      </c>
      <c r="M191" s="450" t="str">
        <f>IF(OR(A191="", B191=""), "", IF(H191="Mitgliedsbeiträge", ABS(B191), ""))</f>
        <v/>
      </c>
      <c r="N191" s="450" t="str">
        <f t="shared" si="33"/>
        <v/>
      </c>
      <c r="O191" s="450" t="str">
        <f t="shared" si="34"/>
        <v/>
      </c>
      <c r="P191" s="450" t="str">
        <f t="shared" si="35"/>
        <v/>
      </c>
      <c r="Q191" s="450" t="str">
        <f t="shared" si="36"/>
        <v/>
      </c>
      <c r="R191" s="450" t="str">
        <f t="shared" si="37"/>
        <v/>
      </c>
      <c r="S191" s="450">
        <v>15</v>
      </c>
      <c r="T191" s="450" t="str">
        <f t="shared" si="45"/>
        <v/>
      </c>
      <c r="U191" s="450" t="str">
        <f t="shared" si="38"/>
        <v/>
      </c>
      <c r="V191" s="450" t="str">
        <f t="shared" si="47"/>
        <v/>
      </c>
      <c r="W191" s="450" t="str">
        <f t="shared" si="40"/>
        <v/>
      </c>
      <c r="X191" s="450" t="str">
        <f t="shared" si="41"/>
        <v/>
      </c>
      <c r="Y191" s="450" t="str">
        <f t="shared" si="42"/>
        <v/>
      </c>
      <c r="Z191" s="451" t="str">
        <f t="shared" si="46"/>
        <v/>
      </c>
    </row>
    <row r="192" spans="1:26" x14ac:dyDescent="0.35">
      <c r="A192" s="438">
        <v>45779</v>
      </c>
      <c r="B192" s="446">
        <v>15</v>
      </c>
      <c r="C192" s="439" t="s">
        <v>66</v>
      </c>
      <c r="D192" s="439" t="s">
        <v>594</v>
      </c>
      <c r="E192" s="439" t="s">
        <v>653</v>
      </c>
      <c r="F192" s="439" t="s">
        <v>570</v>
      </c>
      <c r="G192" s="440" t="b">
        <f>IF(A192="","",IF(Daten!$AE$4=0,TRUE,MONTH(A192)=Daten!$AE$4))</f>
        <v>1</v>
      </c>
      <c r="H192" s="454" t="s">
        <v>415</v>
      </c>
      <c r="I192" s="440" t="s">
        <v>75</v>
      </c>
      <c r="J192" s="440"/>
      <c r="K192" s="439" t="s">
        <v>637</v>
      </c>
      <c r="L192" s="452"/>
      <c r="M192" s="448" t="str">
        <f>IF(OR(A192="", B192=""), "", IF(H192="Mitgliedsbeiträge", ABS(B192), ""))</f>
        <v/>
      </c>
      <c r="N192" s="448" t="str">
        <f t="shared" si="33"/>
        <v/>
      </c>
      <c r="O192" s="448" t="str">
        <f t="shared" si="34"/>
        <v/>
      </c>
      <c r="P192" s="448" t="str">
        <f t="shared" si="35"/>
        <v/>
      </c>
      <c r="Q192" s="448" t="str">
        <f t="shared" si="36"/>
        <v/>
      </c>
      <c r="R192" s="448" t="str">
        <f t="shared" si="37"/>
        <v/>
      </c>
      <c r="S192" s="448">
        <v>15</v>
      </c>
      <c r="T192" s="448" t="str">
        <f t="shared" si="45"/>
        <v/>
      </c>
      <c r="U192" s="448" t="str">
        <f t="shared" si="38"/>
        <v/>
      </c>
      <c r="V192" s="448" t="str">
        <f t="shared" si="47"/>
        <v/>
      </c>
      <c r="W192" s="448" t="str">
        <f t="shared" si="40"/>
        <v/>
      </c>
      <c r="X192" s="448" t="str">
        <f t="shared" si="41"/>
        <v/>
      </c>
      <c r="Y192" s="448" t="str">
        <f t="shared" si="42"/>
        <v/>
      </c>
      <c r="Z192" s="449" t="str">
        <f t="shared" si="46"/>
        <v/>
      </c>
    </row>
    <row r="193" spans="1:26" x14ac:dyDescent="0.35">
      <c r="A193" s="441">
        <v>45779</v>
      </c>
      <c r="B193" s="447">
        <v>15</v>
      </c>
      <c r="C193" s="442" t="s">
        <v>595</v>
      </c>
      <c r="D193" s="442" t="s">
        <v>596</v>
      </c>
      <c r="E193" s="442" t="s">
        <v>656</v>
      </c>
      <c r="F193" s="442" t="s">
        <v>570</v>
      </c>
      <c r="G193" s="443" t="b">
        <f>IF(A193="","",IF(Daten!$AE$4=0,TRUE,MONTH(A193)=Daten!$AE$4))</f>
        <v>1</v>
      </c>
      <c r="H193" s="454" t="s">
        <v>306</v>
      </c>
      <c r="I193" s="443" t="s">
        <v>75</v>
      </c>
      <c r="J193" s="443"/>
      <c r="K193" s="442" t="s">
        <v>637</v>
      </c>
      <c r="L193" s="453"/>
      <c r="M193" s="450">
        <v>15</v>
      </c>
      <c r="N193" s="450" t="str">
        <f t="shared" si="33"/>
        <v/>
      </c>
      <c r="O193" s="450" t="str">
        <f t="shared" si="34"/>
        <v/>
      </c>
      <c r="P193" s="450" t="str">
        <f t="shared" si="35"/>
        <v/>
      </c>
      <c r="Q193" s="450" t="str">
        <f t="shared" si="36"/>
        <v/>
      </c>
      <c r="R193" s="450" t="str">
        <f t="shared" si="37"/>
        <v/>
      </c>
      <c r="S193" s="450" t="str">
        <f>IF(OR(A193="", B193=""), "", IF(H193="Sonstige Einnahmen", ABS(B193), ""))</f>
        <v/>
      </c>
      <c r="T193" s="450" t="str">
        <f t="shared" si="45"/>
        <v/>
      </c>
      <c r="U193" s="450" t="str">
        <f t="shared" si="38"/>
        <v/>
      </c>
      <c r="V193" s="450" t="str">
        <f t="shared" si="47"/>
        <v/>
      </c>
      <c r="W193" s="450" t="str">
        <f t="shared" si="40"/>
        <v/>
      </c>
      <c r="X193" s="450" t="str">
        <f t="shared" si="41"/>
        <v/>
      </c>
      <c r="Y193" s="450" t="str">
        <f t="shared" si="42"/>
        <v/>
      </c>
      <c r="Z193" s="451" t="str">
        <f t="shared" si="46"/>
        <v/>
      </c>
    </row>
    <row r="194" spans="1:26" x14ac:dyDescent="0.35">
      <c r="A194" s="438">
        <v>45779</v>
      </c>
      <c r="B194" s="446">
        <v>15</v>
      </c>
      <c r="C194" s="439" t="s">
        <v>605</v>
      </c>
      <c r="D194" s="439" t="s">
        <v>606</v>
      </c>
      <c r="E194" s="439" t="s">
        <v>660</v>
      </c>
      <c r="F194" s="439" t="s">
        <v>570</v>
      </c>
      <c r="G194" s="440" t="b">
        <f>IF(A194="","",IF(Daten!$AE$4=0,TRUE,MONTH(A194)=Daten!$AE$4))</f>
        <v>1</v>
      </c>
      <c r="H194" s="454" t="s">
        <v>415</v>
      </c>
      <c r="I194" s="440" t="s">
        <v>75</v>
      </c>
      <c r="J194" s="440"/>
      <c r="K194" s="439" t="s">
        <v>637</v>
      </c>
      <c r="L194" s="452"/>
      <c r="M194" s="448" t="str">
        <f>IF(OR(A194="", B194=""), "", IF(H194="Mitgliedsbeiträge", ABS(B194), ""))</f>
        <v/>
      </c>
      <c r="N194" s="448" t="str">
        <f t="shared" si="33"/>
        <v/>
      </c>
      <c r="O194" s="448" t="str">
        <f t="shared" si="34"/>
        <v/>
      </c>
      <c r="P194" s="448" t="str">
        <f t="shared" si="35"/>
        <v/>
      </c>
      <c r="Q194" s="448" t="str">
        <f t="shared" si="36"/>
        <v/>
      </c>
      <c r="R194" s="448" t="str">
        <f t="shared" si="37"/>
        <v/>
      </c>
      <c r="S194" s="448">
        <v>15</v>
      </c>
      <c r="T194" s="448" t="str">
        <f t="shared" si="45"/>
        <v/>
      </c>
      <c r="U194" s="448" t="str">
        <f t="shared" si="38"/>
        <v/>
      </c>
      <c r="V194" s="448" t="str">
        <f t="shared" si="47"/>
        <v/>
      </c>
      <c r="W194" s="448" t="str">
        <f t="shared" si="40"/>
        <v/>
      </c>
      <c r="X194" s="448" t="str">
        <f t="shared" si="41"/>
        <v/>
      </c>
      <c r="Y194" s="448" t="str">
        <f t="shared" si="42"/>
        <v/>
      </c>
      <c r="Z194" s="449" t="str">
        <f t="shared" si="46"/>
        <v/>
      </c>
    </row>
    <row r="195" spans="1:26" x14ac:dyDescent="0.35">
      <c r="A195" s="441">
        <v>45779</v>
      </c>
      <c r="B195" s="447">
        <v>15</v>
      </c>
      <c r="C195" s="442" t="s">
        <v>605</v>
      </c>
      <c r="D195" s="442" t="s">
        <v>606</v>
      </c>
      <c r="E195" s="442" t="s">
        <v>662</v>
      </c>
      <c r="F195" s="442" t="s">
        <v>570</v>
      </c>
      <c r="G195" s="443" t="b">
        <f>IF(A195="","",IF(Daten!$AE$4=0,TRUE,MONTH(A195)=Daten!$AE$4))</f>
        <v>1</v>
      </c>
      <c r="H195" s="454" t="s">
        <v>306</v>
      </c>
      <c r="I195" s="443" t="s">
        <v>75</v>
      </c>
      <c r="J195" s="443"/>
      <c r="K195" s="442" t="s">
        <v>637</v>
      </c>
      <c r="L195" s="453"/>
      <c r="M195" s="450">
        <v>15</v>
      </c>
      <c r="N195" s="450" t="str">
        <f t="shared" si="33"/>
        <v/>
      </c>
      <c r="O195" s="450" t="str">
        <f t="shared" si="34"/>
        <v/>
      </c>
      <c r="P195" s="450" t="str">
        <f t="shared" si="35"/>
        <v/>
      </c>
      <c r="Q195" s="450" t="str">
        <f t="shared" si="36"/>
        <v/>
      </c>
      <c r="R195" s="450" t="str">
        <f t="shared" si="37"/>
        <v/>
      </c>
      <c r="S195" s="450" t="str">
        <f>IF(OR(A195="", B195=""), "", IF(H195="Sonstige Einnahmen", ABS(B195), ""))</f>
        <v/>
      </c>
      <c r="T195" s="450" t="str">
        <f t="shared" si="45"/>
        <v/>
      </c>
      <c r="U195" s="450" t="str">
        <f t="shared" si="38"/>
        <v/>
      </c>
      <c r="V195" s="450" t="str">
        <f t="shared" si="47"/>
        <v/>
      </c>
      <c r="W195" s="450" t="str">
        <f t="shared" si="40"/>
        <v/>
      </c>
      <c r="X195" s="450" t="str">
        <f t="shared" si="41"/>
        <v/>
      </c>
      <c r="Y195" s="450" t="str">
        <f t="shared" si="42"/>
        <v/>
      </c>
      <c r="Z195" s="451" t="str">
        <f t="shared" si="46"/>
        <v/>
      </c>
    </row>
    <row r="196" spans="1:26" x14ac:dyDescent="0.35">
      <c r="A196" s="438">
        <v>45779</v>
      </c>
      <c r="B196" s="446">
        <v>15</v>
      </c>
      <c r="C196" s="439" t="s">
        <v>607</v>
      </c>
      <c r="D196" s="439" t="s">
        <v>608</v>
      </c>
      <c r="E196" s="439" t="s">
        <v>661</v>
      </c>
      <c r="F196" s="439" t="s">
        <v>570</v>
      </c>
      <c r="G196" s="440" t="b">
        <f>IF(A196="","",IF(Daten!$AE$4=0,TRUE,MONTH(A196)=Daten!$AE$4))</f>
        <v>1</v>
      </c>
      <c r="H196" s="454" t="s">
        <v>306</v>
      </c>
      <c r="I196" s="440" t="s">
        <v>75</v>
      </c>
      <c r="J196" s="440"/>
      <c r="K196" s="439" t="s">
        <v>637</v>
      </c>
      <c r="L196" s="452"/>
      <c r="M196" s="448">
        <v>15</v>
      </c>
      <c r="N196" s="448" t="str">
        <f t="shared" si="33"/>
        <v/>
      </c>
      <c r="O196" s="448" t="str">
        <f t="shared" si="34"/>
        <v/>
      </c>
      <c r="P196" s="448" t="str">
        <f t="shared" si="35"/>
        <v/>
      </c>
      <c r="Q196" s="448" t="str">
        <f t="shared" si="36"/>
        <v/>
      </c>
      <c r="R196" s="448" t="str">
        <f t="shared" si="37"/>
        <v/>
      </c>
      <c r="S196" s="448" t="str">
        <f>IF(OR(A196="", B196=""), "", IF(H196="Sonstige Einnahmen", ABS(B196), ""))</f>
        <v/>
      </c>
      <c r="T196" s="448" t="str">
        <f t="shared" si="45"/>
        <v/>
      </c>
      <c r="U196" s="448" t="str">
        <f t="shared" si="38"/>
        <v/>
      </c>
      <c r="V196" s="448" t="str">
        <f t="shared" si="47"/>
        <v/>
      </c>
      <c r="W196" s="448" t="str">
        <f t="shared" si="40"/>
        <v/>
      </c>
      <c r="X196" s="448" t="str">
        <f t="shared" si="41"/>
        <v/>
      </c>
      <c r="Y196" s="448" t="str">
        <f t="shared" si="42"/>
        <v/>
      </c>
      <c r="Z196" s="449" t="str">
        <f t="shared" si="46"/>
        <v/>
      </c>
    </row>
    <row r="197" spans="1:26" x14ac:dyDescent="0.35">
      <c r="A197" s="441">
        <v>45779</v>
      </c>
      <c r="B197" s="447">
        <v>-4.5</v>
      </c>
      <c r="C197" s="442"/>
      <c r="D197" s="442">
        <v>0</v>
      </c>
      <c r="E197" s="442" t="s">
        <v>663</v>
      </c>
      <c r="F197" s="442" t="s">
        <v>381</v>
      </c>
      <c r="G197" s="443" t="b">
        <f>IF(A197="","",IF(Daten!$AE$4=0,TRUE,MONTH(A197)=Daten!$AE$4))</f>
        <v>1</v>
      </c>
      <c r="H197" s="456" t="s">
        <v>782</v>
      </c>
      <c r="I197" s="443" t="s">
        <v>75</v>
      </c>
      <c r="J197" s="443"/>
      <c r="K197" s="442" t="s">
        <v>637</v>
      </c>
      <c r="L197" s="453" t="s">
        <v>783</v>
      </c>
      <c r="M197" s="450" t="str">
        <f>IF(OR(A197="", B197=""), "", IF(H197="Mitgliedsbeiträge", ABS(B197), ""))</f>
        <v/>
      </c>
      <c r="N197" s="450" t="str">
        <f t="shared" si="33"/>
        <v/>
      </c>
      <c r="O197" s="450" t="str">
        <f t="shared" si="34"/>
        <v/>
      </c>
      <c r="P197" s="450" t="str">
        <f t="shared" si="35"/>
        <v/>
      </c>
      <c r="Q197" s="450" t="str">
        <f t="shared" si="36"/>
        <v/>
      </c>
      <c r="R197" s="450" t="str">
        <f t="shared" si="37"/>
        <v/>
      </c>
      <c r="S197" s="450" t="str">
        <f>IF(OR(A197="", B197=""), "", IF(H197="Sonstige Einnahmen", ABS(B197), ""))</f>
        <v/>
      </c>
      <c r="T197" s="450" t="str">
        <f t="shared" si="45"/>
        <v/>
      </c>
      <c r="U197" s="450" t="str">
        <f t="shared" si="38"/>
        <v/>
      </c>
      <c r="V197" s="450" t="str">
        <f t="shared" si="47"/>
        <v/>
      </c>
      <c r="W197" s="450" t="str">
        <f t="shared" si="40"/>
        <v/>
      </c>
      <c r="X197" s="450" t="str">
        <f t="shared" si="41"/>
        <v/>
      </c>
      <c r="Y197" s="450" t="str">
        <f t="shared" si="42"/>
        <v/>
      </c>
      <c r="Z197" s="451" t="str">
        <f t="shared" si="46"/>
        <v/>
      </c>
    </row>
    <row r="198" spans="1:26" x14ac:dyDescent="0.35">
      <c r="A198" s="438">
        <v>45782</v>
      </c>
      <c r="B198" s="446">
        <v>7.5</v>
      </c>
      <c r="C198" s="439" t="s">
        <v>592</v>
      </c>
      <c r="D198" s="439" t="s">
        <v>593</v>
      </c>
      <c r="E198" s="439" t="s">
        <v>651</v>
      </c>
      <c r="F198" s="439" t="s">
        <v>570</v>
      </c>
      <c r="G198" s="440" t="b">
        <f>IF(A198="","",IF(Daten!$AE$4=0,TRUE,MONTH(A198)=Daten!$AE$4))</f>
        <v>1</v>
      </c>
      <c r="H198" s="454" t="s">
        <v>306</v>
      </c>
      <c r="I198" s="440" t="s">
        <v>75</v>
      </c>
      <c r="J198" s="440"/>
      <c r="K198" s="439" t="s">
        <v>637</v>
      </c>
      <c r="L198" s="452"/>
      <c r="M198" s="448">
        <v>7.5</v>
      </c>
      <c r="N198" s="448" t="str">
        <f t="shared" si="33"/>
        <v/>
      </c>
      <c r="O198" s="448" t="str">
        <f t="shared" si="34"/>
        <v/>
      </c>
      <c r="P198" s="448" t="str">
        <f t="shared" si="35"/>
        <v/>
      </c>
      <c r="Q198" s="448" t="str">
        <f t="shared" si="36"/>
        <v/>
      </c>
      <c r="R198" s="448" t="str">
        <f t="shared" si="37"/>
        <v/>
      </c>
      <c r="S198" s="448" t="str">
        <f>IF(OR(A198="", B198=""), "", IF(H198="Sonstige Einnahmen", ABS(B198), ""))</f>
        <v/>
      </c>
      <c r="T198" s="448" t="str">
        <f t="shared" si="45"/>
        <v/>
      </c>
      <c r="U198" s="448" t="str">
        <f t="shared" si="38"/>
        <v/>
      </c>
      <c r="V198" s="448" t="str">
        <f t="shared" si="47"/>
        <v/>
      </c>
      <c r="W198" s="448" t="str">
        <f t="shared" si="40"/>
        <v/>
      </c>
      <c r="X198" s="448" t="str">
        <f t="shared" si="41"/>
        <v/>
      </c>
      <c r="Y198" s="448" t="str">
        <f t="shared" si="42"/>
        <v/>
      </c>
      <c r="Z198" s="449" t="str">
        <f t="shared" si="46"/>
        <v/>
      </c>
    </row>
    <row r="199" spans="1:26" x14ac:dyDescent="0.35">
      <c r="A199" s="441">
        <v>45782</v>
      </c>
      <c r="B199" s="447">
        <v>7.5</v>
      </c>
      <c r="C199" s="442" t="s">
        <v>51</v>
      </c>
      <c r="D199" s="442" t="s">
        <v>589</v>
      </c>
      <c r="E199" s="442" t="s">
        <v>646</v>
      </c>
      <c r="F199" s="442" t="s">
        <v>570</v>
      </c>
      <c r="G199" s="443" t="b">
        <f>IF(A199="","",IF(Daten!$AE$4=0,TRUE,MONTH(A199)=Daten!$AE$4))</f>
        <v>1</v>
      </c>
      <c r="H199" s="454" t="s">
        <v>306</v>
      </c>
      <c r="I199" s="443" t="s">
        <v>75</v>
      </c>
      <c r="J199" s="443"/>
      <c r="K199" s="442" t="s">
        <v>637</v>
      </c>
      <c r="L199" s="453"/>
      <c r="M199" s="450">
        <v>7.5</v>
      </c>
      <c r="N199" s="450" t="str">
        <f t="shared" si="33"/>
        <v/>
      </c>
      <c r="O199" s="450" t="str">
        <f t="shared" si="34"/>
        <v/>
      </c>
      <c r="P199" s="450" t="str">
        <f t="shared" si="35"/>
        <v/>
      </c>
      <c r="Q199" s="450" t="str">
        <f t="shared" si="36"/>
        <v/>
      </c>
      <c r="R199" s="450" t="str">
        <f t="shared" si="37"/>
        <v/>
      </c>
      <c r="S199" s="450" t="str">
        <f>IF(OR(A199="", B199=""), "", IF(H199="Sonstige Einnahmen", ABS(B199), ""))</f>
        <v/>
      </c>
      <c r="T199" s="450" t="str">
        <f t="shared" si="45"/>
        <v/>
      </c>
      <c r="U199" s="450" t="str">
        <f t="shared" si="38"/>
        <v/>
      </c>
      <c r="V199" s="450" t="str">
        <f t="shared" si="47"/>
        <v/>
      </c>
      <c r="W199" s="450" t="str">
        <f t="shared" si="40"/>
        <v/>
      </c>
      <c r="X199" s="450" t="str">
        <f t="shared" si="41"/>
        <v/>
      </c>
      <c r="Y199" s="450" t="str">
        <f t="shared" si="42"/>
        <v/>
      </c>
      <c r="Z199" s="451" t="str">
        <f t="shared" si="46"/>
        <v/>
      </c>
    </row>
    <row r="200" spans="1:26" ht="58" x14ac:dyDescent="0.35">
      <c r="A200" s="438">
        <v>45782</v>
      </c>
      <c r="B200" s="446">
        <v>15</v>
      </c>
      <c r="C200" s="439" t="s">
        <v>582</v>
      </c>
      <c r="D200" s="439" t="s">
        <v>583</v>
      </c>
      <c r="E200" s="439" t="s">
        <v>650</v>
      </c>
      <c r="F200" s="439" t="s">
        <v>570</v>
      </c>
      <c r="G200" s="440" t="b">
        <f>IF(A200="","",IF(Daten!$AE$4=0,TRUE,MONTH(A200)=Daten!$AE$4))</f>
        <v>1</v>
      </c>
      <c r="H200" s="455" t="s">
        <v>415</v>
      </c>
      <c r="I200" s="440" t="s">
        <v>75</v>
      </c>
      <c r="J200" s="440"/>
      <c r="K200" s="439" t="s">
        <v>637</v>
      </c>
      <c r="L200" s="452" t="s">
        <v>781</v>
      </c>
      <c r="M200" s="448" t="str">
        <f>IF(OR(A200="", B200=""), "", IF(H200="Mitgliedsbeiträge", ABS(B200), ""))</f>
        <v/>
      </c>
      <c r="N200" s="448" t="str">
        <f t="shared" si="33"/>
        <v/>
      </c>
      <c r="O200" s="448" t="str">
        <f t="shared" si="34"/>
        <v/>
      </c>
      <c r="P200" s="448" t="str">
        <f t="shared" si="35"/>
        <v/>
      </c>
      <c r="Q200" s="448" t="str">
        <f t="shared" si="36"/>
        <v/>
      </c>
      <c r="R200" s="448" t="str">
        <f t="shared" si="37"/>
        <v/>
      </c>
      <c r="S200" s="448">
        <v>15</v>
      </c>
      <c r="T200" s="448" t="str">
        <f t="shared" si="45"/>
        <v/>
      </c>
      <c r="U200" s="448" t="str">
        <f t="shared" si="38"/>
        <v/>
      </c>
      <c r="V200" s="448" t="str">
        <f t="shared" si="47"/>
        <v/>
      </c>
      <c r="W200" s="448" t="str">
        <f t="shared" si="40"/>
        <v/>
      </c>
      <c r="X200" s="448" t="str">
        <f t="shared" si="41"/>
        <v/>
      </c>
      <c r="Y200" s="448" t="str">
        <f t="shared" si="42"/>
        <v/>
      </c>
      <c r="Z200" s="449" t="str">
        <f t="shared" si="46"/>
        <v/>
      </c>
    </row>
    <row r="201" spans="1:26" x14ac:dyDescent="0.35">
      <c r="A201" s="441">
        <v>45782</v>
      </c>
      <c r="B201" s="447">
        <v>15</v>
      </c>
      <c r="C201" s="442" t="s">
        <v>592</v>
      </c>
      <c r="D201" s="442" t="s">
        <v>593</v>
      </c>
      <c r="E201" s="442" t="s">
        <v>649</v>
      </c>
      <c r="F201" s="442" t="s">
        <v>570</v>
      </c>
      <c r="G201" s="443" t="b">
        <f>IF(A201="","",IF(Daten!$AE$4=0,TRUE,MONTH(A201)=Daten!$AE$4))</f>
        <v>1</v>
      </c>
      <c r="H201" s="454" t="s">
        <v>415</v>
      </c>
      <c r="I201" s="443" t="s">
        <v>75</v>
      </c>
      <c r="J201" s="443"/>
      <c r="K201" s="442" t="s">
        <v>637</v>
      </c>
      <c r="L201" s="453"/>
      <c r="M201" s="450" t="str">
        <f>IF(OR(A201="", B201=""), "", IF(H201="Mitgliedsbeiträge", ABS(B201), ""))</f>
        <v/>
      </c>
      <c r="N201" s="450" t="str">
        <f t="shared" si="33"/>
        <v/>
      </c>
      <c r="O201" s="450" t="str">
        <f t="shared" si="34"/>
        <v/>
      </c>
      <c r="P201" s="450" t="str">
        <f t="shared" si="35"/>
        <v/>
      </c>
      <c r="Q201" s="450" t="str">
        <f t="shared" si="36"/>
        <v/>
      </c>
      <c r="R201" s="450" t="str">
        <f t="shared" si="37"/>
        <v/>
      </c>
      <c r="S201" s="450">
        <v>15</v>
      </c>
      <c r="T201" s="450" t="str">
        <f t="shared" si="45"/>
        <v/>
      </c>
      <c r="U201" s="450" t="str">
        <f t="shared" si="38"/>
        <v/>
      </c>
      <c r="V201" s="450" t="str">
        <f t="shared" si="47"/>
        <v/>
      </c>
      <c r="W201" s="450" t="str">
        <f t="shared" si="40"/>
        <v/>
      </c>
      <c r="X201" s="450" t="str">
        <f t="shared" si="41"/>
        <v/>
      </c>
      <c r="Y201" s="450" t="str">
        <f t="shared" si="42"/>
        <v/>
      </c>
      <c r="Z201" s="451" t="str">
        <f t="shared" si="46"/>
        <v/>
      </c>
    </row>
    <row r="202" spans="1:26" x14ac:dyDescent="0.35">
      <c r="A202" s="438">
        <v>45782</v>
      </c>
      <c r="B202" s="446">
        <v>15</v>
      </c>
      <c r="C202" s="439" t="s">
        <v>584</v>
      </c>
      <c r="D202" s="439" t="s">
        <v>585</v>
      </c>
      <c r="E202" s="439" t="s">
        <v>642</v>
      </c>
      <c r="F202" s="439" t="s">
        <v>570</v>
      </c>
      <c r="G202" s="440" t="b">
        <f>IF(A202="","",IF(Daten!$AE$4=0,TRUE,MONTH(A202)=Daten!$AE$4))</f>
        <v>1</v>
      </c>
      <c r="H202" s="454" t="s">
        <v>415</v>
      </c>
      <c r="I202" s="440" t="s">
        <v>75</v>
      </c>
      <c r="J202" s="440"/>
      <c r="K202" s="439" t="s">
        <v>637</v>
      </c>
      <c r="L202" s="452"/>
      <c r="M202" s="448" t="str">
        <f>IF(OR(A202="", B202=""), "", IF(H202="Mitgliedsbeiträge", ABS(B202), ""))</f>
        <v/>
      </c>
      <c r="N202" s="448" t="str">
        <f t="shared" si="33"/>
        <v/>
      </c>
      <c r="O202" s="448" t="str">
        <f t="shared" si="34"/>
        <v/>
      </c>
      <c r="P202" s="448" t="str">
        <f t="shared" si="35"/>
        <v/>
      </c>
      <c r="Q202" s="448" t="str">
        <f t="shared" si="36"/>
        <v/>
      </c>
      <c r="R202" s="448" t="str">
        <f t="shared" si="37"/>
        <v/>
      </c>
      <c r="S202" s="448">
        <v>15</v>
      </c>
      <c r="T202" s="448" t="str">
        <f t="shared" si="45"/>
        <v/>
      </c>
      <c r="U202" s="448" t="str">
        <f t="shared" si="38"/>
        <v/>
      </c>
      <c r="V202" s="448" t="str">
        <f t="shared" si="47"/>
        <v/>
      </c>
      <c r="W202" s="448" t="str">
        <f t="shared" si="40"/>
        <v/>
      </c>
      <c r="X202" s="448" t="str">
        <f t="shared" si="41"/>
        <v/>
      </c>
      <c r="Y202" s="448" t="str">
        <f t="shared" si="42"/>
        <v/>
      </c>
      <c r="Z202" s="449" t="str">
        <f t="shared" si="46"/>
        <v/>
      </c>
    </row>
    <row r="203" spans="1:26" x14ac:dyDescent="0.35">
      <c r="A203" s="441">
        <v>45782</v>
      </c>
      <c r="B203" s="447">
        <v>15</v>
      </c>
      <c r="C203" s="442" t="s">
        <v>627</v>
      </c>
      <c r="D203" s="442" t="s">
        <v>591</v>
      </c>
      <c r="E203" s="442" t="s">
        <v>647</v>
      </c>
      <c r="F203" s="442" t="s">
        <v>570</v>
      </c>
      <c r="G203" s="443" t="b">
        <f>IF(A203="","",IF(Daten!$AE$4=0,TRUE,MONTH(A203)=Daten!$AE$4))</f>
        <v>1</v>
      </c>
      <c r="H203" s="454" t="s">
        <v>306</v>
      </c>
      <c r="I203" s="443" t="s">
        <v>75</v>
      </c>
      <c r="J203" s="443"/>
      <c r="K203" s="442" t="s">
        <v>637</v>
      </c>
      <c r="L203" s="453"/>
      <c r="M203" s="450">
        <v>15</v>
      </c>
      <c r="N203" s="450" t="str">
        <f t="shared" si="33"/>
        <v/>
      </c>
      <c r="O203" s="450" t="str">
        <f t="shared" si="34"/>
        <v/>
      </c>
      <c r="P203" s="450" t="str">
        <f t="shared" si="35"/>
        <v/>
      </c>
      <c r="Q203" s="450" t="str">
        <f t="shared" si="36"/>
        <v/>
      </c>
      <c r="R203" s="450" t="str">
        <f t="shared" si="37"/>
        <v/>
      </c>
      <c r="S203" s="450" t="str">
        <f>IF(OR(A203="", B203=""), "", IF(H203="Sonstige Einnahmen", ABS(B203), ""))</f>
        <v/>
      </c>
      <c r="T203" s="450" t="str">
        <f t="shared" si="45"/>
        <v/>
      </c>
      <c r="U203" s="450" t="str">
        <f t="shared" si="38"/>
        <v/>
      </c>
      <c r="V203" s="450" t="str">
        <f t="shared" si="47"/>
        <v/>
      </c>
      <c r="W203" s="450" t="str">
        <f t="shared" si="40"/>
        <v/>
      </c>
      <c r="X203" s="450" t="str">
        <f t="shared" si="41"/>
        <v/>
      </c>
      <c r="Y203" s="450" t="str">
        <f t="shared" si="42"/>
        <v/>
      </c>
      <c r="Z203" s="451" t="str">
        <f t="shared" si="46"/>
        <v/>
      </c>
    </row>
    <row r="204" spans="1:26" x14ac:dyDescent="0.35">
      <c r="A204" s="438">
        <v>45782</v>
      </c>
      <c r="B204" s="446">
        <v>-497</v>
      </c>
      <c r="C204" s="439" t="s">
        <v>587</v>
      </c>
      <c r="D204" s="439" t="s">
        <v>588</v>
      </c>
      <c r="E204" s="439" t="s">
        <v>718</v>
      </c>
      <c r="F204" s="439" t="s">
        <v>576</v>
      </c>
      <c r="G204" s="440" t="b">
        <f>IF(A204="","",IF(Daten!$AE$4=0,TRUE,MONTH(A204)=Daten!$AE$4))</f>
        <v>1</v>
      </c>
      <c r="H204" s="454" t="s">
        <v>451</v>
      </c>
      <c r="I204" s="440" t="s">
        <v>75</v>
      </c>
      <c r="J204" s="440"/>
      <c r="K204" s="439" t="s">
        <v>637</v>
      </c>
      <c r="L204" s="452"/>
      <c r="M204" s="448" t="str">
        <f>IF(OR(A204="", B204=""), "", IF(H204="Mitgliedsbeiträge", ABS(B204), ""))</f>
        <v/>
      </c>
      <c r="N204" s="448" t="str">
        <f t="shared" si="33"/>
        <v/>
      </c>
      <c r="O204" s="448" t="str">
        <f t="shared" si="34"/>
        <v/>
      </c>
      <c r="P204" s="448" t="str">
        <f t="shared" si="35"/>
        <v/>
      </c>
      <c r="Q204" s="448" t="str">
        <f t="shared" si="36"/>
        <v/>
      </c>
      <c r="R204" s="448" t="str">
        <f t="shared" si="37"/>
        <v/>
      </c>
      <c r="S204" s="448" t="str">
        <f>IF(OR(A204="", B204=""), "", IF(H204="Sonstige Einnahmen", ABS(B204), ""))</f>
        <v/>
      </c>
      <c r="T204" s="448">
        <v>-497</v>
      </c>
      <c r="U204" s="448" t="str">
        <f t="shared" si="38"/>
        <v/>
      </c>
      <c r="V204" s="448" t="str">
        <f t="shared" si="47"/>
        <v/>
      </c>
      <c r="W204" s="448" t="str">
        <f t="shared" si="40"/>
        <v/>
      </c>
      <c r="X204" s="448" t="str">
        <f t="shared" si="41"/>
        <v/>
      </c>
      <c r="Y204" s="448" t="str">
        <f t="shared" si="42"/>
        <v/>
      </c>
      <c r="Z204" s="449" t="str">
        <f t="shared" si="46"/>
        <v/>
      </c>
    </row>
    <row r="205" spans="1:26" x14ac:dyDescent="0.35">
      <c r="A205" s="441">
        <v>45786</v>
      </c>
      <c r="B205" s="447">
        <v>-21.43</v>
      </c>
      <c r="C205" s="442" t="s">
        <v>632</v>
      </c>
      <c r="D205" s="442" t="s">
        <v>633</v>
      </c>
      <c r="E205" s="442" t="s">
        <v>717</v>
      </c>
      <c r="F205" s="442" t="s">
        <v>631</v>
      </c>
      <c r="G205" s="443" t="b">
        <f>IF(A205="","",IF(Daten!$AE$4=0,TRUE,MONTH(A205)=Daten!$AE$4))</f>
        <v>1</v>
      </c>
      <c r="H205" s="454" t="s">
        <v>12</v>
      </c>
      <c r="I205" s="443" t="s">
        <v>75</v>
      </c>
      <c r="J205" s="443"/>
      <c r="K205" s="442" t="s">
        <v>637</v>
      </c>
      <c r="L205" s="453"/>
      <c r="M205" s="450" t="str">
        <f>IF(OR(A205="", B205=""), "", IF(H205="Mitgliedsbeiträge", ABS(B205), ""))</f>
        <v/>
      </c>
      <c r="N205" s="450" t="str">
        <f t="shared" si="33"/>
        <v/>
      </c>
      <c r="O205" s="450" t="str">
        <f t="shared" si="34"/>
        <v/>
      </c>
      <c r="P205" s="450" t="str">
        <f t="shared" si="35"/>
        <v/>
      </c>
      <c r="Q205" s="450" t="str">
        <f t="shared" si="36"/>
        <v/>
      </c>
      <c r="R205" s="450" t="str">
        <f t="shared" si="37"/>
        <v/>
      </c>
      <c r="S205" s="450" t="str">
        <f>IF(OR(A205="", B205=""), "", IF(H205="Sonstige Einnahmen", ABS(B205), ""))</f>
        <v/>
      </c>
      <c r="T205" s="450" t="str">
        <f>IF(OR(A205="", B205=""), "", IF(H205="Unterhaltung", ABS(B205), ""))</f>
        <v/>
      </c>
      <c r="U205" s="450" t="str">
        <f t="shared" si="38"/>
        <v/>
      </c>
      <c r="V205" s="450">
        <v>-21.43</v>
      </c>
      <c r="W205" s="450" t="str">
        <f t="shared" si="40"/>
        <v/>
      </c>
      <c r="X205" s="450" t="str">
        <f t="shared" si="41"/>
        <v/>
      </c>
      <c r="Y205" s="450" t="str">
        <f t="shared" si="42"/>
        <v/>
      </c>
      <c r="Z205" s="451" t="str">
        <f t="shared" si="46"/>
        <v/>
      </c>
    </row>
    <row r="206" spans="1:26" x14ac:dyDescent="0.35">
      <c r="A206" s="438">
        <v>45790</v>
      </c>
      <c r="B206" s="446">
        <v>108.63</v>
      </c>
      <c r="C206" s="439" t="s">
        <v>600</v>
      </c>
      <c r="D206" s="439" t="s">
        <v>601</v>
      </c>
      <c r="E206" s="439" t="s">
        <v>128</v>
      </c>
      <c r="F206" s="439" t="s">
        <v>599</v>
      </c>
      <c r="G206" s="440" t="b">
        <f>IF(A206="","",IF(Daten!$AE$4=0,TRUE,MONTH(A206)=Daten!$AE$4))</f>
        <v>1</v>
      </c>
      <c r="H206" s="454" t="s">
        <v>419</v>
      </c>
      <c r="I206" s="440" t="s">
        <v>75</v>
      </c>
      <c r="J206" s="440"/>
      <c r="K206" s="439" t="s">
        <v>637</v>
      </c>
      <c r="L206" s="452"/>
      <c r="M206" s="448" t="str">
        <f>IF(OR(A206="", B206=""), "", IF(H206="Mitgliedsbeiträge", ABS(B206), ""))</f>
        <v/>
      </c>
      <c r="N206" s="448" t="str">
        <f t="shared" si="33"/>
        <v/>
      </c>
      <c r="O206" s="448" t="str">
        <f t="shared" si="34"/>
        <v/>
      </c>
      <c r="P206" s="448" t="str">
        <f t="shared" si="35"/>
        <v/>
      </c>
      <c r="Q206" s="448" t="str">
        <f t="shared" si="36"/>
        <v/>
      </c>
      <c r="R206" s="448" t="str">
        <f t="shared" si="37"/>
        <v/>
      </c>
      <c r="S206" s="448">
        <v>108.63</v>
      </c>
      <c r="T206" s="448" t="str">
        <f>IF(OR(A206="", B206=""), "", IF(H206="Unterhaltung", ABS(B206), ""))</f>
        <v/>
      </c>
      <c r="U206" s="448" t="str">
        <f t="shared" si="38"/>
        <v/>
      </c>
      <c r="V206" s="448" t="str">
        <f t="shared" ref="V206:V269" si="48">IF(OR(A206="", B206=""), "", IF(H206="Veranstaltungen Ausgabe", ABS(B206), ""))</f>
        <v/>
      </c>
      <c r="W206" s="448" t="str">
        <f t="shared" si="40"/>
        <v/>
      </c>
      <c r="X206" s="448" t="str">
        <f t="shared" si="41"/>
        <v/>
      </c>
      <c r="Y206" s="448" t="str">
        <f t="shared" si="42"/>
        <v/>
      </c>
      <c r="Z206" s="449" t="str">
        <f t="shared" si="46"/>
        <v/>
      </c>
    </row>
    <row r="207" spans="1:26" x14ac:dyDescent="0.35">
      <c r="A207" s="441">
        <v>45790</v>
      </c>
      <c r="B207" s="447">
        <v>500</v>
      </c>
      <c r="C207" s="442" t="s">
        <v>600</v>
      </c>
      <c r="D207" s="442" t="s">
        <v>601</v>
      </c>
      <c r="E207" s="442" t="s">
        <v>306</v>
      </c>
      <c r="F207" s="442" t="s">
        <v>599</v>
      </c>
      <c r="G207" s="443" t="b">
        <f>IF(A207="","",IF(Daten!$AE$4=0,TRUE,MONTH(A207)=Daten!$AE$4))</f>
        <v>1</v>
      </c>
      <c r="H207" s="454" t="s">
        <v>306</v>
      </c>
      <c r="I207" s="443" t="s">
        <v>75</v>
      </c>
      <c r="J207" s="443"/>
      <c r="K207" s="442" t="s">
        <v>637</v>
      </c>
      <c r="L207" s="453"/>
      <c r="M207" s="450">
        <v>500</v>
      </c>
      <c r="N207" s="450" t="str">
        <f t="shared" si="33"/>
        <v/>
      </c>
      <c r="O207" s="450" t="str">
        <f t="shared" si="34"/>
        <v/>
      </c>
      <c r="P207" s="450" t="str">
        <f t="shared" si="35"/>
        <v/>
      </c>
      <c r="Q207" s="450" t="str">
        <f t="shared" si="36"/>
        <v/>
      </c>
      <c r="R207" s="450" t="str">
        <f t="shared" si="37"/>
        <v/>
      </c>
      <c r="S207" s="450" t="str">
        <f>IF(OR(A207="", B207=""), "", IF(H207="Sonstige Einnahmen", ABS(B207), ""))</f>
        <v/>
      </c>
      <c r="T207" s="450" t="str">
        <f>IF(OR(A207="", B207=""), "", IF(H207="Unterhaltung", ABS(B207), ""))</f>
        <v/>
      </c>
      <c r="U207" s="450" t="str">
        <f t="shared" si="38"/>
        <v/>
      </c>
      <c r="V207" s="450" t="str">
        <f t="shared" si="48"/>
        <v/>
      </c>
      <c r="W207" s="450" t="str">
        <f t="shared" si="40"/>
        <v/>
      </c>
      <c r="X207" s="450" t="str">
        <f t="shared" si="41"/>
        <v/>
      </c>
      <c r="Y207" s="450" t="str">
        <f t="shared" si="42"/>
        <v/>
      </c>
      <c r="Z207" s="451" t="str">
        <f t="shared" si="46"/>
        <v/>
      </c>
    </row>
    <row r="208" spans="1:26" ht="58" x14ac:dyDescent="0.35">
      <c r="A208" s="438">
        <v>45792</v>
      </c>
      <c r="B208" s="446">
        <v>-365.24</v>
      </c>
      <c r="C208" s="439" t="s">
        <v>643</v>
      </c>
      <c r="D208" s="439" t="s">
        <v>586</v>
      </c>
      <c r="E208" s="439" t="s">
        <v>682</v>
      </c>
      <c r="F208" s="439" t="s">
        <v>576</v>
      </c>
      <c r="G208" s="440" t="b">
        <f>IF(A208="","",IF(Daten!$AE$4=0,TRUE,MONTH(A208)=Daten!$AE$4))</f>
        <v>1</v>
      </c>
      <c r="H208" s="455" t="s">
        <v>445</v>
      </c>
      <c r="I208" s="440" t="s">
        <v>75</v>
      </c>
      <c r="J208" s="440"/>
      <c r="K208" s="439" t="s">
        <v>637</v>
      </c>
      <c r="L208" s="452" t="s">
        <v>789</v>
      </c>
      <c r="M208" s="448" t="str">
        <f>IF(OR(A208="", B208=""), "", IF(H208="Mitgliedsbeiträge", ABS(B208), ""))</f>
        <v/>
      </c>
      <c r="N208" s="448" t="str">
        <f t="shared" si="33"/>
        <v/>
      </c>
      <c r="O208" s="448" t="str">
        <f t="shared" si="34"/>
        <v/>
      </c>
      <c r="P208" s="448" t="str">
        <f t="shared" si="35"/>
        <v/>
      </c>
      <c r="Q208" s="448" t="str">
        <f t="shared" si="36"/>
        <v/>
      </c>
      <c r="R208" s="448" t="str">
        <f t="shared" si="37"/>
        <v/>
      </c>
      <c r="S208" s="448" t="str">
        <f>IF(OR(A208="", B208=""), "", IF(H208="Sonstige Einnahmen", ABS(B208), ""))</f>
        <v/>
      </c>
      <c r="T208" s="448">
        <v>-365.24</v>
      </c>
      <c r="U208" s="448" t="str">
        <f t="shared" si="38"/>
        <v/>
      </c>
      <c r="V208" s="448" t="str">
        <f t="shared" si="48"/>
        <v/>
      </c>
      <c r="W208" s="448" t="str">
        <f t="shared" si="40"/>
        <v/>
      </c>
      <c r="X208" s="448" t="str">
        <f t="shared" si="41"/>
        <v/>
      </c>
      <c r="Y208" s="448" t="str">
        <f t="shared" si="42"/>
        <v/>
      </c>
      <c r="Z208" s="449" t="str">
        <f t="shared" si="46"/>
        <v/>
      </c>
    </row>
    <row r="209" spans="1:26" x14ac:dyDescent="0.35">
      <c r="A209" s="441">
        <v>45793</v>
      </c>
      <c r="B209" s="447">
        <v>-138</v>
      </c>
      <c r="C209" s="442" t="s">
        <v>577</v>
      </c>
      <c r="D209" s="442" t="s">
        <v>578</v>
      </c>
      <c r="E209" s="442" t="s">
        <v>639</v>
      </c>
      <c r="F209" s="442" t="s">
        <v>576</v>
      </c>
      <c r="G209" s="443" t="b">
        <f>IF(A209="","",IF(Daten!$AE$4=0,TRUE,MONTH(A209)=Daten!$AE$4))</f>
        <v>1</v>
      </c>
      <c r="H209" s="454" t="s">
        <v>459</v>
      </c>
      <c r="I209" s="443" t="s">
        <v>75</v>
      </c>
      <c r="J209" s="443"/>
      <c r="K209" s="442" t="s">
        <v>637</v>
      </c>
      <c r="L209" s="453"/>
      <c r="M209" s="450" t="str">
        <f>IF(OR(A209="", B209=""), "", IF(H209="Mitgliedsbeiträge", ABS(B209), ""))</f>
        <v/>
      </c>
      <c r="N209" s="450" t="str">
        <f t="shared" si="33"/>
        <v/>
      </c>
      <c r="O209" s="450" t="str">
        <f t="shared" si="34"/>
        <v/>
      </c>
      <c r="P209" s="450" t="str">
        <f t="shared" si="35"/>
        <v/>
      </c>
      <c r="Q209" s="450" t="str">
        <f t="shared" si="36"/>
        <v/>
      </c>
      <c r="R209" s="450" t="str">
        <f t="shared" si="37"/>
        <v/>
      </c>
      <c r="S209" s="450" t="str">
        <f>IF(OR(A209="", B209=""), "", IF(H209="Sonstige Einnahmen", ABS(B209), ""))</f>
        <v/>
      </c>
      <c r="T209" s="450">
        <v>-138</v>
      </c>
      <c r="U209" s="450" t="str">
        <f t="shared" si="38"/>
        <v/>
      </c>
      <c r="V209" s="450" t="str">
        <f t="shared" si="48"/>
        <v/>
      </c>
      <c r="W209" s="450" t="str">
        <f t="shared" si="40"/>
        <v/>
      </c>
      <c r="X209" s="450" t="str">
        <f t="shared" si="41"/>
        <v/>
      </c>
      <c r="Y209" s="450" t="str">
        <f t="shared" si="42"/>
        <v/>
      </c>
      <c r="Z209" s="451" t="str">
        <f t="shared" si="46"/>
        <v/>
      </c>
    </row>
    <row r="210" spans="1:26" x14ac:dyDescent="0.35">
      <c r="A210" s="438">
        <v>45793</v>
      </c>
      <c r="B210" s="446">
        <v>-59.94</v>
      </c>
      <c r="C210" s="439" t="s">
        <v>579</v>
      </c>
      <c r="D210" s="439" t="s">
        <v>580</v>
      </c>
      <c r="E210" s="439" t="s">
        <v>716</v>
      </c>
      <c r="F210" s="439" t="s">
        <v>576</v>
      </c>
      <c r="G210" s="440" t="b">
        <f>IF(A210="","",IF(Daten!$AE$4=0,TRUE,MONTH(A210)=Daten!$AE$4))</f>
        <v>1</v>
      </c>
      <c r="H210" s="454" t="s">
        <v>389</v>
      </c>
      <c r="I210" s="440" t="s">
        <v>75</v>
      </c>
      <c r="J210" s="440"/>
      <c r="K210" s="439" t="s">
        <v>637</v>
      </c>
      <c r="L210" s="452"/>
      <c r="M210" s="448" t="str">
        <f>IF(OR(A210="", B210=""), "", IF(H210="Mitgliedsbeiträge", ABS(B210), ""))</f>
        <v/>
      </c>
      <c r="N210" s="448" t="str">
        <f t="shared" si="33"/>
        <v/>
      </c>
      <c r="O210" s="448" t="str">
        <f t="shared" si="34"/>
        <v/>
      </c>
      <c r="P210" s="448" t="str">
        <f t="shared" si="35"/>
        <v/>
      </c>
      <c r="Q210" s="448" t="str">
        <f t="shared" si="36"/>
        <v/>
      </c>
      <c r="R210" s="448" t="str">
        <f t="shared" si="37"/>
        <v/>
      </c>
      <c r="S210" s="448" t="str">
        <f>IF(OR(A210="", B210=""), "", IF(H210="Sonstige Einnahmen", ABS(B210), ""))</f>
        <v/>
      </c>
      <c r="T210" s="448">
        <v>-59.94</v>
      </c>
      <c r="U210" s="448" t="str">
        <f t="shared" si="38"/>
        <v/>
      </c>
      <c r="V210" s="448" t="str">
        <f t="shared" si="48"/>
        <v/>
      </c>
      <c r="W210" s="448" t="str">
        <f t="shared" si="40"/>
        <v/>
      </c>
      <c r="X210" s="448" t="str">
        <f t="shared" si="41"/>
        <v/>
      </c>
      <c r="Y210" s="448" t="str">
        <f t="shared" si="42"/>
        <v/>
      </c>
      <c r="Z210" s="449" t="str">
        <f t="shared" si="46"/>
        <v/>
      </c>
    </row>
    <row r="211" spans="1:26" x14ac:dyDescent="0.35">
      <c r="A211" s="441">
        <v>45796</v>
      </c>
      <c r="B211" s="447">
        <v>15</v>
      </c>
      <c r="C211" s="442" t="s">
        <v>571</v>
      </c>
      <c r="D211" s="442" t="s">
        <v>572</v>
      </c>
      <c r="E211" s="442" t="s">
        <v>636</v>
      </c>
      <c r="F211" s="442" t="s">
        <v>570</v>
      </c>
      <c r="G211" s="443" t="b">
        <f>IF(A211="","",IF(Daten!$AE$4=0,TRUE,MONTH(A211)=Daten!$AE$4))</f>
        <v>1</v>
      </c>
      <c r="H211" s="454" t="s">
        <v>415</v>
      </c>
      <c r="I211" s="443" t="s">
        <v>75</v>
      </c>
      <c r="J211" s="443"/>
      <c r="K211" s="442" t="s">
        <v>637</v>
      </c>
      <c r="L211" s="453"/>
      <c r="M211" s="450" t="str">
        <f>IF(OR(A211="", B211=""), "", IF(H211="Mitgliedsbeiträge", ABS(B211), ""))</f>
        <v/>
      </c>
      <c r="N211" s="450" t="str">
        <f t="shared" si="33"/>
        <v/>
      </c>
      <c r="O211" s="450" t="str">
        <f t="shared" si="34"/>
        <v/>
      </c>
      <c r="P211" s="450" t="str">
        <f t="shared" si="35"/>
        <v/>
      </c>
      <c r="Q211" s="450" t="str">
        <f t="shared" si="36"/>
        <v/>
      </c>
      <c r="R211" s="450" t="str">
        <f t="shared" si="37"/>
        <v/>
      </c>
      <c r="S211" s="450">
        <v>15</v>
      </c>
      <c r="T211" s="450" t="str">
        <f t="shared" ref="T211:T246" si="49">IF(OR(A211="", B211=""), "", IF(H211="Unterhaltung", ABS(B211), ""))</f>
        <v/>
      </c>
      <c r="U211" s="450" t="str">
        <f t="shared" si="38"/>
        <v/>
      </c>
      <c r="V211" s="450" t="str">
        <f t="shared" si="48"/>
        <v/>
      </c>
      <c r="W211" s="450" t="str">
        <f t="shared" si="40"/>
        <v/>
      </c>
      <c r="X211" s="450" t="str">
        <f t="shared" si="41"/>
        <v/>
      </c>
      <c r="Y211" s="450" t="str">
        <f t="shared" si="42"/>
        <v/>
      </c>
      <c r="Z211" s="451" t="str">
        <f t="shared" si="46"/>
        <v/>
      </c>
    </row>
    <row r="212" spans="1:26" x14ac:dyDescent="0.35">
      <c r="A212" s="438">
        <v>45803</v>
      </c>
      <c r="B212" s="446">
        <v>7.5</v>
      </c>
      <c r="C212" s="439" t="s">
        <v>609</v>
      </c>
      <c r="D212" s="439" t="s">
        <v>610</v>
      </c>
      <c r="E212" s="439" t="s">
        <v>665</v>
      </c>
      <c r="F212" s="439" t="s">
        <v>570</v>
      </c>
      <c r="G212" s="440" t="b">
        <f>IF(A212="","",IF(Daten!$AE$4=0,TRUE,MONTH(A212)=Daten!$AE$4))</f>
        <v>1</v>
      </c>
      <c r="H212" s="454" t="s">
        <v>306</v>
      </c>
      <c r="I212" s="440" t="s">
        <v>75</v>
      </c>
      <c r="J212" s="440"/>
      <c r="K212" s="439" t="s">
        <v>637</v>
      </c>
      <c r="L212" s="452"/>
      <c r="M212" s="448">
        <v>7.5</v>
      </c>
      <c r="N212" s="448" t="str">
        <f t="shared" si="33"/>
        <v/>
      </c>
      <c r="O212" s="448" t="str">
        <f t="shared" si="34"/>
        <v/>
      </c>
      <c r="P212" s="448" t="str">
        <f t="shared" si="35"/>
        <v/>
      </c>
      <c r="Q212" s="448" t="str">
        <f t="shared" si="36"/>
        <v/>
      </c>
      <c r="R212" s="448" t="str">
        <f t="shared" si="37"/>
        <v/>
      </c>
      <c r="S212" s="448" t="str">
        <f>IF(OR(A212="", B212=""), "", IF(H212="Sonstige Einnahmen", ABS(B212), ""))</f>
        <v/>
      </c>
      <c r="T212" s="448" t="str">
        <f t="shared" si="49"/>
        <v/>
      </c>
      <c r="U212" s="448" t="str">
        <f t="shared" si="38"/>
        <v/>
      </c>
      <c r="V212" s="448" t="str">
        <f t="shared" si="48"/>
        <v/>
      </c>
      <c r="W212" s="448" t="str">
        <f t="shared" si="40"/>
        <v/>
      </c>
      <c r="X212" s="448" t="str">
        <f t="shared" si="41"/>
        <v/>
      </c>
      <c r="Y212" s="448" t="str">
        <f t="shared" si="42"/>
        <v/>
      </c>
      <c r="Z212" s="449" t="str">
        <f t="shared" si="46"/>
        <v/>
      </c>
    </row>
    <row r="213" spans="1:26" x14ac:dyDescent="0.35">
      <c r="A213" s="441">
        <v>45803</v>
      </c>
      <c r="B213" s="447">
        <v>15</v>
      </c>
      <c r="C213" s="442" t="s">
        <v>603</v>
      </c>
      <c r="D213" s="442" t="s">
        <v>604</v>
      </c>
      <c r="E213" s="442" t="s">
        <v>666</v>
      </c>
      <c r="F213" s="442" t="s">
        <v>570</v>
      </c>
      <c r="G213" s="443" t="b">
        <f>IF(A213="","",IF(Daten!$AE$4=0,TRUE,MONTH(A213)=Daten!$AE$4))</f>
        <v>1</v>
      </c>
      <c r="H213" s="454" t="s">
        <v>415</v>
      </c>
      <c r="I213" s="443" t="s">
        <v>75</v>
      </c>
      <c r="J213" s="443"/>
      <c r="K213" s="442" t="s">
        <v>637</v>
      </c>
      <c r="L213" s="453"/>
      <c r="M213" s="450" t="str">
        <f>IF(OR(A213="", B213=""), "", IF(H213="Mitgliedsbeiträge", ABS(B213), ""))</f>
        <v/>
      </c>
      <c r="N213" s="450" t="str">
        <f t="shared" si="33"/>
        <v/>
      </c>
      <c r="O213" s="450" t="str">
        <f t="shared" si="34"/>
        <v/>
      </c>
      <c r="P213" s="450" t="str">
        <f t="shared" si="35"/>
        <v/>
      </c>
      <c r="Q213" s="450" t="str">
        <f t="shared" si="36"/>
        <v/>
      </c>
      <c r="R213" s="450" t="str">
        <f t="shared" si="37"/>
        <v/>
      </c>
      <c r="S213" s="450">
        <v>15</v>
      </c>
      <c r="T213" s="450" t="str">
        <f t="shared" si="49"/>
        <v/>
      </c>
      <c r="U213" s="450" t="str">
        <f t="shared" si="38"/>
        <v/>
      </c>
      <c r="V213" s="450" t="str">
        <f t="shared" si="48"/>
        <v/>
      </c>
      <c r="W213" s="450" t="str">
        <f t="shared" si="40"/>
        <v/>
      </c>
      <c r="X213" s="450" t="str">
        <f t="shared" si="41"/>
        <v/>
      </c>
      <c r="Y213" s="450" t="str">
        <f t="shared" si="42"/>
        <v/>
      </c>
      <c r="Z213" s="451" t="str">
        <f t="shared" si="46"/>
        <v/>
      </c>
    </row>
    <row r="214" spans="1:26" x14ac:dyDescent="0.35">
      <c r="A214" s="438">
        <v>45804</v>
      </c>
      <c r="B214" s="446">
        <v>7.5</v>
      </c>
      <c r="C214" s="439" t="s">
        <v>603</v>
      </c>
      <c r="D214" s="439" t="s">
        <v>604</v>
      </c>
      <c r="E214" s="439" t="s">
        <v>664</v>
      </c>
      <c r="F214" s="439" t="s">
        <v>570</v>
      </c>
      <c r="G214" s="440" t="b">
        <f>IF(A214="","",IF(Daten!$AE$4=0,TRUE,MONTH(A214)=Daten!$AE$4))</f>
        <v>1</v>
      </c>
      <c r="H214" s="454" t="s">
        <v>306</v>
      </c>
      <c r="I214" s="440" t="s">
        <v>75</v>
      </c>
      <c r="J214" s="440"/>
      <c r="K214" s="439" t="s">
        <v>637</v>
      </c>
      <c r="L214" s="452"/>
      <c r="M214" s="448">
        <v>7.5</v>
      </c>
      <c r="N214" s="448" t="str">
        <f t="shared" si="33"/>
        <v/>
      </c>
      <c r="O214" s="448" t="str">
        <f t="shared" si="34"/>
        <v/>
      </c>
      <c r="P214" s="448" t="str">
        <f t="shared" si="35"/>
        <v/>
      </c>
      <c r="Q214" s="448" t="str">
        <f t="shared" si="36"/>
        <v/>
      </c>
      <c r="R214" s="448" t="str">
        <f t="shared" si="37"/>
        <v/>
      </c>
      <c r="S214" s="448" t="str">
        <f>IF(OR(A214="", B214=""), "", IF(H214="Sonstige Einnahmen", ABS(B214), ""))</f>
        <v/>
      </c>
      <c r="T214" s="448" t="str">
        <f t="shared" si="49"/>
        <v/>
      </c>
      <c r="U214" s="448" t="str">
        <f t="shared" si="38"/>
        <v/>
      </c>
      <c r="V214" s="448" t="str">
        <f t="shared" si="48"/>
        <v/>
      </c>
      <c r="W214" s="448" t="str">
        <f t="shared" si="40"/>
        <v/>
      </c>
      <c r="X214" s="448" t="str">
        <f t="shared" si="41"/>
        <v/>
      </c>
      <c r="Y214" s="448" t="str">
        <f t="shared" si="42"/>
        <v/>
      </c>
      <c r="Z214" s="449" t="str">
        <f t="shared" si="46"/>
        <v/>
      </c>
    </row>
    <row r="215" spans="1:26" x14ac:dyDescent="0.35">
      <c r="A215" s="441">
        <v>45807</v>
      </c>
      <c r="B215" s="447">
        <v>15</v>
      </c>
      <c r="C215" s="442" t="s">
        <v>597</v>
      </c>
      <c r="D215" s="442" t="s">
        <v>598</v>
      </c>
      <c r="E215" s="442" t="s">
        <v>306</v>
      </c>
      <c r="F215" s="442" t="s">
        <v>570</v>
      </c>
      <c r="G215" s="443" t="b">
        <f>IF(A215="","",IF(Daten!$AE$4=0,TRUE,MONTH(A215)=Daten!$AE$4))</f>
        <v>1</v>
      </c>
      <c r="H215" s="454" t="s">
        <v>306</v>
      </c>
      <c r="I215" s="443" t="s">
        <v>75</v>
      </c>
      <c r="J215" s="443"/>
      <c r="K215" s="442" t="s">
        <v>637</v>
      </c>
      <c r="L215" s="453"/>
      <c r="M215" s="450">
        <v>15</v>
      </c>
      <c r="N215" s="450" t="str">
        <f t="shared" si="33"/>
        <v/>
      </c>
      <c r="O215" s="450" t="str">
        <f t="shared" si="34"/>
        <v/>
      </c>
      <c r="P215" s="450" t="str">
        <f t="shared" si="35"/>
        <v/>
      </c>
      <c r="Q215" s="450" t="str">
        <f t="shared" si="36"/>
        <v/>
      </c>
      <c r="R215" s="450" t="str">
        <f t="shared" si="37"/>
        <v/>
      </c>
      <c r="S215" s="450" t="str">
        <f>IF(OR(A215="", B215=""), "", IF(H215="Sonstige Einnahmen", ABS(B215), ""))</f>
        <v/>
      </c>
      <c r="T215" s="450" t="str">
        <f t="shared" si="49"/>
        <v/>
      </c>
      <c r="U215" s="450" t="str">
        <f t="shared" si="38"/>
        <v/>
      </c>
      <c r="V215" s="450" t="str">
        <f t="shared" si="48"/>
        <v/>
      </c>
      <c r="W215" s="450" t="str">
        <f t="shared" si="40"/>
        <v/>
      </c>
      <c r="X215" s="450" t="str">
        <f t="shared" si="41"/>
        <v/>
      </c>
      <c r="Y215" s="450" t="str">
        <f t="shared" si="42"/>
        <v/>
      </c>
      <c r="Z215" s="451" t="str">
        <f t="shared" si="46"/>
        <v/>
      </c>
    </row>
    <row r="216" spans="1:26" x14ac:dyDescent="0.35">
      <c r="A216" s="438">
        <v>45810</v>
      </c>
      <c r="B216" s="446">
        <v>30</v>
      </c>
      <c r="C216" s="439" t="s">
        <v>600</v>
      </c>
      <c r="D216" s="439" t="s">
        <v>601</v>
      </c>
      <c r="E216" s="439" t="s">
        <v>715</v>
      </c>
      <c r="F216" s="439" t="s">
        <v>599</v>
      </c>
      <c r="G216" s="440" t="b">
        <f>IF(A216="","",IF(Daten!$AE$4=0,TRUE,MONTH(A216)=Daten!$AE$4))</f>
        <v>1</v>
      </c>
      <c r="H216" s="454" t="s">
        <v>306</v>
      </c>
      <c r="I216" s="440" t="s">
        <v>74</v>
      </c>
      <c r="J216" s="440"/>
      <c r="K216" s="439" t="s">
        <v>637</v>
      </c>
      <c r="L216" s="452"/>
      <c r="M216" s="448">
        <v>30</v>
      </c>
      <c r="N216" s="448" t="str">
        <f t="shared" si="33"/>
        <v/>
      </c>
      <c r="O216" s="448" t="str">
        <f t="shared" si="34"/>
        <v/>
      </c>
      <c r="P216" s="448" t="str">
        <f t="shared" si="35"/>
        <v/>
      </c>
      <c r="Q216" s="448" t="str">
        <f t="shared" si="36"/>
        <v/>
      </c>
      <c r="R216" s="448" t="str">
        <f t="shared" si="37"/>
        <v/>
      </c>
      <c r="S216" s="448" t="str">
        <f>IF(OR(A216="", B216=""), "", IF(H216="Sonstige Einnahmen", ABS(B216), ""))</f>
        <v/>
      </c>
      <c r="T216" s="448" t="str">
        <f t="shared" si="49"/>
        <v/>
      </c>
      <c r="U216" s="448" t="str">
        <f t="shared" si="38"/>
        <v/>
      </c>
      <c r="V216" s="448" t="str">
        <f t="shared" si="48"/>
        <v/>
      </c>
      <c r="W216" s="448" t="str">
        <f t="shared" si="40"/>
        <v/>
      </c>
      <c r="X216" s="448" t="str">
        <f t="shared" si="41"/>
        <v/>
      </c>
      <c r="Y216" s="448" t="str">
        <f t="shared" si="42"/>
        <v/>
      </c>
      <c r="Z216" s="449" t="str">
        <f t="shared" si="46"/>
        <v/>
      </c>
    </row>
    <row r="217" spans="1:26" x14ac:dyDescent="0.35">
      <c r="A217" s="441">
        <v>45810</v>
      </c>
      <c r="B217" s="447">
        <v>15</v>
      </c>
      <c r="C217" s="442" t="s">
        <v>627</v>
      </c>
      <c r="D217" s="442" t="s">
        <v>591</v>
      </c>
      <c r="E217" s="442" t="s">
        <v>659</v>
      </c>
      <c r="F217" s="442" t="s">
        <v>570</v>
      </c>
      <c r="G217" s="443" t="b">
        <f>IF(A217="","",IF(Daten!$AE$4=0,TRUE,MONTH(A217)=Daten!$AE$4))</f>
        <v>1</v>
      </c>
      <c r="H217" s="454" t="s">
        <v>415</v>
      </c>
      <c r="I217" s="443" t="s">
        <v>74</v>
      </c>
      <c r="J217" s="443"/>
      <c r="K217" s="442" t="s">
        <v>637</v>
      </c>
      <c r="L217" s="453"/>
      <c r="M217" s="450" t="str">
        <f>IF(OR(A217="", B217=""), "", IF(H217="Mitgliedsbeiträge", ABS(B217), ""))</f>
        <v/>
      </c>
      <c r="N217" s="450" t="str">
        <f t="shared" si="33"/>
        <v/>
      </c>
      <c r="O217" s="450" t="str">
        <f t="shared" si="34"/>
        <v/>
      </c>
      <c r="P217" s="450" t="str">
        <f t="shared" si="35"/>
        <v/>
      </c>
      <c r="Q217" s="450" t="str">
        <f t="shared" si="36"/>
        <v/>
      </c>
      <c r="R217" s="450" t="str">
        <f t="shared" si="37"/>
        <v/>
      </c>
      <c r="S217" s="450">
        <v>15</v>
      </c>
      <c r="T217" s="450" t="str">
        <f t="shared" si="49"/>
        <v/>
      </c>
      <c r="U217" s="450" t="str">
        <f t="shared" si="38"/>
        <v/>
      </c>
      <c r="V217" s="450" t="str">
        <f t="shared" si="48"/>
        <v/>
      </c>
      <c r="W217" s="450" t="str">
        <f t="shared" si="40"/>
        <v/>
      </c>
      <c r="X217" s="450" t="str">
        <f t="shared" si="41"/>
        <v/>
      </c>
      <c r="Y217" s="450" t="str">
        <f t="shared" si="42"/>
        <v/>
      </c>
      <c r="Z217" s="451" t="str">
        <f t="shared" si="46"/>
        <v/>
      </c>
    </row>
    <row r="218" spans="1:26" x14ac:dyDescent="0.35">
      <c r="A218" s="438">
        <v>45810</v>
      </c>
      <c r="B218" s="446">
        <v>15</v>
      </c>
      <c r="C218" s="439" t="s">
        <v>51</v>
      </c>
      <c r="D218" s="439" t="s">
        <v>589</v>
      </c>
      <c r="E218" s="439" t="s">
        <v>384</v>
      </c>
      <c r="F218" s="439" t="s">
        <v>570</v>
      </c>
      <c r="G218" s="440" t="b">
        <f>IF(A218="","",IF(Daten!$AE$4=0,TRUE,MONTH(A218)=Daten!$AE$4))</f>
        <v>1</v>
      </c>
      <c r="H218" s="454" t="s">
        <v>415</v>
      </c>
      <c r="I218" s="440" t="s">
        <v>74</v>
      </c>
      <c r="J218" s="440"/>
      <c r="K218" s="439" t="s">
        <v>637</v>
      </c>
      <c r="L218" s="452"/>
      <c r="M218" s="448" t="str">
        <f>IF(OR(A218="", B218=""), "", IF(H218="Mitgliedsbeiträge", ABS(B218), ""))</f>
        <v/>
      </c>
      <c r="N218" s="448" t="str">
        <f t="shared" si="33"/>
        <v/>
      </c>
      <c r="O218" s="448" t="str">
        <f t="shared" si="34"/>
        <v/>
      </c>
      <c r="P218" s="448" t="str">
        <f t="shared" si="35"/>
        <v/>
      </c>
      <c r="Q218" s="448" t="str">
        <f t="shared" si="36"/>
        <v/>
      </c>
      <c r="R218" s="448" t="str">
        <f t="shared" si="37"/>
        <v/>
      </c>
      <c r="S218" s="448">
        <v>15</v>
      </c>
      <c r="T218" s="448" t="str">
        <f t="shared" si="49"/>
        <v/>
      </c>
      <c r="U218" s="448" t="str">
        <f t="shared" si="38"/>
        <v/>
      </c>
      <c r="V218" s="448" t="str">
        <f t="shared" si="48"/>
        <v/>
      </c>
      <c r="W218" s="448" t="str">
        <f t="shared" si="40"/>
        <v/>
      </c>
      <c r="X218" s="448" t="str">
        <f t="shared" si="41"/>
        <v/>
      </c>
      <c r="Y218" s="448" t="str">
        <f t="shared" si="42"/>
        <v/>
      </c>
      <c r="Z218" s="449" t="str">
        <f t="shared" si="46"/>
        <v/>
      </c>
    </row>
    <row r="219" spans="1:26" x14ac:dyDescent="0.35">
      <c r="A219" s="441">
        <v>45810</v>
      </c>
      <c r="B219" s="447">
        <v>7.5</v>
      </c>
      <c r="C219" s="442" t="s">
        <v>66</v>
      </c>
      <c r="D219" s="442" t="s">
        <v>594</v>
      </c>
      <c r="E219" s="442" t="s">
        <v>652</v>
      </c>
      <c r="F219" s="442" t="s">
        <v>570</v>
      </c>
      <c r="G219" s="443" t="b">
        <f>IF(A219="","",IF(Daten!$AE$4=0,TRUE,MONTH(A219)=Daten!$AE$4))</f>
        <v>1</v>
      </c>
      <c r="H219" s="454" t="s">
        <v>306</v>
      </c>
      <c r="I219" s="443" t="s">
        <v>74</v>
      </c>
      <c r="J219" s="443"/>
      <c r="K219" s="442" t="s">
        <v>637</v>
      </c>
      <c r="L219" s="453"/>
      <c r="M219" s="450">
        <v>7.5</v>
      </c>
      <c r="N219" s="450" t="str">
        <f t="shared" si="33"/>
        <v/>
      </c>
      <c r="O219" s="450" t="str">
        <f t="shared" si="34"/>
        <v/>
      </c>
      <c r="P219" s="450" t="str">
        <f t="shared" si="35"/>
        <v/>
      </c>
      <c r="Q219" s="450" t="str">
        <f t="shared" si="36"/>
        <v/>
      </c>
      <c r="R219" s="450" t="str">
        <f t="shared" si="37"/>
        <v/>
      </c>
      <c r="S219" s="450" t="str">
        <f>IF(OR(A219="", B219=""), "", IF(H219="Sonstige Einnahmen", ABS(B219), ""))</f>
        <v/>
      </c>
      <c r="T219" s="450" t="str">
        <f t="shared" si="49"/>
        <v/>
      </c>
      <c r="U219" s="450" t="str">
        <f t="shared" si="38"/>
        <v/>
      </c>
      <c r="V219" s="450" t="str">
        <f t="shared" si="48"/>
        <v/>
      </c>
      <c r="W219" s="450" t="str">
        <f t="shared" si="40"/>
        <v/>
      </c>
      <c r="X219" s="450" t="str">
        <f t="shared" si="41"/>
        <v/>
      </c>
      <c r="Y219" s="450" t="str">
        <f t="shared" si="42"/>
        <v/>
      </c>
      <c r="Z219" s="451" t="str">
        <f t="shared" si="46"/>
        <v/>
      </c>
    </row>
    <row r="220" spans="1:26" x14ac:dyDescent="0.35">
      <c r="A220" s="438">
        <v>45810</v>
      </c>
      <c r="B220" s="446">
        <v>15</v>
      </c>
      <c r="C220" s="439" t="s">
        <v>597</v>
      </c>
      <c r="D220" s="439" t="s">
        <v>598</v>
      </c>
      <c r="E220" s="439" t="s">
        <v>385</v>
      </c>
      <c r="F220" s="439" t="s">
        <v>570</v>
      </c>
      <c r="G220" s="440" t="b">
        <f>IF(A220="","",IF(Daten!$AE$4=0,TRUE,MONTH(A220)=Daten!$AE$4))</f>
        <v>1</v>
      </c>
      <c r="H220" s="454" t="s">
        <v>415</v>
      </c>
      <c r="I220" s="440" t="s">
        <v>74</v>
      </c>
      <c r="J220" s="440"/>
      <c r="K220" s="439" t="s">
        <v>637</v>
      </c>
      <c r="L220" s="452"/>
      <c r="M220" s="448" t="str">
        <f>IF(OR(A220="", B220=""), "", IF(H220="Mitgliedsbeiträge", ABS(B220), ""))</f>
        <v/>
      </c>
      <c r="N220" s="448" t="str">
        <f t="shared" ref="N220:N283" si="50">IF(OR(A220="", B220=""), "", IF(H220="Spenden", ABS(B220), ""))</f>
        <v/>
      </c>
      <c r="O220" s="448" t="str">
        <f t="shared" ref="O220:O283" si="51">IF(OR(A220="", B220=""), "", IF(H220="Zuschüsse", ABS(B220), ""))</f>
        <v/>
      </c>
      <c r="P220" s="448" t="str">
        <f t="shared" ref="P220:P283" si="52">IF(OR(A220="", B220=""), "", IF(H220="Verwaltung", ABS(B220), ""))</f>
        <v/>
      </c>
      <c r="Q220" s="448" t="str">
        <f t="shared" ref="Q220:Q283" si="53">IF(OR(A220="", B220=""), "", IF(H220="Vermögen", ABS(B220), ""))</f>
        <v/>
      </c>
      <c r="R220" s="448" t="str">
        <f t="shared" ref="R220:R283" si="54">IF(OR(A220="", B220=""), "", IF(H220="Vermögen", ABS(B220), ""))</f>
        <v/>
      </c>
      <c r="S220" s="448">
        <v>15</v>
      </c>
      <c r="T220" s="448" t="str">
        <f t="shared" si="49"/>
        <v/>
      </c>
      <c r="U220" s="448" t="str">
        <f t="shared" ref="U220:U283" si="55">IF(OR(A220="", B220=""), "", IF(H220="Fortbildung", ABS(B220), ""))</f>
        <v/>
      </c>
      <c r="V220" s="448" t="str">
        <f t="shared" si="48"/>
        <v/>
      </c>
      <c r="W220" s="448" t="str">
        <f t="shared" ref="W220:W283" si="56">IF(OR(A220="", B220=""), "", IF(H220="Bürobetrieb", ABS(B220), ""))</f>
        <v/>
      </c>
      <c r="X220" s="448" t="str">
        <f t="shared" ref="X220:X283" si="57">IF(OR(A220="", B220=""), "", IF(H220="Aufwandsentschädigungen", ABS(B220), ""))</f>
        <v/>
      </c>
      <c r="Y220" s="448" t="str">
        <f t="shared" ref="Y220:Y283" si="58">IF(OR(A220="", B220=""), "", IF(H220="Sonstige Ausgaben", ABS(B220), ""))</f>
        <v/>
      </c>
      <c r="Z220" s="449" t="str">
        <f t="shared" si="46"/>
        <v/>
      </c>
    </row>
    <row r="221" spans="1:26" x14ac:dyDescent="0.35">
      <c r="A221" s="441">
        <v>45810</v>
      </c>
      <c r="B221" s="447">
        <v>15</v>
      </c>
      <c r="C221" s="442" t="s">
        <v>595</v>
      </c>
      <c r="D221" s="442" t="s">
        <v>596</v>
      </c>
      <c r="E221" s="442" t="s">
        <v>654</v>
      </c>
      <c r="F221" s="442" t="s">
        <v>570</v>
      </c>
      <c r="G221" s="443" t="b">
        <f>IF(A221="","",IF(Daten!$AE$4=0,TRUE,MONTH(A221)=Daten!$AE$4))</f>
        <v>1</v>
      </c>
      <c r="H221" s="454" t="s">
        <v>415</v>
      </c>
      <c r="I221" s="443" t="s">
        <v>74</v>
      </c>
      <c r="J221" s="443"/>
      <c r="K221" s="442" t="s">
        <v>637</v>
      </c>
      <c r="L221" s="453"/>
      <c r="M221" s="450" t="str">
        <f>IF(OR(A221="", B221=""), "", IF(H221="Mitgliedsbeiträge", ABS(B221), ""))</f>
        <v/>
      </c>
      <c r="N221" s="450" t="str">
        <f t="shared" si="50"/>
        <v/>
      </c>
      <c r="O221" s="450" t="str">
        <f t="shared" si="51"/>
        <v/>
      </c>
      <c r="P221" s="450" t="str">
        <f t="shared" si="52"/>
        <v/>
      </c>
      <c r="Q221" s="450" t="str">
        <f t="shared" si="53"/>
        <v/>
      </c>
      <c r="R221" s="450" t="str">
        <f t="shared" si="54"/>
        <v/>
      </c>
      <c r="S221" s="450">
        <v>15</v>
      </c>
      <c r="T221" s="450" t="str">
        <f t="shared" si="49"/>
        <v/>
      </c>
      <c r="U221" s="450" t="str">
        <f t="shared" si="55"/>
        <v/>
      </c>
      <c r="V221" s="450" t="str">
        <f t="shared" si="48"/>
        <v/>
      </c>
      <c r="W221" s="450" t="str">
        <f t="shared" si="56"/>
        <v/>
      </c>
      <c r="X221" s="450" t="str">
        <f t="shared" si="57"/>
        <v/>
      </c>
      <c r="Y221" s="450" t="str">
        <f t="shared" si="58"/>
        <v/>
      </c>
      <c r="Z221" s="451" t="str">
        <f t="shared" si="46"/>
        <v/>
      </c>
    </row>
    <row r="222" spans="1:26" x14ac:dyDescent="0.35">
      <c r="A222" s="438">
        <v>45810</v>
      </c>
      <c r="B222" s="446">
        <v>7.5</v>
      </c>
      <c r="C222" s="439" t="s">
        <v>56</v>
      </c>
      <c r="D222" s="439" t="s">
        <v>602</v>
      </c>
      <c r="E222" s="439" t="s">
        <v>386</v>
      </c>
      <c r="F222" s="439" t="s">
        <v>570</v>
      </c>
      <c r="G222" s="440" t="b">
        <f>IF(A222="","",IF(Daten!$AE$4=0,TRUE,MONTH(A222)=Daten!$AE$4))</f>
        <v>1</v>
      </c>
      <c r="H222" s="454" t="s">
        <v>306</v>
      </c>
      <c r="I222" s="440" t="s">
        <v>74</v>
      </c>
      <c r="J222" s="440"/>
      <c r="K222" s="439" t="s">
        <v>637</v>
      </c>
      <c r="L222" s="452"/>
      <c r="M222" s="448">
        <v>7.5</v>
      </c>
      <c r="N222" s="448" t="str">
        <f t="shared" si="50"/>
        <v/>
      </c>
      <c r="O222" s="448" t="str">
        <f t="shared" si="51"/>
        <v/>
      </c>
      <c r="P222" s="448" t="str">
        <f t="shared" si="52"/>
        <v/>
      </c>
      <c r="Q222" s="448" t="str">
        <f t="shared" si="53"/>
        <v/>
      </c>
      <c r="R222" s="448" t="str">
        <f t="shared" si="54"/>
        <v/>
      </c>
      <c r="S222" s="448" t="str">
        <f>IF(OR(A222="", B222=""), "", IF(H222="Sonstige Einnahmen", ABS(B222), ""))</f>
        <v/>
      </c>
      <c r="T222" s="448" t="str">
        <f t="shared" si="49"/>
        <v/>
      </c>
      <c r="U222" s="448" t="str">
        <f t="shared" si="55"/>
        <v/>
      </c>
      <c r="V222" s="448" t="str">
        <f t="shared" si="48"/>
        <v/>
      </c>
      <c r="W222" s="448" t="str">
        <f t="shared" si="56"/>
        <v/>
      </c>
      <c r="X222" s="448" t="str">
        <f t="shared" si="57"/>
        <v/>
      </c>
      <c r="Y222" s="448" t="str">
        <f t="shared" si="58"/>
        <v/>
      </c>
      <c r="Z222" s="449" t="str">
        <f t="shared" si="46"/>
        <v/>
      </c>
    </row>
    <row r="223" spans="1:26" x14ac:dyDescent="0.35">
      <c r="A223" s="441">
        <v>45810</v>
      </c>
      <c r="B223" s="447">
        <v>120</v>
      </c>
      <c r="C223" s="442" t="s">
        <v>603</v>
      </c>
      <c r="D223" s="442" t="s">
        <v>604</v>
      </c>
      <c r="E223" s="442" t="s">
        <v>658</v>
      </c>
      <c r="F223" s="442" t="s">
        <v>570</v>
      </c>
      <c r="G223" s="443" t="b">
        <f>IF(A223="","",IF(Daten!$AE$4=0,TRUE,MONTH(A223)=Daten!$AE$4))</f>
        <v>1</v>
      </c>
      <c r="H223" s="454" t="s">
        <v>425</v>
      </c>
      <c r="I223" s="443" t="s">
        <v>74</v>
      </c>
      <c r="J223" s="443"/>
      <c r="K223" s="442" t="s">
        <v>637</v>
      </c>
      <c r="L223" s="453"/>
      <c r="M223" s="450" t="str">
        <f>IF(OR(A223="", B223=""), "", IF(H223="Mitgliedsbeiträge", ABS(B223), ""))</f>
        <v/>
      </c>
      <c r="N223" s="450" t="str">
        <f t="shared" si="50"/>
        <v/>
      </c>
      <c r="O223" s="450" t="str">
        <f t="shared" si="51"/>
        <v/>
      </c>
      <c r="P223" s="450" t="str">
        <f t="shared" si="52"/>
        <v/>
      </c>
      <c r="Q223" s="450" t="str">
        <f t="shared" si="53"/>
        <v/>
      </c>
      <c r="R223" s="450" t="str">
        <f t="shared" si="54"/>
        <v/>
      </c>
      <c r="S223" s="450">
        <v>120</v>
      </c>
      <c r="T223" s="450" t="str">
        <f t="shared" si="49"/>
        <v/>
      </c>
      <c r="U223" s="450" t="str">
        <f t="shared" si="55"/>
        <v/>
      </c>
      <c r="V223" s="450" t="str">
        <f t="shared" si="48"/>
        <v/>
      </c>
      <c r="W223" s="450" t="str">
        <f t="shared" si="56"/>
        <v/>
      </c>
      <c r="X223" s="450" t="str">
        <f t="shared" si="57"/>
        <v/>
      </c>
      <c r="Y223" s="450" t="str">
        <f t="shared" si="58"/>
        <v/>
      </c>
      <c r="Z223" s="451" t="str">
        <f t="shared" si="46"/>
        <v/>
      </c>
    </row>
    <row r="224" spans="1:26" ht="58" x14ac:dyDescent="0.35">
      <c r="A224" s="438">
        <v>45810</v>
      </c>
      <c r="B224" s="446">
        <v>15</v>
      </c>
      <c r="C224" s="439" t="s">
        <v>56</v>
      </c>
      <c r="D224" s="439" t="s">
        <v>602</v>
      </c>
      <c r="E224" s="439" t="s">
        <v>657</v>
      </c>
      <c r="F224" s="439" t="s">
        <v>570</v>
      </c>
      <c r="G224" s="440" t="b">
        <f>IF(A224="","",IF(Daten!$AE$4=0,TRUE,MONTH(A224)=Daten!$AE$4))</f>
        <v>1</v>
      </c>
      <c r="H224" s="455" t="s">
        <v>463</v>
      </c>
      <c r="I224" s="440" t="s">
        <v>74</v>
      </c>
      <c r="J224" s="440"/>
      <c r="K224" s="439" t="s">
        <v>637</v>
      </c>
      <c r="L224" s="452" t="s">
        <v>781</v>
      </c>
      <c r="M224" s="448" t="str">
        <f>IF(OR(A224="", B224=""), "", IF(H224="Mitgliedsbeiträge", ABS(B224), ""))</f>
        <v/>
      </c>
      <c r="N224" s="448" t="str">
        <f t="shared" si="50"/>
        <v/>
      </c>
      <c r="O224" s="448" t="str">
        <f t="shared" si="51"/>
        <v/>
      </c>
      <c r="P224" s="448" t="str">
        <f t="shared" si="52"/>
        <v/>
      </c>
      <c r="Q224" s="448" t="str">
        <f t="shared" si="53"/>
        <v/>
      </c>
      <c r="R224" s="448" t="str">
        <f t="shared" si="54"/>
        <v/>
      </c>
      <c r="S224" s="448">
        <v>15</v>
      </c>
      <c r="T224" s="448" t="str">
        <f t="shared" si="49"/>
        <v/>
      </c>
      <c r="U224" s="448" t="str">
        <f t="shared" si="55"/>
        <v/>
      </c>
      <c r="V224" s="448" t="str">
        <f t="shared" si="48"/>
        <v/>
      </c>
      <c r="W224" s="448" t="str">
        <f t="shared" si="56"/>
        <v/>
      </c>
      <c r="X224" s="448" t="str">
        <f t="shared" si="57"/>
        <v/>
      </c>
      <c r="Y224" s="448" t="str">
        <f t="shared" si="58"/>
        <v/>
      </c>
      <c r="Z224" s="449" t="str">
        <f t="shared" si="46"/>
        <v/>
      </c>
    </row>
    <row r="225" spans="1:26" x14ac:dyDescent="0.35">
      <c r="A225" s="441">
        <v>45810</v>
      </c>
      <c r="B225" s="447">
        <v>15</v>
      </c>
      <c r="C225" s="442" t="s">
        <v>595</v>
      </c>
      <c r="D225" s="442" t="s">
        <v>596</v>
      </c>
      <c r="E225" s="442" t="s">
        <v>656</v>
      </c>
      <c r="F225" s="442" t="s">
        <v>570</v>
      </c>
      <c r="G225" s="443" t="b">
        <f>IF(A225="","",IF(Daten!$AE$4=0,TRUE,MONTH(A225)=Daten!$AE$4))</f>
        <v>1</v>
      </c>
      <c r="H225" s="454" t="s">
        <v>306</v>
      </c>
      <c r="I225" s="443" t="s">
        <v>74</v>
      </c>
      <c r="J225" s="443"/>
      <c r="K225" s="442" t="s">
        <v>637</v>
      </c>
      <c r="L225" s="453"/>
      <c r="M225" s="450">
        <v>15</v>
      </c>
      <c r="N225" s="450" t="str">
        <f t="shared" si="50"/>
        <v/>
      </c>
      <c r="O225" s="450" t="str">
        <f t="shared" si="51"/>
        <v/>
      </c>
      <c r="P225" s="450" t="str">
        <f t="shared" si="52"/>
        <v/>
      </c>
      <c r="Q225" s="450" t="str">
        <f t="shared" si="53"/>
        <v/>
      </c>
      <c r="R225" s="450" t="str">
        <f t="shared" si="54"/>
        <v/>
      </c>
      <c r="S225" s="450" t="str">
        <f>IF(OR(A225="", B225=""), "", IF(H225="Sonstige Einnahmen", ABS(B225), ""))</f>
        <v/>
      </c>
      <c r="T225" s="450" t="str">
        <f t="shared" si="49"/>
        <v/>
      </c>
      <c r="U225" s="450" t="str">
        <f t="shared" si="55"/>
        <v/>
      </c>
      <c r="V225" s="450" t="str">
        <f t="shared" si="48"/>
        <v/>
      </c>
      <c r="W225" s="450" t="str">
        <f t="shared" si="56"/>
        <v/>
      </c>
      <c r="X225" s="450" t="str">
        <f t="shared" si="57"/>
        <v/>
      </c>
      <c r="Y225" s="450" t="str">
        <f t="shared" si="58"/>
        <v/>
      </c>
      <c r="Z225" s="451" t="str">
        <f t="shared" si="46"/>
        <v/>
      </c>
    </row>
    <row r="226" spans="1:26" x14ac:dyDescent="0.35">
      <c r="A226" s="438">
        <v>45810</v>
      </c>
      <c r="B226" s="446">
        <v>15</v>
      </c>
      <c r="C226" s="439" t="s">
        <v>66</v>
      </c>
      <c r="D226" s="439" t="s">
        <v>594</v>
      </c>
      <c r="E226" s="439" t="s">
        <v>653</v>
      </c>
      <c r="F226" s="439" t="s">
        <v>570</v>
      </c>
      <c r="G226" s="440" t="b">
        <f>IF(A226="","",IF(Daten!$AE$4=0,TRUE,MONTH(A226)=Daten!$AE$4))</f>
        <v>1</v>
      </c>
      <c r="H226" s="454" t="s">
        <v>415</v>
      </c>
      <c r="I226" s="440" t="s">
        <v>74</v>
      </c>
      <c r="J226" s="440"/>
      <c r="K226" s="439" t="s">
        <v>637</v>
      </c>
      <c r="L226" s="452"/>
      <c r="M226" s="448" t="str">
        <f>IF(OR(A226="", B226=""), "", IF(H226="Mitgliedsbeiträge", ABS(B226), ""))</f>
        <v/>
      </c>
      <c r="N226" s="448" t="str">
        <f t="shared" si="50"/>
        <v/>
      </c>
      <c r="O226" s="448" t="str">
        <f t="shared" si="51"/>
        <v/>
      </c>
      <c r="P226" s="448" t="str">
        <f t="shared" si="52"/>
        <v/>
      </c>
      <c r="Q226" s="448" t="str">
        <f t="shared" si="53"/>
        <v/>
      </c>
      <c r="R226" s="448" t="str">
        <f t="shared" si="54"/>
        <v/>
      </c>
      <c r="S226" s="448">
        <v>15</v>
      </c>
      <c r="T226" s="448" t="str">
        <f t="shared" si="49"/>
        <v/>
      </c>
      <c r="U226" s="448" t="str">
        <f t="shared" si="55"/>
        <v/>
      </c>
      <c r="V226" s="448" t="str">
        <f t="shared" si="48"/>
        <v/>
      </c>
      <c r="W226" s="448" t="str">
        <f t="shared" si="56"/>
        <v/>
      </c>
      <c r="X226" s="448" t="str">
        <f t="shared" si="57"/>
        <v/>
      </c>
      <c r="Y226" s="448" t="str">
        <f t="shared" si="58"/>
        <v/>
      </c>
      <c r="Z226" s="449" t="str">
        <f t="shared" si="46"/>
        <v/>
      </c>
    </row>
    <row r="227" spans="1:26" x14ac:dyDescent="0.35">
      <c r="A227" s="441">
        <v>45810</v>
      </c>
      <c r="B227" s="447">
        <v>15</v>
      </c>
      <c r="C227" s="442" t="s">
        <v>584</v>
      </c>
      <c r="D227" s="442" t="s">
        <v>585</v>
      </c>
      <c r="E227" s="442" t="s">
        <v>655</v>
      </c>
      <c r="F227" s="442" t="s">
        <v>570</v>
      </c>
      <c r="G227" s="443" t="b">
        <f>IF(A227="","",IF(Daten!$AE$4=0,TRUE,MONTH(A227)=Daten!$AE$4))</f>
        <v>1</v>
      </c>
      <c r="H227" s="454" t="s">
        <v>306</v>
      </c>
      <c r="I227" s="443" t="s">
        <v>74</v>
      </c>
      <c r="J227" s="443"/>
      <c r="K227" s="442" t="s">
        <v>637</v>
      </c>
      <c r="L227" s="453"/>
      <c r="M227" s="450">
        <v>15</v>
      </c>
      <c r="N227" s="450" t="str">
        <f t="shared" si="50"/>
        <v/>
      </c>
      <c r="O227" s="450" t="str">
        <f t="shared" si="51"/>
        <v/>
      </c>
      <c r="P227" s="450" t="str">
        <f t="shared" si="52"/>
        <v/>
      </c>
      <c r="Q227" s="450" t="str">
        <f t="shared" si="53"/>
        <v/>
      </c>
      <c r="R227" s="450" t="str">
        <f t="shared" si="54"/>
        <v/>
      </c>
      <c r="S227" s="450" t="str">
        <f>IF(OR(A227="", B227=""), "", IF(H227="Sonstige Einnahmen", ABS(B227), ""))</f>
        <v/>
      </c>
      <c r="T227" s="450" t="str">
        <f t="shared" si="49"/>
        <v/>
      </c>
      <c r="U227" s="450" t="str">
        <f t="shared" si="55"/>
        <v/>
      </c>
      <c r="V227" s="450" t="str">
        <f t="shared" si="48"/>
        <v/>
      </c>
      <c r="W227" s="450" t="str">
        <f t="shared" si="56"/>
        <v/>
      </c>
      <c r="X227" s="450" t="str">
        <f t="shared" si="57"/>
        <v/>
      </c>
      <c r="Y227" s="450" t="str">
        <f t="shared" si="58"/>
        <v/>
      </c>
      <c r="Z227" s="451" t="str">
        <f t="shared" si="46"/>
        <v/>
      </c>
    </row>
    <row r="228" spans="1:26" x14ac:dyDescent="0.35">
      <c r="A228" s="438">
        <v>45810</v>
      </c>
      <c r="B228" s="446">
        <v>15</v>
      </c>
      <c r="C228" s="439" t="s">
        <v>605</v>
      </c>
      <c r="D228" s="439" t="s">
        <v>606</v>
      </c>
      <c r="E228" s="439" t="s">
        <v>660</v>
      </c>
      <c r="F228" s="439" t="s">
        <v>570</v>
      </c>
      <c r="G228" s="440" t="b">
        <f>IF(A228="","",IF(Daten!$AE$4=0,TRUE,MONTH(A228)=Daten!$AE$4))</f>
        <v>1</v>
      </c>
      <c r="H228" s="454" t="s">
        <v>415</v>
      </c>
      <c r="I228" s="440" t="s">
        <v>74</v>
      </c>
      <c r="J228" s="440"/>
      <c r="K228" s="439" t="s">
        <v>637</v>
      </c>
      <c r="L228" s="452"/>
      <c r="M228" s="448" t="str">
        <f>IF(OR(A228="", B228=""), "", IF(H228="Mitgliedsbeiträge", ABS(B228), ""))</f>
        <v/>
      </c>
      <c r="N228" s="448" t="str">
        <f t="shared" si="50"/>
        <v/>
      </c>
      <c r="O228" s="448" t="str">
        <f t="shared" si="51"/>
        <v/>
      </c>
      <c r="P228" s="448" t="str">
        <f t="shared" si="52"/>
        <v/>
      </c>
      <c r="Q228" s="448" t="str">
        <f t="shared" si="53"/>
        <v/>
      </c>
      <c r="R228" s="448" t="str">
        <f t="shared" si="54"/>
        <v/>
      </c>
      <c r="S228" s="448">
        <v>15</v>
      </c>
      <c r="T228" s="448" t="str">
        <f t="shared" si="49"/>
        <v/>
      </c>
      <c r="U228" s="448" t="str">
        <f t="shared" si="55"/>
        <v/>
      </c>
      <c r="V228" s="448" t="str">
        <f t="shared" si="48"/>
        <v/>
      </c>
      <c r="W228" s="448" t="str">
        <f t="shared" si="56"/>
        <v/>
      </c>
      <c r="X228" s="448" t="str">
        <f t="shared" si="57"/>
        <v/>
      </c>
      <c r="Y228" s="448" t="str">
        <f t="shared" si="58"/>
        <v/>
      </c>
      <c r="Z228" s="449" t="str">
        <f t="shared" si="46"/>
        <v/>
      </c>
    </row>
    <row r="229" spans="1:26" ht="58" x14ac:dyDescent="0.35">
      <c r="A229" s="441">
        <v>45810</v>
      </c>
      <c r="B229" s="447">
        <v>60</v>
      </c>
      <c r="C229" s="442" t="s">
        <v>605</v>
      </c>
      <c r="D229" s="442" t="s">
        <v>606</v>
      </c>
      <c r="E229" s="442" t="s">
        <v>689</v>
      </c>
      <c r="F229" s="442" t="s">
        <v>570</v>
      </c>
      <c r="G229" s="443" t="b">
        <f>IF(A229="","",IF(Daten!$AE$4=0,TRUE,MONTH(A229)=Daten!$AE$4))</f>
        <v>1</v>
      </c>
      <c r="H229" s="455" t="s">
        <v>425</v>
      </c>
      <c r="I229" s="443" t="s">
        <v>74</v>
      </c>
      <c r="J229" s="443"/>
      <c r="K229" s="442" t="s">
        <v>637</v>
      </c>
      <c r="L229" s="453" t="s">
        <v>786</v>
      </c>
      <c r="M229" s="450" t="str">
        <f>IF(OR(A229="", B229=""), "", IF(H229="Mitgliedsbeiträge", ABS(B229), ""))</f>
        <v/>
      </c>
      <c r="N229" s="450" t="str">
        <f t="shared" si="50"/>
        <v/>
      </c>
      <c r="O229" s="450" t="str">
        <f t="shared" si="51"/>
        <v/>
      </c>
      <c r="P229" s="450" t="str">
        <f t="shared" si="52"/>
        <v/>
      </c>
      <c r="Q229" s="450" t="str">
        <f t="shared" si="53"/>
        <v/>
      </c>
      <c r="R229" s="450" t="str">
        <f t="shared" si="54"/>
        <v/>
      </c>
      <c r="S229" s="450">
        <v>60</v>
      </c>
      <c r="T229" s="450" t="str">
        <f t="shared" si="49"/>
        <v/>
      </c>
      <c r="U229" s="450" t="str">
        <f t="shared" si="55"/>
        <v/>
      </c>
      <c r="V229" s="450" t="str">
        <f t="shared" si="48"/>
        <v/>
      </c>
      <c r="W229" s="450" t="str">
        <f t="shared" si="56"/>
        <v/>
      </c>
      <c r="X229" s="450" t="str">
        <f t="shared" si="57"/>
        <v/>
      </c>
      <c r="Y229" s="450" t="str">
        <f t="shared" si="58"/>
        <v/>
      </c>
      <c r="Z229" s="451" t="str">
        <f t="shared" si="46"/>
        <v/>
      </c>
    </row>
    <row r="230" spans="1:26" x14ac:dyDescent="0.35">
      <c r="A230" s="438">
        <v>45810</v>
      </c>
      <c r="B230" s="446">
        <v>15</v>
      </c>
      <c r="C230" s="439" t="s">
        <v>605</v>
      </c>
      <c r="D230" s="439" t="s">
        <v>606</v>
      </c>
      <c r="E230" s="439" t="s">
        <v>662</v>
      </c>
      <c r="F230" s="439" t="s">
        <v>570</v>
      </c>
      <c r="G230" s="440" t="b">
        <f>IF(A230="","",IF(Daten!$AE$4=0,TRUE,MONTH(A230)=Daten!$AE$4))</f>
        <v>1</v>
      </c>
      <c r="H230" s="454" t="s">
        <v>306</v>
      </c>
      <c r="I230" s="440" t="s">
        <v>74</v>
      </c>
      <c r="J230" s="440"/>
      <c r="K230" s="439" t="s">
        <v>637</v>
      </c>
      <c r="L230" s="452"/>
      <c r="M230" s="448">
        <v>15</v>
      </c>
      <c r="N230" s="448" t="str">
        <f t="shared" si="50"/>
        <v/>
      </c>
      <c r="O230" s="448" t="str">
        <f t="shared" si="51"/>
        <v/>
      </c>
      <c r="P230" s="448" t="str">
        <f t="shared" si="52"/>
        <v/>
      </c>
      <c r="Q230" s="448" t="str">
        <f t="shared" si="53"/>
        <v/>
      </c>
      <c r="R230" s="448" t="str">
        <f t="shared" si="54"/>
        <v/>
      </c>
      <c r="S230" s="448" t="str">
        <f>IF(OR(A230="", B230=""), "", IF(H230="Sonstige Einnahmen", ABS(B230), ""))</f>
        <v/>
      </c>
      <c r="T230" s="448" t="str">
        <f t="shared" si="49"/>
        <v/>
      </c>
      <c r="U230" s="448" t="str">
        <f t="shared" si="55"/>
        <v/>
      </c>
      <c r="V230" s="448" t="str">
        <f t="shared" si="48"/>
        <v/>
      </c>
      <c r="W230" s="448" t="str">
        <f t="shared" si="56"/>
        <v/>
      </c>
      <c r="X230" s="448" t="str">
        <f t="shared" si="57"/>
        <v/>
      </c>
      <c r="Y230" s="448" t="str">
        <f t="shared" si="58"/>
        <v/>
      </c>
      <c r="Z230" s="449" t="str">
        <f t="shared" si="46"/>
        <v/>
      </c>
    </row>
    <row r="231" spans="1:26" x14ac:dyDescent="0.35">
      <c r="A231" s="441">
        <v>45810</v>
      </c>
      <c r="B231" s="447">
        <v>15</v>
      </c>
      <c r="C231" s="442" t="s">
        <v>607</v>
      </c>
      <c r="D231" s="442" t="s">
        <v>608</v>
      </c>
      <c r="E231" s="442" t="s">
        <v>661</v>
      </c>
      <c r="F231" s="442" t="s">
        <v>570</v>
      </c>
      <c r="G231" s="443" t="b">
        <f>IF(A231="","",IF(Daten!$AE$4=0,TRUE,MONTH(A231)=Daten!$AE$4))</f>
        <v>1</v>
      </c>
      <c r="H231" s="454" t="s">
        <v>306</v>
      </c>
      <c r="I231" s="443" t="s">
        <v>74</v>
      </c>
      <c r="J231" s="443"/>
      <c r="K231" s="442" t="s">
        <v>637</v>
      </c>
      <c r="L231" s="453"/>
      <c r="M231" s="450">
        <v>15</v>
      </c>
      <c r="N231" s="450" t="str">
        <f t="shared" si="50"/>
        <v/>
      </c>
      <c r="O231" s="450" t="str">
        <f t="shared" si="51"/>
        <v/>
      </c>
      <c r="P231" s="450" t="str">
        <f t="shared" si="52"/>
        <v/>
      </c>
      <c r="Q231" s="450" t="str">
        <f t="shared" si="53"/>
        <v/>
      </c>
      <c r="R231" s="450" t="str">
        <f t="shared" si="54"/>
        <v/>
      </c>
      <c r="S231" s="450" t="str">
        <f>IF(OR(A231="", B231=""), "", IF(H231="Sonstige Einnahmen", ABS(B231), ""))</f>
        <v/>
      </c>
      <c r="T231" s="450" t="str">
        <f t="shared" si="49"/>
        <v/>
      </c>
      <c r="U231" s="450" t="str">
        <f t="shared" si="55"/>
        <v/>
      </c>
      <c r="V231" s="450" t="str">
        <f t="shared" si="48"/>
        <v/>
      </c>
      <c r="W231" s="450" t="str">
        <f t="shared" si="56"/>
        <v/>
      </c>
      <c r="X231" s="450" t="str">
        <f t="shared" si="57"/>
        <v/>
      </c>
      <c r="Y231" s="450" t="str">
        <f t="shared" si="58"/>
        <v/>
      </c>
      <c r="Z231" s="451" t="str">
        <f t="shared" si="46"/>
        <v/>
      </c>
    </row>
    <row r="232" spans="1:26" x14ac:dyDescent="0.35">
      <c r="A232" s="438">
        <v>45810</v>
      </c>
      <c r="B232" s="446">
        <v>-4.8</v>
      </c>
      <c r="C232" s="439"/>
      <c r="D232" s="439">
        <v>0</v>
      </c>
      <c r="E232" s="439" t="s">
        <v>663</v>
      </c>
      <c r="F232" s="439" t="s">
        <v>381</v>
      </c>
      <c r="G232" s="440" t="b">
        <f>IF(A232="","",IF(Daten!$AE$4=0,TRUE,MONTH(A232)=Daten!$AE$4))</f>
        <v>1</v>
      </c>
      <c r="H232" s="456" t="s">
        <v>782</v>
      </c>
      <c r="I232" s="440" t="s">
        <v>74</v>
      </c>
      <c r="J232" s="440"/>
      <c r="K232" s="439" t="s">
        <v>637</v>
      </c>
      <c r="L232" s="452" t="s">
        <v>783</v>
      </c>
      <c r="M232" s="448" t="str">
        <f>IF(OR(A232="", B232=""), "", IF(H232="Mitgliedsbeiträge", ABS(B232), ""))</f>
        <v/>
      </c>
      <c r="N232" s="448" t="str">
        <f t="shared" si="50"/>
        <v/>
      </c>
      <c r="O232" s="448" t="str">
        <f t="shared" si="51"/>
        <v/>
      </c>
      <c r="P232" s="448" t="str">
        <f t="shared" si="52"/>
        <v/>
      </c>
      <c r="Q232" s="448" t="str">
        <f t="shared" si="53"/>
        <v/>
      </c>
      <c r="R232" s="448" t="str">
        <f t="shared" si="54"/>
        <v/>
      </c>
      <c r="S232" s="448" t="str">
        <f>IF(OR(A232="", B232=""), "", IF(H232="Sonstige Einnahmen", ABS(B232), ""))</f>
        <v/>
      </c>
      <c r="T232" s="448" t="str">
        <f t="shared" si="49"/>
        <v/>
      </c>
      <c r="U232" s="448" t="str">
        <f t="shared" si="55"/>
        <v/>
      </c>
      <c r="V232" s="448" t="str">
        <f t="shared" si="48"/>
        <v/>
      </c>
      <c r="W232" s="448" t="str">
        <f t="shared" si="56"/>
        <v/>
      </c>
      <c r="X232" s="448" t="str">
        <f t="shared" si="57"/>
        <v/>
      </c>
      <c r="Y232" s="448" t="str">
        <f t="shared" si="58"/>
        <v/>
      </c>
      <c r="Z232" s="449" t="str">
        <f t="shared" si="46"/>
        <v/>
      </c>
    </row>
    <row r="233" spans="1:26" x14ac:dyDescent="0.35">
      <c r="A233" s="441">
        <v>45811</v>
      </c>
      <c r="B233" s="447">
        <v>7.5</v>
      </c>
      <c r="C233" s="442" t="s">
        <v>51</v>
      </c>
      <c r="D233" s="442" t="s">
        <v>589</v>
      </c>
      <c r="E233" s="442" t="s">
        <v>646</v>
      </c>
      <c r="F233" s="442" t="s">
        <v>570</v>
      </c>
      <c r="G233" s="443" t="b">
        <f>IF(A233="","",IF(Daten!$AE$4=0,TRUE,MONTH(A233)=Daten!$AE$4))</f>
        <v>1</v>
      </c>
      <c r="H233" s="454" t="s">
        <v>306</v>
      </c>
      <c r="I233" s="443" t="s">
        <v>74</v>
      </c>
      <c r="J233" s="443"/>
      <c r="K233" s="442" t="s">
        <v>637</v>
      </c>
      <c r="L233" s="453"/>
      <c r="M233" s="450">
        <v>7.5</v>
      </c>
      <c r="N233" s="450" t="str">
        <f t="shared" si="50"/>
        <v/>
      </c>
      <c r="O233" s="450" t="str">
        <f t="shared" si="51"/>
        <v/>
      </c>
      <c r="P233" s="450" t="str">
        <f t="shared" si="52"/>
        <v/>
      </c>
      <c r="Q233" s="450" t="str">
        <f t="shared" si="53"/>
        <v/>
      </c>
      <c r="R233" s="450" t="str">
        <f t="shared" si="54"/>
        <v/>
      </c>
      <c r="S233" s="450" t="str">
        <f>IF(OR(A233="", B233=""), "", IF(H233="Sonstige Einnahmen", ABS(B233), ""))</f>
        <v/>
      </c>
      <c r="T233" s="450" t="str">
        <f t="shared" si="49"/>
        <v/>
      </c>
      <c r="U233" s="450" t="str">
        <f t="shared" si="55"/>
        <v/>
      </c>
      <c r="V233" s="450" t="str">
        <f t="shared" si="48"/>
        <v/>
      </c>
      <c r="W233" s="450" t="str">
        <f t="shared" si="56"/>
        <v/>
      </c>
      <c r="X233" s="450" t="str">
        <f t="shared" si="57"/>
        <v/>
      </c>
      <c r="Y233" s="450" t="str">
        <f t="shared" si="58"/>
        <v/>
      </c>
      <c r="Z233" s="451" t="str">
        <f t="shared" si="46"/>
        <v/>
      </c>
    </row>
    <row r="234" spans="1:26" ht="58" x14ac:dyDescent="0.35">
      <c r="A234" s="438">
        <v>45811</v>
      </c>
      <c r="B234" s="446">
        <v>60</v>
      </c>
      <c r="C234" s="439" t="s">
        <v>582</v>
      </c>
      <c r="D234" s="439" t="s">
        <v>583</v>
      </c>
      <c r="E234" s="439" t="s">
        <v>648</v>
      </c>
      <c r="F234" s="439" t="s">
        <v>570</v>
      </c>
      <c r="G234" s="440" t="b">
        <f>IF(A234="","",IF(Daten!$AE$4=0,TRUE,MONTH(A234)=Daten!$AE$4))</f>
        <v>1</v>
      </c>
      <c r="H234" s="455" t="s">
        <v>425</v>
      </c>
      <c r="I234" s="440" t="s">
        <v>74</v>
      </c>
      <c r="J234" s="440"/>
      <c r="K234" s="439" t="s">
        <v>637</v>
      </c>
      <c r="L234" s="452" t="s">
        <v>786</v>
      </c>
      <c r="M234" s="448" t="str">
        <f>IF(OR(A234="", B234=""), "", IF(H234="Mitgliedsbeiträge", ABS(B234), ""))</f>
        <v/>
      </c>
      <c r="N234" s="448" t="str">
        <f t="shared" si="50"/>
        <v/>
      </c>
      <c r="O234" s="448" t="str">
        <f t="shared" si="51"/>
        <v/>
      </c>
      <c r="P234" s="448" t="str">
        <f t="shared" si="52"/>
        <v/>
      </c>
      <c r="Q234" s="448" t="str">
        <f t="shared" si="53"/>
        <v/>
      </c>
      <c r="R234" s="448" t="str">
        <f t="shared" si="54"/>
        <v/>
      </c>
      <c r="S234" s="448">
        <v>60</v>
      </c>
      <c r="T234" s="448" t="str">
        <f t="shared" si="49"/>
        <v/>
      </c>
      <c r="U234" s="448" t="str">
        <f t="shared" si="55"/>
        <v/>
      </c>
      <c r="V234" s="448" t="str">
        <f t="shared" si="48"/>
        <v/>
      </c>
      <c r="W234" s="448" t="str">
        <f t="shared" si="56"/>
        <v/>
      </c>
      <c r="X234" s="448" t="str">
        <f t="shared" si="57"/>
        <v/>
      </c>
      <c r="Y234" s="448" t="str">
        <f t="shared" si="58"/>
        <v/>
      </c>
      <c r="Z234" s="449" t="str">
        <f t="shared" si="46"/>
        <v/>
      </c>
    </row>
    <row r="235" spans="1:26" x14ac:dyDescent="0.35">
      <c r="A235" s="441">
        <v>45811</v>
      </c>
      <c r="B235" s="447">
        <v>15</v>
      </c>
      <c r="C235" s="442" t="s">
        <v>592</v>
      </c>
      <c r="D235" s="442" t="s">
        <v>593</v>
      </c>
      <c r="E235" s="442" t="s">
        <v>649</v>
      </c>
      <c r="F235" s="442" t="s">
        <v>570</v>
      </c>
      <c r="G235" s="443" t="b">
        <f>IF(A235="","",IF(Daten!$AE$4=0,TRUE,MONTH(A235)=Daten!$AE$4))</f>
        <v>1</v>
      </c>
      <c r="H235" s="454" t="s">
        <v>415</v>
      </c>
      <c r="I235" s="443" t="s">
        <v>74</v>
      </c>
      <c r="J235" s="443"/>
      <c r="K235" s="442" t="s">
        <v>637</v>
      </c>
      <c r="L235" s="453"/>
      <c r="M235" s="450" t="str">
        <f>IF(OR(A235="", B235=""), "", IF(H235="Mitgliedsbeiträge", ABS(B235), ""))</f>
        <v/>
      </c>
      <c r="N235" s="450" t="str">
        <f t="shared" si="50"/>
        <v/>
      </c>
      <c r="O235" s="450" t="str">
        <f t="shared" si="51"/>
        <v/>
      </c>
      <c r="P235" s="450" t="str">
        <f t="shared" si="52"/>
        <v/>
      </c>
      <c r="Q235" s="450" t="str">
        <f t="shared" si="53"/>
        <v/>
      </c>
      <c r="R235" s="450" t="str">
        <f t="shared" si="54"/>
        <v/>
      </c>
      <c r="S235" s="450">
        <v>15</v>
      </c>
      <c r="T235" s="450" t="str">
        <f t="shared" si="49"/>
        <v/>
      </c>
      <c r="U235" s="450" t="str">
        <f t="shared" si="55"/>
        <v/>
      </c>
      <c r="V235" s="450" t="str">
        <f t="shared" si="48"/>
        <v/>
      </c>
      <c r="W235" s="450" t="str">
        <f t="shared" si="56"/>
        <v/>
      </c>
      <c r="X235" s="450" t="str">
        <f t="shared" si="57"/>
        <v/>
      </c>
      <c r="Y235" s="450" t="str">
        <f t="shared" si="58"/>
        <v/>
      </c>
      <c r="Z235" s="451" t="str">
        <f t="shared" si="46"/>
        <v/>
      </c>
    </row>
    <row r="236" spans="1:26" ht="58" x14ac:dyDescent="0.35">
      <c r="A236" s="438">
        <v>45811</v>
      </c>
      <c r="B236" s="446">
        <v>15</v>
      </c>
      <c r="C236" s="439" t="s">
        <v>582</v>
      </c>
      <c r="D236" s="439" t="s">
        <v>583</v>
      </c>
      <c r="E236" s="439" t="s">
        <v>650</v>
      </c>
      <c r="F236" s="439" t="s">
        <v>570</v>
      </c>
      <c r="G236" s="440" t="b">
        <f>IF(A236="","",IF(Daten!$AE$4=0,TRUE,MONTH(A236)=Daten!$AE$4))</f>
        <v>1</v>
      </c>
      <c r="H236" s="455" t="s">
        <v>415</v>
      </c>
      <c r="I236" s="440" t="s">
        <v>74</v>
      </c>
      <c r="J236" s="440"/>
      <c r="K236" s="439" t="s">
        <v>637</v>
      </c>
      <c r="L236" s="452" t="s">
        <v>781</v>
      </c>
      <c r="M236" s="448" t="str">
        <f>IF(OR(A236="", B236=""), "", IF(H236="Mitgliedsbeiträge", ABS(B236), ""))</f>
        <v/>
      </c>
      <c r="N236" s="448" t="str">
        <f t="shared" si="50"/>
        <v/>
      </c>
      <c r="O236" s="448" t="str">
        <f t="shared" si="51"/>
        <v/>
      </c>
      <c r="P236" s="448" t="str">
        <f t="shared" si="52"/>
        <v/>
      </c>
      <c r="Q236" s="448" t="str">
        <f t="shared" si="53"/>
        <v/>
      </c>
      <c r="R236" s="448" t="str">
        <f t="shared" si="54"/>
        <v/>
      </c>
      <c r="S236" s="448">
        <v>15</v>
      </c>
      <c r="T236" s="448" t="str">
        <f t="shared" si="49"/>
        <v/>
      </c>
      <c r="U236" s="448" t="str">
        <f t="shared" si="55"/>
        <v/>
      </c>
      <c r="V236" s="448" t="str">
        <f t="shared" si="48"/>
        <v/>
      </c>
      <c r="W236" s="448" t="str">
        <f t="shared" si="56"/>
        <v/>
      </c>
      <c r="X236" s="448" t="str">
        <f t="shared" si="57"/>
        <v/>
      </c>
      <c r="Y236" s="448" t="str">
        <f t="shared" si="58"/>
        <v/>
      </c>
      <c r="Z236" s="449" t="str">
        <f t="shared" si="46"/>
        <v/>
      </c>
    </row>
    <row r="237" spans="1:26" x14ac:dyDescent="0.35">
      <c r="A237" s="441">
        <v>45811</v>
      </c>
      <c r="B237" s="447">
        <v>7.5</v>
      </c>
      <c r="C237" s="442" t="s">
        <v>592</v>
      </c>
      <c r="D237" s="442" t="s">
        <v>593</v>
      </c>
      <c r="E237" s="442" t="s">
        <v>651</v>
      </c>
      <c r="F237" s="442" t="s">
        <v>570</v>
      </c>
      <c r="G237" s="443" t="b">
        <f>IF(A237="","",IF(Daten!$AE$4=0,TRUE,MONTH(A237)=Daten!$AE$4))</f>
        <v>1</v>
      </c>
      <c r="H237" s="454" t="s">
        <v>306</v>
      </c>
      <c r="I237" s="443" t="s">
        <v>74</v>
      </c>
      <c r="J237" s="443"/>
      <c r="K237" s="442" t="s">
        <v>637</v>
      </c>
      <c r="L237" s="453"/>
      <c r="M237" s="450">
        <v>7.5</v>
      </c>
      <c r="N237" s="450" t="str">
        <f t="shared" si="50"/>
        <v/>
      </c>
      <c r="O237" s="450" t="str">
        <f t="shared" si="51"/>
        <v/>
      </c>
      <c r="P237" s="450" t="str">
        <f t="shared" si="52"/>
        <v/>
      </c>
      <c r="Q237" s="450" t="str">
        <f t="shared" si="53"/>
        <v/>
      </c>
      <c r="R237" s="450" t="str">
        <f t="shared" si="54"/>
        <v/>
      </c>
      <c r="S237" s="450" t="str">
        <f>IF(OR(A237="", B237=""), "", IF(H237="Sonstige Einnahmen", ABS(B237), ""))</f>
        <v/>
      </c>
      <c r="T237" s="450" t="str">
        <f t="shared" si="49"/>
        <v/>
      </c>
      <c r="U237" s="450" t="str">
        <f t="shared" si="55"/>
        <v/>
      </c>
      <c r="V237" s="450" t="str">
        <f t="shared" si="48"/>
        <v/>
      </c>
      <c r="W237" s="450" t="str">
        <f t="shared" si="56"/>
        <v/>
      </c>
      <c r="X237" s="450" t="str">
        <f t="shared" si="57"/>
        <v/>
      </c>
      <c r="Y237" s="450" t="str">
        <f t="shared" si="58"/>
        <v/>
      </c>
      <c r="Z237" s="451" t="str">
        <f t="shared" si="46"/>
        <v/>
      </c>
    </row>
    <row r="238" spans="1:26" x14ac:dyDescent="0.35">
      <c r="A238" s="438">
        <v>45811</v>
      </c>
      <c r="B238" s="446">
        <v>15</v>
      </c>
      <c r="C238" s="439" t="s">
        <v>627</v>
      </c>
      <c r="D238" s="439" t="s">
        <v>591</v>
      </c>
      <c r="E238" s="439" t="s">
        <v>647</v>
      </c>
      <c r="F238" s="439" t="s">
        <v>570</v>
      </c>
      <c r="G238" s="440" t="b">
        <f>IF(A238="","",IF(Daten!$AE$4=0,TRUE,MONTH(A238)=Daten!$AE$4))</f>
        <v>1</v>
      </c>
      <c r="H238" s="454" t="s">
        <v>306</v>
      </c>
      <c r="I238" s="440" t="s">
        <v>74</v>
      </c>
      <c r="J238" s="440"/>
      <c r="K238" s="439" t="s">
        <v>637</v>
      </c>
      <c r="L238" s="452"/>
      <c r="M238" s="448">
        <v>15</v>
      </c>
      <c r="N238" s="448" t="str">
        <f t="shared" si="50"/>
        <v/>
      </c>
      <c r="O238" s="448" t="str">
        <f t="shared" si="51"/>
        <v/>
      </c>
      <c r="P238" s="448" t="str">
        <f t="shared" si="52"/>
        <v/>
      </c>
      <c r="Q238" s="448" t="str">
        <f t="shared" si="53"/>
        <v/>
      </c>
      <c r="R238" s="448" t="str">
        <f t="shared" si="54"/>
        <v/>
      </c>
      <c r="S238" s="448" t="str">
        <f>IF(OR(A238="", B238=""), "", IF(H238="Sonstige Einnahmen", ABS(B238), ""))</f>
        <v/>
      </c>
      <c r="T238" s="448" t="str">
        <f t="shared" si="49"/>
        <v/>
      </c>
      <c r="U238" s="448" t="str">
        <f t="shared" si="55"/>
        <v/>
      </c>
      <c r="V238" s="448" t="str">
        <f t="shared" si="48"/>
        <v/>
      </c>
      <c r="W238" s="448" t="str">
        <f t="shared" si="56"/>
        <v/>
      </c>
      <c r="X238" s="448" t="str">
        <f t="shared" si="57"/>
        <v/>
      </c>
      <c r="Y238" s="448" t="str">
        <f t="shared" si="58"/>
        <v/>
      </c>
      <c r="Z238" s="449" t="str">
        <f t="shared" si="46"/>
        <v/>
      </c>
    </row>
    <row r="239" spans="1:26" x14ac:dyDescent="0.35">
      <c r="A239" s="441">
        <v>45813</v>
      </c>
      <c r="B239" s="447">
        <v>15</v>
      </c>
      <c r="C239" s="442" t="s">
        <v>584</v>
      </c>
      <c r="D239" s="442" t="s">
        <v>585</v>
      </c>
      <c r="E239" s="442" t="s">
        <v>642</v>
      </c>
      <c r="F239" s="442" t="s">
        <v>570</v>
      </c>
      <c r="G239" s="443" t="b">
        <f>IF(A239="","",IF(Daten!$AE$4=0,TRUE,MONTH(A239)=Daten!$AE$4))</f>
        <v>1</v>
      </c>
      <c r="H239" s="454" t="s">
        <v>415</v>
      </c>
      <c r="I239" s="443" t="s">
        <v>74</v>
      </c>
      <c r="J239" s="443"/>
      <c r="K239" s="442" t="s">
        <v>637</v>
      </c>
      <c r="L239" s="453"/>
      <c r="M239" s="450" t="str">
        <f t="shared" ref="M239:M252" si="59">IF(OR(A239="", B239=""), "", IF(H239="Mitgliedsbeiträge", ABS(B239), ""))</f>
        <v/>
      </c>
      <c r="N239" s="450" t="str">
        <f t="shared" si="50"/>
        <v/>
      </c>
      <c r="O239" s="450" t="str">
        <f t="shared" si="51"/>
        <v/>
      </c>
      <c r="P239" s="450" t="str">
        <f t="shared" si="52"/>
        <v/>
      </c>
      <c r="Q239" s="450" t="str">
        <f t="shared" si="53"/>
        <v/>
      </c>
      <c r="R239" s="450" t="str">
        <f t="shared" si="54"/>
        <v/>
      </c>
      <c r="S239" s="450">
        <v>15</v>
      </c>
      <c r="T239" s="450" t="str">
        <f t="shared" si="49"/>
        <v/>
      </c>
      <c r="U239" s="450" t="str">
        <f t="shared" si="55"/>
        <v/>
      </c>
      <c r="V239" s="450" t="str">
        <f t="shared" si="48"/>
        <v/>
      </c>
      <c r="W239" s="450" t="str">
        <f t="shared" si="56"/>
        <v/>
      </c>
      <c r="X239" s="450" t="str">
        <f t="shared" si="57"/>
        <v/>
      </c>
      <c r="Y239" s="450" t="str">
        <f t="shared" si="58"/>
        <v/>
      </c>
      <c r="Z239" s="451" t="str">
        <f t="shared" si="46"/>
        <v/>
      </c>
    </row>
    <row r="240" spans="1:26" x14ac:dyDescent="0.35">
      <c r="A240" s="438">
        <v>45813</v>
      </c>
      <c r="B240" s="446">
        <v>1824.7</v>
      </c>
      <c r="C240" s="439" t="s">
        <v>630</v>
      </c>
      <c r="D240" s="439" t="s">
        <v>588</v>
      </c>
      <c r="E240" s="439" t="s">
        <v>714</v>
      </c>
      <c r="F240" s="439" t="s">
        <v>581</v>
      </c>
      <c r="G240" s="440" t="b">
        <f>IF(A240="","",IF(Daten!$AE$4=0,TRUE,MONTH(A240)=Daten!$AE$4))</f>
        <v>1</v>
      </c>
      <c r="H240" s="454" t="s">
        <v>463</v>
      </c>
      <c r="I240" s="440" t="s">
        <v>74</v>
      </c>
      <c r="J240" s="440"/>
      <c r="K240" s="439" t="s">
        <v>637</v>
      </c>
      <c r="L240" s="452"/>
      <c r="M240" s="448" t="str">
        <f t="shared" si="59"/>
        <v/>
      </c>
      <c r="N240" s="448" t="str">
        <f t="shared" si="50"/>
        <v/>
      </c>
      <c r="O240" s="448" t="str">
        <f t="shared" si="51"/>
        <v/>
      </c>
      <c r="P240" s="448" t="str">
        <f t="shared" si="52"/>
        <v/>
      </c>
      <c r="Q240" s="448" t="str">
        <f t="shared" si="53"/>
        <v/>
      </c>
      <c r="R240" s="448" t="str">
        <f t="shared" si="54"/>
        <v/>
      </c>
      <c r="S240" s="448">
        <v>1824.7</v>
      </c>
      <c r="T240" s="448" t="str">
        <f t="shared" si="49"/>
        <v/>
      </c>
      <c r="U240" s="448" t="str">
        <f t="shared" si="55"/>
        <v/>
      </c>
      <c r="V240" s="448" t="str">
        <f t="shared" si="48"/>
        <v/>
      </c>
      <c r="W240" s="448" t="str">
        <f t="shared" si="56"/>
        <v/>
      </c>
      <c r="X240" s="448" t="str">
        <f t="shared" si="57"/>
        <v/>
      </c>
      <c r="Y240" s="448" t="str">
        <f t="shared" si="58"/>
        <v/>
      </c>
      <c r="Z240" s="449" t="str">
        <f t="shared" si="46"/>
        <v/>
      </c>
    </row>
    <row r="241" spans="1:26" x14ac:dyDescent="0.35">
      <c r="A241" s="441">
        <v>45814</v>
      </c>
      <c r="B241" s="447">
        <v>60</v>
      </c>
      <c r="C241" s="442" t="s">
        <v>614</v>
      </c>
      <c r="D241" s="442" t="s">
        <v>591</v>
      </c>
      <c r="E241" s="442" t="s">
        <v>681</v>
      </c>
      <c r="F241" s="442" t="s">
        <v>581</v>
      </c>
      <c r="G241" s="443" t="b">
        <f>IF(A241="","",IF(Daten!$AE$4=0,TRUE,MONTH(A241)=Daten!$AE$4))</f>
        <v>1</v>
      </c>
      <c r="H241" s="454" t="s">
        <v>425</v>
      </c>
      <c r="I241" s="443" t="s">
        <v>74</v>
      </c>
      <c r="J241" s="443"/>
      <c r="K241" s="442" t="s">
        <v>637</v>
      </c>
      <c r="L241" s="453"/>
      <c r="M241" s="450" t="str">
        <f t="shared" si="59"/>
        <v/>
      </c>
      <c r="N241" s="450" t="str">
        <f t="shared" si="50"/>
        <v/>
      </c>
      <c r="O241" s="450" t="str">
        <f t="shared" si="51"/>
        <v/>
      </c>
      <c r="P241" s="450" t="str">
        <f t="shared" si="52"/>
        <v/>
      </c>
      <c r="Q241" s="450" t="str">
        <f t="shared" si="53"/>
        <v/>
      </c>
      <c r="R241" s="450" t="str">
        <f t="shared" si="54"/>
        <v/>
      </c>
      <c r="S241" s="450">
        <v>60</v>
      </c>
      <c r="T241" s="450" t="str">
        <f t="shared" si="49"/>
        <v/>
      </c>
      <c r="U241" s="450" t="str">
        <f t="shared" si="55"/>
        <v/>
      </c>
      <c r="V241" s="450" t="str">
        <f t="shared" si="48"/>
        <v/>
      </c>
      <c r="W241" s="450" t="str">
        <f t="shared" si="56"/>
        <v/>
      </c>
      <c r="X241" s="450" t="str">
        <f t="shared" si="57"/>
        <v/>
      </c>
      <c r="Y241" s="450" t="str">
        <f t="shared" si="58"/>
        <v/>
      </c>
      <c r="Z241" s="451" t="str">
        <f t="shared" si="46"/>
        <v/>
      </c>
    </row>
    <row r="242" spans="1:26" x14ac:dyDescent="0.35">
      <c r="A242" s="438">
        <v>45818</v>
      </c>
      <c r="B242" s="446">
        <v>150</v>
      </c>
      <c r="C242" s="439" t="s">
        <v>618</v>
      </c>
      <c r="D242" s="439" t="s">
        <v>594</v>
      </c>
      <c r="E242" s="439" t="s">
        <v>713</v>
      </c>
      <c r="F242" s="439" t="s">
        <v>581</v>
      </c>
      <c r="G242" s="440" t="b">
        <f>IF(A242="","",IF(Daten!$AE$4=0,TRUE,MONTH(A242)=Daten!$AE$4))</f>
        <v>1</v>
      </c>
      <c r="H242" s="454" t="s">
        <v>425</v>
      </c>
      <c r="I242" s="440" t="s">
        <v>74</v>
      </c>
      <c r="J242" s="440"/>
      <c r="K242" s="439" t="s">
        <v>637</v>
      </c>
      <c r="L242" s="452"/>
      <c r="M242" s="448" t="str">
        <f t="shared" si="59"/>
        <v/>
      </c>
      <c r="N242" s="448" t="str">
        <f t="shared" si="50"/>
        <v/>
      </c>
      <c r="O242" s="448" t="str">
        <f t="shared" si="51"/>
        <v/>
      </c>
      <c r="P242" s="448" t="str">
        <f t="shared" si="52"/>
        <v/>
      </c>
      <c r="Q242" s="448" t="str">
        <f t="shared" si="53"/>
        <v/>
      </c>
      <c r="R242" s="448" t="str">
        <f t="shared" si="54"/>
        <v/>
      </c>
      <c r="S242" s="448">
        <v>150</v>
      </c>
      <c r="T242" s="448" t="str">
        <f t="shared" si="49"/>
        <v/>
      </c>
      <c r="U242" s="448" t="str">
        <f t="shared" si="55"/>
        <v/>
      </c>
      <c r="V242" s="448" t="str">
        <f t="shared" si="48"/>
        <v/>
      </c>
      <c r="W242" s="448" t="str">
        <f t="shared" si="56"/>
        <v/>
      </c>
      <c r="X242" s="448" t="str">
        <f t="shared" si="57"/>
        <v/>
      </c>
      <c r="Y242" s="448" t="str">
        <f t="shared" si="58"/>
        <v/>
      </c>
      <c r="Z242" s="449" t="str">
        <f t="shared" ref="Z242:Z305" si="60">IF(OR(A242="", B242=""), "", IF(H242="Kasse-Auszahlung", ABS(B242), ""))</f>
        <v/>
      </c>
    </row>
    <row r="243" spans="1:26" x14ac:dyDescent="0.35">
      <c r="A243" s="441">
        <v>45819</v>
      </c>
      <c r="B243" s="447">
        <v>15</v>
      </c>
      <c r="C243" s="442" t="s">
        <v>600</v>
      </c>
      <c r="D243" s="442" t="s">
        <v>601</v>
      </c>
      <c r="E243" s="442" t="s">
        <v>385</v>
      </c>
      <c r="F243" s="442" t="s">
        <v>599</v>
      </c>
      <c r="G243" s="443" t="b">
        <f>IF(A243="","",IF(Daten!$AE$4=0,TRUE,MONTH(A243)=Daten!$AE$4))</f>
        <v>1</v>
      </c>
      <c r="H243" s="454" t="s">
        <v>415</v>
      </c>
      <c r="I243" s="443" t="s">
        <v>74</v>
      </c>
      <c r="J243" s="443"/>
      <c r="K243" s="442" t="s">
        <v>637</v>
      </c>
      <c r="L243" s="453"/>
      <c r="M243" s="450" t="str">
        <f t="shared" si="59"/>
        <v/>
      </c>
      <c r="N243" s="450" t="str">
        <f t="shared" si="50"/>
        <v/>
      </c>
      <c r="O243" s="450" t="str">
        <f t="shared" si="51"/>
        <v/>
      </c>
      <c r="P243" s="450" t="str">
        <f t="shared" si="52"/>
        <v/>
      </c>
      <c r="Q243" s="450" t="str">
        <f t="shared" si="53"/>
        <v/>
      </c>
      <c r="R243" s="450" t="str">
        <f t="shared" si="54"/>
        <v/>
      </c>
      <c r="S243" s="450">
        <v>15</v>
      </c>
      <c r="T243" s="450" t="str">
        <f t="shared" si="49"/>
        <v/>
      </c>
      <c r="U243" s="450" t="str">
        <f t="shared" si="55"/>
        <v/>
      </c>
      <c r="V243" s="450" t="str">
        <f t="shared" si="48"/>
        <v/>
      </c>
      <c r="W243" s="450" t="str">
        <f t="shared" si="56"/>
        <v/>
      </c>
      <c r="X243" s="450" t="str">
        <f t="shared" si="57"/>
        <v/>
      </c>
      <c r="Y243" s="450" t="str">
        <f t="shared" si="58"/>
        <v/>
      </c>
      <c r="Z243" s="451" t="str">
        <f t="shared" si="60"/>
        <v/>
      </c>
    </row>
    <row r="244" spans="1:26" x14ac:dyDescent="0.35">
      <c r="A244" s="438">
        <v>45819</v>
      </c>
      <c r="B244" s="446">
        <v>120</v>
      </c>
      <c r="C244" s="439" t="s">
        <v>592</v>
      </c>
      <c r="D244" s="439" t="s">
        <v>593</v>
      </c>
      <c r="E244" s="439" t="s">
        <v>712</v>
      </c>
      <c r="F244" s="439" t="s">
        <v>581</v>
      </c>
      <c r="G244" s="440" t="b">
        <f>IF(A244="","",IF(Daten!$AE$4=0,TRUE,MONTH(A244)=Daten!$AE$4))</f>
        <v>1</v>
      </c>
      <c r="H244" s="454" t="s">
        <v>425</v>
      </c>
      <c r="I244" s="440" t="s">
        <v>74</v>
      </c>
      <c r="J244" s="440"/>
      <c r="K244" s="439" t="s">
        <v>637</v>
      </c>
      <c r="L244" s="452"/>
      <c r="M244" s="448" t="str">
        <f t="shared" si="59"/>
        <v/>
      </c>
      <c r="N244" s="448" t="str">
        <f t="shared" si="50"/>
        <v/>
      </c>
      <c r="O244" s="448" t="str">
        <f t="shared" si="51"/>
        <v/>
      </c>
      <c r="P244" s="448" t="str">
        <f t="shared" si="52"/>
        <v/>
      </c>
      <c r="Q244" s="448" t="str">
        <f t="shared" si="53"/>
        <v/>
      </c>
      <c r="R244" s="448" t="str">
        <f t="shared" si="54"/>
        <v/>
      </c>
      <c r="S244" s="448">
        <v>120</v>
      </c>
      <c r="T244" s="448" t="str">
        <f t="shared" si="49"/>
        <v/>
      </c>
      <c r="U244" s="448" t="str">
        <f t="shared" si="55"/>
        <v/>
      </c>
      <c r="V244" s="448" t="str">
        <f t="shared" si="48"/>
        <v/>
      </c>
      <c r="W244" s="448" t="str">
        <f t="shared" si="56"/>
        <v/>
      </c>
      <c r="X244" s="448" t="str">
        <f t="shared" si="57"/>
        <v/>
      </c>
      <c r="Y244" s="448" t="str">
        <f t="shared" si="58"/>
        <v/>
      </c>
      <c r="Z244" s="449" t="str">
        <f t="shared" si="60"/>
        <v/>
      </c>
    </row>
    <row r="245" spans="1:26" x14ac:dyDescent="0.35">
      <c r="A245" s="441">
        <v>45824</v>
      </c>
      <c r="B245" s="447">
        <v>33</v>
      </c>
      <c r="C245" s="442" t="s">
        <v>584</v>
      </c>
      <c r="D245" s="442" t="s">
        <v>585</v>
      </c>
      <c r="E245" s="442" t="s">
        <v>710</v>
      </c>
      <c r="F245" s="442" t="s">
        <v>581</v>
      </c>
      <c r="G245" s="443" t="b">
        <f>IF(A245="","",IF(Daten!$AE$4=0,TRUE,MONTH(A245)=Daten!$AE$4))</f>
        <v>1</v>
      </c>
      <c r="H245" s="454" t="s">
        <v>425</v>
      </c>
      <c r="I245" s="443" t="s">
        <v>74</v>
      </c>
      <c r="J245" s="443"/>
      <c r="K245" s="442" t="s">
        <v>637</v>
      </c>
      <c r="L245" s="453"/>
      <c r="M245" s="450" t="str">
        <f t="shared" si="59"/>
        <v/>
      </c>
      <c r="N245" s="450" t="str">
        <f t="shared" si="50"/>
        <v/>
      </c>
      <c r="O245" s="450" t="str">
        <f t="shared" si="51"/>
        <v/>
      </c>
      <c r="P245" s="450" t="str">
        <f t="shared" si="52"/>
        <v/>
      </c>
      <c r="Q245" s="450" t="str">
        <f t="shared" si="53"/>
        <v/>
      </c>
      <c r="R245" s="450" t="str">
        <f t="shared" si="54"/>
        <v/>
      </c>
      <c r="S245" s="450">
        <v>33</v>
      </c>
      <c r="T245" s="450" t="str">
        <f t="shared" si="49"/>
        <v/>
      </c>
      <c r="U245" s="450" t="str">
        <f t="shared" si="55"/>
        <v/>
      </c>
      <c r="V245" s="450" t="str">
        <f t="shared" si="48"/>
        <v/>
      </c>
      <c r="W245" s="450" t="str">
        <f t="shared" si="56"/>
        <v/>
      </c>
      <c r="X245" s="450" t="str">
        <f t="shared" si="57"/>
        <v/>
      </c>
      <c r="Y245" s="450" t="str">
        <f t="shared" si="58"/>
        <v/>
      </c>
      <c r="Z245" s="451" t="str">
        <f t="shared" si="60"/>
        <v/>
      </c>
    </row>
    <row r="246" spans="1:26" x14ac:dyDescent="0.35">
      <c r="A246" s="438">
        <v>45824</v>
      </c>
      <c r="B246" s="446">
        <v>70</v>
      </c>
      <c r="C246" s="439" t="s">
        <v>571</v>
      </c>
      <c r="D246" s="439" t="s">
        <v>572</v>
      </c>
      <c r="E246" s="439" t="s">
        <v>711</v>
      </c>
      <c r="F246" s="439" t="s">
        <v>599</v>
      </c>
      <c r="G246" s="440" t="b">
        <f>IF(A246="","",IF(Daten!$AE$4=0,TRUE,MONTH(A246)=Daten!$AE$4))</f>
        <v>1</v>
      </c>
      <c r="H246" s="454" t="s">
        <v>425</v>
      </c>
      <c r="I246" s="440" t="s">
        <v>74</v>
      </c>
      <c r="J246" s="440"/>
      <c r="K246" s="439" t="s">
        <v>637</v>
      </c>
      <c r="L246" s="452"/>
      <c r="M246" s="448" t="str">
        <f t="shared" si="59"/>
        <v/>
      </c>
      <c r="N246" s="448" t="str">
        <f t="shared" si="50"/>
        <v/>
      </c>
      <c r="O246" s="448" t="str">
        <f t="shared" si="51"/>
        <v/>
      </c>
      <c r="P246" s="448" t="str">
        <f t="shared" si="52"/>
        <v/>
      </c>
      <c r="Q246" s="448" t="str">
        <f t="shared" si="53"/>
        <v/>
      </c>
      <c r="R246" s="448" t="str">
        <f t="shared" si="54"/>
        <v/>
      </c>
      <c r="S246" s="448">
        <v>70</v>
      </c>
      <c r="T246" s="448" t="str">
        <f t="shared" si="49"/>
        <v/>
      </c>
      <c r="U246" s="448" t="str">
        <f t="shared" si="55"/>
        <v/>
      </c>
      <c r="V246" s="448" t="str">
        <f t="shared" si="48"/>
        <v/>
      </c>
      <c r="W246" s="448" t="str">
        <f t="shared" si="56"/>
        <v/>
      </c>
      <c r="X246" s="448" t="str">
        <f t="shared" si="57"/>
        <v/>
      </c>
      <c r="Y246" s="448" t="str">
        <f t="shared" si="58"/>
        <v/>
      </c>
      <c r="Z246" s="449" t="str">
        <f t="shared" si="60"/>
        <v/>
      </c>
    </row>
    <row r="247" spans="1:26" x14ac:dyDescent="0.35">
      <c r="A247" s="441">
        <v>45825</v>
      </c>
      <c r="B247" s="447">
        <v>-59.94</v>
      </c>
      <c r="C247" s="442" t="s">
        <v>579</v>
      </c>
      <c r="D247" s="442" t="s">
        <v>580</v>
      </c>
      <c r="E247" s="442" t="s">
        <v>709</v>
      </c>
      <c r="F247" s="442" t="s">
        <v>576</v>
      </c>
      <c r="G247" s="443" t="b">
        <f>IF(A247="","",IF(Daten!$AE$4=0,TRUE,MONTH(A247)=Daten!$AE$4))</f>
        <v>1</v>
      </c>
      <c r="H247" s="454" t="s">
        <v>389</v>
      </c>
      <c r="I247" s="443" t="s">
        <v>74</v>
      </c>
      <c r="J247" s="443"/>
      <c r="K247" s="442" t="s">
        <v>637</v>
      </c>
      <c r="L247" s="453"/>
      <c r="M247" s="450" t="str">
        <f t="shared" si="59"/>
        <v/>
      </c>
      <c r="N247" s="450" t="str">
        <f t="shared" si="50"/>
        <v/>
      </c>
      <c r="O247" s="450" t="str">
        <f t="shared" si="51"/>
        <v/>
      </c>
      <c r="P247" s="450" t="str">
        <f t="shared" si="52"/>
        <v/>
      </c>
      <c r="Q247" s="450" t="str">
        <f t="shared" si="53"/>
        <v/>
      </c>
      <c r="R247" s="450" t="str">
        <f t="shared" si="54"/>
        <v/>
      </c>
      <c r="S247" s="450" t="str">
        <f>IF(OR(A247="", B247=""), "", IF(H247="Sonstige Einnahmen", ABS(B247), ""))</f>
        <v/>
      </c>
      <c r="T247" s="450">
        <v>-59.94</v>
      </c>
      <c r="U247" s="450" t="str">
        <f t="shared" si="55"/>
        <v/>
      </c>
      <c r="V247" s="450" t="str">
        <f t="shared" si="48"/>
        <v/>
      </c>
      <c r="W247" s="450" t="str">
        <f t="shared" si="56"/>
        <v/>
      </c>
      <c r="X247" s="450" t="str">
        <f t="shared" si="57"/>
        <v/>
      </c>
      <c r="Y247" s="450" t="str">
        <f t="shared" si="58"/>
        <v/>
      </c>
      <c r="Z247" s="451" t="str">
        <f t="shared" si="60"/>
        <v/>
      </c>
    </row>
    <row r="248" spans="1:26" x14ac:dyDescent="0.35">
      <c r="A248" s="438">
        <v>45825</v>
      </c>
      <c r="B248" s="446">
        <v>-138</v>
      </c>
      <c r="C248" s="439" t="s">
        <v>577</v>
      </c>
      <c r="D248" s="439" t="s">
        <v>578</v>
      </c>
      <c r="E248" s="439" t="s">
        <v>639</v>
      </c>
      <c r="F248" s="439" t="s">
        <v>576</v>
      </c>
      <c r="G248" s="440" t="b">
        <f>IF(A248="","",IF(Daten!$AE$4=0,TRUE,MONTH(A248)=Daten!$AE$4))</f>
        <v>1</v>
      </c>
      <c r="H248" s="454" t="s">
        <v>459</v>
      </c>
      <c r="I248" s="440" t="s">
        <v>74</v>
      </c>
      <c r="J248" s="440"/>
      <c r="K248" s="439" t="s">
        <v>637</v>
      </c>
      <c r="L248" s="452"/>
      <c r="M248" s="448" t="str">
        <f t="shared" si="59"/>
        <v/>
      </c>
      <c r="N248" s="448" t="str">
        <f t="shared" si="50"/>
        <v/>
      </c>
      <c r="O248" s="448" t="str">
        <f t="shared" si="51"/>
        <v/>
      </c>
      <c r="P248" s="448" t="str">
        <f t="shared" si="52"/>
        <v/>
      </c>
      <c r="Q248" s="448" t="str">
        <f t="shared" si="53"/>
        <v/>
      </c>
      <c r="R248" s="448" t="str">
        <f t="shared" si="54"/>
        <v/>
      </c>
      <c r="S248" s="448" t="str">
        <f>IF(OR(A248="", B248=""), "", IF(H248="Sonstige Einnahmen", ABS(B248), ""))</f>
        <v/>
      </c>
      <c r="T248" s="448">
        <v>-138</v>
      </c>
      <c r="U248" s="448" t="str">
        <f t="shared" si="55"/>
        <v/>
      </c>
      <c r="V248" s="448" t="str">
        <f t="shared" si="48"/>
        <v/>
      </c>
      <c r="W248" s="448" t="str">
        <f t="shared" si="56"/>
        <v/>
      </c>
      <c r="X248" s="448" t="str">
        <f t="shared" si="57"/>
        <v/>
      </c>
      <c r="Y248" s="448" t="str">
        <f t="shared" si="58"/>
        <v/>
      </c>
      <c r="Z248" s="449" t="str">
        <f t="shared" si="60"/>
        <v/>
      </c>
    </row>
    <row r="249" spans="1:26" x14ac:dyDescent="0.35">
      <c r="A249" s="441">
        <v>45826</v>
      </c>
      <c r="B249" s="447">
        <v>15</v>
      </c>
      <c r="C249" s="442" t="s">
        <v>571</v>
      </c>
      <c r="D249" s="442" t="s">
        <v>572</v>
      </c>
      <c r="E249" s="442" t="s">
        <v>636</v>
      </c>
      <c r="F249" s="442" t="s">
        <v>570</v>
      </c>
      <c r="G249" s="443" t="b">
        <f>IF(A249="","",IF(Daten!$AE$4=0,TRUE,MONTH(A249)=Daten!$AE$4))</f>
        <v>1</v>
      </c>
      <c r="H249" s="454" t="s">
        <v>415</v>
      </c>
      <c r="I249" s="443" t="s">
        <v>74</v>
      </c>
      <c r="J249" s="443"/>
      <c r="K249" s="442" t="s">
        <v>637</v>
      </c>
      <c r="L249" s="453"/>
      <c r="M249" s="450" t="str">
        <f t="shared" si="59"/>
        <v/>
      </c>
      <c r="N249" s="450" t="str">
        <f t="shared" si="50"/>
        <v/>
      </c>
      <c r="O249" s="450" t="str">
        <f t="shared" si="51"/>
        <v/>
      </c>
      <c r="P249" s="450" t="str">
        <f t="shared" si="52"/>
        <v/>
      </c>
      <c r="Q249" s="450" t="str">
        <f t="shared" si="53"/>
        <v/>
      </c>
      <c r="R249" s="450" t="str">
        <f t="shared" si="54"/>
        <v/>
      </c>
      <c r="S249" s="450">
        <v>15</v>
      </c>
      <c r="T249" s="450" t="str">
        <f t="shared" ref="T249:T263" si="61">IF(OR(A249="", B249=""), "", IF(H249="Unterhaltung", ABS(B249), ""))</f>
        <v/>
      </c>
      <c r="U249" s="450" t="str">
        <f t="shared" si="55"/>
        <v/>
      </c>
      <c r="V249" s="450" t="str">
        <f t="shared" si="48"/>
        <v/>
      </c>
      <c r="W249" s="450" t="str">
        <f t="shared" si="56"/>
        <v/>
      </c>
      <c r="X249" s="450" t="str">
        <f t="shared" si="57"/>
        <v/>
      </c>
      <c r="Y249" s="450" t="str">
        <f t="shared" si="58"/>
        <v/>
      </c>
      <c r="Z249" s="451" t="str">
        <f t="shared" si="60"/>
        <v/>
      </c>
    </row>
    <row r="250" spans="1:26" ht="58" x14ac:dyDescent="0.35">
      <c r="A250" s="438">
        <v>45831</v>
      </c>
      <c r="B250" s="446">
        <v>248.63</v>
      </c>
      <c r="C250" s="439" t="s">
        <v>51</v>
      </c>
      <c r="D250" s="439" t="s">
        <v>589</v>
      </c>
      <c r="E250" s="439" t="s">
        <v>708</v>
      </c>
      <c r="F250" s="439" t="s">
        <v>581</v>
      </c>
      <c r="G250" s="440" t="b">
        <f>IF(A250="","",IF(Daten!$AE$4=0,TRUE,MONTH(A250)=Daten!$AE$4))</f>
        <v>1</v>
      </c>
      <c r="H250" s="455" t="s">
        <v>419</v>
      </c>
      <c r="I250" s="440" t="s">
        <v>74</v>
      </c>
      <c r="J250" s="440"/>
      <c r="K250" s="439" t="s">
        <v>637</v>
      </c>
      <c r="L250" s="452" t="s">
        <v>790</v>
      </c>
      <c r="M250" s="448" t="str">
        <f t="shared" si="59"/>
        <v/>
      </c>
      <c r="N250" s="448" t="str">
        <f t="shared" si="50"/>
        <v/>
      </c>
      <c r="O250" s="448" t="str">
        <f t="shared" si="51"/>
        <v/>
      </c>
      <c r="P250" s="448" t="str">
        <f t="shared" si="52"/>
        <v/>
      </c>
      <c r="Q250" s="448" t="str">
        <f t="shared" si="53"/>
        <v/>
      </c>
      <c r="R250" s="448" t="str">
        <f t="shared" si="54"/>
        <v/>
      </c>
      <c r="S250" s="448">
        <v>248.63</v>
      </c>
      <c r="T250" s="448" t="str">
        <f t="shared" si="61"/>
        <v/>
      </c>
      <c r="U250" s="448" t="str">
        <f t="shared" si="55"/>
        <v/>
      </c>
      <c r="V250" s="448" t="str">
        <f t="shared" si="48"/>
        <v/>
      </c>
      <c r="W250" s="448" t="str">
        <f t="shared" si="56"/>
        <v/>
      </c>
      <c r="X250" s="448" t="str">
        <f t="shared" si="57"/>
        <v/>
      </c>
      <c r="Y250" s="448" t="str">
        <f t="shared" si="58"/>
        <v/>
      </c>
      <c r="Z250" s="449" t="str">
        <f t="shared" si="60"/>
        <v/>
      </c>
    </row>
    <row r="251" spans="1:26" x14ac:dyDescent="0.35">
      <c r="A251" s="441">
        <v>45833</v>
      </c>
      <c r="B251" s="447">
        <v>15</v>
      </c>
      <c r="C251" s="442" t="s">
        <v>603</v>
      </c>
      <c r="D251" s="442" t="s">
        <v>604</v>
      </c>
      <c r="E251" s="442" t="s">
        <v>666</v>
      </c>
      <c r="F251" s="442" t="s">
        <v>570</v>
      </c>
      <c r="G251" s="443" t="b">
        <f>IF(A251="","",IF(Daten!$AE$4=0,TRUE,MONTH(A251)=Daten!$AE$4))</f>
        <v>1</v>
      </c>
      <c r="H251" s="454" t="s">
        <v>415</v>
      </c>
      <c r="I251" s="443" t="s">
        <v>74</v>
      </c>
      <c r="J251" s="443"/>
      <c r="K251" s="442" t="s">
        <v>637</v>
      </c>
      <c r="L251" s="453"/>
      <c r="M251" s="450" t="str">
        <f t="shared" si="59"/>
        <v/>
      </c>
      <c r="N251" s="450" t="str">
        <f t="shared" si="50"/>
        <v/>
      </c>
      <c r="O251" s="450" t="str">
        <f t="shared" si="51"/>
        <v/>
      </c>
      <c r="P251" s="450" t="str">
        <f t="shared" si="52"/>
        <v/>
      </c>
      <c r="Q251" s="450" t="str">
        <f t="shared" si="53"/>
        <v/>
      </c>
      <c r="R251" s="450" t="str">
        <f t="shared" si="54"/>
        <v/>
      </c>
      <c r="S251" s="450">
        <v>15</v>
      </c>
      <c r="T251" s="450" t="str">
        <f t="shared" si="61"/>
        <v/>
      </c>
      <c r="U251" s="450" t="str">
        <f t="shared" si="55"/>
        <v/>
      </c>
      <c r="V251" s="450" t="str">
        <f t="shared" si="48"/>
        <v/>
      </c>
      <c r="W251" s="450" t="str">
        <f t="shared" si="56"/>
        <v/>
      </c>
      <c r="X251" s="450" t="str">
        <f t="shared" si="57"/>
        <v/>
      </c>
      <c r="Y251" s="450" t="str">
        <f t="shared" si="58"/>
        <v/>
      </c>
      <c r="Z251" s="451" t="str">
        <f t="shared" si="60"/>
        <v/>
      </c>
    </row>
    <row r="252" spans="1:26" x14ac:dyDescent="0.35">
      <c r="A252" s="438">
        <v>45834</v>
      </c>
      <c r="B252" s="446">
        <v>80</v>
      </c>
      <c r="C252" s="439" t="s">
        <v>617</v>
      </c>
      <c r="D252" s="439" t="s">
        <v>602</v>
      </c>
      <c r="E252" s="439" t="s">
        <v>707</v>
      </c>
      <c r="F252" s="439" t="s">
        <v>581</v>
      </c>
      <c r="G252" s="440" t="b">
        <f>IF(A252="","",IF(Daten!$AE$4=0,TRUE,MONTH(A252)=Daten!$AE$4))</f>
        <v>1</v>
      </c>
      <c r="H252" s="454" t="s">
        <v>425</v>
      </c>
      <c r="I252" s="440" t="s">
        <v>74</v>
      </c>
      <c r="J252" s="440"/>
      <c r="K252" s="439" t="s">
        <v>637</v>
      </c>
      <c r="L252" s="452"/>
      <c r="M252" s="448" t="str">
        <f t="shared" si="59"/>
        <v/>
      </c>
      <c r="N252" s="448" t="str">
        <f t="shared" si="50"/>
        <v/>
      </c>
      <c r="O252" s="448" t="str">
        <f t="shared" si="51"/>
        <v/>
      </c>
      <c r="P252" s="448" t="str">
        <f t="shared" si="52"/>
        <v/>
      </c>
      <c r="Q252" s="448" t="str">
        <f t="shared" si="53"/>
        <v/>
      </c>
      <c r="R252" s="448" t="str">
        <f t="shared" si="54"/>
        <v/>
      </c>
      <c r="S252" s="448">
        <v>80</v>
      </c>
      <c r="T252" s="448" t="str">
        <f t="shared" si="61"/>
        <v/>
      </c>
      <c r="U252" s="448" t="str">
        <f t="shared" si="55"/>
        <v/>
      </c>
      <c r="V252" s="448" t="str">
        <f t="shared" si="48"/>
        <v/>
      </c>
      <c r="W252" s="448" t="str">
        <f t="shared" si="56"/>
        <v/>
      </c>
      <c r="X252" s="448" t="str">
        <f t="shared" si="57"/>
        <v/>
      </c>
      <c r="Y252" s="448" t="str">
        <f t="shared" si="58"/>
        <v/>
      </c>
      <c r="Z252" s="449" t="str">
        <f t="shared" si="60"/>
        <v/>
      </c>
    </row>
    <row r="253" spans="1:26" x14ac:dyDescent="0.35">
      <c r="A253" s="441">
        <v>45834</v>
      </c>
      <c r="B253" s="447">
        <v>7.5</v>
      </c>
      <c r="C253" s="442" t="s">
        <v>609</v>
      </c>
      <c r="D253" s="442" t="s">
        <v>610</v>
      </c>
      <c r="E253" s="442" t="s">
        <v>665</v>
      </c>
      <c r="F253" s="442" t="s">
        <v>570</v>
      </c>
      <c r="G253" s="443" t="b">
        <f>IF(A253="","",IF(Daten!$AE$4=0,TRUE,MONTH(A253)=Daten!$AE$4))</f>
        <v>1</v>
      </c>
      <c r="H253" s="454" t="s">
        <v>306</v>
      </c>
      <c r="I253" s="443" t="s">
        <v>74</v>
      </c>
      <c r="J253" s="443"/>
      <c r="K253" s="442" t="s">
        <v>637</v>
      </c>
      <c r="L253" s="453"/>
      <c r="M253" s="450">
        <v>7.5</v>
      </c>
      <c r="N253" s="450" t="str">
        <f t="shared" si="50"/>
        <v/>
      </c>
      <c r="O253" s="450" t="str">
        <f t="shared" si="51"/>
        <v/>
      </c>
      <c r="P253" s="450" t="str">
        <f t="shared" si="52"/>
        <v/>
      </c>
      <c r="Q253" s="450" t="str">
        <f t="shared" si="53"/>
        <v/>
      </c>
      <c r="R253" s="450" t="str">
        <f t="shared" si="54"/>
        <v/>
      </c>
      <c r="S253" s="450" t="str">
        <f>IF(OR(A253="", B253=""), "", IF(H253="Sonstige Einnahmen", ABS(B253), ""))</f>
        <v/>
      </c>
      <c r="T253" s="450" t="str">
        <f t="shared" si="61"/>
        <v/>
      </c>
      <c r="U253" s="450" t="str">
        <f t="shared" si="55"/>
        <v/>
      </c>
      <c r="V253" s="450" t="str">
        <f t="shared" si="48"/>
        <v/>
      </c>
      <c r="W253" s="450" t="str">
        <f t="shared" si="56"/>
        <v/>
      </c>
      <c r="X253" s="450" t="str">
        <f t="shared" si="57"/>
        <v/>
      </c>
      <c r="Y253" s="450" t="str">
        <f t="shared" si="58"/>
        <v/>
      </c>
      <c r="Z253" s="451" t="str">
        <f t="shared" si="60"/>
        <v/>
      </c>
    </row>
    <row r="254" spans="1:26" x14ac:dyDescent="0.35">
      <c r="A254" s="438">
        <v>45835</v>
      </c>
      <c r="B254" s="446">
        <v>7.5</v>
      </c>
      <c r="C254" s="439" t="s">
        <v>603</v>
      </c>
      <c r="D254" s="439" t="s">
        <v>604</v>
      </c>
      <c r="E254" s="439" t="s">
        <v>664</v>
      </c>
      <c r="F254" s="439" t="s">
        <v>570</v>
      </c>
      <c r="G254" s="440" t="b">
        <f>IF(A254="","",IF(Daten!$AE$4=0,TRUE,MONTH(A254)=Daten!$AE$4))</f>
        <v>1</v>
      </c>
      <c r="H254" s="454" t="s">
        <v>306</v>
      </c>
      <c r="I254" s="440" t="s">
        <v>74</v>
      </c>
      <c r="J254" s="440"/>
      <c r="K254" s="439" t="s">
        <v>637</v>
      </c>
      <c r="L254" s="452"/>
      <c r="M254" s="448">
        <v>7.5</v>
      </c>
      <c r="N254" s="448" t="str">
        <f t="shared" si="50"/>
        <v/>
      </c>
      <c r="O254" s="448" t="str">
        <f t="shared" si="51"/>
        <v/>
      </c>
      <c r="P254" s="448" t="str">
        <f t="shared" si="52"/>
        <v/>
      </c>
      <c r="Q254" s="448" t="str">
        <f t="shared" si="53"/>
        <v/>
      </c>
      <c r="R254" s="448" t="str">
        <f t="shared" si="54"/>
        <v/>
      </c>
      <c r="S254" s="448" t="str">
        <f>IF(OR(A254="", B254=""), "", IF(H254="Sonstige Einnahmen", ABS(B254), ""))</f>
        <v/>
      </c>
      <c r="T254" s="448" t="str">
        <f t="shared" si="61"/>
        <v/>
      </c>
      <c r="U254" s="448" t="str">
        <f t="shared" si="55"/>
        <v/>
      </c>
      <c r="V254" s="448" t="str">
        <f t="shared" si="48"/>
        <v/>
      </c>
      <c r="W254" s="448" t="str">
        <f t="shared" si="56"/>
        <v/>
      </c>
      <c r="X254" s="448" t="str">
        <f t="shared" si="57"/>
        <v/>
      </c>
      <c r="Y254" s="448" t="str">
        <f t="shared" si="58"/>
        <v/>
      </c>
      <c r="Z254" s="449" t="str">
        <f t="shared" si="60"/>
        <v/>
      </c>
    </row>
    <row r="255" spans="1:26" x14ac:dyDescent="0.35">
      <c r="A255" s="441">
        <v>45835</v>
      </c>
      <c r="B255" s="447">
        <v>40</v>
      </c>
      <c r="C255" s="442" t="s">
        <v>597</v>
      </c>
      <c r="D255" s="442" t="s">
        <v>598</v>
      </c>
      <c r="E255" s="442" t="s">
        <v>677</v>
      </c>
      <c r="F255" s="442" t="s">
        <v>570</v>
      </c>
      <c r="G255" s="443" t="b">
        <f>IF(A255="","",IF(Daten!$AE$4=0,TRUE,MONTH(A255)=Daten!$AE$4))</f>
        <v>1</v>
      </c>
      <c r="H255" s="454" t="s">
        <v>425</v>
      </c>
      <c r="I255" s="443" t="s">
        <v>74</v>
      </c>
      <c r="J255" s="443"/>
      <c r="K255" s="442" t="s">
        <v>637</v>
      </c>
      <c r="L255" s="453"/>
      <c r="M255" s="450" t="str">
        <f>IF(OR(A255="", B255=""), "", IF(H255="Mitgliedsbeiträge", ABS(B255), ""))</f>
        <v/>
      </c>
      <c r="N255" s="450" t="str">
        <f t="shared" si="50"/>
        <v/>
      </c>
      <c r="O255" s="450" t="str">
        <f t="shared" si="51"/>
        <v/>
      </c>
      <c r="P255" s="450" t="str">
        <f t="shared" si="52"/>
        <v/>
      </c>
      <c r="Q255" s="450" t="str">
        <f t="shared" si="53"/>
        <v/>
      </c>
      <c r="R255" s="450" t="str">
        <f t="shared" si="54"/>
        <v/>
      </c>
      <c r="S255" s="450">
        <v>40</v>
      </c>
      <c r="T255" s="450" t="str">
        <f t="shared" si="61"/>
        <v/>
      </c>
      <c r="U255" s="450" t="str">
        <f t="shared" si="55"/>
        <v/>
      </c>
      <c r="V255" s="450" t="str">
        <f t="shared" si="48"/>
        <v/>
      </c>
      <c r="W255" s="450" t="str">
        <f t="shared" si="56"/>
        <v/>
      </c>
      <c r="X255" s="450" t="str">
        <f t="shared" si="57"/>
        <v/>
      </c>
      <c r="Y255" s="450" t="str">
        <f t="shared" si="58"/>
        <v/>
      </c>
      <c r="Z255" s="451" t="str">
        <f t="shared" si="60"/>
        <v/>
      </c>
    </row>
    <row r="256" spans="1:26" x14ac:dyDescent="0.35">
      <c r="A256" s="438">
        <v>45838</v>
      </c>
      <c r="B256" s="446">
        <v>15</v>
      </c>
      <c r="C256" s="439" t="s">
        <v>597</v>
      </c>
      <c r="D256" s="439" t="s">
        <v>598</v>
      </c>
      <c r="E256" s="439" t="s">
        <v>306</v>
      </c>
      <c r="F256" s="439" t="s">
        <v>570</v>
      </c>
      <c r="G256" s="440" t="b">
        <f>IF(A256="","",IF(Daten!$AE$4=0,TRUE,MONTH(A256)=Daten!$AE$4))</f>
        <v>1</v>
      </c>
      <c r="H256" s="454" t="s">
        <v>306</v>
      </c>
      <c r="I256" s="440" t="s">
        <v>74</v>
      </c>
      <c r="J256" s="440"/>
      <c r="K256" s="439" t="s">
        <v>637</v>
      </c>
      <c r="L256" s="452"/>
      <c r="M256" s="448">
        <v>15</v>
      </c>
      <c r="N256" s="448" t="str">
        <f t="shared" si="50"/>
        <v/>
      </c>
      <c r="O256" s="448" t="str">
        <f t="shared" si="51"/>
        <v/>
      </c>
      <c r="P256" s="448" t="str">
        <f t="shared" si="52"/>
        <v/>
      </c>
      <c r="Q256" s="448" t="str">
        <f t="shared" si="53"/>
        <v/>
      </c>
      <c r="R256" s="448" t="str">
        <f t="shared" si="54"/>
        <v/>
      </c>
      <c r="S256" s="448" t="str">
        <f>IF(OR(A256="", B256=""), "", IF(H256="Sonstige Einnahmen", ABS(B256), ""))</f>
        <v/>
      </c>
      <c r="T256" s="448" t="str">
        <f t="shared" si="61"/>
        <v/>
      </c>
      <c r="U256" s="448" t="str">
        <f t="shared" si="55"/>
        <v/>
      </c>
      <c r="V256" s="448" t="str">
        <f t="shared" si="48"/>
        <v/>
      </c>
      <c r="W256" s="448" t="str">
        <f t="shared" si="56"/>
        <v/>
      </c>
      <c r="X256" s="448" t="str">
        <f t="shared" si="57"/>
        <v/>
      </c>
      <c r="Y256" s="448" t="str">
        <f t="shared" si="58"/>
        <v/>
      </c>
      <c r="Z256" s="449" t="str">
        <f t="shared" si="60"/>
        <v/>
      </c>
    </row>
    <row r="257" spans="1:26" x14ac:dyDescent="0.35">
      <c r="A257" s="441">
        <v>45839</v>
      </c>
      <c r="B257" s="447">
        <v>15</v>
      </c>
      <c r="C257" s="442" t="s">
        <v>627</v>
      </c>
      <c r="D257" s="442" t="s">
        <v>591</v>
      </c>
      <c r="E257" s="442" t="s">
        <v>659</v>
      </c>
      <c r="F257" s="442" t="s">
        <v>570</v>
      </c>
      <c r="G257" s="443" t="b">
        <f>IF(A257="","",IF(Daten!$AE$4=0,TRUE,MONTH(A257)=Daten!$AE$4))</f>
        <v>1</v>
      </c>
      <c r="H257" s="454" t="s">
        <v>415</v>
      </c>
      <c r="I257" s="443" t="s">
        <v>73</v>
      </c>
      <c r="J257" s="443"/>
      <c r="K257" s="442" t="s">
        <v>637</v>
      </c>
      <c r="L257" s="453"/>
      <c r="M257" s="450" t="str">
        <f>IF(OR(A257="", B257=""), "", IF(H257="Mitgliedsbeiträge", ABS(B257), ""))</f>
        <v/>
      </c>
      <c r="N257" s="450" t="str">
        <f t="shared" si="50"/>
        <v/>
      </c>
      <c r="O257" s="450" t="str">
        <f t="shared" si="51"/>
        <v/>
      </c>
      <c r="P257" s="450" t="str">
        <f t="shared" si="52"/>
        <v/>
      </c>
      <c r="Q257" s="450" t="str">
        <f t="shared" si="53"/>
        <v/>
      </c>
      <c r="R257" s="450" t="str">
        <f t="shared" si="54"/>
        <v/>
      </c>
      <c r="S257" s="450">
        <v>15</v>
      </c>
      <c r="T257" s="450" t="str">
        <f t="shared" si="61"/>
        <v/>
      </c>
      <c r="U257" s="450" t="str">
        <f t="shared" si="55"/>
        <v/>
      </c>
      <c r="V257" s="450" t="str">
        <f t="shared" si="48"/>
        <v/>
      </c>
      <c r="W257" s="450" t="str">
        <f t="shared" si="56"/>
        <v/>
      </c>
      <c r="X257" s="450" t="str">
        <f t="shared" si="57"/>
        <v/>
      </c>
      <c r="Y257" s="450" t="str">
        <f t="shared" si="58"/>
        <v/>
      </c>
      <c r="Z257" s="451" t="str">
        <f t="shared" si="60"/>
        <v/>
      </c>
    </row>
    <row r="258" spans="1:26" x14ac:dyDescent="0.35">
      <c r="A258" s="438">
        <v>45839</v>
      </c>
      <c r="B258" s="446">
        <v>15</v>
      </c>
      <c r="C258" s="439" t="s">
        <v>595</v>
      </c>
      <c r="D258" s="439" t="s">
        <v>596</v>
      </c>
      <c r="E258" s="439" t="s">
        <v>656</v>
      </c>
      <c r="F258" s="439" t="s">
        <v>570</v>
      </c>
      <c r="G258" s="440" t="b">
        <f>IF(A258="","",IF(Daten!$AE$4=0,TRUE,MONTH(A258)=Daten!$AE$4))</f>
        <v>1</v>
      </c>
      <c r="H258" s="454" t="s">
        <v>306</v>
      </c>
      <c r="I258" s="440" t="s">
        <v>73</v>
      </c>
      <c r="J258" s="440"/>
      <c r="K258" s="439" t="s">
        <v>637</v>
      </c>
      <c r="L258" s="452"/>
      <c r="M258" s="448">
        <v>15</v>
      </c>
      <c r="N258" s="448" t="str">
        <f t="shared" si="50"/>
        <v/>
      </c>
      <c r="O258" s="448" t="str">
        <f t="shared" si="51"/>
        <v/>
      </c>
      <c r="P258" s="448" t="str">
        <f t="shared" si="52"/>
        <v/>
      </c>
      <c r="Q258" s="448" t="str">
        <f t="shared" si="53"/>
        <v/>
      </c>
      <c r="R258" s="448" t="str">
        <f t="shared" si="54"/>
        <v/>
      </c>
      <c r="S258" s="448" t="str">
        <f>IF(OR(A258="", B258=""), "", IF(H258="Sonstige Einnahmen", ABS(B258), ""))</f>
        <v/>
      </c>
      <c r="T258" s="448" t="str">
        <f t="shared" si="61"/>
        <v/>
      </c>
      <c r="U258" s="448" t="str">
        <f t="shared" si="55"/>
        <v/>
      </c>
      <c r="V258" s="448" t="str">
        <f t="shared" si="48"/>
        <v/>
      </c>
      <c r="W258" s="448" t="str">
        <f t="shared" si="56"/>
        <v/>
      </c>
      <c r="X258" s="448" t="str">
        <f t="shared" si="57"/>
        <v/>
      </c>
      <c r="Y258" s="448" t="str">
        <f t="shared" si="58"/>
        <v/>
      </c>
      <c r="Z258" s="449" t="str">
        <f t="shared" si="60"/>
        <v/>
      </c>
    </row>
    <row r="259" spans="1:26" ht="58" x14ac:dyDescent="0.35">
      <c r="A259" s="441">
        <v>45839</v>
      </c>
      <c r="B259" s="447">
        <v>15</v>
      </c>
      <c r="C259" s="442" t="s">
        <v>56</v>
      </c>
      <c r="D259" s="442" t="s">
        <v>602</v>
      </c>
      <c r="E259" s="442" t="s">
        <v>657</v>
      </c>
      <c r="F259" s="442" t="s">
        <v>570</v>
      </c>
      <c r="G259" s="443" t="b">
        <f>IF(A259="","",IF(Daten!$AE$4=0,TRUE,MONTH(A259)=Daten!$AE$4))</f>
        <v>1</v>
      </c>
      <c r="H259" s="455" t="s">
        <v>463</v>
      </c>
      <c r="I259" s="443" t="s">
        <v>73</v>
      </c>
      <c r="J259" s="443"/>
      <c r="K259" s="442" t="s">
        <v>637</v>
      </c>
      <c r="L259" s="453" t="s">
        <v>781</v>
      </c>
      <c r="M259" s="450" t="str">
        <f>IF(OR(A259="", B259=""), "", IF(H259="Mitgliedsbeiträge", ABS(B259), ""))</f>
        <v/>
      </c>
      <c r="N259" s="450" t="str">
        <f t="shared" si="50"/>
        <v/>
      </c>
      <c r="O259" s="450" t="str">
        <f t="shared" si="51"/>
        <v/>
      </c>
      <c r="P259" s="450" t="str">
        <f t="shared" si="52"/>
        <v/>
      </c>
      <c r="Q259" s="450" t="str">
        <f t="shared" si="53"/>
        <v/>
      </c>
      <c r="R259" s="450" t="str">
        <f t="shared" si="54"/>
        <v/>
      </c>
      <c r="S259" s="450">
        <v>15</v>
      </c>
      <c r="T259" s="450" t="str">
        <f t="shared" si="61"/>
        <v/>
      </c>
      <c r="U259" s="450" t="str">
        <f t="shared" si="55"/>
        <v/>
      </c>
      <c r="V259" s="450" t="str">
        <f t="shared" si="48"/>
        <v/>
      </c>
      <c r="W259" s="450" t="str">
        <f t="shared" si="56"/>
        <v/>
      </c>
      <c r="X259" s="450" t="str">
        <f t="shared" si="57"/>
        <v/>
      </c>
      <c r="Y259" s="450" t="str">
        <f t="shared" si="58"/>
        <v/>
      </c>
      <c r="Z259" s="451" t="str">
        <f t="shared" si="60"/>
        <v/>
      </c>
    </row>
    <row r="260" spans="1:26" x14ac:dyDescent="0.35">
      <c r="A260" s="438">
        <v>45839</v>
      </c>
      <c r="B260" s="446">
        <v>7.5</v>
      </c>
      <c r="C260" s="439" t="s">
        <v>56</v>
      </c>
      <c r="D260" s="439" t="s">
        <v>602</v>
      </c>
      <c r="E260" s="439" t="s">
        <v>386</v>
      </c>
      <c r="F260" s="439" t="s">
        <v>570</v>
      </c>
      <c r="G260" s="440" t="b">
        <f>IF(A260="","",IF(Daten!$AE$4=0,TRUE,MONTH(A260)=Daten!$AE$4))</f>
        <v>1</v>
      </c>
      <c r="H260" s="454" t="s">
        <v>306</v>
      </c>
      <c r="I260" s="440" t="s">
        <v>73</v>
      </c>
      <c r="J260" s="440"/>
      <c r="K260" s="439" t="s">
        <v>637</v>
      </c>
      <c r="L260" s="452"/>
      <c r="M260" s="448">
        <v>7.5</v>
      </c>
      <c r="N260" s="448" t="str">
        <f t="shared" si="50"/>
        <v/>
      </c>
      <c r="O260" s="448" t="str">
        <f t="shared" si="51"/>
        <v/>
      </c>
      <c r="P260" s="448" t="str">
        <f t="shared" si="52"/>
        <v/>
      </c>
      <c r="Q260" s="448" t="str">
        <f t="shared" si="53"/>
        <v/>
      </c>
      <c r="R260" s="448" t="str">
        <f t="shared" si="54"/>
        <v/>
      </c>
      <c r="S260" s="448" t="str">
        <f>IF(OR(A260="", B260=""), "", IF(H260="Sonstige Einnahmen", ABS(B260), ""))</f>
        <v/>
      </c>
      <c r="T260" s="448" t="str">
        <f t="shared" si="61"/>
        <v/>
      </c>
      <c r="U260" s="448" t="str">
        <f t="shared" si="55"/>
        <v/>
      </c>
      <c r="V260" s="448" t="str">
        <f t="shared" si="48"/>
        <v/>
      </c>
      <c r="W260" s="448" t="str">
        <f t="shared" si="56"/>
        <v/>
      </c>
      <c r="X260" s="448" t="str">
        <f t="shared" si="57"/>
        <v/>
      </c>
      <c r="Y260" s="448" t="str">
        <f t="shared" si="58"/>
        <v/>
      </c>
      <c r="Z260" s="449" t="str">
        <f t="shared" si="60"/>
        <v/>
      </c>
    </row>
    <row r="261" spans="1:26" x14ac:dyDescent="0.35">
      <c r="A261" s="441">
        <v>45839</v>
      </c>
      <c r="B261" s="447">
        <v>15</v>
      </c>
      <c r="C261" s="442" t="s">
        <v>607</v>
      </c>
      <c r="D261" s="442" t="s">
        <v>608</v>
      </c>
      <c r="E261" s="442" t="s">
        <v>661</v>
      </c>
      <c r="F261" s="442" t="s">
        <v>570</v>
      </c>
      <c r="G261" s="443" t="b">
        <f>IF(A261="","",IF(Daten!$AE$4=0,TRUE,MONTH(A261)=Daten!$AE$4))</f>
        <v>1</v>
      </c>
      <c r="H261" s="454" t="s">
        <v>306</v>
      </c>
      <c r="I261" s="443" t="s">
        <v>73</v>
      </c>
      <c r="J261" s="443"/>
      <c r="K261" s="442" t="s">
        <v>637</v>
      </c>
      <c r="L261" s="453"/>
      <c r="M261" s="450">
        <v>15</v>
      </c>
      <c r="N261" s="450" t="str">
        <f t="shared" si="50"/>
        <v/>
      </c>
      <c r="O261" s="450" t="str">
        <f t="shared" si="51"/>
        <v/>
      </c>
      <c r="P261" s="450" t="str">
        <f t="shared" si="52"/>
        <v/>
      </c>
      <c r="Q261" s="450" t="str">
        <f t="shared" si="53"/>
        <v/>
      </c>
      <c r="R261" s="450" t="str">
        <f t="shared" si="54"/>
        <v/>
      </c>
      <c r="S261" s="450" t="str">
        <f>IF(OR(A261="", B261=""), "", IF(H261="Sonstige Einnahmen", ABS(B261), ""))</f>
        <v/>
      </c>
      <c r="T261" s="450" t="str">
        <f t="shared" si="61"/>
        <v/>
      </c>
      <c r="U261" s="450" t="str">
        <f t="shared" si="55"/>
        <v/>
      </c>
      <c r="V261" s="450" t="str">
        <f t="shared" si="48"/>
        <v/>
      </c>
      <c r="W261" s="450" t="str">
        <f t="shared" si="56"/>
        <v/>
      </c>
      <c r="X261" s="450" t="str">
        <f t="shared" si="57"/>
        <v/>
      </c>
      <c r="Y261" s="450" t="str">
        <f t="shared" si="58"/>
        <v/>
      </c>
      <c r="Z261" s="451" t="str">
        <f t="shared" si="60"/>
        <v/>
      </c>
    </row>
    <row r="262" spans="1:26" x14ac:dyDescent="0.35">
      <c r="A262" s="438">
        <v>45839</v>
      </c>
      <c r="B262" s="446">
        <v>15</v>
      </c>
      <c r="C262" s="439" t="s">
        <v>605</v>
      </c>
      <c r="D262" s="439" t="s">
        <v>606</v>
      </c>
      <c r="E262" s="439" t="s">
        <v>662</v>
      </c>
      <c r="F262" s="439" t="s">
        <v>570</v>
      </c>
      <c r="G262" s="440" t="b">
        <f>IF(A262="","",IF(Daten!$AE$4=0,TRUE,MONTH(A262)=Daten!$AE$4))</f>
        <v>1</v>
      </c>
      <c r="H262" s="454" t="s">
        <v>306</v>
      </c>
      <c r="I262" s="440" t="s">
        <v>73</v>
      </c>
      <c r="J262" s="440"/>
      <c r="K262" s="439" t="s">
        <v>637</v>
      </c>
      <c r="L262" s="452"/>
      <c r="M262" s="448">
        <v>15</v>
      </c>
      <c r="N262" s="448" t="str">
        <f t="shared" si="50"/>
        <v/>
      </c>
      <c r="O262" s="448" t="str">
        <f t="shared" si="51"/>
        <v/>
      </c>
      <c r="P262" s="448" t="str">
        <f t="shared" si="52"/>
        <v/>
      </c>
      <c r="Q262" s="448" t="str">
        <f t="shared" si="53"/>
        <v/>
      </c>
      <c r="R262" s="448" t="str">
        <f t="shared" si="54"/>
        <v/>
      </c>
      <c r="S262" s="448" t="str">
        <f>IF(OR(A262="", B262=""), "", IF(H262="Sonstige Einnahmen", ABS(B262), ""))</f>
        <v/>
      </c>
      <c r="T262" s="448" t="str">
        <f t="shared" si="61"/>
        <v/>
      </c>
      <c r="U262" s="448" t="str">
        <f t="shared" si="55"/>
        <v/>
      </c>
      <c r="V262" s="448" t="str">
        <f t="shared" si="48"/>
        <v/>
      </c>
      <c r="W262" s="448" t="str">
        <f t="shared" si="56"/>
        <v/>
      </c>
      <c r="X262" s="448" t="str">
        <f t="shared" si="57"/>
        <v/>
      </c>
      <c r="Y262" s="448" t="str">
        <f t="shared" si="58"/>
        <v/>
      </c>
      <c r="Z262" s="449" t="str">
        <f t="shared" si="60"/>
        <v/>
      </c>
    </row>
    <row r="263" spans="1:26" x14ac:dyDescent="0.35">
      <c r="A263" s="441">
        <v>45839</v>
      </c>
      <c r="B263" s="447">
        <v>15</v>
      </c>
      <c r="C263" s="442" t="s">
        <v>605</v>
      </c>
      <c r="D263" s="442" t="s">
        <v>606</v>
      </c>
      <c r="E263" s="442" t="s">
        <v>660</v>
      </c>
      <c r="F263" s="442" t="s">
        <v>570</v>
      </c>
      <c r="G263" s="443" t="b">
        <f>IF(A263="","",IF(Daten!$AE$4=0,TRUE,MONTH(A263)=Daten!$AE$4))</f>
        <v>1</v>
      </c>
      <c r="H263" s="454" t="s">
        <v>415</v>
      </c>
      <c r="I263" s="443" t="s">
        <v>73</v>
      </c>
      <c r="J263" s="443"/>
      <c r="K263" s="442" t="s">
        <v>637</v>
      </c>
      <c r="L263" s="453"/>
      <c r="M263" s="450" t="str">
        <f>IF(OR(A263="", B263=""), "", IF(H263="Mitgliedsbeiträge", ABS(B263), ""))</f>
        <v/>
      </c>
      <c r="N263" s="450" t="str">
        <f t="shared" si="50"/>
        <v/>
      </c>
      <c r="O263" s="450" t="str">
        <f t="shared" si="51"/>
        <v/>
      </c>
      <c r="P263" s="450" t="str">
        <f t="shared" si="52"/>
        <v/>
      </c>
      <c r="Q263" s="450" t="str">
        <f t="shared" si="53"/>
        <v/>
      </c>
      <c r="R263" s="450" t="str">
        <f t="shared" si="54"/>
        <v/>
      </c>
      <c r="S263" s="450">
        <v>15</v>
      </c>
      <c r="T263" s="450" t="str">
        <f t="shared" si="61"/>
        <v/>
      </c>
      <c r="U263" s="450" t="str">
        <f t="shared" si="55"/>
        <v/>
      </c>
      <c r="V263" s="450" t="str">
        <f t="shared" si="48"/>
        <v/>
      </c>
      <c r="W263" s="450" t="str">
        <f t="shared" si="56"/>
        <v/>
      </c>
      <c r="X263" s="450" t="str">
        <f t="shared" si="57"/>
        <v/>
      </c>
      <c r="Y263" s="450" t="str">
        <f t="shared" si="58"/>
        <v/>
      </c>
      <c r="Z263" s="451" t="str">
        <f t="shared" si="60"/>
        <v/>
      </c>
    </row>
    <row r="264" spans="1:26" x14ac:dyDescent="0.35">
      <c r="A264" s="438">
        <v>45839</v>
      </c>
      <c r="B264" s="446">
        <v>-1241</v>
      </c>
      <c r="C264" s="439" t="s">
        <v>628</v>
      </c>
      <c r="D264" s="439" t="s">
        <v>629</v>
      </c>
      <c r="E264" s="439" t="s">
        <v>705</v>
      </c>
      <c r="F264" s="439" t="s">
        <v>576</v>
      </c>
      <c r="G264" s="440" t="b">
        <f>IF(A264="","",IF(Daten!$AE$4=0,TRUE,MONTH(A264)=Daten!$AE$4))</f>
        <v>1</v>
      </c>
      <c r="H264" s="454" t="s">
        <v>423</v>
      </c>
      <c r="I264" s="440" t="s">
        <v>73</v>
      </c>
      <c r="J264" s="440"/>
      <c r="K264" s="439" t="s">
        <v>637</v>
      </c>
      <c r="L264" s="452"/>
      <c r="M264" s="448" t="str">
        <f>IF(OR(A264="", B264=""), "", IF(H264="Mitgliedsbeiträge", ABS(B264), ""))</f>
        <v/>
      </c>
      <c r="N264" s="448" t="str">
        <f t="shared" si="50"/>
        <v/>
      </c>
      <c r="O264" s="448" t="str">
        <f t="shared" si="51"/>
        <v/>
      </c>
      <c r="P264" s="448" t="str">
        <f t="shared" si="52"/>
        <v/>
      </c>
      <c r="Q264" s="448" t="str">
        <f t="shared" si="53"/>
        <v/>
      </c>
      <c r="R264" s="448" t="str">
        <f t="shared" si="54"/>
        <v/>
      </c>
      <c r="S264" s="448" t="str">
        <f>IF(OR(A264="", B264=""), "", IF(H264="Sonstige Einnahmen", ABS(B264), ""))</f>
        <v/>
      </c>
      <c r="T264" s="448">
        <v>-1241</v>
      </c>
      <c r="U264" s="448" t="str">
        <f t="shared" si="55"/>
        <v/>
      </c>
      <c r="V264" s="448" t="str">
        <f t="shared" si="48"/>
        <v/>
      </c>
      <c r="W264" s="448" t="str">
        <f t="shared" si="56"/>
        <v/>
      </c>
      <c r="X264" s="448" t="str">
        <f t="shared" si="57"/>
        <v/>
      </c>
      <c r="Y264" s="448" t="str">
        <f t="shared" si="58"/>
        <v/>
      </c>
      <c r="Z264" s="449" t="str">
        <f t="shared" si="60"/>
        <v/>
      </c>
    </row>
    <row r="265" spans="1:26" ht="29" x14ac:dyDescent="0.35">
      <c r="A265" s="441">
        <v>45839</v>
      </c>
      <c r="B265" s="447">
        <v>0</v>
      </c>
      <c r="C265" s="442"/>
      <c r="D265" s="442">
        <v>3529000972</v>
      </c>
      <c r="E265" s="442" t="s">
        <v>706</v>
      </c>
      <c r="F265" s="442" t="s">
        <v>382</v>
      </c>
      <c r="G265" s="443" t="b">
        <f>IF(A265="","",IF(Daten!$AE$4=0,TRUE,MONTH(A265)=Daten!$AE$4))</f>
        <v>1</v>
      </c>
      <c r="H265" s="454" t="s">
        <v>782</v>
      </c>
      <c r="I265" s="443" t="s">
        <v>73</v>
      </c>
      <c r="J265" s="443"/>
      <c r="K265" s="442" t="s">
        <v>637</v>
      </c>
      <c r="L265" s="453" t="s">
        <v>788</v>
      </c>
      <c r="M265" s="450" t="str">
        <f>IF(OR(A265="", B265=""), "", IF(H265="Mitgliedsbeiträge", ABS(B265), ""))</f>
        <v/>
      </c>
      <c r="N265" s="450" t="str">
        <f t="shared" si="50"/>
        <v/>
      </c>
      <c r="O265" s="450" t="str">
        <f t="shared" si="51"/>
        <v/>
      </c>
      <c r="P265" s="450" t="str">
        <f t="shared" si="52"/>
        <v/>
      </c>
      <c r="Q265" s="450" t="str">
        <f t="shared" si="53"/>
        <v/>
      </c>
      <c r="R265" s="450" t="str">
        <f t="shared" si="54"/>
        <v/>
      </c>
      <c r="S265" s="450" t="str">
        <f>IF(OR(A265="", B265=""), "", IF(H265="Sonstige Einnahmen", ABS(B265), ""))</f>
        <v/>
      </c>
      <c r="T265" s="450" t="str">
        <f t="shared" ref="T265:T279" si="62">IF(OR(A265="", B265=""), "", IF(H265="Unterhaltung", ABS(B265), ""))</f>
        <v/>
      </c>
      <c r="U265" s="450" t="str">
        <f t="shared" si="55"/>
        <v/>
      </c>
      <c r="V265" s="450" t="str">
        <f t="shared" si="48"/>
        <v/>
      </c>
      <c r="W265" s="450" t="str">
        <f t="shared" si="56"/>
        <v/>
      </c>
      <c r="X265" s="450" t="str">
        <f t="shared" si="57"/>
        <v/>
      </c>
      <c r="Y265" s="450" t="str">
        <f t="shared" si="58"/>
        <v/>
      </c>
      <c r="Z265" s="451" t="str">
        <f t="shared" si="60"/>
        <v/>
      </c>
    </row>
    <row r="266" spans="1:26" x14ac:dyDescent="0.35">
      <c r="A266" s="438">
        <v>45839</v>
      </c>
      <c r="B266" s="446">
        <v>-5.5</v>
      </c>
      <c r="C266" s="439"/>
      <c r="D266" s="439">
        <v>0</v>
      </c>
      <c r="E266" s="439" t="s">
        <v>663</v>
      </c>
      <c r="F266" s="439" t="s">
        <v>381</v>
      </c>
      <c r="G266" s="440" t="b">
        <f>IF(A266="","",IF(Daten!$AE$4=0,TRUE,MONTH(A266)=Daten!$AE$4))</f>
        <v>1</v>
      </c>
      <c r="H266" s="456" t="s">
        <v>782</v>
      </c>
      <c r="I266" s="440" t="s">
        <v>73</v>
      </c>
      <c r="J266" s="440"/>
      <c r="K266" s="439" t="s">
        <v>637</v>
      </c>
      <c r="L266" s="452" t="s">
        <v>783</v>
      </c>
      <c r="M266" s="448" t="str">
        <f>IF(OR(A266="", B266=""), "", IF(H266="Mitgliedsbeiträge", ABS(B266), ""))</f>
        <v/>
      </c>
      <c r="N266" s="448" t="str">
        <f t="shared" si="50"/>
        <v/>
      </c>
      <c r="O266" s="448" t="str">
        <f t="shared" si="51"/>
        <v/>
      </c>
      <c r="P266" s="448" t="str">
        <f t="shared" si="52"/>
        <v/>
      </c>
      <c r="Q266" s="448" t="str">
        <f t="shared" si="53"/>
        <v/>
      </c>
      <c r="R266" s="448" t="str">
        <f t="shared" si="54"/>
        <v/>
      </c>
      <c r="S266" s="448" t="str">
        <f>IF(OR(A266="", B266=""), "", IF(H266="Sonstige Einnahmen", ABS(B266), ""))</f>
        <v/>
      </c>
      <c r="T266" s="448" t="str">
        <f t="shared" si="62"/>
        <v/>
      </c>
      <c r="U266" s="448" t="str">
        <f t="shared" si="55"/>
        <v/>
      </c>
      <c r="V266" s="448" t="str">
        <f t="shared" si="48"/>
        <v/>
      </c>
      <c r="W266" s="448" t="str">
        <f t="shared" si="56"/>
        <v/>
      </c>
      <c r="X266" s="448" t="str">
        <f t="shared" si="57"/>
        <v/>
      </c>
      <c r="Y266" s="448" t="str">
        <f t="shared" si="58"/>
        <v/>
      </c>
      <c r="Z266" s="449" t="str">
        <f t="shared" si="60"/>
        <v/>
      </c>
    </row>
    <row r="267" spans="1:26" x14ac:dyDescent="0.35">
      <c r="A267" s="441">
        <v>45840</v>
      </c>
      <c r="B267" s="447">
        <v>15</v>
      </c>
      <c r="C267" s="442" t="s">
        <v>51</v>
      </c>
      <c r="D267" s="442" t="s">
        <v>589</v>
      </c>
      <c r="E267" s="442" t="s">
        <v>384</v>
      </c>
      <c r="F267" s="442" t="s">
        <v>570</v>
      </c>
      <c r="G267" s="443" t="b">
        <f>IF(A267="","",IF(Daten!$AE$4=0,TRUE,MONTH(A267)=Daten!$AE$4))</f>
        <v>1</v>
      </c>
      <c r="H267" s="454" t="s">
        <v>415</v>
      </c>
      <c r="I267" s="443" t="s">
        <v>73</v>
      </c>
      <c r="J267" s="443"/>
      <c r="K267" s="442" t="s">
        <v>637</v>
      </c>
      <c r="L267" s="453"/>
      <c r="M267" s="450" t="str">
        <f>IF(OR(A267="", B267=""), "", IF(H267="Mitgliedsbeiträge", ABS(B267), ""))</f>
        <v/>
      </c>
      <c r="N267" s="450" t="str">
        <f t="shared" si="50"/>
        <v/>
      </c>
      <c r="O267" s="450" t="str">
        <f t="shared" si="51"/>
        <v/>
      </c>
      <c r="P267" s="450" t="str">
        <f t="shared" si="52"/>
        <v/>
      </c>
      <c r="Q267" s="450" t="str">
        <f t="shared" si="53"/>
        <v/>
      </c>
      <c r="R267" s="450" t="str">
        <f t="shared" si="54"/>
        <v/>
      </c>
      <c r="S267" s="450">
        <v>15</v>
      </c>
      <c r="T267" s="450" t="str">
        <f t="shared" si="62"/>
        <v/>
      </c>
      <c r="U267" s="450" t="str">
        <f t="shared" si="55"/>
        <v/>
      </c>
      <c r="V267" s="450" t="str">
        <f t="shared" si="48"/>
        <v/>
      </c>
      <c r="W267" s="450" t="str">
        <f t="shared" si="56"/>
        <v/>
      </c>
      <c r="X267" s="450" t="str">
        <f t="shared" si="57"/>
        <v/>
      </c>
      <c r="Y267" s="450" t="str">
        <f t="shared" si="58"/>
        <v/>
      </c>
      <c r="Z267" s="451" t="str">
        <f t="shared" si="60"/>
        <v/>
      </c>
    </row>
    <row r="268" spans="1:26" x14ac:dyDescent="0.35">
      <c r="A268" s="438">
        <v>45840</v>
      </c>
      <c r="B268" s="446">
        <v>7.5</v>
      </c>
      <c r="C268" s="439" t="s">
        <v>592</v>
      </c>
      <c r="D268" s="439" t="s">
        <v>593</v>
      </c>
      <c r="E268" s="439" t="s">
        <v>651</v>
      </c>
      <c r="F268" s="439" t="s">
        <v>570</v>
      </c>
      <c r="G268" s="440" t="b">
        <f>IF(A268="","",IF(Daten!$AE$4=0,TRUE,MONTH(A268)=Daten!$AE$4))</f>
        <v>1</v>
      </c>
      <c r="H268" s="454" t="s">
        <v>306</v>
      </c>
      <c r="I268" s="440" t="s">
        <v>73</v>
      </c>
      <c r="J268" s="440"/>
      <c r="K268" s="439" t="s">
        <v>637</v>
      </c>
      <c r="L268" s="452"/>
      <c r="M268" s="448">
        <v>7.5</v>
      </c>
      <c r="N268" s="448" t="str">
        <f t="shared" si="50"/>
        <v/>
      </c>
      <c r="O268" s="448" t="str">
        <f t="shared" si="51"/>
        <v/>
      </c>
      <c r="P268" s="448" t="str">
        <f t="shared" si="52"/>
        <v/>
      </c>
      <c r="Q268" s="448" t="str">
        <f t="shared" si="53"/>
        <v/>
      </c>
      <c r="R268" s="448" t="str">
        <f t="shared" si="54"/>
        <v/>
      </c>
      <c r="S268" s="448" t="str">
        <f>IF(OR(A268="", B268=""), "", IF(H268="Sonstige Einnahmen", ABS(B268), ""))</f>
        <v/>
      </c>
      <c r="T268" s="448" t="str">
        <f t="shared" si="62"/>
        <v/>
      </c>
      <c r="U268" s="448" t="str">
        <f t="shared" si="55"/>
        <v/>
      </c>
      <c r="V268" s="448" t="str">
        <f t="shared" si="48"/>
        <v/>
      </c>
      <c r="W268" s="448" t="str">
        <f t="shared" si="56"/>
        <v/>
      </c>
      <c r="X268" s="448" t="str">
        <f t="shared" si="57"/>
        <v/>
      </c>
      <c r="Y268" s="448" t="str">
        <f t="shared" si="58"/>
        <v/>
      </c>
      <c r="Z268" s="449" t="str">
        <f t="shared" si="60"/>
        <v/>
      </c>
    </row>
    <row r="269" spans="1:26" ht="58" x14ac:dyDescent="0.35">
      <c r="A269" s="441">
        <v>45840</v>
      </c>
      <c r="B269" s="447">
        <v>15</v>
      </c>
      <c r="C269" s="442" t="s">
        <v>582</v>
      </c>
      <c r="D269" s="442" t="s">
        <v>583</v>
      </c>
      <c r="E269" s="442" t="s">
        <v>650</v>
      </c>
      <c r="F269" s="442" t="s">
        <v>570</v>
      </c>
      <c r="G269" s="443" t="b">
        <f>IF(A269="","",IF(Daten!$AE$4=0,TRUE,MONTH(A269)=Daten!$AE$4))</f>
        <v>1</v>
      </c>
      <c r="H269" s="455" t="s">
        <v>415</v>
      </c>
      <c r="I269" s="443" t="s">
        <v>73</v>
      </c>
      <c r="J269" s="443"/>
      <c r="K269" s="442" t="s">
        <v>637</v>
      </c>
      <c r="L269" s="453" t="s">
        <v>781</v>
      </c>
      <c r="M269" s="450" t="str">
        <f>IF(OR(A269="", B269=""), "", IF(H269="Mitgliedsbeiträge", ABS(B269), ""))</f>
        <v/>
      </c>
      <c r="N269" s="450" t="str">
        <f t="shared" si="50"/>
        <v/>
      </c>
      <c r="O269" s="450" t="str">
        <f t="shared" si="51"/>
        <v/>
      </c>
      <c r="P269" s="450" t="str">
        <f t="shared" si="52"/>
        <v/>
      </c>
      <c r="Q269" s="450" t="str">
        <f t="shared" si="53"/>
        <v/>
      </c>
      <c r="R269" s="450" t="str">
        <f t="shared" si="54"/>
        <v/>
      </c>
      <c r="S269" s="450">
        <v>15</v>
      </c>
      <c r="T269" s="450" t="str">
        <f t="shared" si="62"/>
        <v/>
      </c>
      <c r="U269" s="450" t="str">
        <f t="shared" si="55"/>
        <v/>
      </c>
      <c r="V269" s="450" t="str">
        <f t="shared" si="48"/>
        <v/>
      </c>
      <c r="W269" s="450" t="str">
        <f t="shared" si="56"/>
        <v/>
      </c>
      <c r="X269" s="450" t="str">
        <f t="shared" si="57"/>
        <v/>
      </c>
      <c r="Y269" s="450" t="str">
        <f t="shared" si="58"/>
        <v/>
      </c>
      <c r="Z269" s="451" t="str">
        <f t="shared" si="60"/>
        <v/>
      </c>
    </row>
    <row r="270" spans="1:26" x14ac:dyDescent="0.35">
      <c r="A270" s="438">
        <v>45840</v>
      </c>
      <c r="B270" s="446">
        <v>15</v>
      </c>
      <c r="C270" s="439" t="s">
        <v>592</v>
      </c>
      <c r="D270" s="439" t="s">
        <v>593</v>
      </c>
      <c r="E270" s="439" t="s">
        <v>649</v>
      </c>
      <c r="F270" s="439" t="s">
        <v>570</v>
      </c>
      <c r="G270" s="440" t="b">
        <f>IF(A270="","",IF(Daten!$AE$4=0,TRUE,MONTH(A270)=Daten!$AE$4))</f>
        <v>1</v>
      </c>
      <c r="H270" s="454" t="s">
        <v>415</v>
      </c>
      <c r="I270" s="440" t="s">
        <v>73</v>
      </c>
      <c r="J270" s="440"/>
      <c r="K270" s="439" t="s">
        <v>637</v>
      </c>
      <c r="L270" s="452"/>
      <c r="M270" s="448" t="str">
        <f>IF(OR(A270="", B270=""), "", IF(H270="Mitgliedsbeiträge", ABS(B270), ""))</f>
        <v/>
      </c>
      <c r="N270" s="448" t="str">
        <f t="shared" si="50"/>
        <v/>
      </c>
      <c r="O270" s="448" t="str">
        <f t="shared" si="51"/>
        <v/>
      </c>
      <c r="P270" s="448" t="str">
        <f t="shared" si="52"/>
        <v/>
      </c>
      <c r="Q270" s="448" t="str">
        <f t="shared" si="53"/>
        <v/>
      </c>
      <c r="R270" s="448" t="str">
        <f t="shared" si="54"/>
        <v/>
      </c>
      <c r="S270" s="448">
        <v>15</v>
      </c>
      <c r="T270" s="448" t="str">
        <f t="shared" si="62"/>
        <v/>
      </c>
      <c r="U270" s="448" t="str">
        <f t="shared" si="55"/>
        <v/>
      </c>
      <c r="V270" s="448" t="str">
        <f t="shared" ref="V270:V333" si="63">IF(OR(A270="", B270=""), "", IF(H270="Veranstaltungen Ausgabe", ABS(B270), ""))</f>
        <v/>
      </c>
      <c r="W270" s="448" t="str">
        <f t="shared" si="56"/>
        <v/>
      </c>
      <c r="X270" s="448" t="str">
        <f t="shared" si="57"/>
        <v/>
      </c>
      <c r="Y270" s="448" t="str">
        <f t="shared" si="58"/>
        <v/>
      </c>
      <c r="Z270" s="449" t="str">
        <f t="shared" si="60"/>
        <v/>
      </c>
    </row>
    <row r="271" spans="1:26" x14ac:dyDescent="0.35">
      <c r="A271" s="441">
        <v>45840</v>
      </c>
      <c r="B271" s="447">
        <v>15</v>
      </c>
      <c r="C271" s="442" t="s">
        <v>66</v>
      </c>
      <c r="D271" s="442" t="s">
        <v>594</v>
      </c>
      <c r="E271" s="442" t="s">
        <v>653</v>
      </c>
      <c r="F271" s="442" t="s">
        <v>570</v>
      </c>
      <c r="G271" s="443" t="b">
        <f>IF(A271="","",IF(Daten!$AE$4=0,TRUE,MONTH(A271)=Daten!$AE$4))</f>
        <v>1</v>
      </c>
      <c r="H271" s="454" t="s">
        <v>415</v>
      </c>
      <c r="I271" s="443" t="s">
        <v>73</v>
      </c>
      <c r="J271" s="443"/>
      <c r="K271" s="442" t="s">
        <v>637</v>
      </c>
      <c r="L271" s="453"/>
      <c r="M271" s="450" t="str">
        <f>IF(OR(A271="", B271=""), "", IF(H271="Mitgliedsbeiträge", ABS(B271), ""))</f>
        <v/>
      </c>
      <c r="N271" s="450" t="str">
        <f t="shared" si="50"/>
        <v/>
      </c>
      <c r="O271" s="450" t="str">
        <f t="shared" si="51"/>
        <v/>
      </c>
      <c r="P271" s="450" t="str">
        <f t="shared" si="52"/>
        <v/>
      </c>
      <c r="Q271" s="450" t="str">
        <f t="shared" si="53"/>
        <v/>
      </c>
      <c r="R271" s="450" t="str">
        <f t="shared" si="54"/>
        <v/>
      </c>
      <c r="S271" s="450">
        <v>15</v>
      </c>
      <c r="T271" s="450" t="str">
        <f t="shared" si="62"/>
        <v/>
      </c>
      <c r="U271" s="450" t="str">
        <f t="shared" si="55"/>
        <v/>
      </c>
      <c r="V271" s="450" t="str">
        <f t="shared" si="63"/>
        <v/>
      </c>
      <c r="W271" s="450" t="str">
        <f t="shared" si="56"/>
        <v/>
      </c>
      <c r="X271" s="450" t="str">
        <f t="shared" si="57"/>
        <v/>
      </c>
      <c r="Y271" s="450" t="str">
        <f t="shared" si="58"/>
        <v/>
      </c>
      <c r="Z271" s="451" t="str">
        <f t="shared" si="60"/>
        <v/>
      </c>
    </row>
    <row r="272" spans="1:26" x14ac:dyDescent="0.35">
      <c r="A272" s="438">
        <v>45840</v>
      </c>
      <c r="B272" s="446">
        <v>15</v>
      </c>
      <c r="C272" s="439" t="s">
        <v>597</v>
      </c>
      <c r="D272" s="439" t="s">
        <v>598</v>
      </c>
      <c r="E272" s="439" t="s">
        <v>385</v>
      </c>
      <c r="F272" s="439" t="s">
        <v>570</v>
      </c>
      <c r="G272" s="440" t="b">
        <f>IF(A272="","",IF(Daten!$AE$4=0,TRUE,MONTH(A272)=Daten!$AE$4))</f>
        <v>1</v>
      </c>
      <c r="H272" s="454" t="s">
        <v>415</v>
      </c>
      <c r="I272" s="440" t="s">
        <v>73</v>
      </c>
      <c r="J272" s="440"/>
      <c r="K272" s="439" t="s">
        <v>637</v>
      </c>
      <c r="L272" s="452"/>
      <c r="M272" s="448" t="str">
        <f>IF(OR(A272="", B272=""), "", IF(H272="Mitgliedsbeiträge", ABS(B272), ""))</f>
        <v/>
      </c>
      <c r="N272" s="448" t="str">
        <f t="shared" si="50"/>
        <v/>
      </c>
      <c r="O272" s="448" t="str">
        <f t="shared" si="51"/>
        <v/>
      </c>
      <c r="P272" s="448" t="str">
        <f t="shared" si="52"/>
        <v/>
      </c>
      <c r="Q272" s="448" t="str">
        <f t="shared" si="53"/>
        <v/>
      </c>
      <c r="R272" s="448" t="str">
        <f t="shared" si="54"/>
        <v/>
      </c>
      <c r="S272" s="448">
        <v>15</v>
      </c>
      <c r="T272" s="448" t="str">
        <f t="shared" si="62"/>
        <v/>
      </c>
      <c r="U272" s="448" t="str">
        <f t="shared" si="55"/>
        <v/>
      </c>
      <c r="V272" s="448" t="str">
        <f t="shared" si="63"/>
        <v/>
      </c>
      <c r="W272" s="448" t="str">
        <f t="shared" si="56"/>
        <v/>
      </c>
      <c r="X272" s="448" t="str">
        <f t="shared" si="57"/>
        <v/>
      </c>
      <c r="Y272" s="448" t="str">
        <f t="shared" si="58"/>
        <v/>
      </c>
      <c r="Z272" s="449" t="str">
        <f t="shared" si="60"/>
        <v/>
      </c>
    </row>
    <row r="273" spans="1:26" x14ac:dyDescent="0.35">
      <c r="A273" s="441">
        <v>45840</v>
      </c>
      <c r="B273" s="447">
        <v>7.5</v>
      </c>
      <c r="C273" s="442" t="s">
        <v>66</v>
      </c>
      <c r="D273" s="442" t="s">
        <v>594</v>
      </c>
      <c r="E273" s="442" t="s">
        <v>652</v>
      </c>
      <c r="F273" s="442" t="s">
        <v>570</v>
      </c>
      <c r="G273" s="443" t="b">
        <f>IF(A273="","",IF(Daten!$AE$4=0,TRUE,MONTH(A273)=Daten!$AE$4))</f>
        <v>1</v>
      </c>
      <c r="H273" s="454" t="s">
        <v>306</v>
      </c>
      <c r="I273" s="443" t="s">
        <v>73</v>
      </c>
      <c r="J273" s="443"/>
      <c r="K273" s="442" t="s">
        <v>637</v>
      </c>
      <c r="L273" s="453"/>
      <c r="M273" s="450">
        <v>7.5</v>
      </c>
      <c r="N273" s="450" t="str">
        <f t="shared" si="50"/>
        <v/>
      </c>
      <c r="O273" s="450" t="str">
        <f t="shared" si="51"/>
        <v/>
      </c>
      <c r="P273" s="450" t="str">
        <f t="shared" si="52"/>
        <v/>
      </c>
      <c r="Q273" s="450" t="str">
        <f t="shared" si="53"/>
        <v/>
      </c>
      <c r="R273" s="450" t="str">
        <f t="shared" si="54"/>
        <v/>
      </c>
      <c r="S273" s="450" t="str">
        <f>IF(OR(A273="", B273=""), "", IF(H273="Sonstige Einnahmen", ABS(B273), ""))</f>
        <v/>
      </c>
      <c r="T273" s="450" t="str">
        <f t="shared" si="62"/>
        <v/>
      </c>
      <c r="U273" s="450" t="str">
        <f t="shared" si="55"/>
        <v/>
      </c>
      <c r="V273" s="450" t="str">
        <f t="shared" si="63"/>
        <v/>
      </c>
      <c r="W273" s="450" t="str">
        <f t="shared" si="56"/>
        <v/>
      </c>
      <c r="X273" s="450" t="str">
        <f t="shared" si="57"/>
        <v/>
      </c>
      <c r="Y273" s="450" t="str">
        <f t="shared" si="58"/>
        <v/>
      </c>
      <c r="Z273" s="451" t="str">
        <f t="shared" si="60"/>
        <v/>
      </c>
    </row>
    <row r="274" spans="1:26" x14ac:dyDescent="0.35">
      <c r="A274" s="438">
        <v>45840</v>
      </c>
      <c r="B274" s="446">
        <v>15</v>
      </c>
      <c r="C274" s="439" t="s">
        <v>595</v>
      </c>
      <c r="D274" s="439" t="s">
        <v>596</v>
      </c>
      <c r="E274" s="439" t="s">
        <v>654</v>
      </c>
      <c r="F274" s="439" t="s">
        <v>570</v>
      </c>
      <c r="G274" s="440" t="b">
        <f>IF(A274="","",IF(Daten!$AE$4=0,TRUE,MONTH(A274)=Daten!$AE$4))</f>
        <v>1</v>
      </c>
      <c r="H274" s="454" t="s">
        <v>415</v>
      </c>
      <c r="I274" s="440" t="s">
        <v>73</v>
      </c>
      <c r="J274" s="440"/>
      <c r="K274" s="439" t="s">
        <v>637</v>
      </c>
      <c r="L274" s="452"/>
      <c r="M274" s="448" t="str">
        <f>IF(OR(A274="", B274=""), "", IF(H274="Mitgliedsbeiträge", ABS(B274), ""))</f>
        <v/>
      </c>
      <c r="N274" s="448" t="str">
        <f t="shared" si="50"/>
        <v/>
      </c>
      <c r="O274" s="448" t="str">
        <f t="shared" si="51"/>
        <v/>
      </c>
      <c r="P274" s="448" t="str">
        <f t="shared" si="52"/>
        <v/>
      </c>
      <c r="Q274" s="448" t="str">
        <f t="shared" si="53"/>
        <v/>
      </c>
      <c r="R274" s="448" t="str">
        <f t="shared" si="54"/>
        <v/>
      </c>
      <c r="S274" s="448">
        <v>15</v>
      </c>
      <c r="T274" s="448" t="str">
        <f t="shared" si="62"/>
        <v/>
      </c>
      <c r="U274" s="448" t="str">
        <f t="shared" si="55"/>
        <v/>
      </c>
      <c r="V274" s="448" t="str">
        <f t="shared" si="63"/>
        <v/>
      </c>
      <c r="W274" s="448" t="str">
        <f t="shared" si="56"/>
        <v/>
      </c>
      <c r="X274" s="448" t="str">
        <f t="shared" si="57"/>
        <v/>
      </c>
      <c r="Y274" s="448" t="str">
        <f t="shared" si="58"/>
        <v/>
      </c>
      <c r="Z274" s="449" t="str">
        <f t="shared" si="60"/>
        <v/>
      </c>
    </row>
    <row r="275" spans="1:26" x14ac:dyDescent="0.35">
      <c r="A275" s="441">
        <v>45840</v>
      </c>
      <c r="B275" s="447">
        <v>15</v>
      </c>
      <c r="C275" s="442" t="s">
        <v>584</v>
      </c>
      <c r="D275" s="442" t="s">
        <v>585</v>
      </c>
      <c r="E275" s="442" t="s">
        <v>655</v>
      </c>
      <c r="F275" s="442" t="s">
        <v>570</v>
      </c>
      <c r="G275" s="443" t="b">
        <f>IF(A275="","",IF(Daten!$AE$4=0,TRUE,MONTH(A275)=Daten!$AE$4))</f>
        <v>1</v>
      </c>
      <c r="H275" s="454" t="s">
        <v>306</v>
      </c>
      <c r="I275" s="443" t="s">
        <v>73</v>
      </c>
      <c r="J275" s="443"/>
      <c r="K275" s="442" t="s">
        <v>637</v>
      </c>
      <c r="L275" s="453"/>
      <c r="M275" s="450">
        <v>15</v>
      </c>
      <c r="N275" s="450" t="str">
        <f t="shared" si="50"/>
        <v/>
      </c>
      <c r="O275" s="450" t="str">
        <f t="shared" si="51"/>
        <v/>
      </c>
      <c r="P275" s="450" t="str">
        <f t="shared" si="52"/>
        <v/>
      </c>
      <c r="Q275" s="450" t="str">
        <f t="shared" si="53"/>
        <v/>
      </c>
      <c r="R275" s="450" t="str">
        <f t="shared" si="54"/>
        <v/>
      </c>
      <c r="S275" s="450" t="str">
        <f>IF(OR(A275="", B275=""), "", IF(H275="Sonstige Einnahmen", ABS(B275), ""))</f>
        <v/>
      </c>
      <c r="T275" s="450" t="str">
        <f t="shared" si="62"/>
        <v/>
      </c>
      <c r="U275" s="450" t="str">
        <f t="shared" si="55"/>
        <v/>
      </c>
      <c r="V275" s="450" t="str">
        <f t="shared" si="63"/>
        <v/>
      </c>
      <c r="W275" s="450" t="str">
        <f t="shared" si="56"/>
        <v/>
      </c>
      <c r="X275" s="450" t="str">
        <f t="shared" si="57"/>
        <v/>
      </c>
      <c r="Y275" s="450" t="str">
        <f t="shared" si="58"/>
        <v/>
      </c>
      <c r="Z275" s="451" t="str">
        <f t="shared" si="60"/>
        <v/>
      </c>
    </row>
    <row r="276" spans="1:26" x14ac:dyDescent="0.35">
      <c r="A276" s="438">
        <v>45841</v>
      </c>
      <c r="B276" s="446">
        <v>0.01</v>
      </c>
      <c r="C276" s="439" t="s">
        <v>622</v>
      </c>
      <c r="D276" s="439" t="s">
        <v>623</v>
      </c>
      <c r="E276" s="439" t="s">
        <v>704</v>
      </c>
      <c r="F276" s="439" t="s">
        <v>599</v>
      </c>
      <c r="G276" s="440" t="b">
        <f>IF(A276="","",IF(Daten!$AE$4=0,TRUE,MONTH(A276)=Daten!$AE$4))</f>
        <v>1</v>
      </c>
      <c r="H276" s="454" t="s">
        <v>463</v>
      </c>
      <c r="I276" s="440" t="s">
        <v>73</v>
      </c>
      <c r="J276" s="440"/>
      <c r="K276" s="439" t="s">
        <v>637</v>
      </c>
      <c r="L276" s="452"/>
      <c r="M276" s="448" t="str">
        <f>IF(OR(A276="", B276=""), "", IF(H276="Mitgliedsbeiträge", ABS(B276), ""))</f>
        <v/>
      </c>
      <c r="N276" s="448" t="str">
        <f t="shared" si="50"/>
        <v/>
      </c>
      <c r="O276" s="448" t="str">
        <f t="shared" si="51"/>
        <v/>
      </c>
      <c r="P276" s="448" t="str">
        <f t="shared" si="52"/>
        <v/>
      </c>
      <c r="Q276" s="448" t="str">
        <f t="shared" si="53"/>
        <v/>
      </c>
      <c r="R276" s="448" t="str">
        <f t="shared" si="54"/>
        <v/>
      </c>
      <c r="S276" s="448">
        <v>0.01</v>
      </c>
      <c r="T276" s="448" t="str">
        <f t="shared" si="62"/>
        <v/>
      </c>
      <c r="U276" s="448" t="str">
        <f t="shared" si="55"/>
        <v/>
      </c>
      <c r="V276" s="448" t="str">
        <f t="shared" si="63"/>
        <v/>
      </c>
      <c r="W276" s="448" t="str">
        <f t="shared" si="56"/>
        <v/>
      </c>
      <c r="X276" s="448" t="str">
        <f t="shared" si="57"/>
        <v/>
      </c>
      <c r="Y276" s="448" t="str">
        <f t="shared" si="58"/>
        <v/>
      </c>
      <c r="Z276" s="449" t="str">
        <f t="shared" si="60"/>
        <v/>
      </c>
    </row>
    <row r="277" spans="1:26" x14ac:dyDescent="0.35">
      <c r="A277" s="441">
        <v>45841</v>
      </c>
      <c r="B277" s="447">
        <v>7.5</v>
      </c>
      <c r="C277" s="442" t="s">
        <v>51</v>
      </c>
      <c r="D277" s="442" t="s">
        <v>589</v>
      </c>
      <c r="E277" s="442" t="s">
        <v>646</v>
      </c>
      <c r="F277" s="442" t="s">
        <v>570</v>
      </c>
      <c r="G277" s="443" t="b">
        <f>IF(A277="","",IF(Daten!$AE$4=0,TRUE,MONTH(A277)=Daten!$AE$4))</f>
        <v>1</v>
      </c>
      <c r="H277" s="454" t="s">
        <v>306</v>
      </c>
      <c r="I277" s="443" t="s">
        <v>73</v>
      </c>
      <c r="J277" s="443"/>
      <c r="K277" s="442" t="s">
        <v>637</v>
      </c>
      <c r="L277" s="453"/>
      <c r="M277" s="450">
        <v>7.5</v>
      </c>
      <c r="N277" s="450" t="str">
        <f t="shared" si="50"/>
        <v/>
      </c>
      <c r="O277" s="450" t="str">
        <f t="shared" si="51"/>
        <v/>
      </c>
      <c r="P277" s="450" t="str">
        <f t="shared" si="52"/>
        <v/>
      </c>
      <c r="Q277" s="450" t="str">
        <f t="shared" si="53"/>
        <v/>
      </c>
      <c r="R277" s="450" t="str">
        <f t="shared" si="54"/>
        <v/>
      </c>
      <c r="S277" s="450" t="str">
        <f>IF(OR(A277="", B277=""), "", IF(H277="Sonstige Einnahmen", ABS(B277), ""))</f>
        <v/>
      </c>
      <c r="T277" s="450" t="str">
        <f t="shared" si="62"/>
        <v/>
      </c>
      <c r="U277" s="450" t="str">
        <f t="shared" si="55"/>
        <v/>
      </c>
      <c r="V277" s="450" t="str">
        <f t="shared" si="63"/>
        <v/>
      </c>
      <c r="W277" s="450" t="str">
        <f t="shared" si="56"/>
        <v/>
      </c>
      <c r="X277" s="450" t="str">
        <f t="shared" si="57"/>
        <v/>
      </c>
      <c r="Y277" s="450" t="str">
        <f t="shared" si="58"/>
        <v/>
      </c>
      <c r="Z277" s="451" t="str">
        <f t="shared" si="60"/>
        <v/>
      </c>
    </row>
    <row r="278" spans="1:26" x14ac:dyDescent="0.35">
      <c r="A278" s="438">
        <v>45841</v>
      </c>
      <c r="B278" s="446">
        <v>15</v>
      </c>
      <c r="C278" s="439" t="s">
        <v>627</v>
      </c>
      <c r="D278" s="439" t="s">
        <v>591</v>
      </c>
      <c r="E278" s="439" t="s">
        <v>647</v>
      </c>
      <c r="F278" s="439" t="s">
        <v>570</v>
      </c>
      <c r="G278" s="440" t="b">
        <f>IF(A278="","",IF(Daten!$AE$4=0,TRUE,MONTH(A278)=Daten!$AE$4))</f>
        <v>1</v>
      </c>
      <c r="H278" s="454" t="s">
        <v>306</v>
      </c>
      <c r="I278" s="440" t="s">
        <v>73</v>
      </c>
      <c r="J278" s="440"/>
      <c r="K278" s="439" t="s">
        <v>637</v>
      </c>
      <c r="L278" s="452"/>
      <c r="M278" s="448">
        <v>15</v>
      </c>
      <c r="N278" s="448" t="str">
        <f t="shared" si="50"/>
        <v/>
      </c>
      <c r="O278" s="448" t="str">
        <f t="shared" si="51"/>
        <v/>
      </c>
      <c r="P278" s="448" t="str">
        <f t="shared" si="52"/>
        <v/>
      </c>
      <c r="Q278" s="448" t="str">
        <f t="shared" si="53"/>
        <v/>
      </c>
      <c r="R278" s="448" t="str">
        <f t="shared" si="54"/>
        <v/>
      </c>
      <c r="S278" s="448" t="str">
        <f>IF(OR(A278="", B278=""), "", IF(H278="Sonstige Einnahmen", ABS(B278), ""))</f>
        <v/>
      </c>
      <c r="T278" s="448" t="str">
        <f t="shared" si="62"/>
        <v/>
      </c>
      <c r="U278" s="448" t="str">
        <f t="shared" si="55"/>
        <v/>
      </c>
      <c r="V278" s="448" t="str">
        <f t="shared" si="63"/>
        <v/>
      </c>
      <c r="W278" s="448" t="str">
        <f t="shared" si="56"/>
        <v/>
      </c>
      <c r="X278" s="448" t="str">
        <f t="shared" si="57"/>
        <v/>
      </c>
      <c r="Y278" s="448" t="str">
        <f t="shared" si="58"/>
        <v/>
      </c>
      <c r="Z278" s="449" t="str">
        <f t="shared" si="60"/>
        <v/>
      </c>
    </row>
    <row r="279" spans="1:26" x14ac:dyDescent="0.35">
      <c r="A279" s="441">
        <v>45845</v>
      </c>
      <c r="B279" s="447">
        <v>15</v>
      </c>
      <c r="C279" s="442" t="s">
        <v>584</v>
      </c>
      <c r="D279" s="442" t="s">
        <v>585</v>
      </c>
      <c r="E279" s="442" t="s">
        <v>642</v>
      </c>
      <c r="F279" s="442" t="s">
        <v>570</v>
      </c>
      <c r="G279" s="443" t="b">
        <f>IF(A279="","",IF(Daten!$AE$4=0,TRUE,MONTH(A279)=Daten!$AE$4))</f>
        <v>1</v>
      </c>
      <c r="H279" s="454" t="s">
        <v>415</v>
      </c>
      <c r="I279" s="443" t="s">
        <v>73</v>
      </c>
      <c r="J279" s="443"/>
      <c r="K279" s="442" t="s">
        <v>637</v>
      </c>
      <c r="L279" s="453"/>
      <c r="M279" s="450" t="str">
        <f t="shared" ref="M279:M294" si="64">IF(OR(A279="", B279=""), "", IF(H279="Mitgliedsbeiträge", ABS(B279), ""))</f>
        <v/>
      </c>
      <c r="N279" s="450" t="str">
        <f t="shared" si="50"/>
        <v/>
      </c>
      <c r="O279" s="450" t="str">
        <f t="shared" si="51"/>
        <v/>
      </c>
      <c r="P279" s="450" t="str">
        <f t="shared" si="52"/>
        <v/>
      </c>
      <c r="Q279" s="450" t="str">
        <f t="shared" si="53"/>
        <v/>
      </c>
      <c r="R279" s="450" t="str">
        <f t="shared" si="54"/>
        <v/>
      </c>
      <c r="S279" s="450">
        <v>15</v>
      </c>
      <c r="T279" s="450" t="str">
        <f t="shared" si="62"/>
        <v/>
      </c>
      <c r="U279" s="450" t="str">
        <f t="shared" si="55"/>
        <v/>
      </c>
      <c r="V279" s="450" t="str">
        <f t="shared" si="63"/>
        <v/>
      </c>
      <c r="W279" s="450" t="str">
        <f t="shared" si="56"/>
        <v/>
      </c>
      <c r="X279" s="450" t="str">
        <f t="shared" si="57"/>
        <v/>
      </c>
      <c r="Y279" s="450" t="str">
        <f t="shared" si="58"/>
        <v/>
      </c>
      <c r="Z279" s="451" t="str">
        <f t="shared" si="60"/>
        <v/>
      </c>
    </row>
    <row r="280" spans="1:26" x14ac:dyDescent="0.35">
      <c r="A280" s="438">
        <v>45845</v>
      </c>
      <c r="B280" s="446">
        <v>-431.49</v>
      </c>
      <c r="C280" s="439" t="s">
        <v>625</v>
      </c>
      <c r="D280" s="439" t="s">
        <v>626</v>
      </c>
      <c r="E280" s="439" t="s">
        <v>702</v>
      </c>
      <c r="F280" s="439" t="s">
        <v>576</v>
      </c>
      <c r="G280" s="440" t="b">
        <f>IF(A280="","",IF(Daten!$AE$4=0,TRUE,MONTH(A280)=Daten!$AE$4))</f>
        <v>1</v>
      </c>
      <c r="H280" s="454" t="s">
        <v>379</v>
      </c>
      <c r="I280" s="440" t="s">
        <v>73</v>
      </c>
      <c r="J280" s="440"/>
      <c r="K280" s="439" t="s">
        <v>637</v>
      </c>
      <c r="L280" s="452"/>
      <c r="M280" s="448" t="str">
        <f t="shared" si="64"/>
        <v/>
      </c>
      <c r="N280" s="448" t="str">
        <f t="shared" si="50"/>
        <v/>
      </c>
      <c r="O280" s="448" t="str">
        <f t="shared" si="51"/>
        <v/>
      </c>
      <c r="P280" s="448" t="str">
        <f t="shared" si="52"/>
        <v/>
      </c>
      <c r="Q280" s="448" t="str">
        <f t="shared" si="53"/>
        <v/>
      </c>
      <c r="R280" s="448" t="str">
        <f t="shared" si="54"/>
        <v/>
      </c>
      <c r="S280" s="448" t="str">
        <f>IF(OR(A280="", B280=""), "", IF(H280="Sonstige Einnahmen", ABS(B280), ""))</f>
        <v/>
      </c>
      <c r="T280" s="448">
        <v>-431.49</v>
      </c>
      <c r="U280" s="448" t="str">
        <f t="shared" si="55"/>
        <v/>
      </c>
      <c r="V280" s="448" t="str">
        <f t="shared" si="63"/>
        <v/>
      </c>
      <c r="W280" s="448" t="str">
        <f t="shared" si="56"/>
        <v/>
      </c>
      <c r="X280" s="448" t="str">
        <f t="shared" si="57"/>
        <v/>
      </c>
      <c r="Y280" s="448" t="str">
        <f t="shared" si="58"/>
        <v/>
      </c>
      <c r="Z280" s="449" t="str">
        <f t="shared" si="60"/>
        <v/>
      </c>
    </row>
    <row r="281" spans="1:26" x14ac:dyDescent="0.35">
      <c r="A281" s="441">
        <v>45845</v>
      </c>
      <c r="B281" s="447">
        <v>-471</v>
      </c>
      <c r="C281" s="442" t="s">
        <v>587</v>
      </c>
      <c r="D281" s="442" t="s">
        <v>588</v>
      </c>
      <c r="E281" s="442" t="s">
        <v>703</v>
      </c>
      <c r="F281" s="442" t="s">
        <v>576</v>
      </c>
      <c r="G281" s="443" t="b">
        <f>IF(A281="","",IF(Daten!$AE$4=0,TRUE,MONTH(A281)=Daten!$AE$4))</f>
        <v>1</v>
      </c>
      <c r="H281" s="454" t="s">
        <v>451</v>
      </c>
      <c r="I281" s="443" t="s">
        <v>73</v>
      </c>
      <c r="J281" s="443"/>
      <c r="K281" s="442" t="s">
        <v>637</v>
      </c>
      <c r="L281" s="453"/>
      <c r="M281" s="450" t="str">
        <f t="shared" si="64"/>
        <v/>
      </c>
      <c r="N281" s="450" t="str">
        <f t="shared" si="50"/>
        <v/>
      </c>
      <c r="O281" s="450" t="str">
        <f t="shared" si="51"/>
        <v/>
      </c>
      <c r="P281" s="450" t="str">
        <f t="shared" si="52"/>
        <v/>
      </c>
      <c r="Q281" s="450" t="str">
        <f t="shared" si="53"/>
        <v/>
      </c>
      <c r="R281" s="450" t="str">
        <f t="shared" si="54"/>
        <v/>
      </c>
      <c r="S281" s="450" t="str">
        <f>IF(OR(A281="", B281=""), "", IF(H281="Sonstige Einnahmen", ABS(B281), ""))</f>
        <v/>
      </c>
      <c r="T281" s="450">
        <v>-471</v>
      </c>
      <c r="U281" s="450" t="str">
        <f t="shared" si="55"/>
        <v/>
      </c>
      <c r="V281" s="450" t="str">
        <f t="shared" si="63"/>
        <v/>
      </c>
      <c r="W281" s="450" t="str">
        <f t="shared" si="56"/>
        <v/>
      </c>
      <c r="X281" s="450" t="str">
        <f t="shared" si="57"/>
        <v/>
      </c>
      <c r="Y281" s="450" t="str">
        <f t="shared" si="58"/>
        <v/>
      </c>
      <c r="Z281" s="451" t="str">
        <f t="shared" si="60"/>
        <v/>
      </c>
    </row>
    <row r="282" spans="1:26" ht="58" x14ac:dyDescent="0.35">
      <c r="A282" s="438">
        <v>45852</v>
      </c>
      <c r="B282" s="446">
        <v>60</v>
      </c>
      <c r="C282" s="439" t="s">
        <v>600</v>
      </c>
      <c r="D282" s="439" t="s">
        <v>601</v>
      </c>
      <c r="E282" s="439" t="s">
        <v>675</v>
      </c>
      <c r="F282" s="439" t="s">
        <v>599</v>
      </c>
      <c r="G282" s="440" t="b">
        <f>IF(A282="","",IF(Daten!$AE$4=0,TRUE,MONTH(A282)=Daten!$AE$4))</f>
        <v>1</v>
      </c>
      <c r="H282" s="455" t="s">
        <v>425</v>
      </c>
      <c r="I282" s="440" t="s">
        <v>73</v>
      </c>
      <c r="J282" s="440"/>
      <c r="K282" s="439" t="s">
        <v>637</v>
      </c>
      <c r="L282" s="452" t="s">
        <v>786</v>
      </c>
      <c r="M282" s="448" t="str">
        <f t="shared" si="64"/>
        <v/>
      </c>
      <c r="N282" s="448" t="str">
        <f t="shared" si="50"/>
        <v/>
      </c>
      <c r="O282" s="448" t="str">
        <f t="shared" si="51"/>
        <v/>
      </c>
      <c r="P282" s="448" t="str">
        <f t="shared" si="52"/>
        <v/>
      </c>
      <c r="Q282" s="448" t="str">
        <f t="shared" si="53"/>
        <v/>
      </c>
      <c r="R282" s="448" t="str">
        <f t="shared" si="54"/>
        <v/>
      </c>
      <c r="S282" s="448">
        <v>60</v>
      </c>
      <c r="T282" s="448" t="str">
        <f>IF(OR(A282="", B282=""), "", IF(H282="Unterhaltung", ABS(B282), ""))</f>
        <v/>
      </c>
      <c r="U282" s="448" t="str">
        <f t="shared" si="55"/>
        <v/>
      </c>
      <c r="V282" s="448" t="str">
        <f t="shared" si="63"/>
        <v/>
      </c>
      <c r="W282" s="448" t="str">
        <f t="shared" si="56"/>
        <v/>
      </c>
      <c r="X282" s="448" t="str">
        <f t="shared" si="57"/>
        <v/>
      </c>
      <c r="Y282" s="448" t="str">
        <f t="shared" si="58"/>
        <v/>
      </c>
      <c r="Z282" s="449" t="str">
        <f t="shared" si="60"/>
        <v/>
      </c>
    </row>
    <row r="283" spans="1:26" x14ac:dyDescent="0.35">
      <c r="A283" s="441">
        <v>45852</v>
      </c>
      <c r="B283" s="447">
        <v>15</v>
      </c>
      <c r="C283" s="442" t="s">
        <v>600</v>
      </c>
      <c r="D283" s="442" t="s">
        <v>601</v>
      </c>
      <c r="E283" s="442" t="s">
        <v>385</v>
      </c>
      <c r="F283" s="442" t="s">
        <v>599</v>
      </c>
      <c r="G283" s="443" t="b">
        <f>IF(A283="","",IF(Daten!$AE$4=0,TRUE,MONTH(A283)=Daten!$AE$4))</f>
        <v>1</v>
      </c>
      <c r="H283" s="454" t="s">
        <v>415</v>
      </c>
      <c r="I283" s="443" t="s">
        <v>73</v>
      </c>
      <c r="J283" s="443"/>
      <c r="K283" s="442" t="s">
        <v>637</v>
      </c>
      <c r="L283" s="453"/>
      <c r="M283" s="450" t="str">
        <f t="shared" si="64"/>
        <v/>
      </c>
      <c r="N283" s="450" t="str">
        <f t="shared" si="50"/>
        <v/>
      </c>
      <c r="O283" s="450" t="str">
        <f t="shared" si="51"/>
        <v/>
      </c>
      <c r="P283" s="450" t="str">
        <f t="shared" si="52"/>
        <v/>
      </c>
      <c r="Q283" s="450" t="str">
        <f t="shared" si="53"/>
        <v/>
      </c>
      <c r="R283" s="450" t="str">
        <f t="shared" si="54"/>
        <v/>
      </c>
      <c r="S283" s="450">
        <v>15</v>
      </c>
      <c r="T283" s="450" t="str">
        <f>IF(OR(A283="", B283=""), "", IF(H283="Unterhaltung", ABS(B283), ""))</f>
        <v/>
      </c>
      <c r="U283" s="450" t="str">
        <f t="shared" si="55"/>
        <v/>
      </c>
      <c r="V283" s="450" t="str">
        <f t="shared" si="63"/>
        <v/>
      </c>
      <c r="W283" s="450" t="str">
        <f t="shared" si="56"/>
        <v/>
      </c>
      <c r="X283" s="450" t="str">
        <f t="shared" si="57"/>
        <v/>
      </c>
      <c r="Y283" s="450" t="str">
        <f t="shared" si="58"/>
        <v/>
      </c>
      <c r="Z283" s="451" t="str">
        <f t="shared" si="60"/>
        <v/>
      </c>
    </row>
    <row r="284" spans="1:26" x14ac:dyDescent="0.35">
      <c r="A284" s="438">
        <v>45853</v>
      </c>
      <c r="B284" s="446">
        <v>-80.11</v>
      </c>
      <c r="C284" s="439" t="s">
        <v>611</v>
      </c>
      <c r="D284" s="439" t="s">
        <v>612</v>
      </c>
      <c r="E284" s="439" t="s">
        <v>701</v>
      </c>
      <c r="F284" s="439" t="s">
        <v>624</v>
      </c>
      <c r="G284" s="440" t="b">
        <f>IF(A284="","",IF(Daten!$AE$4=0,TRUE,MONTH(A284)=Daten!$AE$4))</f>
        <v>1</v>
      </c>
      <c r="H284" s="454" t="s">
        <v>390</v>
      </c>
      <c r="I284" s="440" t="s">
        <v>73</v>
      </c>
      <c r="J284" s="440"/>
      <c r="K284" s="439" t="s">
        <v>637</v>
      </c>
      <c r="L284" s="452"/>
      <c r="M284" s="448" t="str">
        <f t="shared" si="64"/>
        <v/>
      </c>
      <c r="N284" s="448" t="str">
        <f t="shared" ref="N284:N347" si="65">IF(OR(A284="", B284=""), "", IF(H284="Spenden", ABS(B284), ""))</f>
        <v/>
      </c>
      <c r="O284" s="448" t="str">
        <f t="shared" ref="O284:O347" si="66">IF(OR(A284="", B284=""), "", IF(H284="Zuschüsse", ABS(B284), ""))</f>
        <v/>
      </c>
      <c r="P284" s="448" t="str">
        <f t="shared" ref="P284:P347" si="67">IF(OR(A284="", B284=""), "", IF(H284="Verwaltung", ABS(B284), ""))</f>
        <v/>
      </c>
      <c r="Q284" s="448" t="str">
        <f t="shared" ref="Q284:Q347" si="68">IF(OR(A284="", B284=""), "", IF(H284="Vermögen", ABS(B284), ""))</f>
        <v/>
      </c>
      <c r="R284" s="448" t="str">
        <f t="shared" ref="R284:R347" si="69">IF(OR(A284="", B284=""), "", IF(H284="Vermögen", ABS(B284), ""))</f>
        <v/>
      </c>
      <c r="S284" s="448" t="str">
        <f>IF(OR(A284="", B284=""), "", IF(H284="Sonstige Einnahmen", ABS(B284), ""))</f>
        <v/>
      </c>
      <c r="T284" s="448">
        <v>-80.11</v>
      </c>
      <c r="U284" s="448" t="str">
        <f t="shared" ref="U284:U347" si="70">IF(OR(A284="", B284=""), "", IF(H284="Fortbildung", ABS(B284), ""))</f>
        <v/>
      </c>
      <c r="V284" s="448" t="str">
        <f t="shared" si="63"/>
        <v/>
      </c>
      <c r="W284" s="448" t="str">
        <f t="shared" ref="W284:W347" si="71">IF(OR(A284="", B284=""), "", IF(H284="Bürobetrieb", ABS(B284), ""))</f>
        <v/>
      </c>
      <c r="X284" s="448" t="str">
        <f t="shared" ref="X284:X347" si="72">IF(OR(A284="", B284=""), "", IF(H284="Aufwandsentschädigungen", ABS(B284), ""))</f>
        <v/>
      </c>
      <c r="Y284" s="448" t="str">
        <f t="shared" ref="Y284:Y347" si="73">IF(OR(A284="", B284=""), "", IF(H284="Sonstige Ausgaben", ABS(B284), ""))</f>
        <v/>
      </c>
      <c r="Z284" s="449" t="str">
        <f t="shared" si="60"/>
        <v/>
      </c>
    </row>
    <row r="285" spans="1:26" x14ac:dyDescent="0.35">
      <c r="A285" s="441">
        <v>45853</v>
      </c>
      <c r="B285" s="447">
        <v>-138</v>
      </c>
      <c r="C285" s="442" t="s">
        <v>577</v>
      </c>
      <c r="D285" s="442" t="s">
        <v>578</v>
      </c>
      <c r="E285" s="442" t="s">
        <v>639</v>
      </c>
      <c r="F285" s="442" t="s">
        <v>576</v>
      </c>
      <c r="G285" s="443" t="b">
        <f>IF(A285="","",IF(Daten!$AE$4=0,TRUE,MONTH(A285)=Daten!$AE$4))</f>
        <v>1</v>
      </c>
      <c r="H285" s="454" t="s">
        <v>459</v>
      </c>
      <c r="I285" s="443" t="s">
        <v>73</v>
      </c>
      <c r="J285" s="443"/>
      <c r="K285" s="442" t="s">
        <v>637</v>
      </c>
      <c r="L285" s="453"/>
      <c r="M285" s="450" t="str">
        <f t="shared" si="64"/>
        <v/>
      </c>
      <c r="N285" s="450" t="str">
        <f t="shared" si="65"/>
        <v/>
      </c>
      <c r="O285" s="450" t="str">
        <f t="shared" si="66"/>
        <v/>
      </c>
      <c r="P285" s="450" t="str">
        <f t="shared" si="67"/>
        <v/>
      </c>
      <c r="Q285" s="450" t="str">
        <f t="shared" si="68"/>
        <v/>
      </c>
      <c r="R285" s="450" t="str">
        <f t="shared" si="69"/>
        <v/>
      </c>
      <c r="S285" s="450" t="str">
        <f>IF(OR(A285="", B285=""), "", IF(H285="Sonstige Einnahmen", ABS(B285), ""))</f>
        <v/>
      </c>
      <c r="T285" s="450">
        <v>-138</v>
      </c>
      <c r="U285" s="450" t="str">
        <f t="shared" si="70"/>
        <v/>
      </c>
      <c r="V285" s="450" t="str">
        <f t="shared" si="63"/>
        <v/>
      </c>
      <c r="W285" s="450" t="str">
        <f t="shared" si="71"/>
        <v/>
      </c>
      <c r="X285" s="450" t="str">
        <f t="shared" si="72"/>
        <v/>
      </c>
      <c r="Y285" s="450" t="str">
        <f t="shared" si="73"/>
        <v/>
      </c>
      <c r="Z285" s="451" t="str">
        <f t="shared" si="60"/>
        <v/>
      </c>
    </row>
    <row r="286" spans="1:26" ht="58" x14ac:dyDescent="0.35">
      <c r="A286" s="438">
        <v>45853</v>
      </c>
      <c r="B286" s="446">
        <v>-365.24</v>
      </c>
      <c r="C286" s="439" t="s">
        <v>643</v>
      </c>
      <c r="D286" s="439" t="s">
        <v>586</v>
      </c>
      <c r="E286" s="439" t="s">
        <v>682</v>
      </c>
      <c r="F286" s="439" t="s">
        <v>576</v>
      </c>
      <c r="G286" s="440" t="b">
        <f>IF(A286="","",IF(Daten!$AE$4=0,TRUE,MONTH(A286)=Daten!$AE$4))</f>
        <v>1</v>
      </c>
      <c r="H286" s="455" t="s">
        <v>445</v>
      </c>
      <c r="I286" s="440" t="s">
        <v>73</v>
      </c>
      <c r="J286" s="440"/>
      <c r="K286" s="439" t="s">
        <v>637</v>
      </c>
      <c r="L286" s="452" t="s">
        <v>789</v>
      </c>
      <c r="M286" s="448" t="str">
        <f t="shared" si="64"/>
        <v/>
      </c>
      <c r="N286" s="448" t="str">
        <f t="shared" si="65"/>
        <v/>
      </c>
      <c r="O286" s="448" t="str">
        <f t="shared" si="66"/>
        <v/>
      </c>
      <c r="P286" s="448" t="str">
        <f t="shared" si="67"/>
        <v/>
      </c>
      <c r="Q286" s="448" t="str">
        <f t="shared" si="68"/>
        <v/>
      </c>
      <c r="R286" s="448" t="str">
        <f t="shared" si="69"/>
        <v/>
      </c>
      <c r="S286" s="448" t="str">
        <f>IF(OR(A286="", B286=""), "", IF(H286="Sonstige Einnahmen", ABS(B286), ""))</f>
        <v/>
      </c>
      <c r="T286" s="448">
        <v>-365.24</v>
      </c>
      <c r="U286" s="448" t="str">
        <f t="shared" si="70"/>
        <v/>
      </c>
      <c r="V286" s="448" t="str">
        <f t="shared" si="63"/>
        <v/>
      </c>
      <c r="W286" s="448" t="str">
        <f t="shared" si="71"/>
        <v/>
      </c>
      <c r="X286" s="448" t="str">
        <f t="shared" si="72"/>
        <v/>
      </c>
      <c r="Y286" s="448" t="str">
        <f t="shared" si="73"/>
        <v/>
      </c>
      <c r="Z286" s="449" t="str">
        <f t="shared" si="60"/>
        <v/>
      </c>
    </row>
    <row r="287" spans="1:26" x14ac:dyDescent="0.35">
      <c r="A287" s="441">
        <v>45854</v>
      </c>
      <c r="B287" s="447">
        <v>108.63</v>
      </c>
      <c r="C287" s="442" t="s">
        <v>571</v>
      </c>
      <c r="D287" s="442" t="s">
        <v>572</v>
      </c>
      <c r="E287" s="442" t="s">
        <v>698</v>
      </c>
      <c r="F287" s="442" t="s">
        <v>599</v>
      </c>
      <c r="G287" s="443" t="b">
        <f>IF(A287="","",IF(Daten!$AE$4=0,TRUE,MONTH(A287)=Daten!$AE$4))</f>
        <v>1</v>
      </c>
      <c r="H287" s="454" t="s">
        <v>419</v>
      </c>
      <c r="I287" s="443" t="s">
        <v>73</v>
      </c>
      <c r="J287" s="443"/>
      <c r="K287" s="442" t="s">
        <v>637</v>
      </c>
      <c r="L287" s="453"/>
      <c r="M287" s="450" t="str">
        <f t="shared" si="64"/>
        <v/>
      </c>
      <c r="N287" s="450" t="str">
        <f t="shared" si="65"/>
        <v/>
      </c>
      <c r="O287" s="450" t="str">
        <f t="shared" si="66"/>
        <v/>
      </c>
      <c r="P287" s="450" t="str">
        <f t="shared" si="67"/>
        <v/>
      </c>
      <c r="Q287" s="450" t="str">
        <f t="shared" si="68"/>
        <v/>
      </c>
      <c r="R287" s="450" t="str">
        <f t="shared" si="69"/>
        <v/>
      </c>
      <c r="S287" s="450">
        <v>108.63</v>
      </c>
      <c r="T287" s="450" t="str">
        <f>IF(OR(A287="", B287=""), "", IF(H287="Unterhaltung", ABS(B287), ""))</f>
        <v/>
      </c>
      <c r="U287" s="450" t="str">
        <f t="shared" si="70"/>
        <v/>
      </c>
      <c r="V287" s="450" t="str">
        <f t="shared" si="63"/>
        <v/>
      </c>
      <c r="W287" s="450" t="str">
        <f t="shared" si="71"/>
        <v/>
      </c>
      <c r="X287" s="450" t="str">
        <f t="shared" si="72"/>
        <v/>
      </c>
      <c r="Y287" s="450" t="str">
        <f t="shared" si="73"/>
        <v/>
      </c>
      <c r="Z287" s="451" t="str">
        <f t="shared" si="60"/>
        <v/>
      </c>
    </row>
    <row r="288" spans="1:26" ht="43.5" x14ac:dyDescent="0.35">
      <c r="A288" s="438">
        <v>45854</v>
      </c>
      <c r="B288" s="446">
        <v>-46.61</v>
      </c>
      <c r="C288" s="439" t="s">
        <v>622</v>
      </c>
      <c r="D288" s="439" t="s">
        <v>623</v>
      </c>
      <c r="E288" s="439" t="s">
        <v>699</v>
      </c>
      <c r="F288" s="439" t="s">
        <v>573</v>
      </c>
      <c r="G288" s="440" t="b">
        <f>IF(A288="","",IF(Daten!$AE$4=0,TRUE,MONTH(A288)=Daten!$AE$4))</f>
        <v>1</v>
      </c>
      <c r="H288" s="456"/>
      <c r="I288" s="440" t="s">
        <v>73</v>
      </c>
      <c r="J288" s="440"/>
      <c r="K288" s="439" t="s">
        <v>637</v>
      </c>
      <c r="L288" s="452" t="s">
        <v>791</v>
      </c>
      <c r="M288" s="448" t="str">
        <f t="shared" si="64"/>
        <v/>
      </c>
      <c r="N288" s="448" t="str">
        <f t="shared" si="65"/>
        <v/>
      </c>
      <c r="O288" s="448" t="str">
        <f t="shared" si="66"/>
        <v/>
      </c>
      <c r="P288" s="448" t="str">
        <f t="shared" si="67"/>
        <v/>
      </c>
      <c r="Q288" s="448" t="str">
        <f t="shared" si="68"/>
        <v/>
      </c>
      <c r="R288" s="448" t="str">
        <f t="shared" si="69"/>
        <v/>
      </c>
      <c r="S288" s="448" t="str">
        <f>IF(OR(A288="", B288=""), "", IF(H288="Sonstige Einnahmen", ABS(B288), ""))</f>
        <v/>
      </c>
      <c r="T288" s="448" t="str">
        <f>IF(OR(A288="", B288=""), "", IF(H288="Unterhaltung", ABS(B288), ""))</f>
        <v/>
      </c>
      <c r="U288" s="448" t="str">
        <f t="shared" si="70"/>
        <v/>
      </c>
      <c r="V288" s="448" t="str">
        <f t="shared" si="63"/>
        <v/>
      </c>
      <c r="W288" s="448" t="str">
        <f t="shared" si="71"/>
        <v/>
      </c>
      <c r="X288" s="448" t="str">
        <f t="shared" si="72"/>
        <v/>
      </c>
      <c r="Y288" s="448" t="str">
        <f t="shared" si="73"/>
        <v/>
      </c>
      <c r="Z288" s="449" t="str">
        <f t="shared" si="60"/>
        <v/>
      </c>
    </row>
    <row r="289" spans="1:26" x14ac:dyDescent="0.35">
      <c r="A289" s="441">
        <v>45854</v>
      </c>
      <c r="B289" s="447">
        <v>-59.94</v>
      </c>
      <c r="C289" s="442" t="s">
        <v>579</v>
      </c>
      <c r="D289" s="442" t="s">
        <v>580</v>
      </c>
      <c r="E289" s="442" t="s">
        <v>700</v>
      </c>
      <c r="F289" s="442" t="s">
        <v>576</v>
      </c>
      <c r="G289" s="443" t="b">
        <f>IF(A289="","",IF(Daten!$AE$4=0,TRUE,MONTH(A289)=Daten!$AE$4))</f>
        <v>1</v>
      </c>
      <c r="H289" s="454" t="s">
        <v>389</v>
      </c>
      <c r="I289" s="443" t="s">
        <v>73</v>
      </c>
      <c r="J289" s="443"/>
      <c r="K289" s="442" t="s">
        <v>637</v>
      </c>
      <c r="L289" s="453"/>
      <c r="M289" s="450" t="str">
        <f t="shared" si="64"/>
        <v/>
      </c>
      <c r="N289" s="450" t="str">
        <f t="shared" si="65"/>
        <v/>
      </c>
      <c r="O289" s="450" t="str">
        <f t="shared" si="66"/>
        <v/>
      </c>
      <c r="P289" s="450" t="str">
        <f t="shared" si="67"/>
        <v/>
      </c>
      <c r="Q289" s="450" t="str">
        <f t="shared" si="68"/>
        <v/>
      </c>
      <c r="R289" s="450" t="str">
        <f t="shared" si="69"/>
        <v/>
      </c>
      <c r="S289" s="450" t="str">
        <f>IF(OR(A289="", B289=""), "", IF(H289="Sonstige Einnahmen", ABS(B289), ""))</f>
        <v/>
      </c>
      <c r="T289" s="450">
        <v>-59.94</v>
      </c>
      <c r="U289" s="450" t="str">
        <f t="shared" si="70"/>
        <v/>
      </c>
      <c r="V289" s="450" t="str">
        <f t="shared" si="63"/>
        <v/>
      </c>
      <c r="W289" s="450" t="str">
        <f t="shared" si="71"/>
        <v/>
      </c>
      <c r="X289" s="450" t="str">
        <f t="shared" si="72"/>
        <v/>
      </c>
      <c r="Y289" s="450" t="str">
        <f t="shared" si="73"/>
        <v/>
      </c>
      <c r="Z289" s="451" t="str">
        <f t="shared" si="60"/>
        <v/>
      </c>
    </row>
    <row r="290" spans="1:26" x14ac:dyDescent="0.35">
      <c r="A290" s="438">
        <v>45856</v>
      </c>
      <c r="B290" s="446">
        <v>15</v>
      </c>
      <c r="C290" s="439" t="s">
        <v>571</v>
      </c>
      <c r="D290" s="439" t="s">
        <v>572</v>
      </c>
      <c r="E290" s="439" t="s">
        <v>636</v>
      </c>
      <c r="F290" s="439" t="s">
        <v>570</v>
      </c>
      <c r="G290" s="440" t="b">
        <f>IF(A290="","",IF(Daten!$AE$4=0,TRUE,MONTH(A290)=Daten!$AE$4))</f>
        <v>1</v>
      </c>
      <c r="H290" s="454" t="s">
        <v>415</v>
      </c>
      <c r="I290" s="440" t="s">
        <v>73</v>
      </c>
      <c r="J290" s="440"/>
      <c r="K290" s="439" t="s">
        <v>637</v>
      </c>
      <c r="L290" s="452"/>
      <c r="M290" s="448" t="str">
        <f t="shared" si="64"/>
        <v/>
      </c>
      <c r="N290" s="448" t="str">
        <f t="shared" si="65"/>
        <v/>
      </c>
      <c r="O290" s="448" t="str">
        <f t="shared" si="66"/>
        <v/>
      </c>
      <c r="P290" s="448" t="str">
        <f t="shared" si="67"/>
        <v/>
      </c>
      <c r="Q290" s="448" t="str">
        <f t="shared" si="68"/>
        <v/>
      </c>
      <c r="R290" s="448" t="str">
        <f t="shared" si="69"/>
        <v/>
      </c>
      <c r="S290" s="448">
        <v>15</v>
      </c>
      <c r="T290" s="448" t="str">
        <f t="shared" ref="T290:T321" si="74">IF(OR(A290="", B290=""), "", IF(H290="Unterhaltung", ABS(B290), ""))</f>
        <v/>
      </c>
      <c r="U290" s="448" t="str">
        <f t="shared" si="70"/>
        <v/>
      </c>
      <c r="V290" s="448" t="str">
        <f t="shared" si="63"/>
        <v/>
      </c>
      <c r="W290" s="448" t="str">
        <f t="shared" si="71"/>
        <v/>
      </c>
      <c r="X290" s="448" t="str">
        <f t="shared" si="72"/>
        <v/>
      </c>
      <c r="Y290" s="448" t="str">
        <f t="shared" si="73"/>
        <v/>
      </c>
      <c r="Z290" s="449" t="str">
        <f t="shared" si="60"/>
        <v/>
      </c>
    </row>
    <row r="291" spans="1:26" x14ac:dyDescent="0.35">
      <c r="A291" s="441">
        <v>45859</v>
      </c>
      <c r="B291" s="447">
        <v>108.63</v>
      </c>
      <c r="C291" s="442" t="s">
        <v>618</v>
      </c>
      <c r="D291" s="442" t="s">
        <v>594</v>
      </c>
      <c r="E291" s="442" t="s">
        <v>697</v>
      </c>
      <c r="F291" s="442" t="s">
        <v>581</v>
      </c>
      <c r="G291" s="443" t="b">
        <f>IF(A291="","",IF(Daten!$AE$4=0,TRUE,MONTH(A291)=Daten!$AE$4))</f>
        <v>1</v>
      </c>
      <c r="H291" s="454" t="s">
        <v>419</v>
      </c>
      <c r="I291" s="443" t="s">
        <v>73</v>
      </c>
      <c r="J291" s="443"/>
      <c r="K291" s="442" t="s">
        <v>637</v>
      </c>
      <c r="L291" s="453"/>
      <c r="M291" s="450" t="str">
        <f t="shared" si="64"/>
        <v/>
      </c>
      <c r="N291" s="450" t="str">
        <f t="shared" si="65"/>
        <v/>
      </c>
      <c r="O291" s="450" t="str">
        <f t="shared" si="66"/>
        <v/>
      </c>
      <c r="P291" s="450" t="str">
        <f t="shared" si="67"/>
        <v/>
      </c>
      <c r="Q291" s="450" t="str">
        <f t="shared" si="68"/>
        <v/>
      </c>
      <c r="R291" s="450" t="str">
        <f t="shared" si="69"/>
        <v/>
      </c>
      <c r="S291" s="450">
        <v>108.63</v>
      </c>
      <c r="T291" s="450" t="str">
        <f t="shared" si="74"/>
        <v/>
      </c>
      <c r="U291" s="450" t="str">
        <f t="shared" si="70"/>
        <v/>
      </c>
      <c r="V291" s="450" t="str">
        <f t="shared" si="63"/>
        <v/>
      </c>
      <c r="W291" s="450" t="str">
        <f t="shared" si="71"/>
        <v/>
      </c>
      <c r="X291" s="450" t="str">
        <f t="shared" si="72"/>
        <v/>
      </c>
      <c r="Y291" s="450" t="str">
        <f t="shared" si="73"/>
        <v/>
      </c>
      <c r="Z291" s="451" t="str">
        <f t="shared" si="60"/>
        <v/>
      </c>
    </row>
    <row r="292" spans="1:26" x14ac:dyDescent="0.35">
      <c r="A292" s="438">
        <v>45862</v>
      </c>
      <c r="B292" s="446">
        <v>108.63</v>
      </c>
      <c r="C292" s="439" t="s">
        <v>617</v>
      </c>
      <c r="D292" s="439" t="s">
        <v>602</v>
      </c>
      <c r="E292" s="439" t="s">
        <v>690</v>
      </c>
      <c r="F292" s="439" t="s">
        <v>581</v>
      </c>
      <c r="G292" s="440" t="b">
        <f>IF(A292="","",IF(Daten!$AE$4=0,TRUE,MONTH(A292)=Daten!$AE$4))</f>
        <v>1</v>
      </c>
      <c r="H292" s="454" t="s">
        <v>419</v>
      </c>
      <c r="I292" s="440" t="s">
        <v>73</v>
      </c>
      <c r="J292" s="440"/>
      <c r="K292" s="439" t="s">
        <v>637</v>
      </c>
      <c r="L292" s="452"/>
      <c r="M292" s="448" t="str">
        <f t="shared" si="64"/>
        <v/>
      </c>
      <c r="N292" s="448" t="str">
        <f t="shared" si="65"/>
        <v/>
      </c>
      <c r="O292" s="448" t="str">
        <f t="shared" si="66"/>
        <v/>
      </c>
      <c r="P292" s="448" t="str">
        <f t="shared" si="67"/>
        <v/>
      </c>
      <c r="Q292" s="448" t="str">
        <f t="shared" si="68"/>
        <v/>
      </c>
      <c r="R292" s="448" t="str">
        <f t="shared" si="69"/>
        <v/>
      </c>
      <c r="S292" s="448">
        <v>108.63</v>
      </c>
      <c r="T292" s="448" t="str">
        <f t="shared" si="74"/>
        <v/>
      </c>
      <c r="U292" s="448" t="str">
        <f t="shared" si="70"/>
        <v/>
      </c>
      <c r="V292" s="448" t="str">
        <f t="shared" si="63"/>
        <v/>
      </c>
      <c r="W292" s="448" t="str">
        <f t="shared" si="71"/>
        <v/>
      </c>
      <c r="X292" s="448" t="str">
        <f t="shared" si="72"/>
        <v/>
      </c>
      <c r="Y292" s="448" t="str">
        <f t="shared" si="73"/>
        <v/>
      </c>
      <c r="Z292" s="449" t="str">
        <f t="shared" si="60"/>
        <v/>
      </c>
    </row>
    <row r="293" spans="1:26" x14ac:dyDescent="0.35">
      <c r="A293" s="441">
        <v>45863</v>
      </c>
      <c r="B293" s="447">
        <v>108.63</v>
      </c>
      <c r="C293" s="442" t="s">
        <v>621</v>
      </c>
      <c r="D293" s="442" t="s">
        <v>593</v>
      </c>
      <c r="E293" s="442" t="s">
        <v>696</v>
      </c>
      <c r="F293" s="442" t="s">
        <v>581</v>
      </c>
      <c r="G293" s="443" t="b">
        <f>IF(A293="","",IF(Daten!$AE$4=0,TRUE,MONTH(A293)=Daten!$AE$4))</f>
        <v>1</v>
      </c>
      <c r="H293" s="454" t="s">
        <v>419</v>
      </c>
      <c r="I293" s="443" t="s">
        <v>73</v>
      </c>
      <c r="J293" s="443"/>
      <c r="K293" s="442" t="s">
        <v>637</v>
      </c>
      <c r="L293" s="453"/>
      <c r="M293" s="450" t="str">
        <f t="shared" si="64"/>
        <v/>
      </c>
      <c r="N293" s="450" t="str">
        <f t="shared" si="65"/>
        <v/>
      </c>
      <c r="O293" s="450" t="str">
        <f t="shared" si="66"/>
        <v/>
      </c>
      <c r="P293" s="450" t="str">
        <f t="shared" si="67"/>
        <v/>
      </c>
      <c r="Q293" s="450" t="str">
        <f t="shared" si="68"/>
        <v/>
      </c>
      <c r="R293" s="450" t="str">
        <f t="shared" si="69"/>
        <v/>
      </c>
      <c r="S293" s="450">
        <v>108.63</v>
      </c>
      <c r="T293" s="450" t="str">
        <f t="shared" si="74"/>
        <v/>
      </c>
      <c r="U293" s="450" t="str">
        <f t="shared" si="70"/>
        <v/>
      </c>
      <c r="V293" s="450" t="str">
        <f t="shared" si="63"/>
        <v/>
      </c>
      <c r="W293" s="450" t="str">
        <f t="shared" si="71"/>
        <v/>
      </c>
      <c r="X293" s="450" t="str">
        <f t="shared" si="72"/>
        <v/>
      </c>
      <c r="Y293" s="450" t="str">
        <f t="shared" si="73"/>
        <v/>
      </c>
      <c r="Z293" s="451" t="str">
        <f t="shared" si="60"/>
        <v/>
      </c>
    </row>
    <row r="294" spans="1:26" x14ac:dyDescent="0.35">
      <c r="A294" s="438">
        <v>45863</v>
      </c>
      <c r="B294" s="446">
        <v>15</v>
      </c>
      <c r="C294" s="439" t="s">
        <v>603</v>
      </c>
      <c r="D294" s="439" t="s">
        <v>604</v>
      </c>
      <c r="E294" s="439" t="s">
        <v>666</v>
      </c>
      <c r="F294" s="439" t="s">
        <v>570</v>
      </c>
      <c r="G294" s="440" t="b">
        <f>IF(A294="","",IF(Daten!$AE$4=0,TRUE,MONTH(A294)=Daten!$AE$4))</f>
        <v>1</v>
      </c>
      <c r="H294" s="454" t="s">
        <v>415</v>
      </c>
      <c r="I294" s="440" t="s">
        <v>73</v>
      </c>
      <c r="J294" s="440"/>
      <c r="K294" s="439" t="s">
        <v>637</v>
      </c>
      <c r="L294" s="452"/>
      <c r="M294" s="448" t="str">
        <f t="shared" si="64"/>
        <v/>
      </c>
      <c r="N294" s="448" t="str">
        <f t="shared" si="65"/>
        <v/>
      </c>
      <c r="O294" s="448" t="str">
        <f t="shared" si="66"/>
        <v/>
      </c>
      <c r="P294" s="448" t="str">
        <f t="shared" si="67"/>
        <v/>
      </c>
      <c r="Q294" s="448" t="str">
        <f t="shared" si="68"/>
        <v/>
      </c>
      <c r="R294" s="448" t="str">
        <f t="shared" si="69"/>
        <v/>
      </c>
      <c r="S294" s="448">
        <v>15</v>
      </c>
      <c r="T294" s="448" t="str">
        <f t="shared" si="74"/>
        <v/>
      </c>
      <c r="U294" s="448" t="str">
        <f t="shared" si="70"/>
        <v/>
      </c>
      <c r="V294" s="448" t="str">
        <f t="shared" si="63"/>
        <v/>
      </c>
      <c r="W294" s="448" t="str">
        <f t="shared" si="71"/>
        <v/>
      </c>
      <c r="X294" s="448" t="str">
        <f t="shared" si="72"/>
        <v/>
      </c>
      <c r="Y294" s="448" t="str">
        <f t="shared" si="73"/>
        <v/>
      </c>
      <c r="Z294" s="449" t="str">
        <f t="shared" si="60"/>
        <v/>
      </c>
    </row>
    <row r="295" spans="1:26" x14ac:dyDescent="0.35">
      <c r="A295" s="441">
        <v>45866</v>
      </c>
      <c r="B295" s="447">
        <v>7.5</v>
      </c>
      <c r="C295" s="442" t="s">
        <v>603</v>
      </c>
      <c r="D295" s="442" t="s">
        <v>604</v>
      </c>
      <c r="E295" s="442" t="s">
        <v>664</v>
      </c>
      <c r="F295" s="442" t="s">
        <v>570</v>
      </c>
      <c r="G295" s="443" t="b">
        <f>IF(A295="","",IF(Daten!$AE$4=0,TRUE,MONTH(A295)=Daten!$AE$4))</f>
        <v>1</v>
      </c>
      <c r="H295" s="454" t="s">
        <v>306</v>
      </c>
      <c r="I295" s="443" t="s">
        <v>73</v>
      </c>
      <c r="J295" s="443"/>
      <c r="K295" s="442" t="s">
        <v>637</v>
      </c>
      <c r="L295" s="453"/>
      <c r="M295" s="450">
        <v>7.5</v>
      </c>
      <c r="N295" s="450" t="str">
        <f t="shared" si="65"/>
        <v/>
      </c>
      <c r="O295" s="450" t="str">
        <f t="shared" si="66"/>
        <v/>
      </c>
      <c r="P295" s="450" t="str">
        <f t="shared" si="67"/>
        <v/>
      </c>
      <c r="Q295" s="450" t="str">
        <f t="shared" si="68"/>
        <v/>
      </c>
      <c r="R295" s="450" t="str">
        <f t="shared" si="69"/>
        <v/>
      </c>
      <c r="S295" s="450" t="str">
        <f>IF(OR(A295="", B295=""), "", IF(H295="Sonstige Einnahmen", ABS(B295), ""))</f>
        <v/>
      </c>
      <c r="T295" s="450" t="str">
        <f t="shared" si="74"/>
        <v/>
      </c>
      <c r="U295" s="450" t="str">
        <f t="shared" si="70"/>
        <v/>
      </c>
      <c r="V295" s="450" t="str">
        <f t="shared" si="63"/>
        <v/>
      </c>
      <c r="W295" s="450" t="str">
        <f t="shared" si="71"/>
        <v/>
      </c>
      <c r="X295" s="450" t="str">
        <f t="shared" si="72"/>
        <v/>
      </c>
      <c r="Y295" s="450" t="str">
        <f t="shared" si="73"/>
        <v/>
      </c>
      <c r="Z295" s="451" t="str">
        <f t="shared" si="60"/>
        <v/>
      </c>
    </row>
    <row r="296" spans="1:26" x14ac:dyDescent="0.35">
      <c r="A296" s="438">
        <v>45866</v>
      </c>
      <c r="B296" s="446">
        <v>7.5</v>
      </c>
      <c r="C296" s="439" t="s">
        <v>609</v>
      </c>
      <c r="D296" s="439" t="s">
        <v>610</v>
      </c>
      <c r="E296" s="439" t="s">
        <v>665</v>
      </c>
      <c r="F296" s="439" t="s">
        <v>570</v>
      </c>
      <c r="G296" s="440" t="b">
        <f>IF(A296="","",IF(Daten!$AE$4=0,TRUE,MONTH(A296)=Daten!$AE$4))</f>
        <v>1</v>
      </c>
      <c r="H296" s="454" t="s">
        <v>306</v>
      </c>
      <c r="I296" s="440" t="s">
        <v>73</v>
      </c>
      <c r="J296" s="440"/>
      <c r="K296" s="439" t="s">
        <v>637</v>
      </c>
      <c r="L296" s="452"/>
      <c r="M296" s="448">
        <v>7.5</v>
      </c>
      <c r="N296" s="448" t="str">
        <f t="shared" si="65"/>
        <v/>
      </c>
      <c r="O296" s="448" t="str">
        <f t="shared" si="66"/>
        <v/>
      </c>
      <c r="P296" s="448" t="str">
        <f t="shared" si="67"/>
        <v/>
      </c>
      <c r="Q296" s="448" t="str">
        <f t="shared" si="68"/>
        <v/>
      </c>
      <c r="R296" s="448" t="str">
        <f t="shared" si="69"/>
        <v/>
      </c>
      <c r="S296" s="448" t="str">
        <f>IF(OR(A296="", B296=""), "", IF(H296="Sonstige Einnahmen", ABS(B296), ""))</f>
        <v/>
      </c>
      <c r="T296" s="448" t="str">
        <f t="shared" si="74"/>
        <v/>
      </c>
      <c r="U296" s="448" t="str">
        <f t="shared" si="70"/>
        <v/>
      </c>
      <c r="V296" s="448" t="str">
        <f t="shared" si="63"/>
        <v/>
      </c>
      <c r="W296" s="448" t="str">
        <f t="shared" si="71"/>
        <v/>
      </c>
      <c r="X296" s="448" t="str">
        <f t="shared" si="72"/>
        <v/>
      </c>
      <c r="Y296" s="448" t="str">
        <f t="shared" si="73"/>
        <v/>
      </c>
      <c r="Z296" s="449" t="str">
        <f t="shared" si="60"/>
        <v/>
      </c>
    </row>
    <row r="297" spans="1:26" x14ac:dyDescent="0.35">
      <c r="A297" s="441">
        <v>45867</v>
      </c>
      <c r="B297" s="447">
        <v>108.63</v>
      </c>
      <c r="C297" s="442" t="s">
        <v>619</v>
      </c>
      <c r="D297" s="442" t="s">
        <v>620</v>
      </c>
      <c r="E297" s="442" t="s">
        <v>694</v>
      </c>
      <c r="F297" s="442" t="s">
        <v>581</v>
      </c>
      <c r="G297" s="443" t="b">
        <f>IF(A297="","",IF(Daten!$AE$4=0,TRUE,MONTH(A297)=Daten!$AE$4))</f>
        <v>1</v>
      </c>
      <c r="H297" s="454" t="s">
        <v>419</v>
      </c>
      <c r="I297" s="443" t="s">
        <v>73</v>
      </c>
      <c r="J297" s="443"/>
      <c r="K297" s="442" t="s">
        <v>637</v>
      </c>
      <c r="L297" s="453"/>
      <c r="M297" s="450" t="str">
        <f>IF(OR(A297="", B297=""), "", IF(H297="Mitgliedsbeiträge", ABS(B297), ""))</f>
        <v/>
      </c>
      <c r="N297" s="450" t="str">
        <f t="shared" si="65"/>
        <v/>
      </c>
      <c r="O297" s="450" t="str">
        <f t="shared" si="66"/>
        <v/>
      </c>
      <c r="P297" s="450" t="str">
        <f t="shared" si="67"/>
        <v/>
      </c>
      <c r="Q297" s="450" t="str">
        <f t="shared" si="68"/>
        <v/>
      </c>
      <c r="R297" s="450" t="str">
        <f t="shared" si="69"/>
        <v/>
      </c>
      <c r="S297" s="450">
        <v>108.63</v>
      </c>
      <c r="T297" s="450" t="str">
        <f t="shared" si="74"/>
        <v/>
      </c>
      <c r="U297" s="450" t="str">
        <f t="shared" si="70"/>
        <v/>
      </c>
      <c r="V297" s="450" t="str">
        <f t="shared" si="63"/>
        <v/>
      </c>
      <c r="W297" s="450" t="str">
        <f t="shared" si="71"/>
        <v/>
      </c>
      <c r="X297" s="450" t="str">
        <f t="shared" si="72"/>
        <v/>
      </c>
      <c r="Y297" s="450" t="str">
        <f t="shared" si="73"/>
        <v/>
      </c>
      <c r="Z297" s="451" t="str">
        <f t="shared" si="60"/>
        <v/>
      </c>
    </row>
    <row r="298" spans="1:26" x14ac:dyDescent="0.35">
      <c r="A298" s="438">
        <v>45867</v>
      </c>
      <c r="B298" s="446">
        <v>15</v>
      </c>
      <c r="C298" s="439" t="s">
        <v>597</v>
      </c>
      <c r="D298" s="439" t="s">
        <v>598</v>
      </c>
      <c r="E298" s="439" t="s">
        <v>306</v>
      </c>
      <c r="F298" s="439" t="s">
        <v>570</v>
      </c>
      <c r="G298" s="440" t="b">
        <f>IF(A298="","",IF(Daten!$AE$4=0,TRUE,MONTH(A298)=Daten!$AE$4))</f>
        <v>1</v>
      </c>
      <c r="H298" s="454" t="s">
        <v>306</v>
      </c>
      <c r="I298" s="440" t="s">
        <v>73</v>
      </c>
      <c r="J298" s="440"/>
      <c r="K298" s="439" t="s">
        <v>637</v>
      </c>
      <c r="L298" s="452"/>
      <c r="M298" s="448">
        <v>15</v>
      </c>
      <c r="N298" s="448" t="str">
        <f t="shared" si="65"/>
        <v/>
      </c>
      <c r="O298" s="448" t="str">
        <f t="shared" si="66"/>
        <v/>
      </c>
      <c r="P298" s="448" t="str">
        <f t="shared" si="67"/>
        <v/>
      </c>
      <c r="Q298" s="448" t="str">
        <f t="shared" si="68"/>
        <v/>
      </c>
      <c r="R298" s="448" t="str">
        <f t="shared" si="69"/>
        <v/>
      </c>
      <c r="S298" s="448" t="str">
        <f>IF(OR(A298="", B298=""), "", IF(H298="Sonstige Einnahmen", ABS(B298), ""))</f>
        <v/>
      </c>
      <c r="T298" s="448" t="str">
        <f t="shared" si="74"/>
        <v/>
      </c>
      <c r="U298" s="448" t="str">
        <f t="shared" si="70"/>
        <v/>
      </c>
      <c r="V298" s="448" t="str">
        <f t="shared" si="63"/>
        <v/>
      </c>
      <c r="W298" s="448" t="str">
        <f t="shared" si="71"/>
        <v/>
      </c>
      <c r="X298" s="448" t="str">
        <f t="shared" si="72"/>
        <v/>
      </c>
      <c r="Y298" s="448" t="str">
        <f t="shared" si="73"/>
        <v/>
      </c>
      <c r="Z298" s="449" t="str">
        <f t="shared" si="60"/>
        <v/>
      </c>
    </row>
    <row r="299" spans="1:26" x14ac:dyDescent="0.35">
      <c r="A299" s="441">
        <v>45867</v>
      </c>
      <c r="B299" s="447">
        <v>108.63</v>
      </c>
      <c r="C299" s="442" t="s">
        <v>603</v>
      </c>
      <c r="D299" s="442" t="s">
        <v>604</v>
      </c>
      <c r="E299" s="442" t="s">
        <v>695</v>
      </c>
      <c r="F299" s="442" t="s">
        <v>570</v>
      </c>
      <c r="G299" s="443" t="b">
        <f>IF(A299="","",IF(Daten!$AE$4=0,TRUE,MONTH(A299)=Daten!$AE$4))</f>
        <v>1</v>
      </c>
      <c r="H299" s="454" t="s">
        <v>419</v>
      </c>
      <c r="I299" s="443" t="s">
        <v>73</v>
      </c>
      <c r="J299" s="443"/>
      <c r="K299" s="442" t="s">
        <v>637</v>
      </c>
      <c r="L299" s="453"/>
      <c r="M299" s="450" t="str">
        <f>IF(OR(A299="", B299=""), "", IF(H299="Mitgliedsbeiträge", ABS(B299), ""))</f>
        <v/>
      </c>
      <c r="N299" s="450" t="str">
        <f t="shared" si="65"/>
        <v/>
      </c>
      <c r="O299" s="450" t="str">
        <f t="shared" si="66"/>
        <v/>
      </c>
      <c r="P299" s="450" t="str">
        <f t="shared" si="67"/>
        <v/>
      </c>
      <c r="Q299" s="450" t="str">
        <f t="shared" si="68"/>
        <v/>
      </c>
      <c r="R299" s="450" t="str">
        <f t="shared" si="69"/>
        <v/>
      </c>
      <c r="S299" s="450">
        <v>108.63</v>
      </c>
      <c r="T299" s="450" t="str">
        <f t="shared" si="74"/>
        <v/>
      </c>
      <c r="U299" s="450" t="str">
        <f t="shared" si="70"/>
        <v/>
      </c>
      <c r="V299" s="450" t="str">
        <f t="shared" si="63"/>
        <v/>
      </c>
      <c r="W299" s="450" t="str">
        <f t="shared" si="71"/>
        <v/>
      </c>
      <c r="X299" s="450" t="str">
        <f t="shared" si="72"/>
        <v/>
      </c>
      <c r="Y299" s="450" t="str">
        <f t="shared" si="73"/>
        <v/>
      </c>
      <c r="Z299" s="451" t="str">
        <f t="shared" si="60"/>
        <v/>
      </c>
    </row>
    <row r="300" spans="1:26" x14ac:dyDescent="0.35">
      <c r="A300" s="438">
        <v>45869</v>
      </c>
      <c r="B300" s="446">
        <v>108.63</v>
      </c>
      <c r="C300" s="439" t="s">
        <v>597</v>
      </c>
      <c r="D300" s="439" t="s">
        <v>598</v>
      </c>
      <c r="E300" s="439" t="s">
        <v>693</v>
      </c>
      <c r="F300" s="439" t="s">
        <v>581</v>
      </c>
      <c r="G300" s="440" t="b">
        <f>IF(A300="","",IF(Daten!$AE$4=0,TRUE,MONTH(A300)=Daten!$AE$4))</f>
        <v>1</v>
      </c>
      <c r="H300" s="454" t="s">
        <v>419</v>
      </c>
      <c r="I300" s="440" t="s">
        <v>73</v>
      </c>
      <c r="J300" s="440"/>
      <c r="K300" s="439" t="s">
        <v>637</v>
      </c>
      <c r="L300" s="452"/>
      <c r="M300" s="448" t="str">
        <f>IF(OR(A300="", B300=""), "", IF(H300="Mitgliedsbeiträge", ABS(B300), ""))</f>
        <v/>
      </c>
      <c r="N300" s="448" t="str">
        <f t="shared" si="65"/>
        <v/>
      </c>
      <c r="O300" s="448" t="str">
        <f t="shared" si="66"/>
        <v/>
      </c>
      <c r="P300" s="448" t="str">
        <f t="shared" si="67"/>
        <v/>
      </c>
      <c r="Q300" s="448" t="str">
        <f t="shared" si="68"/>
        <v/>
      </c>
      <c r="R300" s="448" t="str">
        <f t="shared" si="69"/>
        <v/>
      </c>
      <c r="S300" s="448">
        <v>108.63</v>
      </c>
      <c r="T300" s="448" t="str">
        <f t="shared" si="74"/>
        <v/>
      </c>
      <c r="U300" s="448" t="str">
        <f t="shared" si="70"/>
        <v/>
      </c>
      <c r="V300" s="448" t="str">
        <f t="shared" si="63"/>
        <v/>
      </c>
      <c r="W300" s="448" t="str">
        <f t="shared" si="71"/>
        <v/>
      </c>
      <c r="X300" s="448" t="str">
        <f t="shared" si="72"/>
        <v/>
      </c>
      <c r="Y300" s="448" t="str">
        <f t="shared" si="73"/>
        <v/>
      </c>
      <c r="Z300" s="449" t="str">
        <f t="shared" si="60"/>
        <v/>
      </c>
    </row>
    <row r="301" spans="1:26" x14ac:dyDescent="0.35">
      <c r="A301" s="441">
        <v>45870</v>
      </c>
      <c r="B301" s="447">
        <v>15</v>
      </c>
      <c r="C301" s="442" t="s">
        <v>584</v>
      </c>
      <c r="D301" s="442" t="s">
        <v>585</v>
      </c>
      <c r="E301" s="442" t="s">
        <v>655</v>
      </c>
      <c r="F301" s="442" t="s">
        <v>570</v>
      </c>
      <c r="G301" s="443" t="b">
        <f>IF(A301="","",IF(Daten!$AE$4=0,TRUE,MONTH(A301)=Daten!$AE$4))</f>
        <v>1</v>
      </c>
      <c r="H301" s="454" t="s">
        <v>306</v>
      </c>
      <c r="I301" s="443" t="s">
        <v>72</v>
      </c>
      <c r="J301" s="443"/>
      <c r="K301" s="442" t="s">
        <v>637</v>
      </c>
      <c r="L301" s="453"/>
      <c r="M301" s="450">
        <v>15</v>
      </c>
      <c r="N301" s="450" t="str">
        <f t="shared" si="65"/>
        <v/>
      </c>
      <c r="O301" s="450" t="str">
        <f t="shared" si="66"/>
        <v/>
      </c>
      <c r="P301" s="450" t="str">
        <f t="shared" si="67"/>
        <v/>
      </c>
      <c r="Q301" s="450" t="str">
        <f t="shared" si="68"/>
        <v/>
      </c>
      <c r="R301" s="450" t="str">
        <f t="shared" si="69"/>
        <v/>
      </c>
      <c r="S301" s="450" t="str">
        <f>IF(OR(A301="", B301=""), "", IF(H301="Sonstige Einnahmen", ABS(B301), ""))</f>
        <v/>
      </c>
      <c r="T301" s="450" t="str">
        <f t="shared" si="74"/>
        <v/>
      </c>
      <c r="U301" s="450" t="str">
        <f t="shared" si="70"/>
        <v/>
      </c>
      <c r="V301" s="450" t="str">
        <f t="shared" si="63"/>
        <v/>
      </c>
      <c r="W301" s="450" t="str">
        <f t="shared" si="71"/>
        <v/>
      </c>
      <c r="X301" s="450" t="str">
        <f t="shared" si="72"/>
        <v/>
      </c>
      <c r="Y301" s="450" t="str">
        <f t="shared" si="73"/>
        <v/>
      </c>
      <c r="Z301" s="451" t="str">
        <f t="shared" si="60"/>
        <v/>
      </c>
    </row>
    <row r="302" spans="1:26" ht="58" x14ac:dyDescent="0.35">
      <c r="A302" s="438">
        <v>45870</v>
      </c>
      <c r="B302" s="446">
        <v>15</v>
      </c>
      <c r="C302" s="439" t="s">
        <v>56</v>
      </c>
      <c r="D302" s="439" t="s">
        <v>602</v>
      </c>
      <c r="E302" s="439" t="s">
        <v>657</v>
      </c>
      <c r="F302" s="439" t="s">
        <v>570</v>
      </c>
      <c r="G302" s="440" t="b">
        <f>IF(A302="","",IF(Daten!$AE$4=0,TRUE,MONTH(A302)=Daten!$AE$4))</f>
        <v>1</v>
      </c>
      <c r="H302" s="455" t="s">
        <v>463</v>
      </c>
      <c r="I302" s="440" t="s">
        <v>72</v>
      </c>
      <c r="J302" s="440"/>
      <c r="K302" s="439" t="s">
        <v>637</v>
      </c>
      <c r="L302" s="452" t="s">
        <v>781</v>
      </c>
      <c r="M302" s="448" t="str">
        <f>IF(OR(A302="", B302=""), "", IF(H302="Mitgliedsbeiträge", ABS(B302), ""))</f>
        <v/>
      </c>
      <c r="N302" s="448" t="str">
        <f t="shared" si="65"/>
        <v/>
      </c>
      <c r="O302" s="448" t="str">
        <f t="shared" si="66"/>
        <v/>
      </c>
      <c r="P302" s="448" t="str">
        <f t="shared" si="67"/>
        <v/>
      </c>
      <c r="Q302" s="448" t="str">
        <f t="shared" si="68"/>
        <v/>
      </c>
      <c r="R302" s="448" t="str">
        <f t="shared" si="69"/>
        <v/>
      </c>
      <c r="S302" s="448">
        <v>15</v>
      </c>
      <c r="T302" s="448" t="str">
        <f t="shared" si="74"/>
        <v/>
      </c>
      <c r="U302" s="448" t="str">
        <f t="shared" si="70"/>
        <v/>
      </c>
      <c r="V302" s="448" t="str">
        <f t="shared" si="63"/>
        <v/>
      </c>
      <c r="W302" s="448" t="str">
        <f t="shared" si="71"/>
        <v/>
      </c>
      <c r="X302" s="448" t="str">
        <f t="shared" si="72"/>
        <v/>
      </c>
      <c r="Y302" s="448" t="str">
        <f t="shared" si="73"/>
        <v/>
      </c>
      <c r="Z302" s="449" t="str">
        <f t="shared" si="60"/>
        <v/>
      </c>
    </row>
    <row r="303" spans="1:26" x14ac:dyDescent="0.35">
      <c r="A303" s="441">
        <v>45870</v>
      </c>
      <c r="B303" s="447">
        <v>7.5</v>
      </c>
      <c r="C303" s="442" t="s">
        <v>56</v>
      </c>
      <c r="D303" s="442" t="s">
        <v>602</v>
      </c>
      <c r="E303" s="442" t="s">
        <v>386</v>
      </c>
      <c r="F303" s="442" t="s">
        <v>570</v>
      </c>
      <c r="G303" s="443" t="b">
        <f>IF(A303="","",IF(Daten!$AE$4=0,TRUE,MONTH(A303)=Daten!$AE$4))</f>
        <v>1</v>
      </c>
      <c r="H303" s="454" t="s">
        <v>306</v>
      </c>
      <c r="I303" s="443" t="s">
        <v>72</v>
      </c>
      <c r="J303" s="443"/>
      <c r="K303" s="442" t="s">
        <v>637</v>
      </c>
      <c r="L303" s="453"/>
      <c r="M303" s="450">
        <v>7.5</v>
      </c>
      <c r="N303" s="450" t="str">
        <f t="shared" si="65"/>
        <v/>
      </c>
      <c r="O303" s="450" t="str">
        <f t="shared" si="66"/>
        <v/>
      </c>
      <c r="P303" s="450" t="str">
        <f t="shared" si="67"/>
        <v/>
      </c>
      <c r="Q303" s="450" t="str">
        <f t="shared" si="68"/>
        <v/>
      </c>
      <c r="R303" s="450" t="str">
        <f t="shared" si="69"/>
        <v/>
      </c>
      <c r="S303" s="450" t="str">
        <f>IF(OR(A303="", B303=""), "", IF(H303="Sonstige Einnahmen", ABS(B303), ""))</f>
        <v/>
      </c>
      <c r="T303" s="450" t="str">
        <f t="shared" si="74"/>
        <v/>
      </c>
      <c r="U303" s="450" t="str">
        <f t="shared" si="70"/>
        <v/>
      </c>
      <c r="V303" s="450" t="str">
        <f t="shared" si="63"/>
        <v/>
      </c>
      <c r="W303" s="450" t="str">
        <f t="shared" si="71"/>
        <v/>
      </c>
      <c r="X303" s="450" t="str">
        <f t="shared" si="72"/>
        <v/>
      </c>
      <c r="Y303" s="450" t="str">
        <f t="shared" si="73"/>
        <v/>
      </c>
      <c r="Z303" s="451" t="str">
        <f t="shared" si="60"/>
        <v/>
      </c>
    </row>
    <row r="304" spans="1:26" x14ac:dyDescent="0.35">
      <c r="A304" s="438">
        <v>45870</v>
      </c>
      <c r="B304" s="446">
        <v>15</v>
      </c>
      <c r="C304" s="439" t="s">
        <v>595</v>
      </c>
      <c r="D304" s="439" t="s">
        <v>596</v>
      </c>
      <c r="E304" s="439" t="s">
        <v>656</v>
      </c>
      <c r="F304" s="439" t="s">
        <v>570</v>
      </c>
      <c r="G304" s="440" t="b">
        <f>IF(A304="","",IF(Daten!$AE$4=0,TRUE,MONTH(A304)=Daten!$AE$4))</f>
        <v>1</v>
      </c>
      <c r="H304" s="454" t="s">
        <v>306</v>
      </c>
      <c r="I304" s="440" t="s">
        <v>72</v>
      </c>
      <c r="J304" s="440"/>
      <c r="K304" s="439" t="s">
        <v>637</v>
      </c>
      <c r="L304" s="452"/>
      <c r="M304" s="448">
        <v>15</v>
      </c>
      <c r="N304" s="448" t="str">
        <f t="shared" si="65"/>
        <v/>
      </c>
      <c r="O304" s="448" t="str">
        <f t="shared" si="66"/>
        <v/>
      </c>
      <c r="P304" s="448" t="str">
        <f t="shared" si="67"/>
        <v/>
      </c>
      <c r="Q304" s="448" t="str">
        <f t="shared" si="68"/>
        <v/>
      </c>
      <c r="R304" s="448" t="str">
        <f t="shared" si="69"/>
        <v/>
      </c>
      <c r="S304" s="448" t="str">
        <f>IF(OR(A304="", B304=""), "", IF(H304="Sonstige Einnahmen", ABS(B304), ""))</f>
        <v/>
      </c>
      <c r="T304" s="448" t="str">
        <f t="shared" si="74"/>
        <v/>
      </c>
      <c r="U304" s="448" t="str">
        <f t="shared" si="70"/>
        <v/>
      </c>
      <c r="V304" s="448" t="str">
        <f t="shared" si="63"/>
        <v/>
      </c>
      <c r="W304" s="448" t="str">
        <f t="shared" si="71"/>
        <v/>
      </c>
      <c r="X304" s="448" t="str">
        <f t="shared" si="72"/>
        <v/>
      </c>
      <c r="Y304" s="448" t="str">
        <f t="shared" si="73"/>
        <v/>
      </c>
      <c r="Z304" s="449" t="str">
        <f t="shared" si="60"/>
        <v/>
      </c>
    </row>
    <row r="305" spans="1:26" x14ac:dyDescent="0.35">
      <c r="A305" s="441">
        <v>45870</v>
      </c>
      <c r="B305" s="447">
        <v>15</v>
      </c>
      <c r="C305" s="442" t="s">
        <v>590</v>
      </c>
      <c r="D305" s="442" t="s">
        <v>591</v>
      </c>
      <c r="E305" s="442" t="s">
        <v>659</v>
      </c>
      <c r="F305" s="442" t="s">
        <v>570</v>
      </c>
      <c r="G305" s="443" t="b">
        <f>IF(A305="","",IF(Daten!$AE$4=0,TRUE,MONTH(A305)=Daten!$AE$4))</f>
        <v>1</v>
      </c>
      <c r="H305" s="454" t="s">
        <v>415</v>
      </c>
      <c r="I305" s="443" t="s">
        <v>72</v>
      </c>
      <c r="J305" s="443"/>
      <c r="K305" s="442" t="s">
        <v>637</v>
      </c>
      <c r="L305" s="453"/>
      <c r="M305" s="450" t="str">
        <f>IF(OR(A305="", B305=""), "", IF(H305="Mitgliedsbeiträge", ABS(B305), ""))</f>
        <v/>
      </c>
      <c r="N305" s="450" t="str">
        <f t="shared" si="65"/>
        <v/>
      </c>
      <c r="O305" s="450" t="str">
        <f t="shared" si="66"/>
        <v/>
      </c>
      <c r="P305" s="450" t="str">
        <f t="shared" si="67"/>
        <v/>
      </c>
      <c r="Q305" s="450" t="str">
        <f t="shared" si="68"/>
        <v/>
      </c>
      <c r="R305" s="450" t="str">
        <f t="shared" si="69"/>
        <v/>
      </c>
      <c r="S305" s="450">
        <v>15</v>
      </c>
      <c r="T305" s="450" t="str">
        <f t="shared" si="74"/>
        <v/>
      </c>
      <c r="U305" s="450" t="str">
        <f t="shared" si="70"/>
        <v/>
      </c>
      <c r="V305" s="450" t="str">
        <f t="shared" si="63"/>
        <v/>
      </c>
      <c r="W305" s="450" t="str">
        <f t="shared" si="71"/>
        <v/>
      </c>
      <c r="X305" s="450" t="str">
        <f t="shared" si="72"/>
        <v/>
      </c>
      <c r="Y305" s="450" t="str">
        <f t="shared" si="73"/>
        <v/>
      </c>
      <c r="Z305" s="451" t="str">
        <f t="shared" si="60"/>
        <v/>
      </c>
    </row>
    <row r="306" spans="1:26" x14ac:dyDescent="0.35">
      <c r="A306" s="438">
        <v>45870</v>
      </c>
      <c r="B306" s="446">
        <v>15</v>
      </c>
      <c r="C306" s="439" t="s">
        <v>607</v>
      </c>
      <c r="D306" s="439" t="s">
        <v>608</v>
      </c>
      <c r="E306" s="439" t="s">
        <v>661</v>
      </c>
      <c r="F306" s="439" t="s">
        <v>570</v>
      </c>
      <c r="G306" s="440" t="b">
        <f>IF(A306="","",IF(Daten!$AE$4=0,TRUE,MONTH(A306)=Daten!$AE$4))</f>
        <v>1</v>
      </c>
      <c r="H306" s="454" t="s">
        <v>306</v>
      </c>
      <c r="I306" s="440" t="s">
        <v>72</v>
      </c>
      <c r="J306" s="440"/>
      <c r="K306" s="439" t="s">
        <v>637</v>
      </c>
      <c r="L306" s="452"/>
      <c r="M306" s="448">
        <v>15</v>
      </c>
      <c r="N306" s="448" t="str">
        <f t="shared" si="65"/>
        <v/>
      </c>
      <c r="O306" s="448" t="str">
        <f t="shared" si="66"/>
        <v/>
      </c>
      <c r="P306" s="448" t="str">
        <f t="shared" si="67"/>
        <v/>
      </c>
      <c r="Q306" s="448" t="str">
        <f t="shared" si="68"/>
        <v/>
      </c>
      <c r="R306" s="448" t="str">
        <f t="shared" si="69"/>
        <v/>
      </c>
      <c r="S306" s="448" t="str">
        <f>IF(OR(A306="", B306=""), "", IF(H306="Sonstige Einnahmen", ABS(B306), ""))</f>
        <v/>
      </c>
      <c r="T306" s="448" t="str">
        <f t="shared" si="74"/>
        <v/>
      </c>
      <c r="U306" s="448" t="str">
        <f t="shared" si="70"/>
        <v/>
      </c>
      <c r="V306" s="448" t="str">
        <f t="shared" si="63"/>
        <v/>
      </c>
      <c r="W306" s="448" t="str">
        <f t="shared" si="71"/>
        <v/>
      </c>
      <c r="X306" s="448" t="str">
        <f t="shared" si="72"/>
        <v/>
      </c>
      <c r="Y306" s="448" t="str">
        <f t="shared" si="73"/>
        <v/>
      </c>
      <c r="Z306" s="449" t="str">
        <f t="shared" ref="Z306:Z369" si="75">IF(OR(A306="", B306=""), "", IF(H306="Kasse-Auszahlung", ABS(B306), ""))</f>
        <v/>
      </c>
    </row>
    <row r="307" spans="1:26" x14ac:dyDescent="0.35">
      <c r="A307" s="441">
        <v>45870</v>
      </c>
      <c r="B307" s="447">
        <v>15</v>
      </c>
      <c r="C307" s="442" t="s">
        <v>605</v>
      </c>
      <c r="D307" s="442" t="s">
        <v>606</v>
      </c>
      <c r="E307" s="442" t="s">
        <v>662</v>
      </c>
      <c r="F307" s="442" t="s">
        <v>570</v>
      </c>
      <c r="G307" s="443" t="b">
        <f>IF(A307="","",IF(Daten!$AE$4=0,TRUE,MONTH(A307)=Daten!$AE$4))</f>
        <v>1</v>
      </c>
      <c r="H307" s="454" t="s">
        <v>306</v>
      </c>
      <c r="I307" s="443" t="s">
        <v>72</v>
      </c>
      <c r="J307" s="443"/>
      <c r="K307" s="442" t="s">
        <v>637</v>
      </c>
      <c r="L307" s="453"/>
      <c r="M307" s="450">
        <v>15</v>
      </c>
      <c r="N307" s="450" t="str">
        <f t="shared" si="65"/>
        <v/>
      </c>
      <c r="O307" s="450" t="str">
        <f t="shared" si="66"/>
        <v/>
      </c>
      <c r="P307" s="450" t="str">
        <f t="shared" si="67"/>
        <v/>
      </c>
      <c r="Q307" s="450" t="str">
        <f t="shared" si="68"/>
        <v/>
      </c>
      <c r="R307" s="450" t="str">
        <f t="shared" si="69"/>
        <v/>
      </c>
      <c r="S307" s="450" t="str">
        <f>IF(OR(A307="", B307=""), "", IF(H307="Sonstige Einnahmen", ABS(B307), ""))</f>
        <v/>
      </c>
      <c r="T307" s="450" t="str">
        <f t="shared" si="74"/>
        <v/>
      </c>
      <c r="U307" s="450" t="str">
        <f t="shared" si="70"/>
        <v/>
      </c>
      <c r="V307" s="450" t="str">
        <f t="shared" si="63"/>
        <v/>
      </c>
      <c r="W307" s="450" t="str">
        <f t="shared" si="71"/>
        <v/>
      </c>
      <c r="X307" s="450" t="str">
        <f t="shared" si="72"/>
        <v/>
      </c>
      <c r="Y307" s="450" t="str">
        <f t="shared" si="73"/>
        <v/>
      </c>
      <c r="Z307" s="451" t="str">
        <f t="shared" si="75"/>
        <v/>
      </c>
    </row>
    <row r="308" spans="1:26" x14ac:dyDescent="0.35">
      <c r="A308" s="438">
        <v>45870</v>
      </c>
      <c r="B308" s="446">
        <v>15</v>
      </c>
      <c r="C308" s="439" t="s">
        <v>605</v>
      </c>
      <c r="D308" s="439" t="s">
        <v>606</v>
      </c>
      <c r="E308" s="439" t="s">
        <v>660</v>
      </c>
      <c r="F308" s="439" t="s">
        <v>570</v>
      </c>
      <c r="G308" s="440" t="b">
        <f>IF(A308="","",IF(Daten!$AE$4=0,TRUE,MONTH(A308)=Daten!$AE$4))</f>
        <v>1</v>
      </c>
      <c r="H308" s="454" t="s">
        <v>415</v>
      </c>
      <c r="I308" s="440" t="s">
        <v>72</v>
      </c>
      <c r="J308" s="440"/>
      <c r="K308" s="439" t="s">
        <v>637</v>
      </c>
      <c r="L308" s="452"/>
      <c r="M308" s="448" t="str">
        <f>IF(OR(A308="", B308=""), "", IF(H308="Mitgliedsbeiträge", ABS(B308), ""))</f>
        <v/>
      </c>
      <c r="N308" s="448" t="str">
        <f t="shared" si="65"/>
        <v/>
      </c>
      <c r="O308" s="448" t="str">
        <f t="shared" si="66"/>
        <v/>
      </c>
      <c r="P308" s="448" t="str">
        <f t="shared" si="67"/>
        <v/>
      </c>
      <c r="Q308" s="448" t="str">
        <f t="shared" si="68"/>
        <v/>
      </c>
      <c r="R308" s="448" t="str">
        <f t="shared" si="69"/>
        <v/>
      </c>
      <c r="S308" s="448">
        <v>15</v>
      </c>
      <c r="T308" s="448" t="str">
        <f t="shared" si="74"/>
        <v/>
      </c>
      <c r="U308" s="448" t="str">
        <f t="shared" si="70"/>
        <v/>
      </c>
      <c r="V308" s="448" t="str">
        <f t="shared" si="63"/>
        <v/>
      </c>
      <c r="W308" s="448" t="str">
        <f t="shared" si="71"/>
        <v/>
      </c>
      <c r="X308" s="448" t="str">
        <f t="shared" si="72"/>
        <v/>
      </c>
      <c r="Y308" s="448" t="str">
        <f t="shared" si="73"/>
        <v/>
      </c>
      <c r="Z308" s="449" t="str">
        <f t="shared" si="75"/>
        <v/>
      </c>
    </row>
    <row r="309" spans="1:26" x14ac:dyDescent="0.35">
      <c r="A309" s="441">
        <v>45870</v>
      </c>
      <c r="B309" s="447">
        <v>-5.6</v>
      </c>
      <c r="C309" s="442"/>
      <c r="D309" s="442">
        <v>0</v>
      </c>
      <c r="E309" s="442" t="s">
        <v>663</v>
      </c>
      <c r="F309" s="442" t="s">
        <v>381</v>
      </c>
      <c r="G309" s="443" t="b">
        <f>IF(A309="","",IF(Daten!$AE$4=0,TRUE,MONTH(A309)=Daten!$AE$4))</f>
        <v>1</v>
      </c>
      <c r="H309" s="456" t="s">
        <v>782</v>
      </c>
      <c r="I309" s="443" t="s">
        <v>72</v>
      </c>
      <c r="J309" s="443"/>
      <c r="K309" s="442" t="s">
        <v>637</v>
      </c>
      <c r="L309" s="453" t="s">
        <v>783</v>
      </c>
      <c r="M309" s="450" t="str">
        <f>IF(OR(A309="", B309=""), "", IF(H309="Mitgliedsbeiträge", ABS(B309), ""))</f>
        <v/>
      </c>
      <c r="N309" s="450" t="str">
        <f t="shared" si="65"/>
        <v/>
      </c>
      <c r="O309" s="450" t="str">
        <f t="shared" si="66"/>
        <v/>
      </c>
      <c r="P309" s="450" t="str">
        <f t="shared" si="67"/>
        <v/>
      </c>
      <c r="Q309" s="450" t="str">
        <f t="shared" si="68"/>
        <v/>
      </c>
      <c r="R309" s="450" t="str">
        <f t="shared" si="69"/>
        <v/>
      </c>
      <c r="S309" s="450" t="str">
        <f>IF(OR(A309="", B309=""), "", IF(H309="Sonstige Einnahmen", ABS(B309), ""))</f>
        <v/>
      </c>
      <c r="T309" s="450" t="str">
        <f t="shared" si="74"/>
        <v/>
      </c>
      <c r="U309" s="450" t="str">
        <f t="shared" si="70"/>
        <v/>
      </c>
      <c r="V309" s="450" t="str">
        <f t="shared" si="63"/>
        <v/>
      </c>
      <c r="W309" s="450" t="str">
        <f t="shared" si="71"/>
        <v/>
      </c>
      <c r="X309" s="450" t="str">
        <f t="shared" si="72"/>
        <v/>
      </c>
      <c r="Y309" s="450" t="str">
        <f t="shared" si="73"/>
        <v/>
      </c>
      <c r="Z309" s="451" t="str">
        <f t="shared" si="75"/>
        <v/>
      </c>
    </row>
    <row r="310" spans="1:26" x14ac:dyDescent="0.35">
      <c r="A310" s="438">
        <v>45873</v>
      </c>
      <c r="B310" s="446">
        <v>7.5</v>
      </c>
      <c r="C310" s="439" t="s">
        <v>592</v>
      </c>
      <c r="D310" s="439" t="s">
        <v>593</v>
      </c>
      <c r="E310" s="439" t="s">
        <v>651</v>
      </c>
      <c r="F310" s="439" t="s">
        <v>570</v>
      </c>
      <c r="G310" s="440" t="b">
        <f>IF(A310="","",IF(Daten!$AE$4=0,TRUE,MONTH(A310)=Daten!$AE$4))</f>
        <v>1</v>
      </c>
      <c r="H310" s="454" t="s">
        <v>306</v>
      </c>
      <c r="I310" s="440" t="s">
        <v>72</v>
      </c>
      <c r="J310" s="440"/>
      <c r="K310" s="439" t="s">
        <v>637</v>
      </c>
      <c r="L310" s="452"/>
      <c r="M310" s="448">
        <v>7.5</v>
      </c>
      <c r="N310" s="448" t="str">
        <f t="shared" si="65"/>
        <v/>
      </c>
      <c r="O310" s="448" t="str">
        <f t="shared" si="66"/>
        <v/>
      </c>
      <c r="P310" s="448" t="str">
        <f t="shared" si="67"/>
        <v/>
      </c>
      <c r="Q310" s="448" t="str">
        <f t="shared" si="68"/>
        <v/>
      </c>
      <c r="R310" s="448" t="str">
        <f t="shared" si="69"/>
        <v/>
      </c>
      <c r="S310" s="448" t="str">
        <f>IF(OR(A310="", B310=""), "", IF(H310="Sonstige Einnahmen", ABS(B310), ""))</f>
        <v/>
      </c>
      <c r="T310" s="448" t="str">
        <f t="shared" si="74"/>
        <v/>
      </c>
      <c r="U310" s="448" t="str">
        <f t="shared" si="70"/>
        <v/>
      </c>
      <c r="V310" s="448" t="str">
        <f t="shared" si="63"/>
        <v/>
      </c>
      <c r="W310" s="448" t="str">
        <f t="shared" si="71"/>
        <v/>
      </c>
      <c r="X310" s="448" t="str">
        <f t="shared" si="72"/>
        <v/>
      </c>
      <c r="Y310" s="448" t="str">
        <f t="shared" si="73"/>
        <v/>
      </c>
      <c r="Z310" s="449" t="str">
        <f t="shared" si="75"/>
        <v/>
      </c>
    </row>
    <row r="311" spans="1:26" x14ac:dyDescent="0.35">
      <c r="A311" s="441">
        <v>45873</v>
      </c>
      <c r="B311" s="447">
        <v>15</v>
      </c>
      <c r="C311" s="442" t="s">
        <v>51</v>
      </c>
      <c r="D311" s="442" t="s">
        <v>589</v>
      </c>
      <c r="E311" s="442" t="s">
        <v>384</v>
      </c>
      <c r="F311" s="442" t="s">
        <v>570</v>
      </c>
      <c r="G311" s="443" t="b">
        <f>IF(A311="","",IF(Daten!$AE$4=0,TRUE,MONTH(A311)=Daten!$AE$4))</f>
        <v>1</v>
      </c>
      <c r="H311" s="454" t="s">
        <v>415</v>
      </c>
      <c r="I311" s="443" t="s">
        <v>72</v>
      </c>
      <c r="J311" s="443"/>
      <c r="K311" s="442" t="s">
        <v>637</v>
      </c>
      <c r="L311" s="453"/>
      <c r="M311" s="450" t="str">
        <f>IF(OR(A311="", B311=""), "", IF(H311="Mitgliedsbeiträge", ABS(B311), ""))</f>
        <v/>
      </c>
      <c r="N311" s="450" t="str">
        <f t="shared" si="65"/>
        <v/>
      </c>
      <c r="O311" s="450" t="str">
        <f t="shared" si="66"/>
        <v/>
      </c>
      <c r="P311" s="450" t="str">
        <f t="shared" si="67"/>
        <v/>
      </c>
      <c r="Q311" s="450" t="str">
        <f t="shared" si="68"/>
        <v/>
      </c>
      <c r="R311" s="450" t="str">
        <f t="shared" si="69"/>
        <v/>
      </c>
      <c r="S311" s="450">
        <v>15</v>
      </c>
      <c r="T311" s="450" t="str">
        <f t="shared" si="74"/>
        <v/>
      </c>
      <c r="U311" s="450" t="str">
        <f t="shared" si="70"/>
        <v/>
      </c>
      <c r="V311" s="450" t="str">
        <f t="shared" si="63"/>
        <v/>
      </c>
      <c r="W311" s="450" t="str">
        <f t="shared" si="71"/>
        <v/>
      </c>
      <c r="X311" s="450" t="str">
        <f t="shared" si="72"/>
        <v/>
      </c>
      <c r="Y311" s="450" t="str">
        <f t="shared" si="73"/>
        <v/>
      </c>
      <c r="Z311" s="451" t="str">
        <f t="shared" si="75"/>
        <v/>
      </c>
    </row>
    <row r="312" spans="1:26" ht="58" x14ac:dyDescent="0.35">
      <c r="A312" s="438">
        <v>45873</v>
      </c>
      <c r="B312" s="446">
        <v>15</v>
      </c>
      <c r="C312" s="439" t="s">
        <v>582</v>
      </c>
      <c r="D312" s="439" t="s">
        <v>583</v>
      </c>
      <c r="E312" s="439" t="s">
        <v>650</v>
      </c>
      <c r="F312" s="439" t="s">
        <v>570</v>
      </c>
      <c r="G312" s="440" t="b">
        <f>IF(A312="","",IF(Daten!$AE$4=0,TRUE,MONTH(A312)=Daten!$AE$4))</f>
        <v>1</v>
      </c>
      <c r="H312" s="455" t="s">
        <v>415</v>
      </c>
      <c r="I312" s="440" t="s">
        <v>72</v>
      </c>
      <c r="J312" s="440"/>
      <c r="K312" s="439" t="s">
        <v>637</v>
      </c>
      <c r="L312" s="452" t="s">
        <v>781</v>
      </c>
      <c r="M312" s="448" t="str">
        <f>IF(OR(A312="", B312=""), "", IF(H312="Mitgliedsbeiträge", ABS(B312), ""))</f>
        <v/>
      </c>
      <c r="N312" s="448" t="str">
        <f t="shared" si="65"/>
        <v/>
      </c>
      <c r="O312" s="448" t="str">
        <f t="shared" si="66"/>
        <v/>
      </c>
      <c r="P312" s="448" t="str">
        <f t="shared" si="67"/>
        <v/>
      </c>
      <c r="Q312" s="448" t="str">
        <f t="shared" si="68"/>
        <v/>
      </c>
      <c r="R312" s="448" t="str">
        <f t="shared" si="69"/>
        <v/>
      </c>
      <c r="S312" s="448">
        <v>15</v>
      </c>
      <c r="T312" s="448" t="str">
        <f t="shared" si="74"/>
        <v/>
      </c>
      <c r="U312" s="448" t="str">
        <f t="shared" si="70"/>
        <v/>
      </c>
      <c r="V312" s="448" t="str">
        <f t="shared" si="63"/>
        <v/>
      </c>
      <c r="W312" s="448" t="str">
        <f t="shared" si="71"/>
        <v/>
      </c>
      <c r="X312" s="448" t="str">
        <f t="shared" si="72"/>
        <v/>
      </c>
      <c r="Y312" s="448" t="str">
        <f t="shared" si="73"/>
        <v/>
      </c>
      <c r="Z312" s="449" t="str">
        <f t="shared" si="75"/>
        <v/>
      </c>
    </row>
    <row r="313" spans="1:26" x14ac:dyDescent="0.35">
      <c r="A313" s="441">
        <v>45873</v>
      </c>
      <c r="B313" s="447">
        <v>7.5</v>
      </c>
      <c r="C313" s="442" t="s">
        <v>51</v>
      </c>
      <c r="D313" s="442" t="s">
        <v>589</v>
      </c>
      <c r="E313" s="442" t="s">
        <v>646</v>
      </c>
      <c r="F313" s="442" t="s">
        <v>570</v>
      </c>
      <c r="G313" s="443" t="b">
        <f>IF(A313="","",IF(Daten!$AE$4=0,TRUE,MONTH(A313)=Daten!$AE$4))</f>
        <v>1</v>
      </c>
      <c r="H313" s="454" t="s">
        <v>306</v>
      </c>
      <c r="I313" s="443" t="s">
        <v>72</v>
      </c>
      <c r="J313" s="443"/>
      <c r="K313" s="442" t="s">
        <v>637</v>
      </c>
      <c r="L313" s="453"/>
      <c r="M313" s="450">
        <v>7.5</v>
      </c>
      <c r="N313" s="450" t="str">
        <f t="shared" si="65"/>
        <v/>
      </c>
      <c r="O313" s="450" t="str">
        <f t="shared" si="66"/>
        <v/>
      </c>
      <c r="P313" s="450" t="str">
        <f t="shared" si="67"/>
        <v/>
      </c>
      <c r="Q313" s="450" t="str">
        <f t="shared" si="68"/>
        <v/>
      </c>
      <c r="R313" s="450" t="str">
        <f t="shared" si="69"/>
        <v/>
      </c>
      <c r="S313" s="450" t="str">
        <f>IF(OR(A313="", B313=""), "", IF(H313="Sonstige Einnahmen", ABS(B313), ""))</f>
        <v/>
      </c>
      <c r="T313" s="450" t="str">
        <f t="shared" si="74"/>
        <v/>
      </c>
      <c r="U313" s="450" t="str">
        <f t="shared" si="70"/>
        <v/>
      </c>
      <c r="V313" s="450" t="str">
        <f t="shared" si="63"/>
        <v/>
      </c>
      <c r="W313" s="450" t="str">
        <f t="shared" si="71"/>
        <v/>
      </c>
      <c r="X313" s="450" t="str">
        <f t="shared" si="72"/>
        <v/>
      </c>
      <c r="Y313" s="450" t="str">
        <f t="shared" si="73"/>
        <v/>
      </c>
      <c r="Z313" s="451" t="str">
        <f t="shared" si="75"/>
        <v/>
      </c>
    </row>
    <row r="314" spans="1:26" x14ac:dyDescent="0.35">
      <c r="A314" s="438">
        <v>45873</v>
      </c>
      <c r="B314" s="446">
        <v>15</v>
      </c>
      <c r="C314" s="439" t="s">
        <v>592</v>
      </c>
      <c r="D314" s="439" t="s">
        <v>593</v>
      </c>
      <c r="E314" s="439" t="s">
        <v>649</v>
      </c>
      <c r="F314" s="439" t="s">
        <v>570</v>
      </c>
      <c r="G314" s="440" t="b">
        <f>IF(A314="","",IF(Daten!$AE$4=0,TRUE,MONTH(A314)=Daten!$AE$4))</f>
        <v>1</v>
      </c>
      <c r="H314" s="454" t="s">
        <v>415</v>
      </c>
      <c r="I314" s="440" t="s">
        <v>72</v>
      </c>
      <c r="J314" s="440"/>
      <c r="K314" s="439" t="s">
        <v>637</v>
      </c>
      <c r="L314" s="452"/>
      <c r="M314" s="448" t="str">
        <f>IF(OR(A314="", B314=""), "", IF(H314="Mitgliedsbeiträge", ABS(B314), ""))</f>
        <v/>
      </c>
      <c r="N314" s="448" t="str">
        <f t="shared" si="65"/>
        <v/>
      </c>
      <c r="O314" s="448" t="str">
        <f t="shared" si="66"/>
        <v/>
      </c>
      <c r="P314" s="448" t="str">
        <f t="shared" si="67"/>
        <v/>
      </c>
      <c r="Q314" s="448" t="str">
        <f t="shared" si="68"/>
        <v/>
      </c>
      <c r="R314" s="448" t="str">
        <f t="shared" si="69"/>
        <v/>
      </c>
      <c r="S314" s="448">
        <v>15</v>
      </c>
      <c r="T314" s="448" t="str">
        <f t="shared" si="74"/>
        <v/>
      </c>
      <c r="U314" s="448" t="str">
        <f t="shared" si="70"/>
        <v/>
      </c>
      <c r="V314" s="448" t="str">
        <f t="shared" si="63"/>
        <v/>
      </c>
      <c r="W314" s="448" t="str">
        <f t="shared" si="71"/>
        <v/>
      </c>
      <c r="X314" s="448" t="str">
        <f t="shared" si="72"/>
        <v/>
      </c>
      <c r="Y314" s="448" t="str">
        <f t="shared" si="73"/>
        <v/>
      </c>
      <c r="Z314" s="449" t="str">
        <f t="shared" si="75"/>
        <v/>
      </c>
    </row>
    <row r="315" spans="1:26" x14ac:dyDescent="0.35">
      <c r="A315" s="441">
        <v>45873</v>
      </c>
      <c r="B315" s="447">
        <v>15</v>
      </c>
      <c r="C315" s="442" t="s">
        <v>66</v>
      </c>
      <c r="D315" s="442" t="s">
        <v>594</v>
      </c>
      <c r="E315" s="442" t="s">
        <v>653</v>
      </c>
      <c r="F315" s="442" t="s">
        <v>570</v>
      </c>
      <c r="G315" s="443" t="b">
        <f>IF(A315="","",IF(Daten!$AE$4=0,TRUE,MONTH(A315)=Daten!$AE$4))</f>
        <v>1</v>
      </c>
      <c r="H315" s="454" t="s">
        <v>415</v>
      </c>
      <c r="I315" s="443" t="s">
        <v>72</v>
      </c>
      <c r="J315" s="443"/>
      <c r="K315" s="442" t="s">
        <v>637</v>
      </c>
      <c r="L315" s="453"/>
      <c r="M315" s="450" t="str">
        <f>IF(OR(A315="", B315=""), "", IF(H315="Mitgliedsbeiträge", ABS(B315), ""))</f>
        <v/>
      </c>
      <c r="N315" s="450" t="str">
        <f t="shared" si="65"/>
        <v/>
      </c>
      <c r="O315" s="450" t="str">
        <f t="shared" si="66"/>
        <v/>
      </c>
      <c r="P315" s="450" t="str">
        <f t="shared" si="67"/>
        <v/>
      </c>
      <c r="Q315" s="450" t="str">
        <f t="shared" si="68"/>
        <v/>
      </c>
      <c r="R315" s="450" t="str">
        <f t="shared" si="69"/>
        <v/>
      </c>
      <c r="S315" s="450">
        <v>15</v>
      </c>
      <c r="T315" s="450" t="str">
        <f t="shared" si="74"/>
        <v/>
      </c>
      <c r="U315" s="450" t="str">
        <f t="shared" si="70"/>
        <v/>
      </c>
      <c r="V315" s="450" t="str">
        <f t="shared" si="63"/>
        <v/>
      </c>
      <c r="W315" s="450" t="str">
        <f t="shared" si="71"/>
        <v/>
      </c>
      <c r="X315" s="450" t="str">
        <f t="shared" si="72"/>
        <v/>
      </c>
      <c r="Y315" s="450" t="str">
        <f t="shared" si="73"/>
        <v/>
      </c>
      <c r="Z315" s="451" t="str">
        <f t="shared" si="75"/>
        <v/>
      </c>
    </row>
    <row r="316" spans="1:26" x14ac:dyDescent="0.35">
      <c r="A316" s="438">
        <v>45873</v>
      </c>
      <c r="B316" s="446">
        <v>7.5</v>
      </c>
      <c r="C316" s="439" t="s">
        <v>66</v>
      </c>
      <c r="D316" s="439" t="s">
        <v>594</v>
      </c>
      <c r="E316" s="439" t="s">
        <v>652</v>
      </c>
      <c r="F316" s="439" t="s">
        <v>570</v>
      </c>
      <c r="G316" s="440" t="b">
        <f>IF(A316="","",IF(Daten!$AE$4=0,TRUE,MONTH(A316)=Daten!$AE$4))</f>
        <v>1</v>
      </c>
      <c r="H316" s="454" t="s">
        <v>306</v>
      </c>
      <c r="I316" s="440" t="s">
        <v>72</v>
      </c>
      <c r="J316" s="440"/>
      <c r="K316" s="439" t="s">
        <v>637</v>
      </c>
      <c r="L316" s="452"/>
      <c r="M316" s="448">
        <v>7.5</v>
      </c>
      <c r="N316" s="448" t="str">
        <f t="shared" si="65"/>
        <v/>
      </c>
      <c r="O316" s="448" t="str">
        <f t="shared" si="66"/>
        <v/>
      </c>
      <c r="P316" s="448" t="str">
        <f t="shared" si="67"/>
        <v/>
      </c>
      <c r="Q316" s="448" t="str">
        <f t="shared" si="68"/>
        <v/>
      </c>
      <c r="R316" s="448" t="str">
        <f t="shared" si="69"/>
        <v/>
      </c>
      <c r="S316" s="448" t="str">
        <f>IF(OR(A316="", B316=""), "", IF(H316="Sonstige Einnahmen", ABS(B316), ""))</f>
        <v/>
      </c>
      <c r="T316" s="448" t="str">
        <f t="shared" si="74"/>
        <v/>
      </c>
      <c r="U316" s="448" t="str">
        <f t="shared" si="70"/>
        <v/>
      </c>
      <c r="V316" s="448" t="str">
        <f t="shared" si="63"/>
        <v/>
      </c>
      <c r="W316" s="448" t="str">
        <f t="shared" si="71"/>
        <v/>
      </c>
      <c r="X316" s="448" t="str">
        <f t="shared" si="72"/>
        <v/>
      </c>
      <c r="Y316" s="448" t="str">
        <f t="shared" si="73"/>
        <v/>
      </c>
      <c r="Z316" s="449" t="str">
        <f t="shared" si="75"/>
        <v/>
      </c>
    </row>
    <row r="317" spans="1:26" x14ac:dyDescent="0.35">
      <c r="A317" s="441">
        <v>45873</v>
      </c>
      <c r="B317" s="447">
        <v>15</v>
      </c>
      <c r="C317" s="442" t="s">
        <v>597</v>
      </c>
      <c r="D317" s="442" t="s">
        <v>598</v>
      </c>
      <c r="E317" s="442" t="s">
        <v>385</v>
      </c>
      <c r="F317" s="442" t="s">
        <v>570</v>
      </c>
      <c r="G317" s="443" t="b">
        <f>IF(A317="","",IF(Daten!$AE$4=0,TRUE,MONTH(A317)=Daten!$AE$4))</f>
        <v>1</v>
      </c>
      <c r="H317" s="454" t="s">
        <v>415</v>
      </c>
      <c r="I317" s="443" t="s">
        <v>72</v>
      </c>
      <c r="J317" s="443"/>
      <c r="K317" s="442" t="s">
        <v>637</v>
      </c>
      <c r="L317" s="453"/>
      <c r="M317" s="450" t="str">
        <f>IF(OR(A317="", B317=""), "", IF(H317="Mitgliedsbeiträge", ABS(B317), ""))</f>
        <v/>
      </c>
      <c r="N317" s="450" t="str">
        <f t="shared" si="65"/>
        <v/>
      </c>
      <c r="O317" s="450" t="str">
        <f t="shared" si="66"/>
        <v/>
      </c>
      <c r="P317" s="450" t="str">
        <f t="shared" si="67"/>
        <v/>
      </c>
      <c r="Q317" s="450" t="str">
        <f t="shared" si="68"/>
        <v/>
      </c>
      <c r="R317" s="450" t="str">
        <f t="shared" si="69"/>
        <v/>
      </c>
      <c r="S317" s="450">
        <v>15</v>
      </c>
      <c r="T317" s="450" t="str">
        <f t="shared" si="74"/>
        <v/>
      </c>
      <c r="U317" s="450" t="str">
        <f t="shared" si="70"/>
        <v/>
      </c>
      <c r="V317" s="450" t="str">
        <f t="shared" si="63"/>
        <v/>
      </c>
      <c r="W317" s="450" t="str">
        <f t="shared" si="71"/>
        <v/>
      </c>
      <c r="X317" s="450" t="str">
        <f t="shared" si="72"/>
        <v/>
      </c>
      <c r="Y317" s="450" t="str">
        <f t="shared" si="73"/>
        <v/>
      </c>
      <c r="Z317" s="451" t="str">
        <f t="shared" si="75"/>
        <v/>
      </c>
    </row>
    <row r="318" spans="1:26" x14ac:dyDescent="0.35">
      <c r="A318" s="438">
        <v>45873</v>
      </c>
      <c r="B318" s="446">
        <v>15</v>
      </c>
      <c r="C318" s="439" t="s">
        <v>595</v>
      </c>
      <c r="D318" s="439" t="s">
        <v>596</v>
      </c>
      <c r="E318" s="439" t="s">
        <v>654</v>
      </c>
      <c r="F318" s="439" t="s">
        <v>570</v>
      </c>
      <c r="G318" s="440" t="b">
        <f>IF(A318="","",IF(Daten!$AE$4=0,TRUE,MONTH(A318)=Daten!$AE$4))</f>
        <v>1</v>
      </c>
      <c r="H318" s="454" t="s">
        <v>415</v>
      </c>
      <c r="I318" s="440" t="s">
        <v>72</v>
      </c>
      <c r="J318" s="440"/>
      <c r="K318" s="439" t="s">
        <v>637</v>
      </c>
      <c r="L318" s="452"/>
      <c r="M318" s="448" t="str">
        <f>IF(OR(A318="", B318=""), "", IF(H318="Mitgliedsbeiträge", ABS(B318), ""))</f>
        <v/>
      </c>
      <c r="N318" s="448" t="str">
        <f t="shared" si="65"/>
        <v/>
      </c>
      <c r="O318" s="448" t="str">
        <f t="shared" si="66"/>
        <v/>
      </c>
      <c r="P318" s="448" t="str">
        <f t="shared" si="67"/>
        <v/>
      </c>
      <c r="Q318" s="448" t="str">
        <f t="shared" si="68"/>
        <v/>
      </c>
      <c r="R318" s="448" t="str">
        <f t="shared" si="69"/>
        <v/>
      </c>
      <c r="S318" s="448">
        <v>15</v>
      </c>
      <c r="T318" s="448" t="str">
        <f t="shared" si="74"/>
        <v/>
      </c>
      <c r="U318" s="448" t="str">
        <f t="shared" si="70"/>
        <v/>
      </c>
      <c r="V318" s="448" t="str">
        <f t="shared" si="63"/>
        <v/>
      </c>
      <c r="W318" s="448" t="str">
        <f t="shared" si="71"/>
        <v/>
      </c>
      <c r="X318" s="448" t="str">
        <f t="shared" si="72"/>
        <v/>
      </c>
      <c r="Y318" s="448" t="str">
        <f t="shared" si="73"/>
        <v/>
      </c>
      <c r="Z318" s="449" t="str">
        <f t="shared" si="75"/>
        <v/>
      </c>
    </row>
    <row r="319" spans="1:26" x14ac:dyDescent="0.35">
      <c r="A319" s="441">
        <v>45874</v>
      </c>
      <c r="B319" s="447">
        <v>15</v>
      </c>
      <c r="C319" s="442" t="s">
        <v>590</v>
      </c>
      <c r="D319" s="442" t="s">
        <v>591</v>
      </c>
      <c r="E319" s="442" t="s">
        <v>647</v>
      </c>
      <c r="F319" s="442" t="s">
        <v>570</v>
      </c>
      <c r="G319" s="443" t="b">
        <f>IF(A319="","",IF(Daten!$AE$4=0,TRUE,MONTH(A319)=Daten!$AE$4))</f>
        <v>1</v>
      </c>
      <c r="H319" s="454" t="s">
        <v>306</v>
      </c>
      <c r="I319" s="443" t="s">
        <v>72</v>
      </c>
      <c r="J319" s="443"/>
      <c r="K319" s="442" t="s">
        <v>637</v>
      </c>
      <c r="L319" s="453"/>
      <c r="M319" s="450">
        <v>15</v>
      </c>
      <c r="N319" s="450" t="str">
        <f t="shared" si="65"/>
        <v/>
      </c>
      <c r="O319" s="450" t="str">
        <f t="shared" si="66"/>
        <v/>
      </c>
      <c r="P319" s="450" t="str">
        <f t="shared" si="67"/>
        <v/>
      </c>
      <c r="Q319" s="450" t="str">
        <f t="shared" si="68"/>
        <v/>
      </c>
      <c r="R319" s="450" t="str">
        <f t="shared" si="69"/>
        <v/>
      </c>
      <c r="S319" s="450" t="str">
        <f>IF(OR(A319="", B319=""), "", IF(H319="Sonstige Einnahmen", ABS(B319), ""))</f>
        <v/>
      </c>
      <c r="T319" s="450" t="str">
        <f t="shared" si="74"/>
        <v/>
      </c>
      <c r="U319" s="450" t="str">
        <f t="shared" si="70"/>
        <v/>
      </c>
      <c r="V319" s="450" t="str">
        <f t="shared" si="63"/>
        <v/>
      </c>
      <c r="W319" s="450" t="str">
        <f t="shared" si="71"/>
        <v/>
      </c>
      <c r="X319" s="450" t="str">
        <f t="shared" si="72"/>
        <v/>
      </c>
      <c r="Y319" s="450" t="str">
        <f t="shared" si="73"/>
        <v/>
      </c>
      <c r="Z319" s="451" t="str">
        <f t="shared" si="75"/>
        <v/>
      </c>
    </row>
    <row r="320" spans="1:26" x14ac:dyDescent="0.35">
      <c r="A320" s="438">
        <v>45874</v>
      </c>
      <c r="B320" s="446">
        <v>15</v>
      </c>
      <c r="C320" s="439" t="s">
        <v>584</v>
      </c>
      <c r="D320" s="439" t="s">
        <v>585</v>
      </c>
      <c r="E320" s="439" t="s">
        <v>642</v>
      </c>
      <c r="F320" s="439" t="s">
        <v>570</v>
      </c>
      <c r="G320" s="440" t="b">
        <f>IF(A320="","",IF(Daten!$AE$4=0,TRUE,MONTH(A320)=Daten!$AE$4))</f>
        <v>1</v>
      </c>
      <c r="H320" s="454" t="s">
        <v>415</v>
      </c>
      <c r="I320" s="440" t="s">
        <v>72</v>
      </c>
      <c r="J320" s="440"/>
      <c r="K320" s="439" t="s">
        <v>637</v>
      </c>
      <c r="L320" s="452"/>
      <c r="M320" s="448" t="str">
        <f>IF(OR(A320="", B320=""), "", IF(H320="Mitgliedsbeiträge", ABS(B320), ""))</f>
        <v/>
      </c>
      <c r="N320" s="448" t="str">
        <f t="shared" si="65"/>
        <v/>
      </c>
      <c r="O320" s="448" t="str">
        <f t="shared" si="66"/>
        <v/>
      </c>
      <c r="P320" s="448" t="str">
        <f t="shared" si="67"/>
        <v/>
      </c>
      <c r="Q320" s="448" t="str">
        <f t="shared" si="68"/>
        <v/>
      </c>
      <c r="R320" s="448" t="str">
        <f t="shared" si="69"/>
        <v/>
      </c>
      <c r="S320" s="448">
        <v>15</v>
      </c>
      <c r="T320" s="448" t="str">
        <f t="shared" si="74"/>
        <v/>
      </c>
      <c r="U320" s="448" t="str">
        <f t="shared" si="70"/>
        <v/>
      </c>
      <c r="V320" s="448" t="str">
        <f t="shared" si="63"/>
        <v/>
      </c>
      <c r="W320" s="448" t="str">
        <f t="shared" si="71"/>
        <v/>
      </c>
      <c r="X320" s="448" t="str">
        <f t="shared" si="72"/>
        <v/>
      </c>
      <c r="Y320" s="448" t="str">
        <f t="shared" si="73"/>
        <v/>
      </c>
      <c r="Z320" s="449" t="str">
        <f t="shared" si="75"/>
        <v/>
      </c>
    </row>
    <row r="321" spans="1:26" x14ac:dyDescent="0.35">
      <c r="A321" s="441">
        <v>45874</v>
      </c>
      <c r="B321" s="447">
        <v>108.63</v>
      </c>
      <c r="C321" s="442" t="s">
        <v>614</v>
      </c>
      <c r="D321" s="442" t="s">
        <v>591</v>
      </c>
      <c r="E321" s="442" t="s">
        <v>128</v>
      </c>
      <c r="F321" s="442" t="s">
        <v>581</v>
      </c>
      <c r="G321" s="443" t="b">
        <f>IF(A321="","",IF(Daten!$AE$4=0,TRUE,MONTH(A321)=Daten!$AE$4))</f>
        <v>1</v>
      </c>
      <c r="H321" s="454" t="s">
        <v>419</v>
      </c>
      <c r="I321" s="443" t="s">
        <v>72</v>
      </c>
      <c r="J321" s="443"/>
      <c r="K321" s="442" t="s">
        <v>637</v>
      </c>
      <c r="L321" s="453"/>
      <c r="M321" s="450" t="str">
        <f>IF(OR(A321="", B321=""), "", IF(H321="Mitgliedsbeiträge", ABS(B321), ""))</f>
        <v/>
      </c>
      <c r="N321" s="450" t="str">
        <f t="shared" si="65"/>
        <v/>
      </c>
      <c r="O321" s="450" t="str">
        <f t="shared" si="66"/>
        <v/>
      </c>
      <c r="P321" s="450" t="str">
        <f t="shared" si="67"/>
        <v/>
      </c>
      <c r="Q321" s="450" t="str">
        <f t="shared" si="68"/>
        <v/>
      </c>
      <c r="R321" s="450" t="str">
        <f t="shared" si="69"/>
        <v/>
      </c>
      <c r="S321" s="450">
        <v>108.63</v>
      </c>
      <c r="T321" s="450" t="str">
        <f t="shared" si="74"/>
        <v/>
      </c>
      <c r="U321" s="450" t="str">
        <f t="shared" si="70"/>
        <v/>
      </c>
      <c r="V321" s="450" t="str">
        <f t="shared" si="63"/>
        <v/>
      </c>
      <c r="W321" s="450" t="str">
        <f t="shared" si="71"/>
        <v/>
      </c>
      <c r="X321" s="450" t="str">
        <f t="shared" si="72"/>
        <v/>
      </c>
      <c r="Y321" s="450" t="str">
        <f t="shared" si="73"/>
        <v/>
      </c>
      <c r="Z321" s="451" t="str">
        <f t="shared" si="75"/>
        <v/>
      </c>
    </row>
    <row r="322" spans="1:26" x14ac:dyDescent="0.35">
      <c r="A322" s="438">
        <v>45874</v>
      </c>
      <c r="B322" s="446">
        <v>-471</v>
      </c>
      <c r="C322" s="439" t="s">
        <v>587</v>
      </c>
      <c r="D322" s="439" t="s">
        <v>588</v>
      </c>
      <c r="E322" s="439" t="s">
        <v>692</v>
      </c>
      <c r="F322" s="439" t="s">
        <v>576</v>
      </c>
      <c r="G322" s="440" t="b">
        <f>IF(A322="","",IF(Daten!$AE$4=0,TRUE,MONTH(A322)=Daten!$AE$4))</f>
        <v>1</v>
      </c>
      <c r="H322" s="454" t="s">
        <v>451</v>
      </c>
      <c r="I322" s="440" t="s">
        <v>72</v>
      </c>
      <c r="J322" s="440"/>
      <c r="K322" s="439" t="s">
        <v>637</v>
      </c>
      <c r="L322" s="452"/>
      <c r="M322" s="448" t="str">
        <f>IF(OR(A322="", B322=""), "", IF(H322="Mitgliedsbeiträge", ABS(B322), ""))</f>
        <v/>
      </c>
      <c r="N322" s="448" t="str">
        <f t="shared" si="65"/>
        <v/>
      </c>
      <c r="O322" s="448" t="str">
        <f t="shared" si="66"/>
        <v/>
      </c>
      <c r="P322" s="448" t="str">
        <f t="shared" si="67"/>
        <v/>
      </c>
      <c r="Q322" s="448" t="str">
        <f t="shared" si="68"/>
        <v/>
      </c>
      <c r="R322" s="448" t="str">
        <f t="shared" si="69"/>
        <v/>
      </c>
      <c r="S322" s="448" t="str">
        <f>IF(OR(A322="", B322=""), "", IF(H322="Sonstige Einnahmen", ABS(B322), ""))</f>
        <v/>
      </c>
      <c r="T322" s="448">
        <v>-471</v>
      </c>
      <c r="U322" s="448" t="str">
        <f t="shared" si="70"/>
        <v/>
      </c>
      <c r="V322" s="448" t="str">
        <f t="shared" si="63"/>
        <v/>
      </c>
      <c r="W322" s="448" t="str">
        <f t="shared" si="71"/>
        <v/>
      </c>
      <c r="X322" s="448" t="str">
        <f t="shared" si="72"/>
        <v/>
      </c>
      <c r="Y322" s="448" t="str">
        <f t="shared" si="73"/>
        <v/>
      </c>
      <c r="Z322" s="449" t="str">
        <f t="shared" si="75"/>
        <v/>
      </c>
    </row>
    <row r="323" spans="1:26" x14ac:dyDescent="0.35">
      <c r="A323" s="441">
        <v>45881</v>
      </c>
      <c r="B323" s="447">
        <v>15</v>
      </c>
      <c r="C323" s="442" t="s">
        <v>600</v>
      </c>
      <c r="D323" s="442" t="s">
        <v>601</v>
      </c>
      <c r="E323" s="442" t="s">
        <v>306</v>
      </c>
      <c r="F323" s="442" t="s">
        <v>599</v>
      </c>
      <c r="G323" s="443" t="b">
        <f>IF(A323="","",IF(Daten!$AE$4=0,TRUE,MONTH(A323)=Daten!$AE$4))</f>
        <v>1</v>
      </c>
      <c r="H323" s="454" t="s">
        <v>306</v>
      </c>
      <c r="I323" s="443" t="s">
        <v>72</v>
      </c>
      <c r="J323" s="443"/>
      <c r="K323" s="442" t="s">
        <v>637</v>
      </c>
      <c r="L323" s="453"/>
      <c r="M323" s="450">
        <v>15</v>
      </c>
      <c r="N323" s="450" t="str">
        <f t="shared" si="65"/>
        <v/>
      </c>
      <c r="O323" s="450" t="str">
        <f t="shared" si="66"/>
        <v/>
      </c>
      <c r="P323" s="450" t="str">
        <f t="shared" si="67"/>
        <v/>
      </c>
      <c r="Q323" s="450" t="str">
        <f t="shared" si="68"/>
        <v/>
      </c>
      <c r="R323" s="450" t="str">
        <f t="shared" si="69"/>
        <v/>
      </c>
      <c r="S323" s="450" t="str">
        <f>IF(OR(A323="", B323=""), "", IF(H323="Sonstige Einnahmen", ABS(B323), ""))</f>
        <v/>
      </c>
      <c r="T323" s="450" t="str">
        <f>IF(OR(A323="", B323=""), "", IF(H323="Unterhaltung", ABS(B323), ""))</f>
        <v/>
      </c>
      <c r="U323" s="450" t="str">
        <f t="shared" si="70"/>
        <v/>
      </c>
      <c r="V323" s="450" t="str">
        <f t="shared" si="63"/>
        <v/>
      </c>
      <c r="W323" s="450" t="str">
        <f t="shared" si="71"/>
        <v/>
      </c>
      <c r="X323" s="450" t="str">
        <f t="shared" si="72"/>
        <v/>
      </c>
      <c r="Y323" s="450" t="str">
        <f t="shared" si="73"/>
        <v/>
      </c>
      <c r="Z323" s="451" t="str">
        <f t="shared" si="75"/>
        <v/>
      </c>
    </row>
    <row r="324" spans="1:26" x14ac:dyDescent="0.35">
      <c r="A324" s="438">
        <v>45881</v>
      </c>
      <c r="B324" s="446">
        <v>15</v>
      </c>
      <c r="C324" s="439" t="s">
        <v>600</v>
      </c>
      <c r="D324" s="439" t="s">
        <v>601</v>
      </c>
      <c r="E324" s="439" t="s">
        <v>385</v>
      </c>
      <c r="F324" s="439" t="s">
        <v>599</v>
      </c>
      <c r="G324" s="440" t="b">
        <f>IF(A324="","",IF(Daten!$AE$4=0,TRUE,MONTH(A324)=Daten!$AE$4))</f>
        <v>1</v>
      </c>
      <c r="H324" s="454" t="s">
        <v>415</v>
      </c>
      <c r="I324" s="440" t="s">
        <v>72</v>
      </c>
      <c r="J324" s="440"/>
      <c r="K324" s="439" t="s">
        <v>637</v>
      </c>
      <c r="L324" s="452"/>
      <c r="M324" s="448" t="str">
        <f t="shared" ref="M324:M329" si="76">IF(OR(A324="", B324=""), "", IF(H324="Mitgliedsbeiträge", ABS(B324), ""))</f>
        <v/>
      </c>
      <c r="N324" s="448" t="str">
        <f t="shared" si="65"/>
        <v/>
      </c>
      <c r="O324" s="448" t="str">
        <f t="shared" si="66"/>
        <v/>
      </c>
      <c r="P324" s="448" t="str">
        <f t="shared" si="67"/>
        <v/>
      </c>
      <c r="Q324" s="448" t="str">
        <f t="shared" si="68"/>
        <v/>
      </c>
      <c r="R324" s="448" t="str">
        <f t="shared" si="69"/>
        <v/>
      </c>
      <c r="S324" s="448">
        <v>15</v>
      </c>
      <c r="T324" s="448" t="str">
        <f>IF(OR(A324="", B324=""), "", IF(H324="Unterhaltung", ABS(B324), ""))</f>
        <v/>
      </c>
      <c r="U324" s="448" t="str">
        <f t="shared" si="70"/>
        <v/>
      </c>
      <c r="V324" s="448" t="str">
        <f t="shared" si="63"/>
        <v/>
      </c>
      <c r="W324" s="448" t="str">
        <f t="shared" si="71"/>
        <v/>
      </c>
      <c r="X324" s="448" t="str">
        <f t="shared" si="72"/>
        <v/>
      </c>
      <c r="Y324" s="448" t="str">
        <f t="shared" si="73"/>
        <v/>
      </c>
      <c r="Z324" s="449" t="str">
        <f t="shared" si="75"/>
        <v/>
      </c>
    </row>
    <row r="325" spans="1:26" x14ac:dyDescent="0.35">
      <c r="A325" s="441">
        <v>45884</v>
      </c>
      <c r="B325" s="447">
        <v>108.63</v>
      </c>
      <c r="C325" s="442" t="s">
        <v>582</v>
      </c>
      <c r="D325" s="442" t="s">
        <v>583</v>
      </c>
      <c r="E325" s="442" t="s">
        <v>690</v>
      </c>
      <c r="F325" s="442" t="s">
        <v>581</v>
      </c>
      <c r="G325" s="443" t="b">
        <f>IF(A325="","",IF(Daten!$AE$4=0,TRUE,MONTH(A325)=Daten!$AE$4))</f>
        <v>1</v>
      </c>
      <c r="H325" s="454" t="s">
        <v>419</v>
      </c>
      <c r="I325" s="443" t="s">
        <v>72</v>
      </c>
      <c r="J325" s="443"/>
      <c r="K325" s="442" t="s">
        <v>637</v>
      </c>
      <c r="L325" s="453"/>
      <c r="M325" s="450" t="str">
        <f t="shared" si="76"/>
        <v/>
      </c>
      <c r="N325" s="450" t="str">
        <f t="shared" si="65"/>
        <v/>
      </c>
      <c r="O325" s="450" t="str">
        <f t="shared" si="66"/>
        <v/>
      </c>
      <c r="P325" s="450" t="str">
        <f t="shared" si="67"/>
        <v/>
      </c>
      <c r="Q325" s="450" t="str">
        <f t="shared" si="68"/>
        <v/>
      </c>
      <c r="R325" s="450" t="str">
        <f t="shared" si="69"/>
        <v/>
      </c>
      <c r="S325" s="450">
        <v>108.63</v>
      </c>
      <c r="T325" s="450" t="str">
        <f>IF(OR(A325="", B325=""), "", IF(H325="Unterhaltung", ABS(B325), ""))</f>
        <v/>
      </c>
      <c r="U325" s="450" t="str">
        <f t="shared" si="70"/>
        <v/>
      </c>
      <c r="V325" s="450" t="str">
        <f t="shared" si="63"/>
        <v/>
      </c>
      <c r="W325" s="450" t="str">
        <f t="shared" si="71"/>
        <v/>
      </c>
      <c r="X325" s="450" t="str">
        <f t="shared" si="72"/>
        <v/>
      </c>
      <c r="Y325" s="450" t="str">
        <f t="shared" si="73"/>
        <v/>
      </c>
      <c r="Z325" s="451" t="str">
        <f t="shared" si="75"/>
        <v/>
      </c>
    </row>
    <row r="326" spans="1:26" x14ac:dyDescent="0.35">
      <c r="A326" s="438">
        <v>45884</v>
      </c>
      <c r="B326" s="446">
        <v>-59.94</v>
      </c>
      <c r="C326" s="439" t="s">
        <v>579</v>
      </c>
      <c r="D326" s="439" t="s">
        <v>580</v>
      </c>
      <c r="E326" s="439" t="s">
        <v>691</v>
      </c>
      <c r="F326" s="439" t="s">
        <v>576</v>
      </c>
      <c r="G326" s="440" t="b">
        <f>IF(A326="","",IF(Daten!$AE$4=0,TRUE,MONTH(A326)=Daten!$AE$4))</f>
        <v>1</v>
      </c>
      <c r="H326" s="454" t="s">
        <v>389</v>
      </c>
      <c r="I326" s="440" t="s">
        <v>72</v>
      </c>
      <c r="J326" s="440"/>
      <c r="K326" s="439" t="s">
        <v>637</v>
      </c>
      <c r="L326" s="452"/>
      <c r="M326" s="448" t="str">
        <f t="shared" si="76"/>
        <v/>
      </c>
      <c r="N326" s="448" t="str">
        <f t="shared" si="65"/>
        <v/>
      </c>
      <c r="O326" s="448" t="str">
        <f t="shared" si="66"/>
        <v/>
      </c>
      <c r="P326" s="448" t="str">
        <f t="shared" si="67"/>
        <v/>
      </c>
      <c r="Q326" s="448" t="str">
        <f t="shared" si="68"/>
        <v/>
      </c>
      <c r="R326" s="448" t="str">
        <f t="shared" si="69"/>
        <v/>
      </c>
      <c r="S326" s="448" t="str">
        <f>IF(OR(A326="", B326=""), "", IF(H326="Sonstige Einnahmen", ABS(B326), ""))</f>
        <v/>
      </c>
      <c r="T326" s="448">
        <v>-59.94</v>
      </c>
      <c r="U326" s="448" t="str">
        <f t="shared" si="70"/>
        <v/>
      </c>
      <c r="V326" s="448" t="str">
        <f t="shared" si="63"/>
        <v/>
      </c>
      <c r="W326" s="448" t="str">
        <f t="shared" si="71"/>
        <v/>
      </c>
      <c r="X326" s="448" t="str">
        <f t="shared" si="72"/>
        <v/>
      </c>
      <c r="Y326" s="448" t="str">
        <f t="shared" si="73"/>
        <v/>
      </c>
      <c r="Z326" s="449" t="str">
        <f t="shared" si="75"/>
        <v/>
      </c>
    </row>
    <row r="327" spans="1:26" x14ac:dyDescent="0.35">
      <c r="A327" s="441">
        <v>45884</v>
      </c>
      <c r="B327" s="447">
        <v>-138</v>
      </c>
      <c r="C327" s="442" t="s">
        <v>577</v>
      </c>
      <c r="D327" s="442" t="s">
        <v>578</v>
      </c>
      <c r="E327" s="442" t="s">
        <v>639</v>
      </c>
      <c r="F327" s="442" t="s">
        <v>576</v>
      </c>
      <c r="G327" s="443" t="b">
        <f>IF(A327="","",IF(Daten!$AE$4=0,TRUE,MONTH(A327)=Daten!$AE$4))</f>
        <v>1</v>
      </c>
      <c r="H327" s="454" t="s">
        <v>459</v>
      </c>
      <c r="I327" s="443" t="s">
        <v>72</v>
      </c>
      <c r="J327" s="443"/>
      <c r="K327" s="442" t="s">
        <v>637</v>
      </c>
      <c r="L327" s="453"/>
      <c r="M327" s="450" t="str">
        <f t="shared" si="76"/>
        <v/>
      </c>
      <c r="N327" s="450" t="str">
        <f t="shared" si="65"/>
        <v/>
      </c>
      <c r="O327" s="450" t="str">
        <f t="shared" si="66"/>
        <v/>
      </c>
      <c r="P327" s="450" t="str">
        <f t="shared" si="67"/>
        <v/>
      </c>
      <c r="Q327" s="450" t="str">
        <f t="shared" si="68"/>
        <v/>
      </c>
      <c r="R327" s="450" t="str">
        <f t="shared" si="69"/>
        <v/>
      </c>
      <c r="S327" s="450" t="str">
        <f>IF(OR(A327="", B327=""), "", IF(H327="Sonstige Einnahmen", ABS(B327), ""))</f>
        <v/>
      </c>
      <c r="T327" s="450">
        <v>-138</v>
      </c>
      <c r="U327" s="450" t="str">
        <f t="shared" si="70"/>
        <v/>
      </c>
      <c r="V327" s="450" t="str">
        <f t="shared" si="63"/>
        <v/>
      </c>
      <c r="W327" s="450" t="str">
        <f t="shared" si="71"/>
        <v/>
      </c>
      <c r="X327" s="450" t="str">
        <f t="shared" si="72"/>
        <v/>
      </c>
      <c r="Y327" s="450" t="str">
        <f t="shared" si="73"/>
        <v/>
      </c>
      <c r="Z327" s="451" t="str">
        <f t="shared" si="75"/>
        <v/>
      </c>
    </row>
    <row r="328" spans="1:26" x14ac:dyDescent="0.35">
      <c r="A328" s="438">
        <v>45887</v>
      </c>
      <c r="B328" s="446">
        <v>15</v>
      </c>
      <c r="C328" s="439" t="s">
        <v>571</v>
      </c>
      <c r="D328" s="439" t="s">
        <v>572</v>
      </c>
      <c r="E328" s="439" t="s">
        <v>636</v>
      </c>
      <c r="F328" s="439" t="s">
        <v>570</v>
      </c>
      <c r="G328" s="440" t="b">
        <f>IF(A328="","",IF(Daten!$AE$4=0,TRUE,MONTH(A328)=Daten!$AE$4))</f>
        <v>1</v>
      </c>
      <c r="H328" s="454" t="s">
        <v>415</v>
      </c>
      <c r="I328" s="440" t="s">
        <v>72</v>
      </c>
      <c r="J328" s="440"/>
      <c r="K328" s="439" t="s">
        <v>637</v>
      </c>
      <c r="L328" s="452"/>
      <c r="M328" s="448" t="str">
        <f t="shared" si="76"/>
        <v/>
      </c>
      <c r="N328" s="448" t="str">
        <f t="shared" si="65"/>
        <v/>
      </c>
      <c r="O328" s="448" t="str">
        <f t="shared" si="66"/>
        <v/>
      </c>
      <c r="P328" s="448" t="str">
        <f t="shared" si="67"/>
        <v/>
      </c>
      <c r="Q328" s="448" t="str">
        <f t="shared" si="68"/>
        <v/>
      </c>
      <c r="R328" s="448" t="str">
        <f t="shared" si="69"/>
        <v/>
      </c>
      <c r="S328" s="448">
        <v>15</v>
      </c>
      <c r="T328" s="448" t="str">
        <f t="shared" ref="T328:T357" si="77">IF(OR(A328="", B328=""), "", IF(H328="Unterhaltung", ABS(B328), ""))</f>
        <v/>
      </c>
      <c r="U328" s="448" t="str">
        <f t="shared" si="70"/>
        <v/>
      </c>
      <c r="V328" s="448" t="str">
        <f t="shared" si="63"/>
        <v/>
      </c>
      <c r="W328" s="448" t="str">
        <f t="shared" si="71"/>
        <v/>
      </c>
      <c r="X328" s="448" t="str">
        <f t="shared" si="72"/>
        <v/>
      </c>
      <c r="Y328" s="448" t="str">
        <f t="shared" si="73"/>
        <v/>
      </c>
      <c r="Z328" s="449" t="str">
        <f t="shared" si="75"/>
        <v/>
      </c>
    </row>
    <row r="329" spans="1:26" x14ac:dyDescent="0.35">
      <c r="A329" s="441">
        <v>45894</v>
      </c>
      <c r="B329" s="447">
        <v>15</v>
      </c>
      <c r="C329" s="442" t="s">
        <v>603</v>
      </c>
      <c r="D329" s="442" t="s">
        <v>604</v>
      </c>
      <c r="E329" s="442" t="s">
        <v>666</v>
      </c>
      <c r="F329" s="442" t="s">
        <v>570</v>
      </c>
      <c r="G329" s="443" t="b">
        <f>IF(A329="","",IF(Daten!$AE$4=0,TRUE,MONTH(A329)=Daten!$AE$4))</f>
        <v>1</v>
      </c>
      <c r="H329" s="454" t="s">
        <v>415</v>
      </c>
      <c r="I329" s="443" t="s">
        <v>72</v>
      </c>
      <c r="J329" s="443"/>
      <c r="K329" s="442" t="s">
        <v>637</v>
      </c>
      <c r="L329" s="453"/>
      <c r="M329" s="450" t="str">
        <f t="shared" si="76"/>
        <v/>
      </c>
      <c r="N329" s="450" t="str">
        <f t="shared" si="65"/>
        <v/>
      </c>
      <c r="O329" s="450" t="str">
        <f t="shared" si="66"/>
        <v/>
      </c>
      <c r="P329" s="450" t="str">
        <f t="shared" si="67"/>
        <v/>
      </c>
      <c r="Q329" s="450" t="str">
        <f t="shared" si="68"/>
        <v/>
      </c>
      <c r="R329" s="450" t="str">
        <f t="shared" si="69"/>
        <v/>
      </c>
      <c r="S329" s="450">
        <v>15</v>
      </c>
      <c r="T329" s="450" t="str">
        <f t="shared" si="77"/>
        <v/>
      </c>
      <c r="U329" s="450" t="str">
        <f t="shared" si="70"/>
        <v/>
      </c>
      <c r="V329" s="450" t="str">
        <f t="shared" si="63"/>
        <v/>
      </c>
      <c r="W329" s="450" t="str">
        <f t="shared" si="71"/>
        <v/>
      </c>
      <c r="X329" s="450" t="str">
        <f t="shared" si="72"/>
        <v/>
      </c>
      <c r="Y329" s="450" t="str">
        <f t="shared" si="73"/>
        <v/>
      </c>
      <c r="Z329" s="451" t="str">
        <f t="shared" si="75"/>
        <v/>
      </c>
    </row>
    <row r="330" spans="1:26" x14ac:dyDescent="0.35">
      <c r="A330" s="438">
        <v>45895</v>
      </c>
      <c r="B330" s="446">
        <v>7.5</v>
      </c>
      <c r="C330" s="439" t="s">
        <v>609</v>
      </c>
      <c r="D330" s="439" t="s">
        <v>610</v>
      </c>
      <c r="E330" s="439" t="s">
        <v>665</v>
      </c>
      <c r="F330" s="439" t="s">
        <v>570</v>
      </c>
      <c r="G330" s="440" t="b">
        <f>IF(A330="","",IF(Daten!$AE$4=0,TRUE,MONTH(A330)=Daten!$AE$4))</f>
        <v>1</v>
      </c>
      <c r="H330" s="454" t="s">
        <v>306</v>
      </c>
      <c r="I330" s="440" t="s">
        <v>72</v>
      </c>
      <c r="J330" s="440"/>
      <c r="K330" s="439" t="s">
        <v>637</v>
      </c>
      <c r="L330" s="452"/>
      <c r="M330" s="448">
        <v>7.5</v>
      </c>
      <c r="N330" s="448" t="str">
        <f t="shared" si="65"/>
        <v/>
      </c>
      <c r="O330" s="448" t="str">
        <f t="shared" si="66"/>
        <v/>
      </c>
      <c r="P330" s="448" t="str">
        <f t="shared" si="67"/>
        <v/>
      </c>
      <c r="Q330" s="448" t="str">
        <f t="shared" si="68"/>
        <v/>
      </c>
      <c r="R330" s="448" t="str">
        <f t="shared" si="69"/>
        <v/>
      </c>
      <c r="S330" s="448" t="str">
        <f>IF(OR(A330="", B330=""), "", IF(H330="Sonstige Einnahmen", ABS(B330), ""))</f>
        <v/>
      </c>
      <c r="T330" s="448" t="str">
        <f t="shared" si="77"/>
        <v/>
      </c>
      <c r="U330" s="448" t="str">
        <f t="shared" si="70"/>
        <v/>
      </c>
      <c r="V330" s="448" t="str">
        <f t="shared" si="63"/>
        <v/>
      </c>
      <c r="W330" s="448" t="str">
        <f t="shared" si="71"/>
        <v/>
      </c>
      <c r="X330" s="448" t="str">
        <f t="shared" si="72"/>
        <v/>
      </c>
      <c r="Y330" s="448" t="str">
        <f t="shared" si="73"/>
        <v/>
      </c>
      <c r="Z330" s="449" t="str">
        <f t="shared" si="75"/>
        <v/>
      </c>
    </row>
    <row r="331" spans="1:26" x14ac:dyDescent="0.35">
      <c r="A331" s="441">
        <v>45896</v>
      </c>
      <c r="B331" s="447">
        <v>7.5</v>
      </c>
      <c r="C331" s="442" t="s">
        <v>603</v>
      </c>
      <c r="D331" s="442" t="s">
        <v>604</v>
      </c>
      <c r="E331" s="442" t="s">
        <v>664</v>
      </c>
      <c r="F331" s="442" t="s">
        <v>570</v>
      </c>
      <c r="G331" s="443" t="b">
        <f>IF(A331="","",IF(Daten!$AE$4=0,TRUE,MONTH(A331)=Daten!$AE$4))</f>
        <v>1</v>
      </c>
      <c r="H331" s="454" t="s">
        <v>306</v>
      </c>
      <c r="I331" s="443" t="s">
        <v>72</v>
      </c>
      <c r="J331" s="443"/>
      <c r="K331" s="442" t="s">
        <v>637</v>
      </c>
      <c r="L331" s="453"/>
      <c r="M331" s="450">
        <v>7.5</v>
      </c>
      <c r="N331" s="450" t="str">
        <f t="shared" si="65"/>
        <v/>
      </c>
      <c r="O331" s="450" t="str">
        <f t="shared" si="66"/>
        <v/>
      </c>
      <c r="P331" s="450" t="str">
        <f t="shared" si="67"/>
        <v/>
      </c>
      <c r="Q331" s="450" t="str">
        <f t="shared" si="68"/>
        <v/>
      </c>
      <c r="R331" s="450" t="str">
        <f t="shared" si="69"/>
        <v/>
      </c>
      <c r="S331" s="450" t="str">
        <f>IF(OR(A331="", B331=""), "", IF(H331="Sonstige Einnahmen", ABS(B331), ""))</f>
        <v/>
      </c>
      <c r="T331" s="450" t="str">
        <f t="shared" si="77"/>
        <v/>
      </c>
      <c r="U331" s="450" t="str">
        <f t="shared" si="70"/>
        <v/>
      </c>
      <c r="V331" s="450" t="str">
        <f t="shared" si="63"/>
        <v/>
      </c>
      <c r="W331" s="450" t="str">
        <f t="shared" si="71"/>
        <v/>
      </c>
      <c r="X331" s="450" t="str">
        <f t="shared" si="72"/>
        <v/>
      </c>
      <c r="Y331" s="450" t="str">
        <f t="shared" si="73"/>
        <v/>
      </c>
      <c r="Z331" s="451" t="str">
        <f t="shared" si="75"/>
        <v/>
      </c>
    </row>
    <row r="332" spans="1:26" x14ac:dyDescent="0.35">
      <c r="A332" s="438">
        <v>45898</v>
      </c>
      <c r="B332" s="446">
        <v>15</v>
      </c>
      <c r="C332" s="439" t="s">
        <v>597</v>
      </c>
      <c r="D332" s="439" t="s">
        <v>598</v>
      </c>
      <c r="E332" s="439" t="s">
        <v>306</v>
      </c>
      <c r="F332" s="439" t="s">
        <v>570</v>
      </c>
      <c r="G332" s="440" t="b">
        <f>IF(A332="","",IF(Daten!$AE$4=0,TRUE,MONTH(A332)=Daten!$AE$4))</f>
        <v>1</v>
      </c>
      <c r="H332" s="454" t="s">
        <v>306</v>
      </c>
      <c r="I332" s="440" t="s">
        <v>72</v>
      </c>
      <c r="J332" s="440"/>
      <c r="K332" s="439" t="s">
        <v>637</v>
      </c>
      <c r="L332" s="452"/>
      <c r="M332" s="448">
        <v>15</v>
      </c>
      <c r="N332" s="448" t="str">
        <f t="shared" si="65"/>
        <v/>
      </c>
      <c r="O332" s="448" t="str">
        <f t="shared" si="66"/>
        <v/>
      </c>
      <c r="P332" s="448" t="str">
        <f t="shared" si="67"/>
        <v/>
      </c>
      <c r="Q332" s="448" t="str">
        <f t="shared" si="68"/>
        <v/>
      </c>
      <c r="R332" s="448" t="str">
        <f t="shared" si="69"/>
        <v/>
      </c>
      <c r="S332" s="448" t="str">
        <f>IF(OR(A332="", B332=""), "", IF(H332="Sonstige Einnahmen", ABS(B332), ""))</f>
        <v/>
      </c>
      <c r="T332" s="448" t="str">
        <f t="shared" si="77"/>
        <v/>
      </c>
      <c r="U332" s="448" t="str">
        <f t="shared" si="70"/>
        <v/>
      </c>
      <c r="V332" s="448" t="str">
        <f t="shared" si="63"/>
        <v/>
      </c>
      <c r="W332" s="448" t="str">
        <f t="shared" si="71"/>
        <v/>
      </c>
      <c r="X332" s="448" t="str">
        <f t="shared" si="72"/>
        <v/>
      </c>
      <c r="Y332" s="448" t="str">
        <f t="shared" si="73"/>
        <v/>
      </c>
      <c r="Z332" s="449" t="str">
        <f t="shared" si="75"/>
        <v/>
      </c>
    </row>
    <row r="333" spans="1:26" x14ac:dyDescent="0.35">
      <c r="A333" s="441">
        <v>45901</v>
      </c>
      <c r="B333" s="447">
        <v>15</v>
      </c>
      <c r="C333" s="442" t="s">
        <v>584</v>
      </c>
      <c r="D333" s="442" t="s">
        <v>585</v>
      </c>
      <c r="E333" s="442" t="s">
        <v>655</v>
      </c>
      <c r="F333" s="442" t="s">
        <v>570</v>
      </c>
      <c r="G333" s="443" t="b">
        <f>IF(A333="","",IF(Daten!$AE$4=0,TRUE,MONTH(A333)=Daten!$AE$4))</f>
        <v>1</v>
      </c>
      <c r="H333" s="454" t="s">
        <v>306</v>
      </c>
      <c r="I333" s="443" t="s">
        <v>71</v>
      </c>
      <c r="J333" s="443"/>
      <c r="K333" s="442" t="s">
        <v>637</v>
      </c>
      <c r="L333" s="453"/>
      <c r="M333" s="450">
        <v>15</v>
      </c>
      <c r="N333" s="450" t="str">
        <f t="shared" si="65"/>
        <v/>
      </c>
      <c r="O333" s="450" t="str">
        <f t="shared" si="66"/>
        <v/>
      </c>
      <c r="P333" s="450" t="str">
        <f t="shared" si="67"/>
        <v/>
      </c>
      <c r="Q333" s="450" t="str">
        <f t="shared" si="68"/>
        <v/>
      </c>
      <c r="R333" s="450" t="str">
        <f t="shared" si="69"/>
        <v/>
      </c>
      <c r="S333" s="450" t="str">
        <f>IF(OR(A333="", B333=""), "", IF(H333="Sonstige Einnahmen", ABS(B333), ""))</f>
        <v/>
      </c>
      <c r="T333" s="450" t="str">
        <f t="shared" si="77"/>
        <v/>
      </c>
      <c r="U333" s="450" t="str">
        <f t="shared" si="70"/>
        <v/>
      </c>
      <c r="V333" s="450" t="str">
        <f t="shared" si="63"/>
        <v/>
      </c>
      <c r="W333" s="450" t="str">
        <f t="shared" si="71"/>
        <v/>
      </c>
      <c r="X333" s="450" t="str">
        <f t="shared" si="72"/>
        <v/>
      </c>
      <c r="Y333" s="450" t="str">
        <f t="shared" si="73"/>
        <v/>
      </c>
      <c r="Z333" s="451" t="str">
        <f t="shared" si="75"/>
        <v/>
      </c>
    </row>
    <row r="334" spans="1:26" ht="58" x14ac:dyDescent="0.35">
      <c r="A334" s="438">
        <v>45901</v>
      </c>
      <c r="B334" s="446">
        <v>15</v>
      </c>
      <c r="C334" s="439" t="s">
        <v>56</v>
      </c>
      <c r="D334" s="439" t="s">
        <v>602</v>
      </c>
      <c r="E334" s="439" t="s">
        <v>657</v>
      </c>
      <c r="F334" s="439" t="s">
        <v>570</v>
      </c>
      <c r="G334" s="440" t="b">
        <f>IF(A334="","",IF(Daten!$AE$4=0,TRUE,MONTH(A334)=Daten!$AE$4))</f>
        <v>1</v>
      </c>
      <c r="H334" s="455" t="s">
        <v>463</v>
      </c>
      <c r="I334" s="440" t="s">
        <v>71</v>
      </c>
      <c r="J334" s="440"/>
      <c r="K334" s="439" t="s">
        <v>637</v>
      </c>
      <c r="L334" s="452" t="s">
        <v>781</v>
      </c>
      <c r="M334" s="448" t="str">
        <f>IF(OR(A334="", B334=""), "", IF(H334="Mitgliedsbeiträge", ABS(B334), ""))</f>
        <v/>
      </c>
      <c r="N334" s="448" t="str">
        <f t="shared" si="65"/>
        <v/>
      </c>
      <c r="O334" s="448" t="str">
        <f t="shared" si="66"/>
        <v/>
      </c>
      <c r="P334" s="448" t="str">
        <f t="shared" si="67"/>
        <v/>
      </c>
      <c r="Q334" s="448" t="str">
        <f t="shared" si="68"/>
        <v/>
      </c>
      <c r="R334" s="448" t="str">
        <f t="shared" si="69"/>
        <v/>
      </c>
      <c r="S334" s="448">
        <v>15</v>
      </c>
      <c r="T334" s="448" t="str">
        <f t="shared" si="77"/>
        <v/>
      </c>
      <c r="U334" s="448" t="str">
        <f t="shared" si="70"/>
        <v/>
      </c>
      <c r="V334" s="448" t="str">
        <f t="shared" ref="V334:V397" si="78">IF(OR(A334="", B334=""), "", IF(H334="Veranstaltungen Ausgabe", ABS(B334), ""))</f>
        <v/>
      </c>
      <c r="W334" s="448" t="str">
        <f t="shared" si="71"/>
        <v/>
      </c>
      <c r="X334" s="448" t="str">
        <f t="shared" si="72"/>
        <v/>
      </c>
      <c r="Y334" s="448" t="str">
        <f t="shared" si="73"/>
        <v/>
      </c>
      <c r="Z334" s="449" t="str">
        <f t="shared" si="75"/>
        <v/>
      </c>
    </row>
    <row r="335" spans="1:26" x14ac:dyDescent="0.35">
      <c r="A335" s="441">
        <v>45901</v>
      </c>
      <c r="B335" s="447">
        <v>15</v>
      </c>
      <c r="C335" s="442" t="s">
        <v>595</v>
      </c>
      <c r="D335" s="442" t="s">
        <v>596</v>
      </c>
      <c r="E335" s="442" t="s">
        <v>656</v>
      </c>
      <c r="F335" s="442" t="s">
        <v>570</v>
      </c>
      <c r="G335" s="443" t="b">
        <f>IF(A335="","",IF(Daten!$AE$4=0,TRUE,MONTH(A335)=Daten!$AE$4))</f>
        <v>1</v>
      </c>
      <c r="H335" s="454" t="s">
        <v>306</v>
      </c>
      <c r="I335" s="443" t="s">
        <v>71</v>
      </c>
      <c r="J335" s="443"/>
      <c r="K335" s="442" t="s">
        <v>637</v>
      </c>
      <c r="L335" s="453"/>
      <c r="M335" s="450">
        <v>15</v>
      </c>
      <c r="N335" s="450" t="str">
        <f t="shared" si="65"/>
        <v/>
      </c>
      <c r="O335" s="450" t="str">
        <f t="shared" si="66"/>
        <v/>
      </c>
      <c r="P335" s="450" t="str">
        <f t="shared" si="67"/>
        <v/>
      </c>
      <c r="Q335" s="450" t="str">
        <f t="shared" si="68"/>
        <v/>
      </c>
      <c r="R335" s="450" t="str">
        <f t="shared" si="69"/>
        <v/>
      </c>
      <c r="S335" s="450" t="str">
        <f>IF(OR(A335="", B335=""), "", IF(H335="Sonstige Einnahmen", ABS(B335), ""))</f>
        <v/>
      </c>
      <c r="T335" s="450" t="str">
        <f t="shared" si="77"/>
        <v/>
      </c>
      <c r="U335" s="450" t="str">
        <f t="shared" si="70"/>
        <v/>
      </c>
      <c r="V335" s="450" t="str">
        <f t="shared" si="78"/>
        <v/>
      </c>
      <c r="W335" s="450" t="str">
        <f t="shared" si="71"/>
        <v/>
      </c>
      <c r="X335" s="450" t="str">
        <f t="shared" si="72"/>
        <v/>
      </c>
      <c r="Y335" s="450" t="str">
        <f t="shared" si="73"/>
        <v/>
      </c>
      <c r="Z335" s="451" t="str">
        <f t="shared" si="75"/>
        <v/>
      </c>
    </row>
    <row r="336" spans="1:26" x14ac:dyDescent="0.35">
      <c r="A336" s="438">
        <v>45901</v>
      </c>
      <c r="B336" s="446">
        <v>120</v>
      </c>
      <c r="C336" s="439" t="s">
        <v>603</v>
      </c>
      <c r="D336" s="439" t="s">
        <v>604</v>
      </c>
      <c r="E336" s="439" t="s">
        <v>658</v>
      </c>
      <c r="F336" s="439" t="s">
        <v>570</v>
      </c>
      <c r="G336" s="440" t="b">
        <f>IF(A336="","",IF(Daten!$AE$4=0,TRUE,MONTH(A336)=Daten!$AE$4))</f>
        <v>1</v>
      </c>
      <c r="H336" s="454" t="s">
        <v>425</v>
      </c>
      <c r="I336" s="440" t="s">
        <v>71</v>
      </c>
      <c r="J336" s="440"/>
      <c r="K336" s="439" t="s">
        <v>637</v>
      </c>
      <c r="L336" s="452"/>
      <c r="M336" s="448" t="str">
        <f>IF(OR(A336="", B336=""), "", IF(H336="Mitgliedsbeiträge", ABS(B336), ""))</f>
        <v/>
      </c>
      <c r="N336" s="448" t="str">
        <f t="shared" si="65"/>
        <v/>
      </c>
      <c r="O336" s="448" t="str">
        <f t="shared" si="66"/>
        <v/>
      </c>
      <c r="P336" s="448" t="str">
        <f t="shared" si="67"/>
        <v/>
      </c>
      <c r="Q336" s="448" t="str">
        <f t="shared" si="68"/>
        <v/>
      </c>
      <c r="R336" s="448" t="str">
        <f t="shared" si="69"/>
        <v/>
      </c>
      <c r="S336" s="448">
        <v>120</v>
      </c>
      <c r="T336" s="448" t="str">
        <f t="shared" si="77"/>
        <v/>
      </c>
      <c r="U336" s="448" t="str">
        <f t="shared" si="70"/>
        <v/>
      </c>
      <c r="V336" s="448" t="str">
        <f t="shared" si="78"/>
        <v/>
      </c>
      <c r="W336" s="448" t="str">
        <f t="shared" si="71"/>
        <v/>
      </c>
      <c r="X336" s="448" t="str">
        <f t="shared" si="72"/>
        <v/>
      </c>
      <c r="Y336" s="448" t="str">
        <f t="shared" si="73"/>
        <v/>
      </c>
      <c r="Z336" s="449" t="str">
        <f t="shared" si="75"/>
        <v/>
      </c>
    </row>
    <row r="337" spans="1:26" x14ac:dyDescent="0.35">
      <c r="A337" s="441">
        <v>45901</v>
      </c>
      <c r="B337" s="447">
        <v>7.5</v>
      </c>
      <c r="C337" s="442" t="s">
        <v>56</v>
      </c>
      <c r="D337" s="442" t="s">
        <v>602</v>
      </c>
      <c r="E337" s="442" t="s">
        <v>386</v>
      </c>
      <c r="F337" s="442" t="s">
        <v>570</v>
      </c>
      <c r="G337" s="443" t="b">
        <f>IF(A337="","",IF(Daten!$AE$4=0,TRUE,MONTH(A337)=Daten!$AE$4))</f>
        <v>1</v>
      </c>
      <c r="H337" s="454" t="s">
        <v>306</v>
      </c>
      <c r="I337" s="443" t="s">
        <v>71</v>
      </c>
      <c r="J337" s="443"/>
      <c r="K337" s="442" t="s">
        <v>637</v>
      </c>
      <c r="L337" s="453"/>
      <c r="M337" s="450">
        <v>7.5</v>
      </c>
      <c r="N337" s="450" t="str">
        <f t="shared" si="65"/>
        <v/>
      </c>
      <c r="O337" s="450" t="str">
        <f t="shared" si="66"/>
        <v/>
      </c>
      <c r="P337" s="450" t="str">
        <f t="shared" si="67"/>
        <v/>
      </c>
      <c r="Q337" s="450" t="str">
        <f t="shared" si="68"/>
        <v/>
      </c>
      <c r="R337" s="450" t="str">
        <f t="shared" si="69"/>
        <v/>
      </c>
      <c r="S337" s="450" t="str">
        <f>IF(OR(A337="", B337=""), "", IF(H337="Sonstige Einnahmen", ABS(B337), ""))</f>
        <v/>
      </c>
      <c r="T337" s="450" t="str">
        <f t="shared" si="77"/>
        <v/>
      </c>
      <c r="U337" s="450" t="str">
        <f t="shared" si="70"/>
        <v/>
      </c>
      <c r="V337" s="450" t="str">
        <f t="shared" si="78"/>
        <v/>
      </c>
      <c r="W337" s="450" t="str">
        <f t="shared" si="71"/>
        <v/>
      </c>
      <c r="X337" s="450" t="str">
        <f t="shared" si="72"/>
        <v/>
      </c>
      <c r="Y337" s="450" t="str">
        <f t="shared" si="73"/>
        <v/>
      </c>
      <c r="Z337" s="451" t="str">
        <f t="shared" si="75"/>
        <v/>
      </c>
    </row>
    <row r="338" spans="1:26" x14ac:dyDescent="0.35">
      <c r="A338" s="438">
        <v>45901</v>
      </c>
      <c r="B338" s="446">
        <v>15</v>
      </c>
      <c r="C338" s="439" t="s">
        <v>605</v>
      </c>
      <c r="D338" s="439" t="s">
        <v>606</v>
      </c>
      <c r="E338" s="439" t="s">
        <v>660</v>
      </c>
      <c r="F338" s="439" t="s">
        <v>570</v>
      </c>
      <c r="G338" s="440" t="b">
        <f>IF(A338="","",IF(Daten!$AE$4=0,TRUE,MONTH(A338)=Daten!$AE$4))</f>
        <v>1</v>
      </c>
      <c r="H338" s="454" t="s">
        <v>415</v>
      </c>
      <c r="I338" s="440" t="s">
        <v>71</v>
      </c>
      <c r="J338" s="440"/>
      <c r="K338" s="439" t="s">
        <v>637</v>
      </c>
      <c r="L338" s="452"/>
      <c r="M338" s="448" t="str">
        <f>IF(OR(A338="", B338=""), "", IF(H338="Mitgliedsbeiträge", ABS(B338), ""))</f>
        <v/>
      </c>
      <c r="N338" s="448" t="str">
        <f t="shared" si="65"/>
        <v/>
      </c>
      <c r="O338" s="448" t="str">
        <f t="shared" si="66"/>
        <v/>
      </c>
      <c r="P338" s="448" t="str">
        <f t="shared" si="67"/>
        <v/>
      </c>
      <c r="Q338" s="448" t="str">
        <f t="shared" si="68"/>
        <v/>
      </c>
      <c r="R338" s="448" t="str">
        <f t="shared" si="69"/>
        <v/>
      </c>
      <c r="S338" s="448">
        <v>15</v>
      </c>
      <c r="T338" s="448" t="str">
        <f t="shared" si="77"/>
        <v/>
      </c>
      <c r="U338" s="448" t="str">
        <f t="shared" si="70"/>
        <v/>
      </c>
      <c r="V338" s="448" t="str">
        <f t="shared" si="78"/>
        <v/>
      </c>
      <c r="W338" s="448" t="str">
        <f t="shared" si="71"/>
        <v/>
      </c>
      <c r="X338" s="448" t="str">
        <f t="shared" si="72"/>
        <v/>
      </c>
      <c r="Y338" s="448" t="str">
        <f t="shared" si="73"/>
        <v/>
      </c>
      <c r="Z338" s="449" t="str">
        <f t="shared" si="75"/>
        <v/>
      </c>
    </row>
    <row r="339" spans="1:26" ht="58" x14ac:dyDescent="0.35">
      <c r="A339" s="441">
        <v>45901</v>
      </c>
      <c r="B339" s="447">
        <v>60</v>
      </c>
      <c r="C339" s="442" t="s">
        <v>605</v>
      </c>
      <c r="D339" s="442" t="s">
        <v>606</v>
      </c>
      <c r="E339" s="442" t="s">
        <v>689</v>
      </c>
      <c r="F339" s="442" t="s">
        <v>570</v>
      </c>
      <c r="G339" s="443" t="b">
        <f>IF(A339="","",IF(Daten!$AE$4=0,TRUE,MONTH(A339)=Daten!$AE$4))</f>
        <v>1</v>
      </c>
      <c r="H339" s="455" t="s">
        <v>425</v>
      </c>
      <c r="I339" s="443" t="s">
        <v>71</v>
      </c>
      <c r="J339" s="443"/>
      <c r="K339" s="442" t="s">
        <v>637</v>
      </c>
      <c r="L339" s="453" t="s">
        <v>786</v>
      </c>
      <c r="M339" s="450" t="str">
        <f>IF(OR(A339="", B339=""), "", IF(H339="Mitgliedsbeiträge", ABS(B339), ""))</f>
        <v/>
      </c>
      <c r="N339" s="450" t="str">
        <f t="shared" si="65"/>
        <v/>
      </c>
      <c r="O339" s="450" t="str">
        <f t="shared" si="66"/>
        <v/>
      </c>
      <c r="P339" s="450" t="str">
        <f t="shared" si="67"/>
        <v/>
      </c>
      <c r="Q339" s="450" t="str">
        <f t="shared" si="68"/>
        <v/>
      </c>
      <c r="R339" s="450" t="str">
        <f t="shared" si="69"/>
        <v/>
      </c>
      <c r="S339" s="450">
        <v>60</v>
      </c>
      <c r="T339" s="450" t="str">
        <f t="shared" si="77"/>
        <v/>
      </c>
      <c r="U339" s="450" t="str">
        <f t="shared" si="70"/>
        <v/>
      </c>
      <c r="V339" s="450" t="str">
        <f t="shared" si="78"/>
        <v/>
      </c>
      <c r="W339" s="450" t="str">
        <f t="shared" si="71"/>
        <v/>
      </c>
      <c r="X339" s="450" t="str">
        <f t="shared" si="72"/>
        <v/>
      </c>
      <c r="Y339" s="450" t="str">
        <f t="shared" si="73"/>
        <v/>
      </c>
      <c r="Z339" s="451" t="str">
        <f t="shared" si="75"/>
        <v/>
      </c>
    </row>
    <row r="340" spans="1:26" x14ac:dyDescent="0.35">
      <c r="A340" s="438">
        <v>45901</v>
      </c>
      <c r="B340" s="446">
        <v>15</v>
      </c>
      <c r="C340" s="439" t="s">
        <v>605</v>
      </c>
      <c r="D340" s="439" t="s">
        <v>606</v>
      </c>
      <c r="E340" s="439" t="s">
        <v>662</v>
      </c>
      <c r="F340" s="439" t="s">
        <v>570</v>
      </c>
      <c r="G340" s="440" t="b">
        <f>IF(A340="","",IF(Daten!$AE$4=0,TRUE,MONTH(A340)=Daten!$AE$4))</f>
        <v>1</v>
      </c>
      <c r="H340" s="454" t="s">
        <v>306</v>
      </c>
      <c r="I340" s="440" t="s">
        <v>71</v>
      </c>
      <c r="J340" s="440"/>
      <c r="K340" s="439" t="s">
        <v>637</v>
      </c>
      <c r="L340" s="452"/>
      <c r="M340" s="448">
        <v>15</v>
      </c>
      <c r="N340" s="448" t="str">
        <f t="shared" si="65"/>
        <v/>
      </c>
      <c r="O340" s="448" t="str">
        <f t="shared" si="66"/>
        <v/>
      </c>
      <c r="P340" s="448" t="str">
        <f t="shared" si="67"/>
        <v/>
      </c>
      <c r="Q340" s="448" t="str">
        <f t="shared" si="68"/>
        <v/>
      </c>
      <c r="R340" s="448" t="str">
        <f t="shared" si="69"/>
        <v/>
      </c>
      <c r="S340" s="448" t="str">
        <f>IF(OR(A340="", B340=""), "", IF(H340="Sonstige Einnahmen", ABS(B340), ""))</f>
        <v/>
      </c>
      <c r="T340" s="448" t="str">
        <f t="shared" si="77"/>
        <v/>
      </c>
      <c r="U340" s="448" t="str">
        <f t="shared" si="70"/>
        <v/>
      </c>
      <c r="V340" s="448" t="str">
        <f t="shared" si="78"/>
        <v/>
      </c>
      <c r="W340" s="448" t="str">
        <f t="shared" si="71"/>
        <v/>
      </c>
      <c r="X340" s="448" t="str">
        <f t="shared" si="72"/>
        <v/>
      </c>
      <c r="Y340" s="448" t="str">
        <f t="shared" si="73"/>
        <v/>
      </c>
      <c r="Z340" s="449" t="str">
        <f t="shared" si="75"/>
        <v/>
      </c>
    </row>
    <row r="341" spans="1:26" x14ac:dyDescent="0.35">
      <c r="A341" s="441">
        <v>45901</v>
      </c>
      <c r="B341" s="447">
        <v>15</v>
      </c>
      <c r="C341" s="442" t="s">
        <v>607</v>
      </c>
      <c r="D341" s="442" t="s">
        <v>608</v>
      </c>
      <c r="E341" s="442" t="s">
        <v>661</v>
      </c>
      <c r="F341" s="442" t="s">
        <v>570</v>
      </c>
      <c r="G341" s="443" t="b">
        <f>IF(A341="","",IF(Daten!$AE$4=0,TRUE,MONTH(A341)=Daten!$AE$4))</f>
        <v>1</v>
      </c>
      <c r="H341" s="454" t="s">
        <v>306</v>
      </c>
      <c r="I341" s="443" t="s">
        <v>71</v>
      </c>
      <c r="J341" s="443"/>
      <c r="K341" s="442" t="s">
        <v>637</v>
      </c>
      <c r="L341" s="453"/>
      <c r="M341" s="450">
        <v>15</v>
      </c>
      <c r="N341" s="450" t="str">
        <f t="shared" si="65"/>
        <v/>
      </c>
      <c r="O341" s="450" t="str">
        <f t="shared" si="66"/>
        <v/>
      </c>
      <c r="P341" s="450" t="str">
        <f t="shared" si="67"/>
        <v/>
      </c>
      <c r="Q341" s="450" t="str">
        <f t="shared" si="68"/>
        <v/>
      </c>
      <c r="R341" s="450" t="str">
        <f t="shared" si="69"/>
        <v/>
      </c>
      <c r="S341" s="450" t="str">
        <f>IF(OR(A341="", B341=""), "", IF(H341="Sonstige Einnahmen", ABS(B341), ""))</f>
        <v/>
      </c>
      <c r="T341" s="450" t="str">
        <f t="shared" si="77"/>
        <v/>
      </c>
      <c r="U341" s="450" t="str">
        <f t="shared" si="70"/>
        <v/>
      </c>
      <c r="V341" s="450" t="str">
        <f t="shared" si="78"/>
        <v/>
      </c>
      <c r="W341" s="450" t="str">
        <f t="shared" si="71"/>
        <v/>
      </c>
      <c r="X341" s="450" t="str">
        <f t="shared" si="72"/>
        <v/>
      </c>
      <c r="Y341" s="450" t="str">
        <f t="shared" si="73"/>
        <v/>
      </c>
      <c r="Z341" s="451" t="str">
        <f t="shared" si="75"/>
        <v/>
      </c>
    </row>
    <row r="342" spans="1:26" x14ac:dyDescent="0.35">
      <c r="A342" s="438">
        <v>45901</v>
      </c>
      <c r="B342" s="446">
        <v>-4.5999999999999996</v>
      </c>
      <c r="C342" s="439"/>
      <c r="D342" s="439">
        <v>0</v>
      </c>
      <c r="E342" s="439" t="s">
        <v>663</v>
      </c>
      <c r="F342" s="439" t="s">
        <v>381</v>
      </c>
      <c r="G342" s="440" t="b">
        <f>IF(A342="","",IF(Daten!$AE$4=0,TRUE,MONTH(A342)=Daten!$AE$4))</f>
        <v>1</v>
      </c>
      <c r="H342" s="456" t="s">
        <v>782</v>
      </c>
      <c r="I342" s="440" t="s">
        <v>71</v>
      </c>
      <c r="J342" s="440"/>
      <c r="K342" s="439" t="s">
        <v>637</v>
      </c>
      <c r="L342" s="452" t="s">
        <v>783</v>
      </c>
      <c r="M342" s="448" t="str">
        <f>IF(OR(A342="", B342=""), "", IF(H342="Mitgliedsbeiträge", ABS(B342), ""))</f>
        <v/>
      </c>
      <c r="N342" s="448" t="str">
        <f t="shared" si="65"/>
        <v/>
      </c>
      <c r="O342" s="448" t="str">
        <f t="shared" si="66"/>
        <v/>
      </c>
      <c r="P342" s="448" t="str">
        <f t="shared" si="67"/>
        <v/>
      </c>
      <c r="Q342" s="448" t="str">
        <f t="shared" si="68"/>
        <v/>
      </c>
      <c r="R342" s="448" t="str">
        <f t="shared" si="69"/>
        <v/>
      </c>
      <c r="S342" s="448" t="str">
        <f>IF(OR(A342="", B342=""), "", IF(H342="Sonstige Einnahmen", ABS(B342), ""))</f>
        <v/>
      </c>
      <c r="T342" s="448" t="str">
        <f t="shared" si="77"/>
        <v/>
      </c>
      <c r="U342" s="448" t="str">
        <f t="shared" si="70"/>
        <v/>
      </c>
      <c r="V342" s="448" t="str">
        <f t="shared" si="78"/>
        <v/>
      </c>
      <c r="W342" s="448" t="str">
        <f t="shared" si="71"/>
        <v/>
      </c>
      <c r="X342" s="448" t="str">
        <f t="shared" si="72"/>
        <v/>
      </c>
      <c r="Y342" s="448" t="str">
        <f t="shared" si="73"/>
        <v/>
      </c>
      <c r="Z342" s="449" t="str">
        <f t="shared" si="75"/>
        <v/>
      </c>
    </row>
    <row r="343" spans="1:26" x14ac:dyDescent="0.35">
      <c r="A343" s="441">
        <v>45902</v>
      </c>
      <c r="B343" s="447">
        <v>15</v>
      </c>
      <c r="C343" s="442" t="s">
        <v>51</v>
      </c>
      <c r="D343" s="442" t="s">
        <v>589</v>
      </c>
      <c r="E343" s="442" t="s">
        <v>384</v>
      </c>
      <c r="F343" s="442" t="s">
        <v>570</v>
      </c>
      <c r="G343" s="443" t="b">
        <f>IF(A343="","",IF(Daten!$AE$4=0,TRUE,MONTH(A343)=Daten!$AE$4))</f>
        <v>1</v>
      </c>
      <c r="H343" s="454" t="s">
        <v>415</v>
      </c>
      <c r="I343" s="443" t="s">
        <v>71</v>
      </c>
      <c r="J343" s="443"/>
      <c r="K343" s="442" t="s">
        <v>637</v>
      </c>
      <c r="L343" s="453"/>
      <c r="M343" s="450" t="str">
        <f>IF(OR(A343="", B343=""), "", IF(H343="Mitgliedsbeiträge", ABS(B343), ""))</f>
        <v/>
      </c>
      <c r="N343" s="450" t="str">
        <f t="shared" si="65"/>
        <v/>
      </c>
      <c r="O343" s="450" t="str">
        <f t="shared" si="66"/>
        <v/>
      </c>
      <c r="P343" s="450" t="str">
        <f t="shared" si="67"/>
        <v/>
      </c>
      <c r="Q343" s="450" t="str">
        <f t="shared" si="68"/>
        <v/>
      </c>
      <c r="R343" s="450" t="str">
        <f t="shared" si="69"/>
        <v/>
      </c>
      <c r="S343" s="450">
        <v>15</v>
      </c>
      <c r="T343" s="450" t="str">
        <f t="shared" si="77"/>
        <v/>
      </c>
      <c r="U343" s="450" t="str">
        <f t="shared" si="70"/>
        <v/>
      </c>
      <c r="V343" s="450" t="str">
        <f t="shared" si="78"/>
        <v/>
      </c>
      <c r="W343" s="450" t="str">
        <f t="shared" si="71"/>
        <v/>
      </c>
      <c r="X343" s="450" t="str">
        <f t="shared" si="72"/>
        <v/>
      </c>
      <c r="Y343" s="450" t="str">
        <f t="shared" si="73"/>
        <v/>
      </c>
      <c r="Z343" s="451" t="str">
        <f t="shared" si="75"/>
        <v/>
      </c>
    </row>
    <row r="344" spans="1:26" ht="58" x14ac:dyDescent="0.35">
      <c r="A344" s="438">
        <v>45902</v>
      </c>
      <c r="B344" s="446">
        <v>60</v>
      </c>
      <c r="C344" s="439" t="s">
        <v>582</v>
      </c>
      <c r="D344" s="439" t="s">
        <v>583</v>
      </c>
      <c r="E344" s="439" t="s">
        <v>648</v>
      </c>
      <c r="F344" s="439" t="s">
        <v>570</v>
      </c>
      <c r="G344" s="440" t="b">
        <f>IF(A344="","",IF(Daten!$AE$4=0,TRUE,MONTH(A344)=Daten!$AE$4))</f>
        <v>1</v>
      </c>
      <c r="H344" s="455" t="s">
        <v>425</v>
      </c>
      <c r="I344" s="440" t="s">
        <v>71</v>
      </c>
      <c r="J344" s="440"/>
      <c r="K344" s="439" t="s">
        <v>637</v>
      </c>
      <c r="L344" s="452" t="s">
        <v>786</v>
      </c>
      <c r="M344" s="448" t="str">
        <f>IF(OR(A344="", B344=""), "", IF(H344="Mitgliedsbeiträge", ABS(B344), ""))</f>
        <v/>
      </c>
      <c r="N344" s="448" t="str">
        <f t="shared" si="65"/>
        <v/>
      </c>
      <c r="O344" s="448" t="str">
        <f t="shared" si="66"/>
        <v/>
      </c>
      <c r="P344" s="448" t="str">
        <f t="shared" si="67"/>
        <v/>
      </c>
      <c r="Q344" s="448" t="str">
        <f t="shared" si="68"/>
        <v/>
      </c>
      <c r="R344" s="448" t="str">
        <f t="shared" si="69"/>
        <v/>
      </c>
      <c r="S344" s="448">
        <v>60</v>
      </c>
      <c r="T344" s="448" t="str">
        <f t="shared" si="77"/>
        <v/>
      </c>
      <c r="U344" s="448" t="str">
        <f t="shared" si="70"/>
        <v/>
      </c>
      <c r="V344" s="448" t="str">
        <f t="shared" si="78"/>
        <v/>
      </c>
      <c r="W344" s="448" t="str">
        <f t="shared" si="71"/>
        <v/>
      </c>
      <c r="X344" s="448" t="str">
        <f t="shared" si="72"/>
        <v/>
      </c>
      <c r="Y344" s="448" t="str">
        <f t="shared" si="73"/>
        <v/>
      </c>
      <c r="Z344" s="449" t="str">
        <f t="shared" si="75"/>
        <v/>
      </c>
    </row>
    <row r="345" spans="1:26" ht="58" x14ac:dyDescent="0.35">
      <c r="A345" s="441">
        <v>45902</v>
      </c>
      <c r="B345" s="447">
        <v>15</v>
      </c>
      <c r="C345" s="442" t="s">
        <v>582</v>
      </c>
      <c r="D345" s="442" t="s">
        <v>583</v>
      </c>
      <c r="E345" s="442" t="s">
        <v>650</v>
      </c>
      <c r="F345" s="442" t="s">
        <v>570</v>
      </c>
      <c r="G345" s="443" t="b">
        <f>IF(A345="","",IF(Daten!$AE$4=0,TRUE,MONTH(A345)=Daten!$AE$4))</f>
        <v>1</v>
      </c>
      <c r="H345" s="455" t="s">
        <v>415</v>
      </c>
      <c r="I345" s="443" t="s">
        <v>71</v>
      </c>
      <c r="J345" s="443"/>
      <c r="K345" s="442" t="s">
        <v>637</v>
      </c>
      <c r="L345" s="453" t="s">
        <v>781</v>
      </c>
      <c r="M345" s="450" t="str">
        <f>IF(OR(A345="", B345=""), "", IF(H345="Mitgliedsbeiträge", ABS(B345), ""))</f>
        <v/>
      </c>
      <c r="N345" s="450" t="str">
        <f t="shared" si="65"/>
        <v/>
      </c>
      <c r="O345" s="450" t="str">
        <f t="shared" si="66"/>
        <v/>
      </c>
      <c r="P345" s="450" t="str">
        <f t="shared" si="67"/>
        <v/>
      </c>
      <c r="Q345" s="450" t="str">
        <f t="shared" si="68"/>
        <v/>
      </c>
      <c r="R345" s="450" t="str">
        <f t="shared" si="69"/>
        <v/>
      </c>
      <c r="S345" s="450">
        <v>15</v>
      </c>
      <c r="T345" s="450" t="str">
        <f t="shared" si="77"/>
        <v/>
      </c>
      <c r="U345" s="450" t="str">
        <f t="shared" si="70"/>
        <v/>
      </c>
      <c r="V345" s="450" t="str">
        <f t="shared" si="78"/>
        <v/>
      </c>
      <c r="W345" s="450" t="str">
        <f t="shared" si="71"/>
        <v/>
      </c>
      <c r="X345" s="450" t="str">
        <f t="shared" si="72"/>
        <v/>
      </c>
      <c r="Y345" s="450" t="str">
        <f t="shared" si="73"/>
        <v/>
      </c>
      <c r="Z345" s="451" t="str">
        <f t="shared" si="75"/>
        <v/>
      </c>
    </row>
    <row r="346" spans="1:26" x14ac:dyDescent="0.35">
      <c r="A346" s="438">
        <v>45902</v>
      </c>
      <c r="B346" s="446">
        <v>15</v>
      </c>
      <c r="C346" s="439" t="s">
        <v>592</v>
      </c>
      <c r="D346" s="439" t="s">
        <v>593</v>
      </c>
      <c r="E346" s="439" t="s">
        <v>649</v>
      </c>
      <c r="F346" s="439" t="s">
        <v>570</v>
      </c>
      <c r="G346" s="440" t="b">
        <f>IF(A346="","",IF(Daten!$AE$4=0,TRUE,MONTH(A346)=Daten!$AE$4))</f>
        <v>1</v>
      </c>
      <c r="H346" s="454" t="s">
        <v>415</v>
      </c>
      <c r="I346" s="440" t="s">
        <v>71</v>
      </c>
      <c r="J346" s="440"/>
      <c r="K346" s="439" t="s">
        <v>637</v>
      </c>
      <c r="L346" s="452"/>
      <c r="M346" s="448" t="str">
        <f>IF(OR(A346="", B346=""), "", IF(H346="Mitgliedsbeiträge", ABS(B346), ""))</f>
        <v/>
      </c>
      <c r="N346" s="448" t="str">
        <f t="shared" si="65"/>
        <v/>
      </c>
      <c r="O346" s="448" t="str">
        <f t="shared" si="66"/>
        <v/>
      </c>
      <c r="P346" s="448" t="str">
        <f t="shared" si="67"/>
        <v/>
      </c>
      <c r="Q346" s="448" t="str">
        <f t="shared" si="68"/>
        <v/>
      </c>
      <c r="R346" s="448" t="str">
        <f t="shared" si="69"/>
        <v/>
      </c>
      <c r="S346" s="448">
        <v>15</v>
      </c>
      <c r="T346" s="448" t="str">
        <f t="shared" si="77"/>
        <v/>
      </c>
      <c r="U346" s="448" t="str">
        <f t="shared" si="70"/>
        <v/>
      </c>
      <c r="V346" s="448" t="str">
        <f t="shared" si="78"/>
        <v/>
      </c>
      <c r="W346" s="448" t="str">
        <f t="shared" si="71"/>
        <v/>
      </c>
      <c r="X346" s="448" t="str">
        <f t="shared" si="72"/>
        <v/>
      </c>
      <c r="Y346" s="448" t="str">
        <f t="shared" si="73"/>
        <v/>
      </c>
      <c r="Z346" s="449" t="str">
        <f t="shared" si="75"/>
        <v/>
      </c>
    </row>
    <row r="347" spans="1:26" x14ac:dyDescent="0.35">
      <c r="A347" s="441">
        <v>45902</v>
      </c>
      <c r="B347" s="447">
        <v>7.5</v>
      </c>
      <c r="C347" s="442" t="s">
        <v>592</v>
      </c>
      <c r="D347" s="442" t="s">
        <v>593</v>
      </c>
      <c r="E347" s="442" t="s">
        <v>651</v>
      </c>
      <c r="F347" s="442" t="s">
        <v>570</v>
      </c>
      <c r="G347" s="443" t="b">
        <f>IF(A347="","",IF(Daten!$AE$4=0,TRUE,MONTH(A347)=Daten!$AE$4))</f>
        <v>1</v>
      </c>
      <c r="H347" s="454" t="s">
        <v>306</v>
      </c>
      <c r="I347" s="443" t="s">
        <v>71</v>
      </c>
      <c r="J347" s="443"/>
      <c r="K347" s="442" t="s">
        <v>637</v>
      </c>
      <c r="L347" s="453"/>
      <c r="M347" s="450">
        <v>7.5</v>
      </c>
      <c r="N347" s="450" t="str">
        <f t="shared" si="65"/>
        <v/>
      </c>
      <c r="O347" s="450" t="str">
        <f t="shared" si="66"/>
        <v/>
      </c>
      <c r="P347" s="450" t="str">
        <f t="shared" si="67"/>
        <v/>
      </c>
      <c r="Q347" s="450" t="str">
        <f t="shared" si="68"/>
        <v/>
      </c>
      <c r="R347" s="450" t="str">
        <f t="shared" si="69"/>
        <v/>
      </c>
      <c r="S347" s="450" t="str">
        <f>IF(OR(A347="", B347=""), "", IF(H347="Sonstige Einnahmen", ABS(B347), ""))</f>
        <v/>
      </c>
      <c r="T347" s="450" t="str">
        <f t="shared" si="77"/>
        <v/>
      </c>
      <c r="U347" s="450" t="str">
        <f t="shared" si="70"/>
        <v/>
      </c>
      <c r="V347" s="450" t="str">
        <f t="shared" si="78"/>
        <v/>
      </c>
      <c r="W347" s="450" t="str">
        <f t="shared" si="71"/>
        <v/>
      </c>
      <c r="X347" s="450" t="str">
        <f t="shared" si="72"/>
        <v/>
      </c>
      <c r="Y347" s="450" t="str">
        <f t="shared" si="73"/>
        <v/>
      </c>
      <c r="Z347" s="451" t="str">
        <f t="shared" si="75"/>
        <v/>
      </c>
    </row>
    <row r="348" spans="1:26" x14ac:dyDescent="0.35">
      <c r="A348" s="438">
        <v>45902</v>
      </c>
      <c r="B348" s="446">
        <v>15</v>
      </c>
      <c r="C348" s="439" t="s">
        <v>597</v>
      </c>
      <c r="D348" s="439" t="s">
        <v>598</v>
      </c>
      <c r="E348" s="439" t="s">
        <v>385</v>
      </c>
      <c r="F348" s="439" t="s">
        <v>570</v>
      </c>
      <c r="G348" s="440" t="b">
        <f>IF(A348="","",IF(Daten!$AE$4=0,TRUE,MONTH(A348)=Daten!$AE$4))</f>
        <v>1</v>
      </c>
      <c r="H348" s="454" t="s">
        <v>415</v>
      </c>
      <c r="I348" s="440" t="s">
        <v>71</v>
      </c>
      <c r="J348" s="440"/>
      <c r="K348" s="439" t="s">
        <v>637</v>
      </c>
      <c r="L348" s="452"/>
      <c r="M348" s="448" t="str">
        <f>IF(OR(A348="", B348=""), "", IF(H348="Mitgliedsbeiträge", ABS(B348), ""))</f>
        <v/>
      </c>
      <c r="N348" s="448" t="str">
        <f t="shared" ref="N348:N411" si="79">IF(OR(A348="", B348=""), "", IF(H348="Spenden", ABS(B348), ""))</f>
        <v/>
      </c>
      <c r="O348" s="448" t="str">
        <f t="shared" ref="O348:O411" si="80">IF(OR(A348="", B348=""), "", IF(H348="Zuschüsse", ABS(B348), ""))</f>
        <v/>
      </c>
      <c r="P348" s="448" t="str">
        <f t="shared" ref="P348:P411" si="81">IF(OR(A348="", B348=""), "", IF(H348="Verwaltung", ABS(B348), ""))</f>
        <v/>
      </c>
      <c r="Q348" s="448" t="str">
        <f t="shared" ref="Q348:Q411" si="82">IF(OR(A348="", B348=""), "", IF(H348="Vermögen", ABS(B348), ""))</f>
        <v/>
      </c>
      <c r="R348" s="448" t="str">
        <f t="shared" ref="R348:R411" si="83">IF(OR(A348="", B348=""), "", IF(H348="Vermögen", ABS(B348), ""))</f>
        <v/>
      </c>
      <c r="S348" s="448">
        <v>15</v>
      </c>
      <c r="T348" s="448" t="str">
        <f t="shared" si="77"/>
        <v/>
      </c>
      <c r="U348" s="448" t="str">
        <f t="shared" ref="U348:U411" si="84">IF(OR(A348="", B348=""), "", IF(H348="Fortbildung", ABS(B348), ""))</f>
        <v/>
      </c>
      <c r="V348" s="448" t="str">
        <f t="shared" si="78"/>
        <v/>
      </c>
      <c r="W348" s="448" t="str">
        <f t="shared" ref="W348:W411" si="85">IF(OR(A348="", B348=""), "", IF(H348="Bürobetrieb", ABS(B348), ""))</f>
        <v/>
      </c>
      <c r="X348" s="448" t="str">
        <f t="shared" ref="X348:X411" si="86">IF(OR(A348="", B348=""), "", IF(H348="Aufwandsentschädigungen", ABS(B348), ""))</f>
        <v/>
      </c>
      <c r="Y348" s="448" t="str">
        <f t="shared" ref="Y348:Y411" si="87">IF(OR(A348="", B348=""), "", IF(H348="Sonstige Ausgaben", ABS(B348), ""))</f>
        <v/>
      </c>
      <c r="Z348" s="449" t="str">
        <f t="shared" si="75"/>
        <v/>
      </c>
    </row>
    <row r="349" spans="1:26" x14ac:dyDescent="0.35">
      <c r="A349" s="441">
        <v>45902</v>
      </c>
      <c r="B349" s="447">
        <v>15</v>
      </c>
      <c r="C349" s="442" t="s">
        <v>595</v>
      </c>
      <c r="D349" s="442" t="s">
        <v>596</v>
      </c>
      <c r="E349" s="442" t="s">
        <v>654</v>
      </c>
      <c r="F349" s="442" t="s">
        <v>570</v>
      </c>
      <c r="G349" s="443" t="b">
        <f>IF(A349="","",IF(Daten!$AE$4=0,TRUE,MONTH(A349)=Daten!$AE$4))</f>
        <v>1</v>
      </c>
      <c r="H349" s="454" t="s">
        <v>415</v>
      </c>
      <c r="I349" s="443" t="s">
        <v>71</v>
      </c>
      <c r="J349" s="443"/>
      <c r="K349" s="442" t="s">
        <v>637</v>
      </c>
      <c r="L349" s="453"/>
      <c r="M349" s="450" t="str">
        <f>IF(OR(A349="", B349=""), "", IF(H349="Mitgliedsbeiträge", ABS(B349), ""))</f>
        <v/>
      </c>
      <c r="N349" s="450" t="str">
        <f t="shared" si="79"/>
        <v/>
      </c>
      <c r="O349" s="450" t="str">
        <f t="shared" si="80"/>
        <v/>
      </c>
      <c r="P349" s="450" t="str">
        <f t="shared" si="81"/>
        <v/>
      </c>
      <c r="Q349" s="450" t="str">
        <f t="shared" si="82"/>
        <v/>
      </c>
      <c r="R349" s="450" t="str">
        <f t="shared" si="83"/>
        <v/>
      </c>
      <c r="S349" s="450">
        <v>15</v>
      </c>
      <c r="T349" s="450" t="str">
        <f t="shared" si="77"/>
        <v/>
      </c>
      <c r="U349" s="450" t="str">
        <f t="shared" si="84"/>
        <v/>
      </c>
      <c r="V349" s="450" t="str">
        <f t="shared" si="78"/>
        <v/>
      </c>
      <c r="W349" s="450" t="str">
        <f t="shared" si="85"/>
        <v/>
      </c>
      <c r="X349" s="450" t="str">
        <f t="shared" si="86"/>
        <v/>
      </c>
      <c r="Y349" s="450" t="str">
        <f t="shared" si="87"/>
        <v/>
      </c>
      <c r="Z349" s="451" t="str">
        <f t="shared" si="75"/>
        <v/>
      </c>
    </row>
    <row r="350" spans="1:26" x14ac:dyDescent="0.35">
      <c r="A350" s="438">
        <v>45902</v>
      </c>
      <c r="B350" s="446">
        <v>15</v>
      </c>
      <c r="C350" s="439" t="s">
        <v>66</v>
      </c>
      <c r="D350" s="439" t="s">
        <v>594</v>
      </c>
      <c r="E350" s="439" t="s">
        <v>653</v>
      </c>
      <c r="F350" s="439" t="s">
        <v>570</v>
      </c>
      <c r="G350" s="440" t="b">
        <f>IF(A350="","",IF(Daten!$AE$4=0,TRUE,MONTH(A350)=Daten!$AE$4))</f>
        <v>1</v>
      </c>
      <c r="H350" s="454" t="s">
        <v>415</v>
      </c>
      <c r="I350" s="440" t="s">
        <v>71</v>
      </c>
      <c r="J350" s="440"/>
      <c r="K350" s="439" t="s">
        <v>637</v>
      </c>
      <c r="L350" s="452"/>
      <c r="M350" s="448" t="str">
        <f>IF(OR(A350="", B350=""), "", IF(H350="Mitgliedsbeiträge", ABS(B350), ""))</f>
        <v/>
      </c>
      <c r="N350" s="448" t="str">
        <f t="shared" si="79"/>
        <v/>
      </c>
      <c r="O350" s="448" t="str">
        <f t="shared" si="80"/>
        <v/>
      </c>
      <c r="P350" s="448" t="str">
        <f t="shared" si="81"/>
        <v/>
      </c>
      <c r="Q350" s="448" t="str">
        <f t="shared" si="82"/>
        <v/>
      </c>
      <c r="R350" s="448" t="str">
        <f t="shared" si="83"/>
        <v/>
      </c>
      <c r="S350" s="448">
        <v>15</v>
      </c>
      <c r="T350" s="448" t="str">
        <f t="shared" si="77"/>
        <v/>
      </c>
      <c r="U350" s="448" t="str">
        <f t="shared" si="84"/>
        <v/>
      </c>
      <c r="V350" s="448" t="str">
        <f t="shared" si="78"/>
        <v/>
      </c>
      <c r="W350" s="448" t="str">
        <f t="shared" si="85"/>
        <v/>
      </c>
      <c r="X350" s="448" t="str">
        <f t="shared" si="86"/>
        <v/>
      </c>
      <c r="Y350" s="448" t="str">
        <f t="shared" si="87"/>
        <v/>
      </c>
      <c r="Z350" s="449" t="str">
        <f t="shared" si="75"/>
        <v/>
      </c>
    </row>
    <row r="351" spans="1:26" x14ac:dyDescent="0.35">
      <c r="A351" s="441">
        <v>45902</v>
      </c>
      <c r="B351" s="447">
        <v>7.5</v>
      </c>
      <c r="C351" s="442" t="s">
        <v>66</v>
      </c>
      <c r="D351" s="442" t="s">
        <v>594</v>
      </c>
      <c r="E351" s="442" t="s">
        <v>652</v>
      </c>
      <c r="F351" s="442" t="s">
        <v>570</v>
      </c>
      <c r="G351" s="443" t="b">
        <f>IF(A351="","",IF(Daten!$AE$4=0,TRUE,MONTH(A351)=Daten!$AE$4))</f>
        <v>1</v>
      </c>
      <c r="H351" s="454" t="s">
        <v>306</v>
      </c>
      <c r="I351" s="443" t="s">
        <v>71</v>
      </c>
      <c r="J351" s="443"/>
      <c r="K351" s="442" t="s">
        <v>637</v>
      </c>
      <c r="L351" s="453"/>
      <c r="M351" s="450">
        <v>7.5</v>
      </c>
      <c r="N351" s="450" t="str">
        <f t="shared" si="79"/>
        <v/>
      </c>
      <c r="O351" s="450" t="str">
        <f t="shared" si="80"/>
        <v/>
      </c>
      <c r="P351" s="450" t="str">
        <f t="shared" si="81"/>
        <v/>
      </c>
      <c r="Q351" s="450" t="str">
        <f t="shared" si="82"/>
        <v/>
      </c>
      <c r="R351" s="450" t="str">
        <f t="shared" si="83"/>
        <v/>
      </c>
      <c r="S351" s="450" t="str">
        <f>IF(OR(A351="", B351=""), "", IF(H351="Sonstige Einnahmen", ABS(B351), ""))</f>
        <v/>
      </c>
      <c r="T351" s="450" t="str">
        <f t="shared" si="77"/>
        <v/>
      </c>
      <c r="U351" s="450" t="str">
        <f t="shared" si="84"/>
        <v/>
      </c>
      <c r="V351" s="450" t="str">
        <f t="shared" si="78"/>
        <v/>
      </c>
      <c r="W351" s="450" t="str">
        <f t="shared" si="85"/>
        <v/>
      </c>
      <c r="X351" s="450" t="str">
        <f t="shared" si="86"/>
        <v/>
      </c>
      <c r="Y351" s="450" t="str">
        <f t="shared" si="87"/>
        <v/>
      </c>
      <c r="Z351" s="451" t="str">
        <f t="shared" si="75"/>
        <v/>
      </c>
    </row>
    <row r="352" spans="1:26" x14ac:dyDescent="0.35">
      <c r="A352" s="438">
        <v>45903</v>
      </c>
      <c r="B352" s="446">
        <v>15</v>
      </c>
      <c r="C352" s="439" t="s">
        <v>590</v>
      </c>
      <c r="D352" s="439" t="s">
        <v>591</v>
      </c>
      <c r="E352" s="439" t="s">
        <v>659</v>
      </c>
      <c r="F352" s="439" t="s">
        <v>570</v>
      </c>
      <c r="G352" s="440" t="b">
        <f>IF(A352="","",IF(Daten!$AE$4=0,TRUE,MONTH(A352)=Daten!$AE$4))</f>
        <v>1</v>
      </c>
      <c r="H352" s="454" t="s">
        <v>415</v>
      </c>
      <c r="I352" s="440" t="s">
        <v>71</v>
      </c>
      <c r="J352" s="440"/>
      <c r="K352" s="439" t="s">
        <v>637</v>
      </c>
      <c r="L352" s="452"/>
      <c r="M352" s="448" t="str">
        <f>IF(OR(A352="", B352=""), "", IF(H352="Mitgliedsbeiträge", ABS(B352), ""))</f>
        <v/>
      </c>
      <c r="N352" s="448" t="str">
        <f t="shared" si="79"/>
        <v/>
      </c>
      <c r="O352" s="448" t="str">
        <f t="shared" si="80"/>
        <v/>
      </c>
      <c r="P352" s="448" t="str">
        <f t="shared" si="81"/>
        <v/>
      </c>
      <c r="Q352" s="448" t="str">
        <f t="shared" si="82"/>
        <v/>
      </c>
      <c r="R352" s="448" t="str">
        <f t="shared" si="83"/>
        <v/>
      </c>
      <c r="S352" s="448">
        <v>15</v>
      </c>
      <c r="T352" s="448" t="str">
        <f t="shared" si="77"/>
        <v/>
      </c>
      <c r="U352" s="448" t="str">
        <f t="shared" si="84"/>
        <v/>
      </c>
      <c r="V352" s="448" t="str">
        <f t="shared" si="78"/>
        <v/>
      </c>
      <c r="W352" s="448" t="str">
        <f t="shared" si="85"/>
        <v/>
      </c>
      <c r="X352" s="448" t="str">
        <f t="shared" si="86"/>
        <v/>
      </c>
      <c r="Y352" s="448" t="str">
        <f t="shared" si="87"/>
        <v/>
      </c>
      <c r="Z352" s="449" t="str">
        <f t="shared" si="75"/>
        <v/>
      </c>
    </row>
    <row r="353" spans="1:26" x14ac:dyDescent="0.35">
      <c r="A353" s="441">
        <v>45903</v>
      </c>
      <c r="B353" s="447">
        <v>7.5</v>
      </c>
      <c r="C353" s="442" t="s">
        <v>51</v>
      </c>
      <c r="D353" s="442" t="s">
        <v>589</v>
      </c>
      <c r="E353" s="442" t="s">
        <v>646</v>
      </c>
      <c r="F353" s="442" t="s">
        <v>570</v>
      </c>
      <c r="G353" s="443" t="b">
        <f>IF(A353="","",IF(Daten!$AE$4=0,TRUE,MONTH(A353)=Daten!$AE$4))</f>
        <v>1</v>
      </c>
      <c r="H353" s="454" t="s">
        <v>306</v>
      </c>
      <c r="I353" s="443" t="s">
        <v>71</v>
      </c>
      <c r="J353" s="443"/>
      <c r="K353" s="442" t="s">
        <v>637</v>
      </c>
      <c r="L353" s="453"/>
      <c r="M353" s="450">
        <v>7.5</v>
      </c>
      <c r="N353" s="450" t="str">
        <f t="shared" si="79"/>
        <v/>
      </c>
      <c r="O353" s="450" t="str">
        <f t="shared" si="80"/>
        <v/>
      </c>
      <c r="P353" s="450" t="str">
        <f t="shared" si="81"/>
        <v/>
      </c>
      <c r="Q353" s="450" t="str">
        <f t="shared" si="82"/>
        <v/>
      </c>
      <c r="R353" s="450" t="str">
        <f t="shared" si="83"/>
        <v/>
      </c>
      <c r="S353" s="450" t="str">
        <f>IF(OR(A353="", B353=""), "", IF(H353="Sonstige Einnahmen", ABS(B353), ""))</f>
        <v/>
      </c>
      <c r="T353" s="450" t="str">
        <f t="shared" si="77"/>
        <v/>
      </c>
      <c r="U353" s="450" t="str">
        <f t="shared" si="84"/>
        <v/>
      </c>
      <c r="V353" s="450" t="str">
        <f t="shared" si="78"/>
        <v/>
      </c>
      <c r="W353" s="450" t="str">
        <f t="shared" si="85"/>
        <v/>
      </c>
      <c r="X353" s="450" t="str">
        <f t="shared" si="86"/>
        <v/>
      </c>
      <c r="Y353" s="450" t="str">
        <f t="shared" si="87"/>
        <v/>
      </c>
      <c r="Z353" s="451" t="str">
        <f t="shared" si="75"/>
        <v/>
      </c>
    </row>
    <row r="354" spans="1:26" x14ac:dyDescent="0.35">
      <c r="A354" s="438">
        <v>45903</v>
      </c>
      <c r="B354" s="446">
        <v>15</v>
      </c>
      <c r="C354" s="439" t="s">
        <v>590</v>
      </c>
      <c r="D354" s="439" t="s">
        <v>591</v>
      </c>
      <c r="E354" s="439" t="s">
        <v>647</v>
      </c>
      <c r="F354" s="439" t="s">
        <v>570</v>
      </c>
      <c r="G354" s="440" t="b">
        <f>IF(A354="","",IF(Daten!$AE$4=0,TRUE,MONTH(A354)=Daten!$AE$4))</f>
        <v>1</v>
      </c>
      <c r="H354" s="454" t="s">
        <v>306</v>
      </c>
      <c r="I354" s="440" t="s">
        <v>71</v>
      </c>
      <c r="J354" s="440"/>
      <c r="K354" s="439" t="s">
        <v>637</v>
      </c>
      <c r="L354" s="452"/>
      <c r="M354" s="448">
        <v>15</v>
      </c>
      <c r="N354" s="448" t="str">
        <f t="shared" si="79"/>
        <v/>
      </c>
      <c r="O354" s="448" t="str">
        <f t="shared" si="80"/>
        <v/>
      </c>
      <c r="P354" s="448" t="str">
        <f t="shared" si="81"/>
        <v/>
      </c>
      <c r="Q354" s="448" t="str">
        <f t="shared" si="82"/>
        <v/>
      </c>
      <c r="R354" s="448" t="str">
        <f t="shared" si="83"/>
        <v/>
      </c>
      <c r="S354" s="448" t="str">
        <f>IF(OR(A354="", B354=""), "", IF(H354="Sonstige Einnahmen", ABS(B354), ""))</f>
        <v/>
      </c>
      <c r="T354" s="448" t="str">
        <f t="shared" si="77"/>
        <v/>
      </c>
      <c r="U354" s="448" t="str">
        <f t="shared" si="84"/>
        <v/>
      </c>
      <c r="V354" s="448" t="str">
        <f t="shared" si="78"/>
        <v/>
      </c>
      <c r="W354" s="448" t="str">
        <f t="shared" si="85"/>
        <v/>
      </c>
      <c r="X354" s="448" t="str">
        <f t="shared" si="86"/>
        <v/>
      </c>
      <c r="Y354" s="448" t="str">
        <f t="shared" si="87"/>
        <v/>
      </c>
      <c r="Z354" s="449" t="str">
        <f t="shared" si="75"/>
        <v/>
      </c>
    </row>
    <row r="355" spans="1:26" x14ac:dyDescent="0.35">
      <c r="A355" s="441">
        <v>45904</v>
      </c>
      <c r="B355" s="447">
        <v>140</v>
      </c>
      <c r="C355" s="442" t="s">
        <v>51</v>
      </c>
      <c r="D355" s="442" t="s">
        <v>589</v>
      </c>
      <c r="E355" s="442" t="s">
        <v>687</v>
      </c>
      <c r="F355" s="442" t="s">
        <v>581</v>
      </c>
      <c r="G355" s="443" t="b">
        <f>IF(A355="","",IF(Daten!$AE$4=0,TRUE,MONTH(A355)=Daten!$AE$4))</f>
        <v>1</v>
      </c>
      <c r="H355" s="454" t="s">
        <v>425</v>
      </c>
      <c r="I355" s="443" t="s">
        <v>71</v>
      </c>
      <c r="J355" s="443"/>
      <c r="K355" s="442" t="s">
        <v>637</v>
      </c>
      <c r="L355" s="453"/>
      <c r="M355" s="450" t="str">
        <f t="shared" ref="M355:M366" si="88">IF(OR(A355="", B355=""), "", IF(H355="Mitgliedsbeiträge", ABS(B355), ""))</f>
        <v/>
      </c>
      <c r="N355" s="450" t="str">
        <f t="shared" si="79"/>
        <v/>
      </c>
      <c r="O355" s="450" t="str">
        <f t="shared" si="80"/>
        <v/>
      </c>
      <c r="P355" s="450" t="str">
        <f t="shared" si="81"/>
        <v/>
      </c>
      <c r="Q355" s="450" t="str">
        <f t="shared" si="82"/>
        <v/>
      </c>
      <c r="R355" s="450" t="str">
        <f t="shared" si="83"/>
        <v/>
      </c>
      <c r="S355" s="450">
        <v>140</v>
      </c>
      <c r="T355" s="450" t="str">
        <f t="shared" si="77"/>
        <v/>
      </c>
      <c r="U355" s="450" t="str">
        <f t="shared" si="84"/>
        <v/>
      </c>
      <c r="V355" s="450" t="str">
        <f t="shared" si="78"/>
        <v/>
      </c>
      <c r="W355" s="450" t="str">
        <f t="shared" si="85"/>
        <v/>
      </c>
      <c r="X355" s="450" t="str">
        <f t="shared" si="86"/>
        <v/>
      </c>
      <c r="Y355" s="450" t="str">
        <f t="shared" si="87"/>
        <v/>
      </c>
      <c r="Z355" s="451" t="str">
        <f t="shared" si="75"/>
        <v/>
      </c>
    </row>
    <row r="356" spans="1:26" x14ac:dyDescent="0.35">
      <c r="A356" s="438">
        <v>45904</v>
      </c>
      <c r="B356" s="446">
        <v>150</v>
      </c>
      <c r="C356" s="439" t="s">
        <v>618</v>
      </c>
      <c r="D356" s="439" t="s">
        <v>594</v>
      </c>
      <c r="E356" s="439" t="s">
        <v>688</v>
      </c>
      <c r="F356" s="439" t="s">
        <v>581</v>
      </c>
      <c r="G356" s="440" t="b">
        <f>IF(A356="","",IF(Daten!$AE$4=0,TRUE,MONTH(A356)=Daten!$AE$4))</f>
        <v>1</v>
      </c>
      <c r="H356" s="454" t="s">
        <v>425</v>
      </c>
      <c r="I356" s="440" t="s">
        <v>71</v>
      </c>
      <c r="J356" s="440"/>
      <c r="K356" s="439" t="s">
        <v>637</v>
      </c>
      <c r="L356" s="452"/>
      <c r="M356" s="448" t="str">
        <f t="shared" si="88"/>
        <v/>
      </c>
      <c r="N356" s="448" t="str">
        <f t="shared" si="79"/>
        <v/>
      </c>
      <c r="O356" s="448" t="str">
        <f t="shared" si="80"/>
        <v/>
      </c>
      <c r="P356" s="448" t="str">
        <f t="shared" si="81"/>
        <v/>
      </c>
      <c r="Q356" s="448" t="str">
        <f t="shared" si="82"/>
        <v/>
      </c>
      <c r="R356" s="448" t="str">
        <f t="shared" si="83"/>
        <v/>
      </c>
      <c r="S356" s="448">
        <v>150</v>
      </c>
      <c r="T356" s="448" t="str">
        <f t="shared" si="77"/>
        <v/>
      </c>
      <c r="U356" s="448" t="str">
        <f t="shared" si="84"/>
        <v/>
      </c>
      <c r="V356" s="448" t="str">
        <f t="shared" si="78"/>
        <v/>
      </c>
      <c r="W356" s="448" t="str">
        <f t="shared" si="85"/>
        <v/>
      </c>
      <c r="X356" s="448" t="str">
        <f t="shared" si="86"/>
        <v/>
      </c>
      <c r="Y356" s="448" t="str">
        <f t="shared" si="87"/>
        <v/>
      </c>
      <c r="Z356" s="449" t="str">
        <f t="shared" si="75"/>
        <v/>
      </c>
    </row>
    <row r="357" spans="1:26" x14ac:dyDescent="0.35">
      <c r="A357" s="441">
        <v>45905</v>
      </c>
      <c r="B357" s="447">
        <v>15</v>
      </c>
      <c r="C357" s="442" t="s">
        <v>584</v>
      </c>
      <c r="D357" s="442" t="s">
        <v>585</v>
      </c>
      <c r="E357" s="442" t="s">
        <v>642</v>
      </c>
      <c r="F357" s="442" t="s">
        <v>570</v>
      </c>
      <c r="G357" s="443" t="b">
        <f>IF(A357="","",IF(Daten!$AE$4=0,TRUE,MONTH(A357)=Daten!$AE$4))</f>
        <v>1</v>
      </c>
      <c r="H357" s="454" t="s">
        <v>415</v>
      </c>
      <c r="I357" s="443" t="s">
        <v>71</v>
      </c>
      <c r="J357" s="443"/>
      <c r="K357" s="442" t="s">
        <v>637</v>
      </c>
      <c r="L357" s="453"/>
      <c r="M357" s="450" t="str">
        <f t="shared" si="88"/>
        <v/>
      </c>
      <c r="N357" s="450" t="str">
        <f t="shared" si="79"/>
        <v/>
      </c>
      <c r="O357" s="450" t="str">
        <f t="shared" si="80"/>
        <v/>
      </c>
      <c r="P357" s="450" t="str">
        <f t="shared" si="81"/>
        <v/>
      </c>
      <c r="Q357" s="450" t="str">
        <f t="shared" si="82"/>
        <v/>
      </c>
      <c r="R357" s="450" t="str">
        <f t="shared" si="83"/>
        <v/>
      </c>
      <c r="S357" s="450">
        <v>15</v>
      </c>
      <c r="T357" s="450" t="str">
        <f t="shared" si="77"/>
        <v/>
      </c>
      <c r="U357" s="450" t="str">
        <f t="shared" si="84"/>
        <v/>
      </c>
      <c r="V357" s="450" t="str">
        <f t="shared" si="78"/>
        <v/>
      </c>
      <c r="W357" s="450" t="str">
        <f t="shared" si="85"/>
        <v/>
      </c>
      <c r="X357" s="450" t="str">
        <f t="shared" si="86"/>
        <v/>
      </c>
      <c r="Y357" s="450" t="str">
        <f t="shared" si="87"/>
        <v/>
      </c>
      <c r="Z357" s="451" t="str">
        <f t="shared" si="75"/>
        <v/>
      </c>
    </row>
    <row r="358" spans="1:26" x14ac:dyDescent="0.35">
      <c r="A358" s="438">
        <v>45905</v>
      </c>
      <c r="B358" s="446">
        <v>-471</v>
      </c>
      <c r="C358" s="439" t="s">
        <v>587</v>
      </c>
      <c r="D358" s="439" t="s">
        <v>588</v>
      </c>
      <c r="E358" s="439" t="s">
        <v>686</v>
      </c>
      <c r="F358" s="439" t="s">
        <v>576</v>
      </c>
      <c r="G358" s="440" t="b">
        <f>IF(A358="","",IF(Daten!$AE$4=0,TRUE,MONTH(A358)=Daten!$AE$4))</f>
        <v>1</v>
      </c>
      <c r="H358" s="454" t="s">
        <v>451</v>
      </c>
      <c r="I358" s="440" t="s">
        <v>71</v>
      </c>
      <c r="J358" s="440"/>
      <c r="K358" s="439" t="s">
        <v>637</v>
      </c>
      <c r="L358" s="452"/>
      <c r="M358" s="448" t="str">
        <f t="shared" si="88"/>
        <v/>
      </c>
      <c r="N358" s="448" t="str">
        <f t="shared" si="79"/>
        <v/>
      </c>
      <c r="O358" s="448" t="str">
        <f t="shared" si="80"/>
        <v/>
      </c>
      <c r="P358" s="448" t="str">
        <f t="shared" si="81"/>
        <v/>
      </c>
      <c r="Q358" s="448" t="str">
        <f t="shared" si="82"/>
        <v/>
      </c>
      <c r="R358" s="448" t="str">
        <f t="shared" si="83"/>
        <v/>
      </c>
      <c r="S358" s="448" t="str">
        <f>IF(OR(A358="", B358=""), "", IF(H358="Sonstige Einnahmen", ABS(B358), ""))</f>
        <v/>
      </c>
      <c r="T358" s="448">
        <v>-471</v>
      </c>
      <c r="U358" s="448" t="str">
        <f t="shared" si="84"/>
        <v/>
      </c>
      <c r="V358" s="448" t="str">
        <f t="shared" si="78"/>
        <v/>
      </c>
      <c r="W358" s="448" t="str">
        <f t="shared" si="85"/>
        <v/>
      </c>
      <c r="X358" s="448" t="str">
        <f t="shared" si="86"/>
        <v/>
      </c>
      <c r="Y358" s="448" t="str">
        <f t="shared" si="87"/>
        <v/>
      </c>
      <c r="Z358" s="449" t="str">
        <f t="shared" si="75"/>
        <v/>
      </c>
    </row>
    <row r="359" spans="1:26" x14ac:dyDescent="0.35">
      <c r="A359" s="441">
        <v>45911</v>
      </c>
      <c r="B359" s="447">
        <v>80</v>
      </c>
      <c r="C359" s="442" t="s">
        <v>617</v>
      </c>
      <c r="D359" s="442" t="s">
        <v>602</v>
      </c>
      <c r="E359" s="442" t="s">
        <v>685</v>
      </c>
      <c r="F359" s="442" t="s">
        <v>581</v>
      </c>
      <c r="G359" s="443" t="b">
        <f>IF(A359="","",IF(Daten!$AE$4=0,TRUE,MONTH(A359)=Daten!$AE$4))</f>
        <v>1</v>
      </c>
      <c r="H359" s="454" t="s">
        <v>425</v>
      </c>
      <c r="I359" s="443" t="s">
        <v>71</v>
      </c>
      <c r="J359" s="443"/>
      <c r="K359" s="442" t="s">
        <v>637</v>
      </c>
      <c r="L359" s="453"/>
      <c r="M359" s="450" t="str">
        <f t="shared" si="88"/>
        <v/>
      </c>
      <c r="N359" s="450" t="str">
        <f t="shared" si="79"/>
        <v/>
      </c>
      <c r="O359" s="450" t="str">
        <f t="shared" si="80"/>
        <v/>
      </c>
      <c r="P359" s="450" t="str">
        <f t="shared" si="81"/>
        <v/>
      </c>
      <c r="Q359" s="450" t="str">
        <f t="shared" si="82"/>
        <v/>
      </c>
      <c r="R359" s="450" t="str">
        <f t="shared" si="83"/>
        <v/>
      </c>
      <c r="S359" s="450">
        <v>80</v>
      </c>
      <c r="T359" s="450" t="str">
        <f>IF(OR(A359="", B359=""), "", IF(H359="Unterhaltung", ABS(B359), ""))</f>
        <v/>
      </c>
      <c r="U359" s="450" t="str">
        <f t="shared" si="84"/>
        <v/>
      </c>
      <c r="V359" s="450" t="str">
        <f t="shared" si="78"/>
        <v/>
      </c>
      <c r="W359" s="450" t="str">
        <f t="shared" si="85"/>
        <v/>
      </c>
      <c r="X359" s="450" t="str">
        <f t="shared" si="86"/>
        <v/>
      </c>
      <c r="Y359" s="450" t="str">
        <f t="shared" si="87"/>
        <v/>
      </c>
      <c r="Z359" s="451" t="str">
        <f t="shared" si="75"/>
        <v/>
      </c>
    </row>
    <row r="360" spans="1:26" ht="43.5" x14ac:dyDescent="0.35">
      <c r="A360" s="438">
        <v>45912</v>
      </c>
      <c r="B360" s="446">
        <v>-256.2</v>
      </c>
      <c r="C360" s="439" t="s">
        <v>615</v>
      </c>
      <c r="D360" s="439" t="s">
        <v>616</v>
      </c>
      <c r="E360" s="439" t="s">
        <v>684</v>
      </c>
      <c r="F360" s="439" t="s">
        <v>573</v>
      </c>
      <c r="G360" s="440" t="b">
        <f>IF(A360="","",IF(Daten!$AE$4=0,TRUE,MONTH(A360)=Daten!$AE$4))</f>
        <v>1</v>
      </c>
      <c r="H360" s="456"/>
      <c r="I360" s="440" t="s">
        <v>71</v>
      </c>
      <c r="J360" s="440"/>
      <c r="K360" s="439" t="s">
        <v>637</v>
      </c>
      <c r="L360" s="452" t="s">
        <v>791</v>
      </c>
      <c r="M360" s="448" t="str">
        <f t="shared" si="88"/>
        <v/>
      </c>
      <c r="N360" s="448" t="str">
        <f t="shared" si="79"/>
        <v/>
      </c>
      <c r="O360" s="448" t="str">
        <f t="shared" si="80"/>
        <v/>
      </c>
      <c r="P360" s="448" t="str">
        <f t="shared" si="81"/>
        <v/>
      </c>
      <c r="Q360" s="448" t="str">
        <f t="shared" si="82"/>
        <v/>
      </c>
      <c r="R360" s="448" t="str">
        <f t="shared" si="83"/>
        <v/>
      </c>
      <c r="S360" s="448" t="str">
        <f>IF(OR(A360="", B360=""), "", IF(H360="Sonstige Einnahmen", ABS(B360), ""))</f>
        <v/>
      </c>
      <c r="T360" s="448" t="str">
        <f>IF(OR(A360="", B360=""), "", IF(H360="Unterhaltung", ABS(B360), ""))</f>
        <v/>
      </c>
      <c r="U360" s="448" t="str">
        <f t="shared" si="84"/>
        <v/>
      </c>
      <c r="V360" s="448" t="str">
        <f t="shared" si="78"/>
        <v/>
      </c>
      <c r="W360" s="448" t="str">
        <f t="shared" si="85"/>
        <v/>
      </c>
      <c r="X360" s="448" t="str">
        <f t="shared" si="86"/>
        <v/>
      </c>
      <c r="Y360" s="448" t="str">
        <f t="shared" si="87"/>
        <v/>
      </c>
      <c r="Z360" s="449" t="str">
        <f t="shared" si="75"/>
        <v/>
      </c>
    </row>
    <row r="361" spans="1:26" x14ac:dyDescent="0.35">
      <c r="A361" s="441">
        <v>45915</v>
      </c>
      <c r="B361" s="447">
        <v>70</v>
      </c>
      <c r="C361" s="442" t="s">
        <v>571</v>
      </c>
      <c r="D361" s="442" t="s">
        <v>572</v>
      </c>
      <c r="E361" s="442" t="s">
        <v>680</v>
      </c>
      <c r="F361" s="442" t="s">
        <v>599</v>
      </c>
      <c r="G361" s="443" t="b">
        <f>IF(A361="","",IF(Daten!$AE$4=0,TRUE,MONTH(A361)=Daten!$AE$4))</f>
        <v>1</v>
      </c>
      <c r="H361" s="454" t="s">
        <v>425</v>
      </c>
      <c r="I361" s="443" t="s">
        <v>71</v>
      </c>
      <c r="J361" s="443"/>
      <c r="K361" s="442" t="s">
        <v>637</v>
      </c>
      <c r="L361" s="453"/>
      <c r="M361" s="450" t="str">
        <f t="shared" si="88"/>
        <v/>
      </c>
      <c r="N361" s="450" t="str">
        <f t="shared" si="79"/>
        <v/>
      </c>
      <c r="O361" s="450" t="str">
        <f t="shared" si="80"/>
        <v/>
      </c>
      <c r="P361" s="450" t="str">
        <f t="shared" si="81"/>
        <v/>
      </c>
      <c r="Q361" s="450" t="str">
        <f t="shared" si="82"/>
        <v/>
      </c>
      <c r="R361" s="450" t="str">
        <f t="shared" si="83"/>
        <v/>
      </c>
      <c r="S361" s="450">
        <v>70</v>
      </c>
      <c r="T361" s="450" t="str">
        <f>IF(OR(A361="", B361=""), "", IF(H361="Unterhaltung", ABS(B361), ""))</f>
        <v/>
      </c>
      <c r="U361" s="450" t="str">
        <f t="shared" si="84"/>
        <v/>
      </c>
      <c r="V361" s="450" t="str">
        <f t="shared" si="78"/>
        <v/>
      </c>
      <c r="W361" s="450" t="str">
        <f t="shared" si="85"/>
        <v/>
      </c>
      <c r="X361" s="450" t="str">
        <f t="shared" si="86"/>
        <v/>
      </c>
      <c r="Y361" s="450" t="str">
        <f t="shared" si="87"/>
        <v/>
      </c>
      <c r="Z361" s="451" t="str">
        <f t="shared" si="75"/>
        <v/>
      </c>
    </row>
    <row r="362" spans="1:26" x14ac:dyDescent="0.35">
      <c r="A362" s="438">
        <v>45915</v>
      </c>
      <c r="B362" s="446">
        <v>60</v>
      </c>
      <c r="C362" s="439" t="s">
        <v>614</v>
      </c>
      <c r="D362" s="439" t="s">
        <v>591</v>
      </c>
      <c r="E362" s="439" t="s">
        <v>681</v>
      </c>
      <c r="F362" s="439" t="s">
        <v>581</v>
      </c>
      <c r="G362" s="440" t="b">
        <f>IF(A362="","",IF(Daten!$AE$4=0,TRUE,MONTH(A362)=Daten!$AE$4))</f>
        <v>1</v>
      </c>
      <c r="H362" s="454" t="s">
        <v>425</v>
      </c>
      <c r="I362" s="440" t="s">
        <v>71</v>
      </c>
      <c r="J362" s="440"/>
      <c r="K362" s="439" t="s">
        <v>637</v>
      </c>
      <c r="L362" s="452"/>
      <c r="M362" s="448" t="str">
        <f t="shared" si="88"/>
        <v/>
      </c>
      <c r="N362" s="448" t="str">
        <f t="shared" si="79"/>
        <v/>
      </c>
      <c r="O362" s="448" t="str">
        <f t="shared" si="80"/>
        <v/>
      </c>
      <c r="P362" s="448" t="str">
        <f t="shared" si="81"/>
        <v/>
      </c>
      <c r="Q362" s="448" t="str">
        <f t="shared" si="82"/>
        <v/>
      </c>
      <c r="R362" s="448" t="str">
        <f t="shared" si="83"/>
        <v/>
      </c>
      <c r="S362" s="448">
        <v>60</v>
      </c>
      <c r="T362" s="448" t="str">
        <f>IF(OR(A362="", B362=""), "", IF(H362="Unterhaltung", ABS(B362), ""))</f>
        <v/>
      </c>
      <c r="U362" s="448" t="str">
        <f t="shared" si="84"/>
        <v/>
      </c>
      <c r="V362" s="448" t="str">
        <f t="shared" si="78"/>
        <v/>
      </c>
      <c r="W362" s="448" t="str">
        <f t="shared" si="85"/>
        <v/>
      </c>
      <c r="X362" s="448" t="str">
        <f t="shared" si="86"/>
        <v/>
      </c>
      <c r="Y362" s="448" t="str">
        <f t="shared" si="87"/>
        <v/>
      </c>
      <c r="Z362" s="449" t="str">
        <f t="shared" si="75"/>
        <v/>
      </c>
    </row>
    <row r="363" spans="1:26" x14ac:dyDescent="0.35">
      <c r="A363" s="441">
        <v>45915</v>
      </c>
      <c r="B363" s="447">
        <v>-138</v>
      </c>
      <c r="C363" s="442" t="s">
        <v>577</v>
      </c>
      <c r="D363" s="442" t="s">
        <v>578</v>
      </c>
      <c r="E363" s="442" t="s">
        <v>639</v>
      </c>
      <c r="F363" s="442" t="s">
        <v>576</v>
      </c>
      <c r="G363" s="443" t="b">
        <f>IF(A363="","",IF(Daten!$AE$4=0,TRUE,MONTH(A363)=Daten!$AE$4))</f>
        <v>1</v>
      </c>
      <c r="H363" s="454" t="s">
        <v>459</v>
      </c>
      <c r="I363" s="443" t="s">
        <v>71</v>
      </c>
      <c r="J363" s="443"/>
      <c r="K363" s="442" t="s">
        <v>637</v>
      </c>
      <c r="L363" s="453"/>
      <c r="M363" s="450" t="str">
        <f t="shared" si="88"/>
        <v/>
      </c>
      <c r="N363" s="450" t="str">
        <f t="shared" si="79"/>
        <v/>
      </c>
      <c r="O363" s="450" t="str">
        <f t="shared" si="80"/>
        <v/>
      </c>
      <c r="P363" s="450" t="str">
        <f t="shared" si="81"/>
        <v/>
      </c>
      <c r="Q363" s="450" t="str">
        <f t="shared" si="82"/>
        <v/>
      </c>
      <c r="R363" s="450" t="str">
        <f t="shared" si="83"/>
        <v/>
      </c>
      <c r="S363" s="450" t="str">
        <f>IF(OR(A363="", B363=""), "", IF(H363="Sonstige Einnahmen", ABS(B363), ""))</f>
        <v/>
      </c>
      <c r="T363" s="450">
        <v>-138</v>
      </c>
      <c r="U363" s="450" t="str">
        <f t="shared" si="84"/>
        <v/>
      </c>
      <c r="V363" s="450" t="str">
        <f t="shared" si="78"/>
        <v/>
      </c>
      <c r="W363" s="450" t="str">
        <f t="shared" si="85"/>
        <v/>
      </c>
      <c r="X363" s="450" t="str">
        <f t="shared" si="86"/>
        <v/>
      </c>
      <c r="Y363" s="450" t="str">
        <f t="shared" si="87"/>
        <v/>
      </c>
      <c r="Z363" s="451" t="str">
        <f t="shared" si="75"/>
        <v/>
      </c>
    </row>
    <row r="364" spans="1:26" ht="58" x14ac:dyDescent="0.35">
      <c r="A364" s="438">
        <v>45915</v>
      </c>
      <c r="B364" s="446">
        <v>-365.24</v>
      </c>
      <c r="C364" s="439" t="s">
        <v>643</v>
      </c>
      <c r="D364" s="439" t="s">
        <v>586</v>
      </c>
      <c r="E364" s="439" t="s">
        <v>682</v>
      </c>
      <c r="F364" s="439" t="s">
        <v>576</v>
      </c>
      <c r="G364" s="440" t="b">
        <f>IF(A364="","",IF(Daten!$AE$4=0,TRUE,MONTH(A364)=Daten!$AE$4))</f>
        <v>1</v>
      </c>
      <c r="H364" s="455" t="s">
        <v>445</v>
      </c>
      <c r="I364" s="440" t="s">
        <v>71</v>
      </c>
      <c r="J364" s="440"/>
      <c r="K364" s="439" t="s">
        <v>637</v>
      </c>
      <c r="L364" s="452" t="s">
        <v>789</v>
      </c>
      <c r="M364" s="448" t="str">
        <f t="shared" si="88"/>
        <v/>
      </c>
      <c r="N364" s="448" t="str">
        <f t="shared" si="79"/>
        <v/>
      </c>
      <c r="O364" s="448" t="str">
        <f t="shared" si="80"/>
        <v/>
      </c>
      <c r="P364" s="448" t="str">
        <f t="shared" si="81"/>
        <v/>
      </c>
      <c r="Q364" s="448" t="str">
        <f t="shared" si="82"/>
        <v/>
      </c>
      <c r="R364" s="448" t="str">
        <f t="shared" si="83"/>
        <v/>
      </c>
      <c r="S364" s="448" t="str">
        <f>IF(OR(A364="", B364=""), "", IF(H364="Sonstige Einnahmen", ABS(B364), ""))</f>
        <v/>
      </c>
      <c r="T364" s="448">
        <v>-365.24</v>
      </c>
      <c r="U364" s="448" t="str">
        <f t="shared" si="84"/>
        <v/>
      </c>
      <c r="V364" s="448" t="str">
        <f t="shared" si="78"/>
        <v/>
      </c>
      <c r="W364" s="448" t="str">
        <f t="shared" si="85"/>
        <v/>
      </c>
      <c r="X364" s="448" t="str">
        <f t="shared" si="86"/>
        <v/>
      </c>
      <c r="Y364" s="448" t="str">
        <f t="shared" si="87"/>
        <v/>
      </c>
      <c r="Z364" s="449" t="str">
        <f t="shared" si="75"/>
        <v/>
      </c>
    </row>
    <row r="365" spans="1:26" x14ac:dyDescent="0.35">
      <c r="A365" s="441">
        <v>45915</v>
      </c>
      <c r="B365" s="447">
        <v>-59.94</v>
      </c>
      <c r="C365" s="442" t="s">
        <v>579</v>
      </c>
      <c r="D365" s="442" t="s">
        <v>580</v>
      </c>
      <c r="E365" s="442" t="s">
        <v>683</v>
      </c>
      <c r="F365" s="442" t="s">
        <v>576</v>
      </c>
      <c r="G365" s="443" t="b">
        <f>IF(A365="","",IF(Daten!$AE$4=0,TRUE,MONTH(A365)=Daten!$AE$4))</f>
        <v>1</v>
      </c>
      <c r="H365" s="454" t="s">
        <v>389</v>
      </c>
      <c r="I365" s="443" t="s">
        <v>71</v>
      </c>
      <c r="J365" s="443"/>
      <c r="K365" s="442" t="s">
        <v>637</v>
      </c>
      <c r="L365" s="453"/>
      <c r="M365" s="450" t="str">
        <f t="shared" si="88"/>
        <v/>
      </c>
      <c r="N365" s="450" t="str">
        <f t="shared" si="79"/>
        <v/>
      </c>
      <c r="O365" s="450" t="str">
        <f t="shared" si="80"/>
        <v/>
      </c>
      <c r="P365" s="450" t="str">
        <f t="shared" si="81"/>
        <v/>
      </c>
      <c r="Q365" s="450" t="str">
        <f t="shared" si="82"/>
        <v/>
      </c>
      <c r="R365" s="450" t="str">
        <f t="shared" si="83"/>
        <v/>
      </c>
      <c r="S365" s="450" t="str">
        <f>IF(OR(A365="", B365=""), "", IF(H365="Sonstige Einnahmen", ABS(B365), ""))</f>
        <v/>
      </c>
      <c r="T365" s="450">
        <v>-59.94</v>
      </c>
      <c r="U365" s="450" t="str">
        <f t="shared" si="84"/>
        <v/>
      </c>
      <c r="V365" s="450" t="str">
        <f t="shared" si="78"/>
        <v/>
      </c>
      <c r="W365" s="450" t="str">
        <f t="shared" si="85"/>
        <v/>
      </c>
      <c r="X365" s="450" t="str">
        <f t="shared" si="86"/>
        <v/>
      </c>
      <c r="Y365" s="450" t="str">
        <f t="shared" si="87"/>
        <v/>
      </c>
      <c r="Z365" s="451" t="str">
        <f t="shared" si="75"/>
        <v/>
      </c>
    </row>
    <row r="366" spans="1:26" x14ac:dyDescent="0.35">
      <c r="A366" s="438">
        <v>45915</v>
      </c>
      <c r="B366" s="446">
        <v>15</v>
      </c>
      <c r="C366" s="439" t="s">
        <v>600</v>
      </c>
      <c r="D366" s="439" t="s">
        <v>601</v>
      </c>
      <c r="E366" s="439" t="s">
        <v>385</v>
      </c>
      <c r="F366" s="439" t="s">
        <v>599</v>
      </c>
      <c r="G366" s="440" t="b">
        <f>IF(A366="","",IF(Daten!$AE$4=0,TRUE,MONTH(A366)=Daten!$AE$4))</f>
        <v>1</v>
      </c>
      <c r="H366" s="454" t="s">
        <v>415</v>
      </c>
      <c r="I366" s="440" t="s">
        <v>71</v>
      </c>
      <c r="J366" s="440"/>
      <c r="K366" s="439" t="s">
        <v>637</v>
      </c>
      <c r="L366" s="452"/>
      <c r="M366" s="448" t="str">
        <f t="shared" si="88"/>
        <v/>
      </c>
      <c r="N366" s="448" t="str">
        <f t="shared" si="79"/>
        <v/>
      </c>
      <c r="O366" s="448" t="str">
        <f t="shared" si="80"/>
        <v/>
      </c>
      <c r="P366" s="448" t="str">
        <f t="shared" si="81"/>
        <v/>
      </c>
      <c r="Q366" s="448" t="str">
        <f t="shared" si="82"/>
        <v/>
      </c>
      <c r="R366" s="448" t="str">
        <f t="shared" si="83"/>
        <v/>
      </c>
      <c r="S366" s="448">
        <v>15</v>
      </c>
      <c r="T366" s="448" t="str">
        <f>IF(OR(A366="", B366=""), "", IF(H366="Unterhaltung", ABS(B366), ""))</f>
        <v/>
      </c>
      <c r="U366" s="448" t="str">
        <f t="shared" si="84"/>
        <v/>
      </c>
      <c r="V366" s="448" t="str">
        <f t="shared" si="78"/>
        <v/>
      </c>
      <c r="W366" s="448" t="str">
        <f t="shared" si="85"/>
        <v/>
      </c>
      <c r="X366" s="448" t="str">
        <f t="shared" si="86"/>
        <v/>
      </c>
      <c r="Y366" s="448" t="str">
        <f t="shared" si="87"/>
        <v/>
      </c>
      <c r="Z366" s="449" t="str">
        <f t="shared" si="75"/>
        <v/>
      </c>
    </row>
    <row r="367" spans="1:26" x14ac:dyDescent="0.35">
      <c r="A367" s="441">
        <v>45915</v>
      </c>
      <c r="B367" s="447">
        <v>15</v>
      </c>
      <c r="C367" s="442" t="s">
        <v>600</v>
      </c>
      <c r="D367" s="442" t="s">
        <v>601</v>
      </c>
      <c r="E367" s="442" t="s">
        <v>306</v>
      </c>
      <c r="F367" s="442" t="s">
        <v>599</v>
      </c>
      <c r="G367" s="443" t="b">
        <f>IF(A367="","",IF(Daten!$AE$4=0,TRUE,MONTH(A367)=Daten!$AE$4))</f>
        <v>1</v>
      </c>
      <c r="H367" s="454" t="s">
        <v>306</v>
      </c>
      <c r="I367" s="443" t="s">
        <v>71</v>
      </c>
      <c r="J367" s="443"/>
      <c r="K367" s="442" t="s">
        <v>637</v>
      </c>
      <c r="L367" s="453"/>
      <c r="M367" s="450">
        <v>15</v>
      </c>
      <c r="N367" s="450" t="str">
        <f t="shared" si="79"/>
        <v/>
      </c>
      <c r="O367" s="450" t="str">
        <f t="shared" si="80"/>
        <v/>
      </c>
      <c r="P367" s="450" t="str">
        <f t="shared" si="81"/>
        <v/>
      </c>
      <c r="Q367" s="450" t="str">
        <f t="shared" si="82"/>
        <v/>
      </c>
      <c r="R367" s="450" t="str">
        <f t="shared" si="83"/>
        <v/>
      </c>
      <c r="S367" s="450" t="str">
        <f>IF(OR(A367="", B367=""), "", IF(H367="Sonstige Einnahmen", ABS(B367), ""))</f>
        <v/>
      </c>
      <c r="T367" s="450" t="str">
        <f>IF(OR(A367="", B367=""), "", IF(H367="Unterhaltung", ABS(B367), ""))</f>
        <v/>
      </c>
      <c r="U367" s="450" t="str">
        <f t="shared" si="84"/>
        <v/>
      </c>
      <c r="V367" s="450" t="str">
        <f t="shared" si="78"/>
        <v/>
      </c>
      <c r="W367" s="450" t="str">
        <f t="shared" si="85"/>
        <v/>
      </c>
      <c r="X367" s="450" t="str">
        <f t="shared" si="86"/>
        <v/>
      </c>
      <c r="Y367" s="450" t="str">
        <f t="shared" si="87"/>
        <v/>
      </c>
      <c r="Z367" s="451" t="str">
        <f t="shared" si="75"/>
        <v/>
      </c>
    </row>
    <row r="368" spans="1:26" x14ac:dyDescent="0.35">
      <c r="A368" s="438">
        <v>45918</v>
      </c>
      <c r="B368" s="446">
        <v>15</v>
      </c>
      <c r="C368" s="439" t="s">
        <v>571</v>
      </c>
      <c r="D368" s="439" t="s">
        <v>572</v>
      </c>
      <c r="E368" s="439" t="s">
        <v>636</v>
      </c>
      <c r="F368" s="439" t="s">
        <v>570</v>
      </c>
      <c r="G368" s="440" t="b">
        <f>IF(A368="","",IF(Daten!$AE$4=0,TRUE,MONTH(A368)=Daten!$AE$4))</f>
        <v>1</v>
      </c>
      <c r="H368" s="454" t="s">
        <v>415</v>
      </c>
      <c r="I368" s="440" t="s">
        <v>71</v>
      </c>
      <c r="J368" s="440"/>
      <c r="K368" s="439" t="s">
        <v>637</v>
      </c>
      <c r="L368" s="452"/>
      <c r="M368" s="448" t="str">
        <f>IF(OR(A368="", B368=""), "", IF(H368="Mitgliedsbeiträge", ABS(B368), ""))</f>
        <v/>
      </c>
      <c r="N368" s="448" t="str">
        <f t="shared" si="79"/>
        <v/>
      </c>
      <c r="O368" s="448" t="str">
        <f t="shared" si="80"/>
        <v/>
      </c>
      <c r="P368" s="448" t="str">
        <f t="shared" si="81"/>
        <v/>
      </c>
      <c r="Q368" s="448" t="str">
        <f t="shared" si="82"/>
        <v/>
      </c>
      <c r="R368" s="448" t="str">
        <f t="shared" si="83"/>
        <v/>
      </c>
      <c r="S368" s="448">
        <v>15</v>
      </c>
      <c r="T368" s="448" t="str">
        <f>IF(OR(A368="", B368=""), "", IF(H368="Unterhaltung", ABS(B368), ""))</f>
        <v/>
      </c>
      <c r="U368" s="448" t="str">
        <f t="shared" si="84"/>
        <v/>
      </c>
      <c r="V368" s="448" t="str">
        <f t="shared" si="78"/>
        <v/>
      </c>
      <c r="W368" s="448" t="str">
        <f t="shared" si="85"/>
        <v/>
      </c>
      <c r="X368" s="448" t="str">
        <f t="shared" si="86"/>
        <v/>
      </c>
      <c r="Y368" s="448" t="str">
        <f t="shared" si="87"/>
        <v/>
      </c>
      <c r="Z368" s="449" t="str">
        <f t="shared" si="75"/>
        <v/>
      </c>
    </row>
    <row r="369" spans="1:26" x14ac:dyDescent="0.35">
      <c r="A369" s="441">
        <v>45925</v>
      </c>
      <c r="B369" s="447">
        <v>15</v>
      </c>
      <c r="C369" s="442" t="s">
        <v>603</v>
      </c>
      <c r="D369" s="442" t="s">
        <v>604</v>
      </c>
      <c r="E369" s="442" t="s">
        <v>666</v>
      </c>
      <c r="F369" s="442" t="s">
        <v>570</v>
      </c>
      <c r="G369" s="443" t="b">
        <f>IF(A369="","",IF(Daten!$AE$4=0,TRUE,MONTH(A369)=Daten!$AE$4))</f>
        <v>1</v>
      </c>
      <c r="H369" s="454" t="s">
        <v>415</v>
      </c>
      <c r="I369" s="443" t="s">
        <v>71</v>
      </c>
      <c r="J369" s="443"/>
      <c r="K369" s="442" t="s">
        <v>637</v>
      </c>
      <c r="L369" s="453"/>
      <c r="M369" s="450" t="str">
        <f>IF(OR(A369="", B369=""), "", IF(H369="Mitgliedsbeiträge", ABS(B369), ""))</f>
        <v/>
      </c>
      <c r="N369" s="450" t="str">
        <f t="shared" si="79"/>
        <v/>
      </c>
      <c r="O369" s="450" t="str">
        <f t="shared" si="80"/>
        <v/>
      </c>
      <c r="P369" s="450" t="str">
        <f t="shared" si="81"/>
        <v/>
      </c>
      <c r="Q369" s="450" t="str">
        <f t="shared" si="82"/>
        <v/>
      </c>
      <c r="R369" s="450" t="str">
        <f t="shared" si="83"/>
        <v/>
      </c>
      <c r="S369" s="450">
        <v>15</v>
      </c>
      <c r="T369" s="450" t="str">
        <f>IF(OR(A369="", B369=""), "", IF(H369="Unterhaltung", ABS(B369), ""))</f>
        <v/>
      </c>
      <c r="U369" s="450" t="str">
        <f t="shared" si="84"/>
        <v/>
      </c>
      <c r="V369" s="450" t="str">
        <f t="shared" si="78"/>
        <v/>
      </c>
      <c r="W369" s="450" t="str">
        <f t="shared" si="85"/>
        <v/>
      </c>
      <c r="X369" s="450" t="str">
        <f t="shared" si="86"/>
        <v/>
      </c>
      <c r="Y369" s="450" t="str">
        <f t="shared" si="87"/>
        <v/>
      </c>
      <c r="Z369" s="451" t="str">
        <f t="shared" si="75"/>
        <v/>
      </c>
    </row>
    <row r="370" spans="1:26" x14ac:dyDescent="0.35">
      <c r="A370" s="438">
        <v>45926</v>
      </c>
      <c r="B370" s="446">
        <v>7.5</v>
      </c>
      <c r="C370" s="439" t="s">
        <v>609</v>
      </c>
      <c r="D370" s="439" t="s">
        <v>610</v>
      </c>
      <c r="E370" s="439" t="s">
        <v>665</v>
      </c>
      <c r="F370" s="439" t="s">
        <v>570</v>
      </c>
      <c r="G370" s="440" t="b">
        <f>IF(A370="","",IF(Daten!$AE$4=0,TRUE,MONTH(A370)=Daten!$AE$4))</f>
        <v>1</v>
      </c>
      <c r="H370" s="454" t="s">
        <v>306</v>
      </c>
      <c r="I370" s="440" t="s">
        <v>71</v>
      </c>
      <c r="J370" s="440"/>
      <c r="K370" s="439" t="s">
        <v>637</v>
      </c>
      <c r="L370" s="452"/>
      <c r="M370" s="448">
        <v>7.5</v>
      </c>
      <c r="N370" s="448" t="str">
        <f t="shared" si="79"/>
        <v/>
      </c>
      <c r="O370" s="448" t="str">
        <f t="shared" si="80"/>
        <v/>
      </c>
      <c r="P370" s="448" t="str">
        <f t="shared" si="81"/>
        <v/>
      </c>
      <c r="Q370" s="448" t="str">
        <f t="shared" si="82"/>
        <v/>
      </c>
      <c r="R370" s="448" t="str">
        <f t="shared" si="83"/>
        <v/>
      </c>
      <c r="S370" s="448" t="str">
        <f>IF(OR(A370="", B370=""), "", IF(H370="Sonstige Einnahmen", ABS(B370), ""))</f>
        <v/>
      </c>
      <c r="T370" s="448" t="str">
        <f>IF(OR(A370="", B370=""), "", IF(H370="Unterhaltung", ABS(B370), ""))</f>
        <v/>
      </c>
      <c r="U370" s="448" t="str">
        <f t="shared" si="84"/>
        <v/>
      </c>
      <c r="V370" s="448" t="str">
        <f t="shared" si="78"/>
        <v/>
      </c>
      <c r="W370" s="448" t="str">
        <f t="shared" si="85"/>
        <v/>
      </c>
      <c r="X370" s="448" t="str">
        <f t="shared" si="86"/>
        <v/>
      </c>
      <c r="Y370" s="448" t="str">
        <f t="shared" si="87"/>
        <v/>
      </c>
      <c r="Z370" s="449" t="str">
        <f t="shared" ref="Z370:Z433" si="89">IF(OR(A370="", B370=""), "", IF(H370="Kasse-Auszahlung", ABS(B370), ""))</f>
        <v/>
      </c>
    </row>
    <row r="371" spans="1:26" x14ac:dyDescent="0.35">
      <c r="A371" s="441">
        <v>45926</v>
      </c>
      <c r="B371" s="447">
        <v>-6</v>
      </c>
      <c r="C371" s="442"/>
      <c r="D371" s="442">
        <v>0</v>
      </c>
      <c r="E371" s="442" t="s">
        <v>678</v>
      </c>
      <c r="F371" s="442" t="s">
        <v>613</v>
      </c>
      <c r="G371" s="443" t="b">
        <f>IF(A371="","",IF(Daten!$AE$4=0,TRUE,MONTH(A371)=Daten!$AE$4))</f>
        <v>1</v>
      </c>
      <c r="H371" s="454" t="s">
        <v>440</v>
      </c>
      <c r="I371" s="443" t="s">
        <v>71</v>
      </c>
      <c r="J371" s="443"/>
      <c r="K371" s="442" t="s">
        <v>637</v>
      </c>
      <c r="L371" s="453"/>
      <c r="M371" s="450" t="str">
        <f>IF(OR(A371="", B371=""), "", IF(H371="Mitgliedsbeiträge", ABS(B371), ""))</f>
        <v/>
      </c>
      <c r="N371" s="450" t="str">
        <f t="shared" si="79"/>
        <v/>
      </c>
      <c r="O371" s="450" t="str">
        <f t="shared" si="80"/>
        <v/>
      </c>
      <c r="P371" s="450" t="str">
        <f t="shared" si="81"/>
        <v/>
      </c>
      <c r="Q371" s="450" t="str">
        <f t="shared" si="82"/>
        <v/>
      </c>
      <c r="R371" s="450" t="str">
        <f t="shared" si="83"/>
        <v/>
      </c>
      <c r="S371" s="450" t="str">
        <f>IF(OR(A371="", B371=""), "", IF(H371="Sonstige Einnahmen", ABS(B371), ""))</f>
        <v/>
      </c>
      <c r="T371" s="450">
        <v>-6</v>
      </c>
      <c r="U371" s="450" t="str">
        <f t="shared" si="84"/>
        <v/>
      </c>
      <c r="V371" s="450" t="str">
        <f t="shared" si="78"/>
        <v/>
      </c>
      <c r="W371" s="450" t="str">
        <f t="shared" si="85"/>
        <v/>
      </c>
      <c r="X371" s="450" t="str">
        <f t="shared" si="86"/>
        <v/>
      </c>
      <c r="Y371" s="450" t="str">
        <f t="shared" si="87"/>
        <v/>
      </c>
      <c r="Z371" s="451" t="str">
        <f t="shared" si="89"/>
        <v/>
      </c>
    </row>
    <row r="372" spans="1:26" x14ac:dyDescent="0.35">
      <c r="A372" s="438">
        <v>45926</v>
      </c>
      <c r="B372" s="446">
        <v>-6</v>
      </c>
      <c r="C372" s="439"/>
      <c r="D372" s="439">
        <v>0</v>
      </c>
      <c r="E372" s="439" t="s">
        <v>679</v>
      </c>
      <c r="F372" s="439" t="s">
        <v>613</v>
      </c>
      <c r="G372" s="440" t="b">
        <f>IF(A372="","",IF(Daten!$AE$4=0,TRUE,MONTH(A372)=Daten!$AE$4))</f>
        <v>1</v>
      </c>
      <c r="H372" s="454" t="s">
        <v>440</v>
      </c>
      <c r="I372" s="440" t="s">
        <v>71</v>
      </c>
      <c r="J372" s="440"/>
      <c r="K372" s="439" t="s">
        <v>637</v>
      </c>
      <c r="L372" s="452"/>
      <c r="M372" s="448" t="str">
        <f>IF(OR(A372="", B372=""), "", IF(H372="Mitgliedsbeiträge", ABS(B372), ""))</f>
        <v/>
      </c>
      <c r="N372" s="448" t="str">
        <f t="shared" si="79"/>
        <v/>
      </c>
      <c r="O372" s="448" t="str">
        <f t="shared" si="80"/>
        <v/>
      </c>
      <c r="P372" s="448" t="str">
        <f t="shared" si="81"/>
        <v/>
      </c>
      <c r="Q372" s="448" t="str">
        <f t="shared" si="82"/>
        <v/>
      </c>
      <c r="R372" s="448" t="str">
        <f t="shared" si="83"/>
        <v/>
      </c>
      <c r="S372" s="448" t="str">
        <f>IF(OR(A372="", B372=""), "", IF(H372="Sonstige Einnahmen", ABS(B372), ""))</f>
        <v/>
      </c>
      <c r="T372" s="448">
        <v>-6</v>
      </c>
      <c r="U372" s="448" t="str">
        <f t="shared" si="84"/>
        <v/>
      </c>
      <c r="V372" s="448" t="str">
        <f t="shared" si="78"/>
        <v/>
      </c>
      <c r="W372" s="448" t="str">
        <f t="shared" si="85"/>
        <v/>
      </c>
      <c r="X372" s="448" t="str">
        <f t="shared" si="86"/>
        <v/>
      </c>
      <c r="Y372" s="448" t="str">
        <f t="shared" si="87"/>
        <v/>
      </c>
      <c r="Z372" s="449" t="str">
        <f t="shared" si="89"/>
        <v/>
      </c>
    </row>
    <row r="373" spans="1:26" x14ac:dyDescent="0.35">
      <c r="A373" s="441">
        <v>45929</v>
      </c>
      <c r="B373" s="447">
        <v>120</v>
      </c>
      <c r="C373" s="442" t="s">
        <v>592</v>
      </c>
      <c r="D373" s="442" t="s">
        <v>593</v>
      </c>
      <c r="E373" s="442" t="s">
        <v>676</v>
      </c>
      <c r="F373" s="442" t="s">
        <v>581</v>
      </c>
      <c r="G373" s="443" t="b">
        <f>IF(A373="","",IF(Daten!$AE$4=0,TRUE,MONTH(A373)=Daten!$AE$4))</f>
        <v>1</v>
      </c>
      <c r="H373" s="454" t="s">
        <v>425</v>
      </c>
      <c r="I373" s="443" t="s">
        <v>71</v>
      </c>
      <c r="J373" s="443"/>
      <c r="K373" s="442" t="s">
        <v>637</v>
      </c>
      <c r="L373" s="453"/>
      <c r="M373" s="450" t="str">
        <f>IF(OR(A373="", B373=""), "", IF(H373="Mitgliedsbeiträge", ABS(B373), ""))</f>
        <v/>
      </c>
      <c r="N373" s="450" t="str">
        <f t="shared" si="79"/>
        <v/>
      </c>
      <c r="O373" s="450" t="str">
        <f t="shared" si="80"/>
        <v/>
      </c>
      <c r="P373" s="450" t="str">
        <f t="shared" si="81"/>
        <v/>
      </c>
      <c r="Q373" s="450" t="str">
        <f t="shared" si="82"/>
        <v/>
      </c>
      <c r="R373" s="450" t="str">
        <f t="shared" si="83"/>
        <v/>
      </c>
      <c r="S373" s="450">
        <v>120</v>
      </c>
      <c r="T373" s="450" t="str">
        <f t="shared" ref="T373:T397" si="90">IF(OR(A373="", B373=""), "", IF(H373="Unterhaltung", ABS(B373), ""))</f>
        <v/>
      </c>
      <c r="U373" s="450" t="str">
        <f t="shared" si="84"/>
        <v/>
      </c>
      <c r="V373" s="450" t="str">
        <f t="shared" si="78"/>
        <v/>
      </c>
      <c r="W373" s="450" t="str">
        <f t="shared" si="85"/>
        <v/>
      </c>
      <c r="X373" s="450" t="str">
        <f t="shared" si="86"/>
        <v/>
      </c>
      <c r="Y373" s="450" t="str">
        <f t="shared" si="87"/>
        <v/>
      </c>
      <c r="Z373" s="451" t="str">
        <f t="shared" si="89"/>
        <v/>
      </c>
    </row>
    <row r="374" spans="1:26" x14ac:dyDescent="0.35">
      <c r="A374" s="438">
        <v>45929</v>
      </c>
      <c r="B374" s="446">
        <v>40</v>
      </c>
      <c r="C374" s="439" t="s">
        <v>597</v>
      </c>
      <c r="D374" s="439" t="s">
        <v>598</v>
      </c>
      <c r="E374" s="439" t="s">
        <v>677</v>
      </c>
      <c r="F374" s="439" t="s">
        <v>570</v>
      </c>
      <c r="G374" s="440" t="b">
        <f>IF(A374="","",IF(Daten!$AE$4=0,TRUE,MONTH(A374)=Daten!$AE$4))</f>
        <v>1</v>
      </c>
      <c r="H374" s="454" t="s">
        <v>425</v>
      </c>
      <c r="I374" s="440" t="s">
        <v>71</v>
      </c>
      <c r="J374" s="440"/>
      <c r="K374" s="439" t="s">
        <v>637</v>
      </c>
      <c r="L374" s="452"/>
      <c r="M374" s="448" t="str">
        <f>IF(OR(A374="", B374=""), "", IF(H374="Mitgliedsbeiträge", ABS(B374), ""))</f>
        <v/>
      </c>
      <c r="N374" s="448" t="str">
        <f t="shared" si="79"/>
        <v/>
      </c>
      <c r="O374" s="448" t="str">
        <f t="shared" si="80"/>
        <v/>
      </c>
      <c r="P374" s="448" t="str">
        <f t="shared" si="81"/>
        <v/>
      </c>
      <c r="Q374" s="448" t="str">
        <f t="shared" si="82"/>
        <v/>
      </c>
      <c r="R374" s="448" t="str">
        <f t="shared" si="83"/>
        <v/>
      </c>
      <c r="S374" s="448">
        <v>40</v>
      </c>
      <c r="T374" s="448" t="str">
        <f t="shared" si="90"/>
        <v/>
      </c>
      <c r="U374" s="448" t="str">
        <f t="shared" si="84"/>
        <v/>
      </c>
      <c r="V374" s="448" t="str">
        <f t="shared" si="78"/>
        <v/>
      </c>
      <c r="W374" s="448" t="str">
        <f t="shared" si="85"/>
        <v/>
      </c>
      <c r="X374" s="448" t="str">
        <f t="shared" si="86"/>
        <v/>
      </c>
      <c r="Y374" s="448" t="str">
        <f t="shared" si="87"/>
        <v/>
      </c>
      <c r="Z374" s="449" t="str">
        <f t="shared" si="89"/>
        <v/>
      </c>
    </row>
    <row r="375" spans="1:26" x14ac:dyDescent="0.35">
      <c r="A375" s="441">
        <v>45929</v>
      </c>
      <c r="B375" s="447">
        <v>7.5</v>
      </c>
      <c r="C375" s="442" t="s">
        <v>603</v>
      </c>
      <c r="D375" s="442" t="s">
        <v>604</v>
      </c>
      <c r="E375" s="442" t="s">
        <v>664</v>
      </c>
      <c r="F375" s="442" t="s">
        <v>570</v>
      </c>
      <c r="G375" s="443" t="b">
        <f>IF(A375="","",IF(Daten!$AE$4=0,TRUE,MONTH(A375)=Daten!$AE$4))</f>
        <v>1</v>
      </c>
      <c r="H375" s="454" t="s">
        <v>306</v>
      </c>
      <c r="I375" s="443" t="s">
        <v>71</v>
      </c>
      <c r="J375" s="443"/>
      <c r="K375" s="442" t="s">
        <v>637</v>
      </c>
      <c r="L375" s="453"/>
      <c r="M375" s="450">
        <v>7.5</v>
      </c>
      <c r="N375" s="450" t="str">
        <f t="shared" si="79"/>
        <v/>
      </c>
      <c r="O375" s="450" t="str">
        <f t="shared" si="80"/>
        <v/>
      </c>
      <c r="P375" s="450" t="str">
        <f t="shared" si="81"/>
        <v/>
      </c>
      <c r="Q375" s="450" t="str">
        <f t="shared" si="82"/>
        <v/>
      </c>
      <c r="R375" s="450" t="str">
        <f t="shared" si="83"/>
        <v/>
      </c>
      <c r="S375" s="450" t="str">
        <f>IF(OR(A375="", B375=""), "", IF(H375="Sonstige Einnahmen", ABS(B375), ""))</f>
        <v/>
      </c>
      <c r="T375" s="450" t="str">
        <f t="shared" si="90"/>
        <v/>
      </c>
      <c r="U375" s="450" t="str">
        <f t="shared" si="84"/>
        <v/>
      </c>
      <c r="V375" s="450" t="str">
        <f t="shared" si="78"/>
        <v/>
      </c>
      <c r="W375" s="450" t="str">
        <f t="shared" si="85"/>
        <v/>
      </c>
      <c r="X375" s="450" t="str">
        <f t="shared" si="86"/>
        <v/>
      </c>
      <c r="Y375" s="450" t="str">
        <f t="shared" si="87"/>
        <v/>
      </c>
      <c r="Z375" s="451" t="str">
        <f t="shared" si="89"/>
        <v/>
      </c>
    </row>
    <row r="376" spans="1:26" x14ac:dyDescent="0.35">
      <c r="A376" s="438">
        <v>45929</v>
      </c>
      <c r="B376" s="446">
        <v>15</v>
      </c>
      <c r="C376" s="439" t="s">
        <v>597</v>
      </c>
      <c r="D376" s="439" t="s">
        <v>598</v>
      </c>
      <c r="E376" s="439" t="s">
        <v>306</v>
      </c>
      <c r="F376" s="439" t="s">
        <v>570</v>
      </c>
      <c r="G376" s="440" t="b">
        <f>IF(A376="","",IF(Daten!$AE$4=0,TRUE,MONTH(A376)=Daten!$AE$4))</f>
        <v>1</v>
      </c>
      <c r="H376" s="454" t="s">
        <v>306</v>
      </c>
      <c r="I376" s="440" t="s">
        <v>71</v>
      </c>
      <c r="J376" s="440"/>
      <c r="K376" s="439" t="s">
        <v>637</v>
      </c>
      <c r="L376" s="452"/>
      <c r="M376" s="448">
        <v>15</v>
      </c>
      <c r="N376" s="448" t="str">
        <f t="shared" si="79"/>
        <v/>
      </c>
      <c r="O376" s="448" t="str">
        <f t="shared" si="80"/>
        <v/>
      </c>
      <c r="P376" s="448" t="str">
        <f t="shared" si="81"/>
        <v/>
      </c>
      <c r="Q376" s="448" t="str">
        <f t="shared" si="82"/>
        <v/>
      </c>
      <c r="R376" s="448" t="str">
        <f t="shared" si="83"/>
        <v/>
      </c>
      <c r="S376" s="448" t="str">
        <f>IF(OR(A376="", B376=""), "", IF(H376="Sonstige Einnahmen", ABS(B376), ""))</f>
        <v/>
      </c>
      <c r="T376" s="448" t="str">
        <f t="shared" si="90"/>
        <v/>
      </c>
      <c r="U376" s="448" t="str">
        <f t="shared" si="84"/>
        <v/>
      </c>
      <c r="V376" s="448" t="str">
        <f t="shared" si="78"/>
        <v/>
      </c>
      <c r="W376" s="448" t="str">
        <f t="shared" si="85"/>
        <v/>
      </c>
      <c r="X376" s="448" t="str">
        <f t="shared" si="86"/>
        <v/>
      </c>
      <c r="Y376" s="448" t="str">
        <f t="shared" si="87"/>
        <v/>
      </c>
      <c r="Z376" s="449" t="str">
        <f t="shared" si="89"/>
        <v/>
      </c>
    </row>
    <row r="377" spans="1:26" ht="58" x14ac:dyDescent="0.35">
      <c r="A377" s="441">
        <v>45930</v>
      </c>
      <c r="B377" s="447">
        <v>60</v>
      </c>
      <c r="C377" s="442" t="s">
        <v>600</v>
      </c>
      <c r="D377" s="442" t="s">
        <v>601</v>
      </c>
      <c r="E377" s="442" t="s">
        <v>675</v>
      </c>
      <c r="F377" s="442" t="s">
        <v>599</v>
      </c>
      <c r="G377" s="443" t="b">
        <f>IF(A377="","",IF(Daten!$AE$4=0,TRUE,MONTH(A377)=Daten!$AE$4))</f>
        <v>1</v>
      </c>
      <c r="H377" s="455" t="s">
        <v>425</v>
      </c>
      <c r="I377" s="443" t="s">
        <v>71</v>
      </c>
      <c r="J377" s="443"/>
      <c r="K377" s="442" t="s">
        <v>637</v>
      </c>
      <c r="L377" s="453" t="s">
        <v>786</v>
      </c>
      <c r="M377" s="450" t="str">
        <f>IF(OR(A377="", B377=""), "", IF(H377="Mitgliedsbeiträge", ABS(B377), ""))</f>
        <v/>
      </c>
      <c r="N377" s="450" t="str">
        <f t="shared" si="79"/>
        <v/>
      </c>
      <c r="O377" s="450" t="str">
        <f t="shared" si="80"/>
        <v/>
      </c>
      <c r="P377" s="450" t="str">
        <f t="shared" si="81"/>
        <v/>
      </c>
      <c r="Q377" s="450" t="str">
        <f t="shared" si="82"/>
        <v/>
      </c>
      <c r="R377" s="450" t="str">
        <f t="shared" si="83"/>
        <v/>
      </c>
      <c r="S377" s="450">
        <v>60</v>
      </c>
      <c r="T377" s="450" t="str">
        <f t="shared" si="90"/>
        <v/>
      </c>
      <c r="U377" s="450" t="str">
        <f t="shared" si="84"/>
        <v/>
      </c>
      <c r="V377" s="450" t="str">
        <f t="shared" si="78"/>
        <v/>
      </c>
      <c r="W377" s="450" t="str">
        <f t="shared" si="85"/>
        <v/>
      </c>
      <c r="X377" s="450" t="str">
        <f t="shared" si="86"/>
        <v/>
      </c>
      <c r="Y377" s="450" t="str">
        <f t="shared" si="87"/>
        <v/>
      </c>
      <c r="Z377" s="451" t="str">
        <f t="shared" si="89"/>
        <v/>
      </c>
    </row>
    <row r="378" spans="1:26" x14ac:dyDescent="0.35">
      <c r="A378" s="438">
        <v>45931</v>
      </c>
      <c r="B378" s="446">
        <v>15</v>
      </c>
      <c r="C378" s="439" t="s">
        <v>590</v>
      </c>
      <c r="D378" s="439" t="s">
        <v>591</v>
      </c>
      <c r="E378" s="439" t="s">
        <v>659</v>
      </c>
      <c r="F378" s="439" t="s">
        <v>570</v>
      </c>
      <c r="G378" s="440" t="b">
        <f>IF(A378="","",IF(Daten!$AE$4=0,TRUE,MONTH(A378)=Daten!$AE$4))</f>
        <v>1</v>
      </c>
      <c r="H378" s="454" t="s">
        <v>415</v>
      </c>
      <c r="I378" s="440" t="s">
        <v>70</v>
      </c>
      <c r="J378" s="440"/>
      <c r="K378" s="439" t="s">
        <v>637</v>
      </c>
      <c r="L378" s="452"/>
      <c r="M378" s="448" t="str">
        <f>IF(OR(A378="", B378=""), "", IF(H378="Mitgliedsbeiträge", ABS(B378), ""))</f>
        <v/>
      </c>
      <c r="N378" s="448" t="str">
        <f t="shared" si="79"/>
        <v/>
      </c>
      <c r="O378" s="448" t="str">
        <f t="shared" si="80"/>
        <v/>
      </c>
      <c r="P378" s="448" t="str">
        <f t="shared" si="81"/>
        <v/>
      </c>
      <c r="Q378" s="448" t="str">
        <f t="shared" si="82"/>
        <v/>
      </c>
      <c r="R378" s="448" t="str">
        <f t="shared" si="83"/>
        <v/>
      </c>
      <c r="S378" s="448">
        <v>15</v>
      </c>
      <c r="T378" s="448" t="str">
        <f t="shared" si="90"/>
        <v/>
      </c>
      <c r="U378" s="448" t="str">
        <f t="shared" si="84"/>
        <v/>
      </c>
      <c r="V378" s="448" t="str">
        <f t="shared" si="78"/>
        <v/>
      </c>
      <c r="W378" s="448" t="str">
        <f t="shared" si="85"/>
        <v/>
      </c>
      <c r="X378" s="448" t="str">
        <f t="shared" si="86"/>
        <v/>
      </c>
      <c r="Y378" s="448" t="str">
        <f t="shared" si="87"/>
        <v/>
      </c>
      <c r="Z378" s="449" t="str">
        <f t="shared" si="89"/>
        <v/>
      </c>
    </row>
    <row r="379" spans="1:26" x14ac:dyDescent="0.35">
      <c r="A379" s="441">
        <v>45931</v>
      </c>
      <c r="B379" s="447">
        <v>7.5</v>
      </c>
      <c r="C379" s="442" t="s">
        <v>56</v>
      </c>
      <c r="D379" s="442" t="s">
        <v>602</v>
      </c>
      <c r="E379" s="442" t="s">
        <v>386</v>
      </c>
      <c r="F379" s="442" t="s">
        <v>570</v>
      </c>
      <c r="G379" s="443" t="b">
        <f>IF(A379="","",IF(Daten!$AE$4=0,TRUE,MONTH(A379)=Daten!$AE$4))</f>
        <v>1</v>
      </c>
      <c r="H379" s="454" t="s">
        <v>306</v>
      </c>
      <c r="I379" s="443" t="s">
        <v>70</v>
      </c>
      <c r="J379" s="443"/>
      <c r="K379" s="442" t="s">
        <v>637</v>
      </c>
      <c r="L379" s="453"/>
      <c r="M379" s="450">
        <v>7.5</v>
      </c>
      <c r="N379" s="450" t="str">
        <f t="shared" si="79"/>
        <v/>
      </c>
      <c r="O379" s="450" t="str">
        <f t="shared" si="80"/>
        <v/>
      </c>
      <c r="P379" s="450" t="str">
        <f t="shared" si="81"/>
        <v/>
      </c>
      <c r="Q379" s="450" t="str">
        <f t="shared" si="82"/>
        <v/>
      </c>
      <c r="R379" s="450" t="str">
        <f t="shared" si="83"/>
        <v/>
      </c>
      <c r="S379" s="450" t="str">
        <f>IF(OR(A379="", B379=""), "", IF(H379="Sonstige Einnahmen", ABS(B379), ""))</f>
        <v/>
      </c>
      <c r="T379" s="450" t="str">
        <f t="shared" si="90"/>
        <v/>
      </c>
      <c r="U379" s="450" t="str">
        <f t="shared" si="84"/>
        <v/>
      </c>
      <c r="V379" s="450" t="str">
        <f t="shared" si="78"/>
        <v/>
      </c>
      <c r="W379" s="450" t="str">
        <f t="shared" si="85"/>
        <v/>
      </c>
      <c r="X379" s="450" t="str">
        <f t="shared" si="86"/>
        <v/>
      </c>
      <c r="Y379" s="450" t="str">
        <f t="shared" si="87"/>
        <v/>
      </c>
      <c r="Z379" s="451" t="str">
        <f t="shared" si="89"/>
        <v/>
      </c>
    </row>
    <row r="380" spans="1:26" ht="58" x14ac:dyDescent="0.35">
      <c r="A380" s="438">
        <v>45931</v>
      </c>
      <c r="B380" s="446">
        <v>15</v>
      </c>
      <c r="C380" s="439" t="s">
        <v>56</v>
      </c>
      <c r="D380" s="439" t="s">
        <v>602</v>
      </c>
      <c r="E380" s="439" t="s">
        <v>657</v>
      </c>
      <c r="F380" s="439" t="s">
        <v>570</v>
      </c>
      <c r="G380" s="440" t="b">
        <f>IF(A380="","",IF(Daten!$AE$4=0,TRUE,MONTH(A380)=Daten!$AE$4))</f>
        <v>1</v>
      </c>
      <c r="H380" s="455" t="s">
        <v>463</v>
      </c>
      <c r="I380" s="440" t="s">
        <v>70</v>
      </c>
      <c r="J380" s="440"/>
      <c r="K380" s="439" t="s">
        <v>637</v>
      </c>
      <c r="L380" s="452" t="s">
        <v>781</v>
      </c>
      <c r="M380" s="448" t="str">
        <f>IF(OR(A380="", B380=""), "", IF(H380="Mitgliedsbeiträge", ABS(B380), ""))</f>
        <v/>
      </c>
      <c r="N380" s="448" t="str">
        <f t="shared" si="79"/>
        <v/>
      </c>
      <c r="O380" s="448" t="str">
        <f t="shared" si="80"/>
        <v/>
      </c>
      <c r="P380" s="448" t="str">
        <f t="shared" si="81"/>
        <v/>
      </c>
      <c r="Q380" s="448" t="str">
        <f t="shared" si="82"/>
        <v/>
      </c>
      <c r="R380" s="448" t="str">
        <f t="shared" si="83"/>
        <v/>
      </c>
      <c r="S380" s="448">
        <v>15</v>
      </c>
      <c r="T380" s="448" t="str">
        <f t="shared" si="90"/>
        <v/>
      </c>
      <c r="U380" s="448" t="str">
        <f t="shared" si="84"/>
        <v/>
      </c>
      <c r="V380" s="448" t="str">
        <f t="shared" si="78"/>
        <v/>
      </c>
      <c r="W380" s="448" t="str">
        <f t="shared" si="85"/>
        <v/>
      </c>
      <c r="X380" s="448" t="str">
        <f t="shared" si="86"/>
        <v/>
      </c>
      <c r="Y380" s="448" t="str">
        <f t="shared" si="87"/>
        <v/>
      </c>
      <c r="Z380" s="449" t="str">
        <f t="shared" si="89"/>
        <v/>
      </c>
    </row>
    <row r="381" spans="1:26" x14ac:dyDescent="0.35">
      <c r="A381" s="441">
        <v>45931</v>
      </c>
      <c r="B381" s="447">
        <v>15</v>
      </c>
      <c r="C381" s="442" t="s">
        <v>595</v>
      </c>
      <c r="D381" s="442" t="s">
        <v>596</v>
      </c>
      <c r="E381" s="442" t="s">
        <v>656</v>
      </c>
      <c r="F381" s="442" t="s">
        <v>570</v>
      </c>
      <c r="G381" s="443" t="b">
        <f>IF(A381="","",IF(Daten!$AE$4=0,TRUE,MONTH(A381)=Daten!$AE$4))</f>
        <v>1</v>
      </c>
      <c r="H381" s="454" t="s">
        <v>306</v>
      </c>
      <c r="I381" s="443" t="s">
        <v>70</v>
      </c>
      <c r="J381" s="443"/>
      <c r="K381" s="442" t="s">
        <v>637</v>
      </c>
      <c r="L381" s="453"/>
      <c r="M381" s="450">
        <v>15</v>
      </c>
      <c r="N381" s="450" t="str">
        <f t="shared" si="79"/>
        <v/>
      </c>
      <c r="O381" s="450" t="str">
        <f t="shared" si="80"/>
        <v/>
      </c>
      <c r="P381" s="450" t="str">
        <f t="shared" si="81"/>
        <v/>
      </c>
      <c r="Q381" s="450" t="str">
        <f t="shared" si="82"/>
        <v/>
      </c>
      <c r="R381" s="450" t="str">
        <f t="shared" si="83"/>
        <v/>
      </c>
      <c r="S381" s="450" t="str">
        <f>IF(OR(A381="", B381=""), "", IF(H381="Sonstige Einnahmen", ABS(B381), ""))</f>
        <v/>
      </c>
      <c r="T381" s="450" t="str">
        <f t="shared" si="90"/>
        <v/>
      </c>
      <c r="U381" s="450" t="str">
        <f t="shared" si="84"/>
        <v/>
      </c>
      <c r="V381" s="450" t="str">
        <f t="shared" si="78"/>
        <v/>
      </c>
      <c r="W381" s="450" t="str">
        <f t="shared" si="85"/>
        <v/>
      </c>
      <c r="X381" s="450" t="str">
        <f t="shared" si="86"/>
        <v/>
      </c>
      <c r="Y381" s="450" t="str">
        <f t="shared" si="87"/>
        <v/>
      </c>
      <c r="Z381" s="451" t="str">
        <f t="shared" si="89"/>
        <v/>
      </c>
    </row>
    <row r="382" spans="1:26" x14ac:dyDescent="0.35">
      <c r="A382" s="438">
        <v>45931</v>
      </c>
      <c r="B382" s="446">
        <v>15</v>
      </c>
      <c r="C382" s="439" t="s">
        <v>605</v>
      </c>
      <c r="D382" s="439" t="s">
        <v>606</v>
      </c>
      <c r="E382" s="439" t="s">
        <v>660</v>
      </c>
      <c r="F382" s="439" t="s">
        <v>570</v>
      </c>
      <c r="G382" s="440" t="b">
        <f>IF(A382="","",IF(Daten!$AE$4=0,TRUE,MONTH(A382)=Daten!$AE$4))</f>
        <v>1</v>
      </c>
      <c r="H382" s="454" t="s">
        <v>415</v>
      </c>
      <c r="I382" s="440" t="s">
        <v>70</v>
      </c>
      <c r="J382" s="440"/>
      <c r="K382" s="439" t="s">
        <v>637</v>
      </c>
      <c r="L382" s="452"/>
      <c r="M382" s="448" t="str">
        <f>IF(OR(A382="", B382=""), "", IF(H382="Mitgliedsbeiträge", ABS(B382), ""))</f>
        <v/>
      </c>
      <c r="N382" s="448" t="str">
        <f t="shared" si="79"/>
        <v/>
      </c>
      <c r="O382" s="448" t="str">
        <f t="shared" si="80"/>
        <v/>
      </c>
      <c r="P382" s="448" t="str">
        <f t="shared" si="81"/>
        <v/>
      </c>
      <c r="Q382" s="448" t="str">
        <f t="shared" si="82"/>
        <v/>
      </c>
      <c r="R382" s="448" t="str">
        <f t="shared" si="83"/>
        <v/>
      </c>
      <c r="S382" s="448">
        <v>15</v>
      </c>
      <c r="T382" s="448" t="str">
        <f t="shared" si="90"/>
        <v/>
      </c>
      <c r="U382" s="448" t="str">
        <f t="shared" si="84"/>
        <v/>
      </c>
      <c r="V382" s="448" t="str">
        <f t="shared" si="78"/>
        <v/>
      </c>
      <c r="W382" s="448" t="str">
        <f t="shared" si="85"/>
        <v/>
      </c>
      <c r="X382" s="448" t="str">
        <f t="shared" si="86"/>
        <v/>
      </c>
      <c r="Y382" s="448" t="str">
        <f t="shared" si="87"/>
        <v/>
      </c>
      <c r="Z382" s="449" t="str">
        <f t="shared" si="89"/>
        <v/>
      </c>
    </row>
    <row r="383" spans="1:26" x14ac:dyDescent="0.35">
      <c r="A383" s="441">
        <v>45931</v>
      </c>
      <c r="B383" s="447">
        <v>15</v>
      </c>
      <c r="C383" s="442" t="s">
        <v>605</v>
      </c>
      <c r="D383" s="442" t="s">
        <v>606</v>
      </c>
      <c r="E383" s="442" t="s">
        <v>662</v>
      </c>
      <c r="F383" s="442" t="s">
        <v>570</v>
      </c>
      <c r="G383" s="443" t="b">
        <f>IF(A383="","",IF(Daten!$AE$4=0,TRUE,MONTH(A383)=Daten!$AE$4))</f>
        <v>1</v>
      </c>
      <c r="H383" s="454" t="s">
        <v>306</v>
      </c>
      <c r="I383" s="443" t="s">
        <v>70</v>
      </c>
      <c r="J383" s="443"/>
      <c r="K383" s="442" t="s">
        <v>637</v>
      </c>
      <c r="L383" s="453"/>
      <c r="M383" s="450">
        <v>15</v>
      </c>
      <c r="N383" s="450" t="str">
        <f t="shared" si="79"/>
        <v/>
      </c>
      <c r="O383" s="450" t="str">
        <f t="shared" si="80"/>
        <v/>
      </c>
      <c r="P383" s="450" t="str">
        <f t="shared" si="81"/>
        <v/>
      </c>
      <c r="Q383" s="450" t="str">
        <f t="shared" si="82"/>
        <v/>
      </c>
      <c r="R383" s="450" t="str">
        <f t="shared" si="83"/>
        <v/>
      </c>
      <c r="S383" s="450" t="str">
        <f>IF(OR(A383="", B383=""), "", IF(H383="Sonstige Einnahmen", ABS(B383), ""))</f>
        <v/>
      </c>
      <c r="T383" s="450" t="str">
        <f t="shared" si="90"/>
        <v/>
      </c>
      <c r="U383" s="450" t="str">
        <f t="shared" si="84"/>
        <v/>
      </c>
      <c r="V383" s="450" t="str">
        <f t="shared" si="78"/>
        <v/>
      </c>
      <c r="W383" s="450" t="str">
        <f t="shared" si="85"/>
        <v/>
      </c>
      <c r="X383" s="450" t="str">
        <f t="shared" si="86"/>
        <v/>
      </c>
      <c r="Y383" s="450" t="str">
        <f t="shared" si="87"/>
        <v/>
      </c>
      <c r="Z383" s="451" t="str">
        <f t="shared" si="89"/>
        <v/>
      </c>
    </row>
    <row r="384" spans="1:26" x14ac:dyDescent="0.35">
      <c r="A384" s="438">
        <v>45931</v>
      </c>
      <c r="B384" s="446">
        <v>15</v>
      </c>
      <c r="C384" s="439" t="s">
        <v>607</v>
      </c>
      <c r="D384" s="439" t="s">
        <v>608</v>
      </c>
      <c r="E384" s="439" t="s">
        <v>661</v>
      </c>
      <c r="F384" s="439" t="s">
        <v>570</v>
      </c>
      <c r="G384" s="440" t="b">
        <f>IF(A384="","",IF(Daten!$AE$4=0,TRUE,MONTH(A384)=Daten!$AE$4))</f>
        <v>1</v>
      </c>
      <c r="H384" s="454" t="s">
        <v>306</v>
      </c>
      <c r="I384" s="440" t="s">
        <v>70</v>
      </c>
      <c r="J384" s="440"/>
      <c r="K384" s="439" t="s">
        <v>637</v>
      </c>
      <c r="L384" s="452"/>
      <c r="M384" s="448">
        <v>15</v>
      </c>
      <c r="N384" s="448" t="str">
        <f t="shared" si="79"/>
        <v/>
      </c>
      <c r="O384" s="448" t="str">
        <f t="shared" si="80"/>
        <v/>
      </c>
      <c r="P384" s="448" t="str">
        <f t="shared" si="81"/>
        <v/>
      </c>
      <c r="Q384" s="448" t="str">
        <f t="shared" si="82"/>
        <v/>
      </c>
      <c r="R384" s="448" t="str">
        <f t="shared" si="83"/>
        <v/>
      </c>
      <c r="S384" s="448" t="str">
        <f>IF(OR(A384="", B384=""), "", IF(H384="Sonstige Einnahmen", ABS(B384), ""))</f>
        <v/>
      </c>
      <c r="T384" s="448" t="str">
        <f t="shared" si="90"/>
        <v/>
      </c>
      <c r="U384" s="448" t="str">
        <f t="shared" si="84"/>
        <v/>
      </c>
      <c r="V384" s="448" t="str">
        <f t="shared" si="78"/>
        <v/>
      </c>
      <c r="W384" s="448" t="str">
        <f t="shared" si="85"/>
        <v/>
      </c>
      <c r="X384" s="448" t="str">
        <f t="shared" si="86"/>
        <v/>
      </c>
      <c r="Y384" s="448" t="str">
        <f t="shared" si="87"/>
        <v/>
      </c>
      <c r="Z384" s="449" t="str">
        <f t="shared" si="89"/>
        <v/>
      </c>
    </row>
    <row r="385" spans="1:26" ht="29" x14ac:dyDescent="0.35">
      <c r="A385" s="441">
        <v>45931</v>
      </c>
      <c r="B385" s="447">
        <v>0</v>
      </c>
      <c r="C385" s="442"/>
      <c r="D385" s="442">
        <v>3529000972</v>
      </c>
      <c r="E385" s="442" t="s">
        <v>674</v>
      </c>
      <c r="F385" s="442" t="s">
        <v>382</v>
      </c>
      <c r="G385" s="443" t="b">
        <f>IF(A385="","",IF(Daten!$AE$4=0,TRUE,MONTH(A385)=Daten!$AE$4))</f>
        <v>1</v>
      </c>
      <c r="H385" s="454" t="s">
        <v>782</v>
      </c>
      <c r="I385" s="443" t="s">
        <v>70</v>
      </c>
      <c r="J385" s="443"/>
      <c r="K385" s="442" t="s">
        <v>637</v>
      </c>
      <c r="L385" s="453" t="s">
        <v>788</v>
      </c>
      <c r="M385" s="450" t="str">
        <f>IF(OR(A385="", B385=""), "", IF(H385="Mitgliedsbeiträge", ABS(B385), ""))</f>
        <v/>
      </c>
      <c r="N385" s="450" t="str">
        <f t="shared" si="79"/>
        <v/>
      </c>
      <c r="O385" s="450" t="str">
        <f t="shared" si="80"/>
        <v/>
      </c>
      <c r="P385" s="450" t="str">
        <f t="shared" si="81"/>
        <v/>
      </c>
      <c r="Q385" s="450" t="str">
        <f t="shared" si="82"/>
        <v/>
      </c>
      <c r="R385" s="450" t="str">
        <f t="shared" si="83"/>
        <v/>
      </c>
      <c r="S385" s="450" t="str">
        <f>IF(OR(A385="", B385=""), "", IF(H385="Sonstige Einnahmen", ABS(B385), ""))</f>
        <v/>
      </c>
      <c r="T385" s="450" t="str">
        <f t="shared" si="90"/>
        <v/>
      </c>
      <c r="U385" s="450" t="str">
        <f t="shared" si="84"/>
        <v/>
      </c>
      <c r="V385" s="450" t="str">
        <f t="shared" si="78"/>
        <v/>
      </c>
      <c r="W385" s="450" t="str">
        <f t="shared" si="85"/>
        <v/>
      </c>
      <c r="X385" s="450" t="str">
        <f t="shared" si="86"/>
        <v/>
      </c>
      <c r="Y385" s="450" t="str">
        <f t="shared" si="87"/>
        <v/>
      </c>
      <c r="Z385" s="451" t="str">
        <f t="shared" si="89"/>
        <v/>
      </c>
    </row>
    <row r="386" spans="1:26" x14ac:dyDescent="0.35">
      <c r="A386" s="438">
        <v>45931</v>
      </c>
      <c r="B386" s="446">
        <v>-5.6</v>
      </c>
      <c r="C386" s="439"/>
      <c r="D386" s="439">
        <v>0</v>
      </c>
      <c r="E386" s="439" t="s">
        <v>663</v>
      </c>
      <c r="F386" s="439" t="s">
        <v>381</v>
      </c>
      <c r="G386" s="440" t="b">
        <f>IF(A386="","",IF(Daten!$AE$4=0,TRUE,MONTH(A386)=Daten!$AE$4))</f>
        <v>1</v>
      </c>
      <c r="H386" s="456" t="s">
        <v>782</v>
      </c>
      <c r="I386" s="440" t="s">
        <v>70</v>
      </c>
      <c r="J386" s="440"/>
      <c r="K386" s="439" t="s">
        <v>637</v>
      </c>
      <c r="L386" s="452" t="s">
        <v>783</v>
      </c>
      <c r="M386" s="448" t="str">
        <f>IF(OR(A386="", B386=""), "", IF(H386="Mitgliedsbeiträge", ABS(B386), ""))</f>
        <v/>
      </c>
      <c r="N386" s="448" t="str">
        <f t="shared" si="79"/>
        <v/>
      </c>
      <c r="O386" s="448" t="str">
        <f t="shared" si="80"/>
        <v/>
      </c>
      <c r="P386" s="448" t="str">
        <f t="shared" si="81"/>
        <v/>
      </c>
      <c r="Q386" s="448" t="str">
        <f t="shared" si="82"/>
        <v/>
      </c>
      <c r="R386" s="448" t="str">
        <f t="shared" si="83"/>
        <v/>
      </c>
      <c r="S386" s="448" t="str">
        <f>IF(OR(A386="", B386=""), "", IF(H386="Sonstige Einnahmen", ABS(B386), ""))</f>
        <v/>
      </c>
      <c r="T386" s="448" t="str">
        <f t="shared" si="90"/>
        <v/>
      </c>
      <c r="U386" s="448" t="str">
        <f t="shared" si="84"/>
        <v/>
      </c>
      <c r="V386" s="448" t="str">
        <f t="shared" si="78"/>
        <v/>
      </c>
      <c r="W386" s="448" t="str">
        <f t="shared" si="85"/>
        <v/>
      </c>
      <c r="X386" s="448" t="str">
        <f t="shared" si="86"/>
        <v/>
      </c>
      <c r="Y386" s="448" t="str">
        <f t="shared" si="87"/>
        <v/>
      </c>
      <c r="Z386" s="449" t="str">
        <f t="shared" si="89"/>
        <v/>
      </c>
    </row>
    <row r="387" spans="1:26" x14ac:dyDescent="0.35">
      <c r="A387" s="441">
        <v>45932</v>
      </c>
      <c r="B387" s="447">
        <v>15</v>
      </c>
      <c r="C387" s="442" t="s">
        <v>51</v>
      </c>
      <c r="D387" s="442" t="s">
        <v>589</v>
      </c>
      <c r="E387" s="442" t="s">
        <v>384</v>
      </c>
      <c r="F387" s="442" t="s">
        <v>570</v>
      </c>
      <c r="G387" s="443" t="b">
        <f>IF(A387="","",IF(Daten!$AE$4=0,TRUE,MONTH(A387)=Daten!$AE$4))</f>
        <v>1</v>
      </c>
      <c r="H387" s="454" t="s">
        <v>415</v>
      </c>
      <c r="I387" s="443" t="s">
        <v>70</v>
      </c>
      <c r="J387" s="443"/>
      <c r="K387" s="442" t="s">
        <v>637</v>
      </c>
      <c r="L387" s="453"/>
      <c r="M387" s="450" t="str">
        <f>IF(OR(A387="", B387=""), "", IF(H387="Mitgliedsbeiträge", ABS(B387), ""))</f>
        <v/>
      </c>
      <c r="N387" s="450" t="str">
        <f t="shared" si="79"/>
        <v/>
      </c>
      <c r="O387" s="450" t="str">
        <f t="shared" si="80"/>
        <v/>
      </c>
      <c r="P387" s="450" t="str">
        <f t="shared" si="81"/>
        <v/>
      </c>
      <c r="Q387" s="450" t="str">
        <f t="shared" si="82"/>
        <v/>
      </c>
      <c r="R387" s="450" t="str">
        <f t="shared" si="83"/>
        <v/>
      </c>
      <c r="S387" s="450">
        <v>15</v>
      </c>
      <c r="T387" s="450" t="str">
        <f t="shared" si="90"/>
        <v/>
      </c>
      <c r="U387" s="450" t="str">
        <f t="shared" si="84"/>
        <v/>
      </c>
      <c r="V387" s="450" t="str">
        <f t="shared" si="78"/>
        <v/>
      </c>
      <c r="W387" s="450" t="str">
        <f t="shared" si="85"/>
        <v/>
      </c>
      <c r="X387" s="450" t="str">
        <f t="shared" si="86"/>
        <v/>
      </c>
      <c r="Y387" s="450" t="str">
        <f t="shared" si="87"/>
        <v/>
      </c>
      <c r="Z387" s="451" t="str">
        <f t="shared" si="89"/>
        <v/>
      </c>
    </row>
    <row r="388" spans="1:26" x14ac:dyDescent="0.35">
      <c r="A388" s="438">
        <v>45932</v>
      </c>
      <c r="B388" s="446">
        <v>7.5</v>
      </c>
      <c r="C388" s="439" t="s">
        <v>592</v>
      </c>
      <c r="D388" s="439" t="s">
        <v>593</v>
      </c>
      <c r="E388" s="439" t="s">
        <v>651</v>
      </c>
      <c r="F388" s="439" t="s">
        <v>570</v>
      </c>
      <c r="G388" s="440" t="b">
        <f>IF(A388="","",IF(Daten!$AE$4=0,TRUE,MONTH(A388)=Daten!$AE$4))</f>
        <v>1</v>
      </c>
      <c r="H388" s="454" t="s">
        <v>306</v>
      </c>
      <c r="I388" s="440" t="s">
        <v>70</v>
      </c>
      <c r="J388" s="440"/>
      <c r="K388" s="439" t="s">
        <v>637</v>
      </c>
      <c r="L388" s="452"/>
      <c r="M388" s="448">
        <v>7.5</v>
      </c>
      <c r="N388" s="448" t="str">
        <f t="shared" si="79"/>
        <v/>
      </c>
      <c r="O388" s="448" t="str">
        <f t="shared" si="80"/>
        <v/>
      </c>
      <c r="P388" s="448" t="str">
        <f t="shared" si="81"/>
        <v/>
      </c>
      <c r="Q388" s="448" t="str">
        <f t="shared" si="82"/>
        <v/>
      </c>
      <c r="R388" s="448" t="str">
        <f t="shared" si="83"/>
        <v/>
      </c>
      <c r="S388" s="448" t="str">
        <f>IF(OR(A388="", B388=""), "", IF(H388="Sonstige Einnahmen", ABS(B388), ""))</f>
        <v/>
      </c>
      <c r="T388" s="448" t="str">
        <f t="shared" si="90"/>
        <v/>
      </c>
      <c r="U388" s="448" t="str">
        <f t="shared" si="84"/>
        <v/>
      </c>
      <c r="V388" s="448" t="str">
        <f t="shared" si="78"/>
        <v/>
      </c>
      <c r="W388" s="448" t="str">
        <f t="shared" si="85"/>
        <v/>
      </c>
      <c r="X388" s="448" t="str">
        <f t="shared" si="86"/>
        <v/>
      </c>
      <c r="Y388" s="448" t="str">
        <f t="shared" si="87"/>
        <v/>
      </c>
      <c r="Z388" s="449" t="str">
        <f t="shared" si="89"/>
        <v/>
      </c>
    </row>
    <row r="389" spans="1:26" x14ac:dyDescent="0.35">
      <c r="A389" s="441">
        <v>45932</v>
      </c>
      <c r="B389" s="447">
        <v>15</v>
      </c>
      <c r="C389" s="442" t="s">
        <v>592</v>
      </c>
      <c r="D389" s="442" t="s">
        <v>593</v>
      </c>
      <c r="E389" s="442" t="s">
        <v>649</v>
      </c>
      <c r="F389" s="442" t="s">
        <v>570</v>
      </c>
      <c r="G389" s="443" t="b">
        <f>IF(A389="","",IF(Daten!$AE$4=0,TRUE,MONTH(A389)=Daten!$AE$4))</f>
        <v>1</v>
      </c>
      <c r="H389" s="454" t="s">
        <v>415</v>
      </c>
      <c r="I389" s="443" t="s">
        <v>70</v>
      </c>
      <c r="J389" s="443"/>
      <c r="K389" s="442" t="s">
        <v>637</v>
      </c>
      <c r="L389" s="453"/>
      <c r="M389" s="450" t="str">
        <f>IF(OR(A389="", B389=""), "", IF(H389="Mitgliedsbeiträge", ABS(B389), ""))</f>
        <v/>
      </c>
      <c r="N389" s="450" t="str">
        <f t="shared" si="79"/>
        <v/>
      </c>
      <c r="O389" s="450" t="str">
        <f t="shared" si="80"/>
        <v/>
      </c>
      <c r="P389" s="450" t="str">
        <f t="shared" si="81"/>
        <v/>
      </c>
      <c r="Q389" s="450" t="str">
        <f t="shared" si="82"/>
        <v/>
      </c>
      <c r="R389" s="450" t="str">
        <f t="shared" si="83"/>
        <v/>
      </c>
      <c r="S389" s="450">
        <v>15</v>
      </c>
      <c r="T389" s="450" t="str">
        <f t="shared" si="90"/>
        <v/>
      </c>
      <c r="U389" s="450" t="str">
        <f t="shared" si="84"/>
        <v/>
      </c>
      <c r="V389" s="450" t="str">
        <f t="shared" si="78"/>
        <v/>
      </c>
      <c r="W389" s="450" t="str">
        <f t="shared" si="85"/>
        <v/>
      </c>
      <c r="X389" s="450" t="str">
        <f t="shared" si="86"/>
        <v/>
      </c>
      <c r="Y389" s="450" t="str">
        <f t="shared" si="87"/>
        <v/>
      </c>
      <c r="Z389" s="451" t="str">
        <f t="shared" si="89"/>
        <v/>
      </c>
    </row>
    <row r="390" spans="1:26" ht="58" x14ac:dyDescent="0.35">
      <c r="A390" s="438">
        <v>45932</v>
      </c>
      <c r="B390" s="446">
        <v>15</v>
      </c>
      <c r="C390" s="439" t="s">
        <v>582</v>
      </c>
      <c r="D390" s="439" t="s">
        <v>583</v>
      </c>
      <c r="E390" s="439" t="s">
        <v>650</v>
      </c>
      <c r="F390" s="439" t="s">
        <v>570</v>
      </c>
      <c r="G390" s="440" t="b">
        <f>IF(A390="","",IF(Daten!$AE$4=0,TRUE,MONTH(A390)=Daten!$AE$4))</f>
        <v>1</v>
      </c>
      <c r="H390" s="455" t="s">
        <v>415</v>
      </c>
      <c r="I390" s="440" t="s">
        <v>70</v>
      </c>
      <c r="J390" s="440"/>
      <c r="K390" s="439" t="s">
        <v>637</v>
      </c>
      <c r="L390" s="452" t="s">
        <v>781</v>
      </c>
      <c r="M390" s="448" t="str">
        <f>IF(OR(A390="", B390=""), "", IF(H390="Mitgliedsbeiträge", ABS(B390), ""))</f>
        <v/>
      </c>
      <c r="N390" s="448" t="str">
        <f t="shared" si="79"/>
        <v/>
      </c>
      <c r="O390" s="448" t="str">
        <f t="shared" si="80"/>
        <v/>
      </c>
      <c r="P390" s="448" t="str">
        <f t="shared" si="81"/>
        <v/>
      </c>
      <c r="Q390" s="448" t="str">
        <f t="shared" si="82"/>
        <v/>
      </c>
      <c r="R390" s="448" t="str">
        <f t="shared" si="83"/>
        <v/>
      </c>
      <c r="S390" s="448">
        <v>15</v>
      </c>
      <c r="T390" s="448" t="str">
        <f t="shared" si="90"/>
        <v/>
      </c>
      <c r="U390" s="448" t="str">
        <f t="shared" si="84"/>
        <v/>
      </c>
      <c r="V390" s="448" t="str">
        <f t="shared" si="78"/>
        <v/>
      </c>
      <c r="W390" s="448" t="str">
        <f t="shared" si="85"/>
        <v/>
      </c>
      <c r="X390" s="448" t="str">
        <f t="shared" si="86"/>
        <v/>
      </c>
      <c r="Y390" s="448" t="str">
        <f t="shared" si="87"/>
        <v/>
      </c>
      <c r="Z390" s="449" t="str">
        <f t="shared" si="89"/>
        <v/>
      </c>
    </row>
    <row r="391" spans="1:26" x14ac:dyDescent="0.35">
      <c r="A391" s="441">
        <v>45932</v>
      </c>
      <c r="B391" s="447">
        <v>15</v>
      </c>
      <c r="C391" s="442" t="s">
        <v>584</v>
      </c>
      <c r="D391" s="442" t="s">
        <v>585</v>
      </c>
      <c r="E391" s="442" t="s">
        <v>655</v>
      </c>
      <c r="F391" s="442" t="s">
        <v>570</v>
      </c>
      <c r="G391" s="443" t="b">
        <f>IF(A391="","",IF(Daten!$AE$4=0,TRUE,MONTH(A391)=Daten!$AE$4))</f>
        <v>1</v>
      </c>
      <c r="H391" s="454" t="s">
        <v>306</v>
      </c>
      <c r="I391" s="443" t="s">
        <v>70</v>
      </c>
      <c r="J391" s="443"/>
      <c r="K391" s="442" t="s">
        <v>637</v>
      </c>
      <c r="L391" s="453"/>
      <c r="M391" s="450">
        <v>15</v>
      </c>
      <c r="N391" s="450" t="str">
        <f t="shared" si="79"/>
        <v/>
      </c>
      <c r="O391" s="450" t="str">
        <f t="shared" si="80"/>
        <v/>
      </c>
      <c r="P391" s="450" t="str">
        <f t="shared" si="81"/>
        <v/>
      </c>
      <c r="Q391" s="450" t="str">
        <f t="shared" si="82"/>
        <v/>
      </c>
      <c r="R391" s="450" t="str">
        <f t="shared" si="83"/>
        <v/>
      </c>
      <c r="S391" s="450" t="str">
        <f>IF(OR(A391="", B391=""), "", IF(H391="Sonstige Einnahmen", ABS(B391), ""))</f>
        <v/>
      </c>
      <c r="T391" s="450" t="str">
        <f t="shared" si="90"/>
        <v/>
      </c>
      <c r="U391" s="450" t="str">
        <f t="shared" si="84"/>
        <v/>
      </c>
      <c r="V391" s="450" t="str">
        <f t="shared" si="78"/>
        <v/>
      </c>
      <c r="W391" s="450" t="str">
        <f t="shared" si="85"/>
        <v/>
      </c>
      <c r="X391" s="450" t="str">
        <f t="shared" si="86"/>
        <v/>
      </c>
      <c r="Y391" s="450" t="str">
        <f t="shared" si="87"/>
        <v/>
      </c>
      <c r="Z391" s="451" t="str">
        <f t="shared" si="89"/>
        <v/>
      </c>
    </row>
    <row r="392" spans="1:26" x14ac:dyDescent="0.35">
      <c r="A392" s="438">
        <v>45932</v>
      </c>
      <c r="B392" s="446">
        <v>15</v>
      </c>
      <c r="C392" s="439" t="s">
        <v>66</v>
      </c>
      <c r="D392" s="439" t="s">
        <v>594</v>
      </c>
      <c r="E392" s="439" t="s">
        <v>653</v>
      </c>
      <c r="F392" s="439" t="s">
        <v>570</v>
      </c>
      <c r="G392" s="440" t="b">
        <f>IF(A392="","",IF(Daten!$AE$4=0,TRUE,MONTH(A392)=Daten!$AE$4))</f>
        <v>1</v>
      </c>
      <c r="H392" s="454" t="s">
        <v>415</v>
      </c>
      <c r="I392" s="440" t="s">
        <v>70</v>
      </c>
      <c r="J392" s="440"/>
      <c r="K392" s="439" t="s">
        <v>637</v>
      </c>
      <c r="L392" s="452"/>
      <c r="M392" s="448" t="str">
        <f>IF(OR(A392="", B392=""), "", IF(H392="Mitgliedsbeiträge", ABS(B392), ""))</f>
        <v/>
      </c>
      <c r="N392" s="448" t="str">
        <f t="shared" si="79"/>
        <v/>
      </c>
      <c r="O392" s="448" t="str">
        <f t="shared" si="80"/>
        <v/>
      </c>
      <c r="P392" s="448" t="str">
        <f t="shared" si="81"/>
        <v/>
      </c>
      <c r="Q392" s="448" t="str">
        <f t="shared" si="82"/>
        <v/>
      </c>
      <c r="R392" s="448" t="str">
        <f t="shared" si="83"/>
        <v/>
      </c>
      <c r="S392" s="448">
        <v>15</v>
      </c>
      <c r="T392" s="448" t="str">
        <f t="shared" si="90"/>
        <v/>
      </c>
      <c r="U392" s="448" t="str">
        <f t="shared" si="84"/>
        <v/>
      </c>
      <c r="V392" s="448" t="str">
        <f t="shared" si="78"/>
        <v/>
      </c>
      <c r="W392" s="448" t="str">
        <f t="shared" si="85"/>
        <v/>
      </c>
      <c r="X392" s="448" t="str">
        <f t="shared" si="86"/>
        <v/>
      </c>
      <c r="Y392" s="448" t="str">
        <f t="shared" si="87"/>
        <v/>
      </c>
      <c r="Z392" s="449" t="str">
        <f t="shared" si="89"/>
        <v/>
      </c>
    </row>
    <row r="393" spans="1:26" x14ac:dyDescent="0.35">
      <c r="A393" s="441">
        <v>45932</v>
      </c>
      <c r="B393" s="447">
        <v>15</v>
      </c>
      <c r="C393" s="442" t="s">
        <v>595</v>
      </c>
      <c r="D393" s="442" t="s">
        <v>596</v>
      </c>
      <c r="E393" s="442" t="s">
        <v>654</v>
      </c>
      <c r="F393" s="442" t="s">
        <v>570</v>
      </c>
      <c r="G393" s="443" t="b">
        <f>IF(A393="","",IF(Daten!$AE$4=0,TRUE,MONTH(A393)=Daten!$AE$4))</f>
        <v>1</v>
      </c>
      <c r="H393" s="454" t="s">
        <v>415</v>
      </c>
      <c r="I393" s="443" t="s">
        <v>70</v>
      </c>
      <c r="J393" s="443"/>
      <c r="K393" s="442" t="s">
        <v>637</v>
      </c>
      <c r="L393" s="453"/>
      <c r="M393" s="450" t="str">
        <f>IF(OR(A393="", B393=""), "", IF(H393="Mitgliedsbeiträge", ABS(B393), ""))</f>
        <v/>
      </c>
      <c r="N393" s="450" t="str">
        <f t="shared" si="79"/>
        <v/>
      </c>
      <c r="O393" s="450" t="str">
        <f t="shared" si="80"/>
        <v/>
      </c>
      <c r="P393" s="450" t="str">
        <f t="shared" si="81"/>
        <v/>
      </c>
      <c r="Q393" s="450" t="str">
        <f t="shared" si="82"/>
        <v/>
      </c>
      <c r="R393" s="450" t="str">
        <f t="shared" si="83"/>
        <v/>
      </c>
      <c r="S393" s="450">
        <v>15</v>
      </c>
      <c r="T393" s="450" t="str">
        <f t="shared" si="90"/>
        <v/>
      </c>
      <c r="U393" s="450" t="str">
        <f t="shared" si="84"/>
        <v/>
      </c>
      <c r="V393" s="450" t="str">
        <f t="shared" si="78"/>
        <v/>
      </c>
      <c r="W393" s="450" t="str">
        <f t="shared" si="85"/>
        <v/>
      </c>
      <c r="X393" s="450" t="str">
        <f t="shared" si="86"/>
        <v/>
      </c>
      <c r="Y393" s="450" t="str">
        <f t="shared" si="87"/>
        <v/>
      </c>
      <c r="Z393" s="451" t="str">
        <f t="shared" si="89"/>
        <v/>
      </c>
    </row>
    <row r="394" spans="1:26" x14ac:dyDescent="0.35">
      <c r="A394" s="438">
        <v>45932</v>
      </c>
      <c r="B394" s="446">
        <v>7.5</v>
      </c>
      <c r="C394" s="439" t="s">
        <v>66</v>
      </c>
      <c r="D394" s="439" t="s">
        <v>594</v>
      </c>
      <c r="E394" s="439" t="s">
        <v>652</v>
      </c>
      <c r="F394" s="439" t="s">
        <v>570</v>
      </c>
      <c r="G394" s="440" t="b">
        <f>IF(A394="","",IF(Daten!$AE$4=0,TRUE,MONTH(A394)=Daten!$AE$4))</f>
        <v>1</v>
      </c>
      <c r="H394" s="454" t="s">
        <v>306</v>
      </c>
      <c r="I394" s="440" t="s">
        <v>70</v>
      </c>
      <c r="J394" s="440"/>
      <c r="K394" s="439" t="s">
        <v>637</v>
      </c>
      <c r="L394" s="452"/>
      <c r="M394" s="448">
        <v>7.5</v>
      </c>
      <c r="N394" s="448" t="str">
        <f t="shared" si="79"/>
        <v/>
      </c>
      <c r="O394" s="448" t="str">
        <f t="shared" si="80"/>
        <v/>
      </c>
      <c r="P394" s="448" t="str">
        <f t="shared" si="81"/>
        <v/>
      </c>
      <c r="Q394" s="448" t="str">
        <f t="shared" si="82"/>
        <v/>
      </c>
      <c r="R394" s="448" t="str">
        <f t="shared" si="83"/>
        <v/>
      </c>
      <c r="S394" s="448" t="str">
        <f>IF(OR(A394="", B394=""), "", IF(H394="Sonstige Einnahmen", ABS(B394), ""))</f>
        <v/>
      </c>
      <c r="T394" s="448" t="str">
        <f t="shared" si="90"/>
        <v/>
      </c>
      <c r="U394" s="448" t="str">
        <f t="shared" si="84"/>
        <v/>
      </c>
      <c r="V394" s="448" t="str">
        <f t="shared" si="78"/>
        <v/>
      </c>
      <c r="W394" s="448" t="str">
        <f t="shared" si="85"/>
        <v/>
      </c>
      <c r="X394" s="448" t="str">
        <f t="shared" si="86"/>
        <v/>
      </c>
      <c r="Y394" s="448" t="str">
        <f t="shared" si="87"/>
        <v/>
      </c>
      <c r="Z394" s="449" t="str">
        <f t="shared" si="89"/>
        <v/>
      </c>
    </row>
    <row r="395" spans="1:26" x14ac:dyDescent="0.35">
      <c r="A395" s="441">
        <v>45932</v>
      </c>
      <c r="B395" s="447">
        <v>15</v>
      </c>
      <c r="C395" s="442" t="s">
        <v>597</v>
      </c>
      <c r="D395" s="442" t="s">
        <v>598</v>
      </c>
      <c r="E395" s="442" t="s">
        <v>385</v>
      </c>
      <c r="F395" s="442" t="s">
        <v>570</v>
      </c>
      <c r="G395" s="443" t="b">
        <f>IF(A395="","",IF(Daten!$AE$4=0,TRUE,MONTH(A395)=Daten!$AE$4))</f>
        <v>1</v>
      </c>
      <c r="H395" s="454" t="s">
        <v>415</v>
      </c>
      <c r="I395" s="443" t="s">
        <v>70</v>
      </c>
      <c r="J395" s="443"/>
      <c r="K395" s="442" t="s">
        <v>637</v>
      </c>
      <c r="L395" s="453"/>
      <c r="M395" s="450" t="str">
        <f>IF(OR(A395="", B395=""), "", IF(H395="Mitgliedsbeiträge", ABS(B395), ""))</f>
        <v/>
      </c>
      <c r="N395" s="450" t="str">
        <f t="shared" si="79"/>
        <v/>
      </c>
      <c r="O395" s="450" t="str">
        <f t="shared" si="80"/>
        <v/>
      </c>
      <c r="P395" s="450" t="str">
        <f t="shared" si="81"/>
        <v/>
      </c>
      <c r="Q395" s="450" t="str">
        <f t="shared" si="82"/>
        <v/>
      </c>
      <c r="R395" s="450" t="str">
        <f t="shared" si="83"/>
        <v/>
      </c>
      <c r="S395" s="450">
        <v>15</v>
      </c>
      <c r="T395" s="450" t="str">
        <f t="shared" si="90"/>
        <v/>
      </c>
      <c r="U395" s="450" t="str">
        <f t="shared" si="84"/>
        <v/>
      </c>
      <c r="V395" s="450" t="str">
        <f t="shared" si="78"/>
        <v/>
      </c>
      <c r="W395" s="450" t="str">
        <f t="shared" si="85"/>
        <v/>
      </c>
      <c r="X395" s="450" t="str">
        <f t="shared" si="86"/>
        <v/>
      </c>
      <c r="Y395" s="450" t="str">
        <f t="shared" si="87"/>
        <v/>
      </c>
      <c r="Z395" s="451" t="str">
        <f t="shared" si="89"/>
        <v/>
      </c>
    </row>
    <row r="396" spans="1:26" x14ac:dyDescent="0.35">
      <c r="A396" s="438">
        <v>45936</v>
      </c>
      <c r="B396" s="446">
        <v>15</v>
      </c>
      <c r="C396" s="439" t="s">
        <v>584</v>
      </c>
      <c r="D396" s="439" t="s">
        <v>585</v>
      </c>
      <c r="E396" s="439" t="s">
        <v>642</v>
      </c>
      <c r="F396" s="439" t="s">
        <v>570</v>
      </c>
      <c r="G396" s="440" t="b">
        <f>IF(A396="","",IF(Daten!$AE$4=0,TRUE,MONTH(A396)=Daten!$AE$4))</f>
        <v>1</v>
      </c>
      <c r="H396" s="454" t="s">
        <v>415</v>
      </c>
      <c r="I396" s="440" t="s">
        <v>70</v>
      </c>
      <c r="J396" s="440"/>
      <c r="K396" s="439" t="s">
        <v>637</v>
      </c>
      <c r="L396" s="452"/>
      <c r="M396" s="448" t="str">
        <f>IF(OR(A396="", B396=""), "", IF(H396="Mitgliedsbeiträge", ABS(B396), ""))</f>
        <v/>
      </c>
      <c r="N396" s="448" t="str">
        <f t="shared" si="79"/>
        <v/>
      </c>
      <c r="O396" s="448" t="str">
        <f t="shared" si="80"/>
        <v/>
      </c>
      <c r="P396" s="448" t="str">
        <f t="shared" si="81"/>
        <v/>
      </c>
      <c r="Q396" s="448" t="str">
        <f t="shared" si="82"/>
        <v/>
      </c>
      <c r="R396" s="448" t="str">
        <f t="shared" si="83"/>
        <v/>
      </c>
      <c r="S396" s="448">
        <v>15</v>
      </c>
      <c r="T396" s="448" t="str">
        <f t="shared" si="90"/>
        <v/>
      </c>
      <c r="U396" s="448" t="str">
        <f t="shared" si="84"/>
        <v/>
      </c>
      <c r="V396" s="448" t="str">
        <f t="shared" si="78"/>
        <v/>
      </c>
      <c r="W396" s="448" t="str">
        <f t="shared" si="85"/>
        <v/>
      </c>
      <c r="X396" s="448" t="str">
        <f t="shared" si="86"/>
        <v/>
      </c>
      <c r="Y396" s="448" t="str">
        <f t="shared" si="87"/>
        <v/>
      </c>
      <c r="Z396" s="449" t="str">
        <f t="shared" si="89"/>
        <v/>
      </c>
    </row>
    <row r="397" spans="1:26" x14ac:dyDescent="0.35">
      <c r="A397" s="441">
        <v>45936</v>
      </c>
      <c r="B397" s="447">
        <v>15</v>
      </c>
      <c r="C397" s="442" t="s">
        <v>590</v>
      </c>
      <c r="D397" s="442" t="s">
        <v>591</v>
      </c>
      <c r="E397" s="442" t="s">
        <v>647</v>
      </c>
      <c r="F397" s="442" t="s">
        <v>570</v>
      </c>
      <c r="G397" s="443" t="b">
        <f>IF(A397="","",IF(Daten!$AE$4=0,TRUE,MONTH(A397)=Daten!$AE$4))</f>
        <v>1</v>
      </c>
      <c r="H397" s="454" t="s">
        <v>306</v>
      </c>
      <c r="I397" s="443" t="s">
        <v>70</v>
      </c>
      <c r="J397" s="443"/>
      <c r="K397" s="442" t="s">
        <v>637</v>
      </c>
      <c r="L397" s="453"/>
      <c r="M397" s="450">
        <v>15</v>
      </c>
      <c r="N397" s="450" t="str">
        <f t="shared" si="79"/>
        <v/>
      </c>
      <c r="O397" s="450" t="str">
        <f t="shared" si="80"/>
        <v/>
      </c>
      <c r="P397" s="450" t="str">
        <f t="shared" si="81"/>
        <v/>
      </c>
      <c r="Q397" s="450" t="str">
        <f t="shared" si="82"/>
        <v/>
      </c>
      <c r="R397" s="450" t="str">
        <f t="shared" si="83"/>
        <v/>
      </c>
      <c r="S397" s="450" t="str">
        <f>IF(OR(A397="", B397=""), "", IF(H397="Sonstige Einnahmen", ABS(B397), ""))</f>
        <v/>
      </c>
      <c r="T397" s="450" t="str">
        <f t="shared" si="90"/>
        <v/>
      </c>
      <c r="U397" s="450" t="str">
        <f t="shared" si="84"/>
        <v/>
      </c>
      <c r="V397" s="450" t="str">
        <f t="shared" si="78"/>
        <v/>
      </c>
      <c r="W397" s="450" t="str">
        <f t="shared" si="85"/>
        <v/>
      </c>
      <c r="X397" s="450" t="str">
        <f t="shared" si="86"/>
        <v/>
      </c>
      <c r="Y397" s="450" t="str">
        <f t="shared" si="87"/>
        <v/>
      </c>
      <c r="Z397" s="451" t="str">
        <f t="shared" si="89"/>
        <v/>
      </c>
    </row>
    <row r="398" spans="1:26" x14ac:dyDescent="0.35">
      <c r="A398" s="438">
        <v>45936</v>
      </c>
      <c r="B398" s="446">
        <v>-471</v>
      </c>
      <c r="C398" s="439" t="s">
        <v>587</v>
      </c>
      <c r="D398" s="439" t="s">
        <v>588</v>
      </c>
      <c r="E398" s="439" t="s">
        <v>673</v>
      </c>
      <c r="F398" s="439" t="s">
        <v>576</v>
      </c>
      <c r="G398" s="440" t="b">
        <f>IF(A398="","",IF(Daten!$AE$4=0,TRUE,MONTH(A398)=Daten!$AE$4))</f>
        <v>1</v>
      </c>
      <c r="H398" s="454" t="s">
        <v>451</v>
      </c>
      <c r="I398" s="440" t="s">
        <v>70</v>
      </c>
      <c r="J398" s="440"/>
      <c r="K398" s="439" t="s">
        <v>637</v>
      </c>
      <c r="L398" s="452"/>
      <c r="M398" s="448" t="str">
        <f>IF(OR(A398="", B398=""), "", IF(H398="Mitgliedsbeiträge", ABS(B398), ""))</f>
        <v/>
      </c>
      <c r="N398" s="448" t="str">
        <f t="shared" si="79"/>
        <v/>
      </c>
      <c r="O398" s="448" t="str">
        <f t="shared" si="80"/>
        <v/>
      </c>
      <c r="P398" s="448" t="str">
        <f t="shared" si="81"/>
        <v/>
      </c>
      <c r="Q398" s="448" t="str">
        <f t="shared" si="82"/>
        <v/>
      </c>
      <c r="R398" s="448" t="str">
        <f t="shared" si="83"/>
        <v/>
      </c>
      <c r="S398" s="448" t="str">
        <f>IF(OR(A398="", B398=""), "", IF(H398="Sonstige Einnahmen", ABS(B398), ""))</f>
        <v/>
      </c>
      <c r="T398" s="448">
        <v>-471</v>
      </c>
      <c r="U398" s="448" t="str">
        <f t="shared" si="84"/>
        <v/>
      </c>
      <c r="V398" s="448" t="str">
        <f t="shared" ref="V398:V461" si="91">IF(OR(A398="", B398=""), "", IF(H398="Veranstaltungen Ausgabe", ABS(B398), ""))</f>
        <v/>
      </c>
      <c r="W398" s="448" t="str">
        <f t="shared" si="85"/>
        <v/>
      </c>
      <c r="X398" s="448" t="str">
        <f t="shared" si="86"/>
        <v/>
      </c>
      <c r="Y398" s="448" t="str">
        <f t="shared" si="87"/>
        <v/>
      </c>
      <c r="Z398" s="449" t="str">
        <f t="shared" si="89"/>
        <v/>
      </c>
    </row>
    <row r="399" spans="1:26" x14ac:dyDescent="0.35">
      <c r="A399" s="441">
        <v>45936</v>
      </c>
      <c r="B399" s="447">
        <v>7.5</v>
      </c>
      <c r="C399" s="442" t="s">
        <v>51</v>
      </c>
      <c r="D399" s="442" t="s">
        <v>589</v>
      </c>
      <c r="E399" s="442" t="s">
        <v>646</v>
      </c>
      <c r="F399" s="442" t="s">
        <v>570</v>
      </c>
      <c r="G399" s="443" t="b">
        <f>IF(A399="","",IF(Daten!$AE$4=0,TRUE,MONTH(A399)=Daten!$AE$4))</f>
        <v>1</v>
      </c>
      <c r="H399" s="454" t="s">
        <v>306</v>
      </c>
      <c r="I399" s="443" t="s">
        <v>70</v>
      </c>
      <c r="J399" s="443"/>
      <c r="K399" s="442" t="s">
        <v>637</v>
      </c>
      <c r="L399" s="453"/>
      <c r="M399" s="450">
        <v>7.5</v>
      </c>
      <c r="N399" s="450" t="str">
        <f t="shared" si="79"/>
        <v/>
      </c>
      <c r="O399" s="450" t="str">
        <f t="shared" si="80"/>
        <v/>
      </c>
      <c r="P399" s="450" t="str">
        <f t="shared" si="81"/>
        <v/>
      </c>
      <c r="Q399" s="450" t="str">
        <f t="shared" si="82"/>
        <v/>
      </c>
      <c r="R399" s="450" t="str">
        <f t="shared" si="83"/>
        <v/>
      </c>
      <c r="S399" s="450" t="str">
        <f>IF(OR(A399="", B399=""), "", IF(H399="Sonstige Einnahmen", ABS(B399), ""))</f>
        <v/>
      </c>
      <c r="T399" s="450" t="str">
        <f>IF(OR(A399="", B399=""), "", IF(H399="Unterhaltung", ABS(B399), ""))</f>
        <v/>
      </c>
      <c r="U399" s="450" t="str">
        <f t="shared" si="84"/>
        <v/>
      </c>
      <c r="V399" s="450" t="str">
        <f t="shared" si="91"/>
        <v/>
      </c>
      <c r="W399" s="450" t="str">
        <f t="shared" si="85"/>
        <v/>
      </c>
      <c r="X399" s="450" t="str">
        <f t="shared" si="86"/>
        <v/>
      </c>
      <c r="Y399" s="450" t="str">
        <f t="shared" si="87"/>
        <v/>
      </c>
      <c r="Z399" s="451" t="str">
        <f t="shared" si="89"/>
        <v/>
      </c>
    </row>
    <row r="400" spans="1:26" x14ac:dyDescent="0.35">
      <c r="A400" s="438">
        <v>45943</v>
      </c>
      <c r="B400" s="446">
        <v>15</v>
      </c>
      <c r="C400" s="439" t="s">
        <v>600</v>
      </c>
      <c r="D400" s="439" t="s">
        <v>601</v>
      </c>
      <c r="E400" s="439" t="s">
        <v>385</v>
      </c>
      <c r="F400" s="439" t="s">
        <v>581</v>
      </c>
      <c r="G400" s="440" t="b">
        <f>IF(A400="","",IF(Daten!$AE$4=0,TRUE,MONTH(A400)=Daten!$AE$4))</f>
        <v>1</v>
      </c>
      <c r="H400" s="454" t="s">
        <v>415</v>
      </c>
      <c r="I400" s="440" t="s">
        <v>70</v>
      </c>
      <c r="J400" s="440"/>
      <c r="K400" s="439" t="s">
        <v>637</v>
      </c>
      <c r="L400" s="452"/>
      <c r="M400" s="448" t="str">
        <f>IF(OR(A400="", B400=""), "", IF(H400="Mitgliedsbeiträge", ABS(B400), ""))</f>
        <v/>
      </c>
      <c r="N400" s="448" t="str">
        <f t="shared" si="79"/>
        <v/>
      </c>
      <c r="O400" s="448" t="str">
        <f t="shared" si="80"/>
        <v/>
      </c>
      <c r="P400" s="448" t="str">
        <f t="shared" si="81"/>
        <v/>
      </c>
      <c r="Q400" s="448" t="str">
        <f t="shared" si="82"/>
        <v/>
      </c>
      <c r="R400" s="448" t="str">
        <f t="shared" si="83"/>
        <v/>
      </c>
      <c r="S400" s="448">
        <v>15</v>
      </c>
      <c r="T400" s="448" t="str">
        <f>IF(OR(A400="", B400=""), "", IF(H400="Unterhaltung", ABS(B400), ""))</f>
        <v/>
      </c>
      <c r="U400" s="448" t="str">
        <f t="shared" si="84"/>
        <v/>
      </c>
      <c r="V400" s="448" t="str">
        <f t="shared" si="91"/>
        <v/>
      </c>
      <c r="W400" s="448" t="str">
        <f t="shared" si="85"/>
        <v/>
      </c>
      <c r="X400" s="448" t="str">
        <f t="shared" si="86"/>
        <v/>
      </c>
      <c r="Y400" s="448" t="str">
        <f t="shared" si="87"/>
        <v/>
      </c>
      <c r="Z400" s="449" t="str">
        <f t="shared" si="89"/>
        <v/>
      </c>
    </row>
    <row r="401" spans="1:26" x14ac:dyDescent="0.35">
      <c r="A401" s="441">
        <v>45943</v>
      </c>
      <c r="B401" s="447">
        <v>15</v>
      </c>
      <c r="C401" s="442" t="s">
        <v>600</v>
      </c>
      <c r="D401" s="442" t="s">
        <v>601</v>
      </c>
      <c r="E401" s="442" t="s">
        <v>306</v>
      </c>
      <c r="F401" s="442" t="s">
        <v>599</v>
      </c>
      <c r="G401" s="443" t="b">
        <f>IF(A401="","",IF(Daten!$AE$4=0,TRUE,MONTH(A401)=Daten!$AE$4))</f>
        <v>1</v>
      </c>
      <c r="H401" s="454" t="s">
        <v>306</v>
      </c>
      <c r="I401" s="443" t="s">
        <v>70</v>
      </c>
      <c r="J401" s="443"/>
      <c r="K401" s="442" t="s">
        <v>637</v>
      </c>
      <c r="L401" s="453"/>
      <c r="M401" s="450">
        <v>15</v>
      </c>
      <c r="N401" s="450" t="str">
        <f t="shared" si="79"/>
        <v/>
      </c>
      <c r="O401" s="450" t="str">
        <f t="shared" si="80"/>
        <v/>
      </c>
      <c r="P401" s="450" t="str">
        <f t="shared" si="81"/>
        <v/>
      </c>
      <c r="Q401" s="450" t="str">
        <f t="shared" si="82"/>
        <v/>
      </c>
      <c r="R401" s="450" t="str">
        <f t="shared" si="83"/>
        <v/>
      </c>
      <c r="S401" s="450" t="str">
        <f>IF(OR(A401="", B401=""), "", IF(H401="Sonstige Einnahmen", ABS(B401), ""))</f>
        <v/>
      </c>
      <c r="T401" s="450" t="str">
        <f>IF(OR(A401="", B401=""), "", IF(H401="Unterhaltung", ABS(B401), ""))</f>
        <v/>
      </c>
      <c r="U401" s="450" t="str">
        <f t="shared" si="84"/>
        <v/>
      </c>
      <c r="V401" s="450" t="str">
        <f t="shared" si="91"/>
        <v/>
      </c>
      <c r="W401" s="450" t="str">
        <f t="shared" si="85"/>
        <v/>
      </c>
      <c r="X401" s="450" t="str">
        <f t="shared" si="86"/>
        <v/>
      </c>
      <c r="Y401" s="450" t="str">
        <f t="shared" si="87"/>
        <v/>
      </c>
      <c r="Z401" s="451" t="str">
        <f t="shared" si="89"/>
        <v/>
      </c>
    </row>
    <row r="402" spans="1:26" x14ac:dyDescent="0.35">
      <c r="A402" s="438">
        <v>45945</v>
      </c>
      <c r="B402" s="446">
        <v>33</v>
      </c>
      <c r="C402" s="439" t="s">
        <v>584</v>
      </c>
      <c r="D402" s="439" t="s">
        <v>585</v>
      </c>
      <c r="E402" s="439" t="s">
        <v>671</v>
      </c>
      <c r="F402" s="439" t="s">
        <v>581</v>
      </c>
      <c r="G402" s="440" t="b">
        <f>IF(A402="","",IF(Daten!$AE$4=0,TRUE,MONTH(A402)=Daten!$AE$4))</f>
        <v>1</v>
      </c>
      <c r="H402" s="454" t="s">
        <v>425</v>
      </c>
      <c r="I402" s="440" t="s">
        <v>70</v>
      </c>
      <c r="J402" s="440"/>
      <c r="K402" s="439" t="s">
        <v>637</v>
      </c>
      <c r="L402" s="452"/>
      <c r="M402" s="448" t="str">
        <f t="shared" ref="M402:M407" si="92">IF(OR(A402="", B402=""), "", IF(H402="Mitgliedsbeiträge", ABS(B402), ""))</f>
        <v/>
      </c>
      <c r="N402" s="448" t="str">
        <f t="shared" si="79"/>
        <v/>
      </c>
      <c r="O402" s="448" t="str">
        <f t="shared" si="80"/>
        <v/>
      </c>
      <c r="P402" s="448" t="str">
        <f t="shared" si="81"/>
        <v/>
      </c>
      <c r="Q402" s="448" t="str">
        <f t="shared" si="82"/>
        <v/>
      </c>
      <c r="R402" s="448" t="str">
        <f t="shared" si="83"/>
        <v/>
      </c>
      <c r="S402" s="448">
        <v>33</v>
      </c>
      <c r="T402" s="448" t="str">
        <f>IF(OR(A402="", B402=""), "", IF(H402="Unterhaltung", ABS(B402), ""))</f>
        <v/>
      </c>
      <c r="U402" s="448" t="str">
        <f t="shared" si="84"/>
        <v/>
      </c>
      <c r="V402" s="448" t="str">
        <f t="shared" si="91"/>
        <v/>
      </c>
      <c r="W402" s="448" t="str">
        <f t="shared" si="85"/>
        <v/>
      </c>
      <c r="X402" s="448" t="str">
        <f t="shared" si="86"/>
        <v/>
      </c>
      <c r="Y402" s="448" t="str">
        <f t="shared" si="87"/>
        <v/>
      </c>
      <c r="Z402" s="449" t="str">
        <f t="shared" si="89"/>
        <v/>
      </c>
    </row>
    <row r="403" spans="1:26" x14ac:dyDescent="0.35">
      <c r="A403" s="441">
        <v>45945</v>
      </c>
      <c r="B403" s="447">
        <v>-80.11</v>
      </c>
      <c r="C403" s="442" t="s">
        <v>611</v>
      </c>
      <c r="D403" s="442" t="s">
        <v>612</v>
      </c>
      <c r="E403" s="442" t="s">
        <v>672</v>
      </c>
      <c r="F403" s="442" t="s">
        <v>576</v>
      </c>
      <c r="G403" s="443" t="b">
        <f>IF(A403="","",IF(Daten!$AE$4=0,TRUE,MONTH(A403)=Daten!$AE$4))</f>
        <v>1</v>
      </c>
      <c r="H403" s="454" t="s">
        <v>390</v>
      </c>
      <c r="I403" s="443" t="s">
        <v>70</v>
      </c>
      <c r="J403" s="443"/>
      <c r="K403" s="442" t="s">
        <v>637</v>
      </c>
      <c r="L403" s="453"/>
      <c r="M403" s="450" t="str">
        <f t="shared" si="92"/>
        <v/>
      </c>
      <c r="N403" s="450" t="str">
        <f t="shared" si="79"/>
        <v/>
      </c>
      <c r="O403" s="450" t="str">
        <f t="shared" si="80"/>
        <v/>
      </c>
      <c r="P403" s="450" t="str">
        <f t="shared" si="81"/>
        <v/>
      </c>
      <c r="Q403" s="450" t="str">
        <f t="shared" si="82"/>
        <v/>
      </c>
      <c r="R403" s="450" t="str">
        <f t="shared" si="83"/>
        <v/>
      </c>
      <c r="S403" s="450" t="str">
        <f>IF(OR(A403="", B403=""), "", IF(H403="Sonstige Einnahmen", ABS(B403), ""))</f>
        <v/>
      </c>
      <c r="T403" s="450">
        <v>-80.11</v>
      </c>
      <c r="U403" s="450" t="str">
        <f t="shared" si="84"/>
        <v/>
      </c>
      <c r="V403" s="450" t="str">
        <f t="shared" si="91"/>
        <v/>
      </c>
      <c r="W403" s="450" t="str">
        <f t="shared" si="85"/>
        <v/>
      </c>
      <c r="X403" s="450" t="str">
        <f t="shared" si="86"/>
        <v/>
      </c>
      <c r="Y403" s="450" t="str">
        <f t="shared" si="87"/>
        <v/>
      </c>
      <c r="Z403" s="451" t="str">
        <f t="shared" si="89"/>
        <v/>
      </c>
    </row>
    <row r="404" spans="1:26" x14ac:dyDescent="0.35">
      <c r="A404" s="438">
        <v>45945</v>
      </c>
      <c r="B404" s="446">
        <v>-138</v>
      </c>
      <c r="C404" s="439" t="s">
        <v>577</v>
      </c>
      <c r="D404" s="439" t="s">
        <v>578</v>
      </c>
      <c r="E404" s="439" t="s">
        <v>639</v>
      </c>
      <c r="F404" s="439" t="s">
        <v>576</v>
      </c>
      <c r="G404" s="440" t="b">
        <f>IF(A404="","",IF(Daten!$AE$4=0,TRUE,MONTH(A404)=Daten!$AE$4))</f>
        <v>1</v>
      </c>
      <c r="H404" s="454" t="s">
        <v>459</v>
      </c>
      <c r="I404" s="440" t="s">
        <v>70</v>
      </c>
      <c r="J404" s="440"/>
      <c r="K404" s="439" t="s">
        <v>637</v>
      </c>
      <c r="L404" s="452"/>
      <c r="M404" s="448" t="str">
        <f t="shared" si="92"/>
        <v/>
      </c>
      <c r="N404" s="448" t="str">
        <f t="shared" si="79"/>
        <v/>
      </c>
      <c r="O404" s="448" t="str">
        <f t="shared" si="80"/>
        <v/>
      </c>
      <c r="P404" s="448" t="str">
        <f t="shared" si="81"/>
        <v/>
      </c>
      <c r="Q404" s="448" t="str">
        <f t="shared" si="82"/>
        <v/>
      </c>
      <c r="R404" s="448" t="str">
        <f t="shared" si="83"/>
        <v/>
      </c>
      <c r="S404" s="448" t="str">
        <f>IF(OR(A404="", B404=""), "", IF(H404="Sonstige Einnahmen", ABS(B404), ""))</f>
        <v/>
      </c>
      <c r="T404" s="448">
        <v>-138</v>
      </c>
      <c r="U404" s="448" t="str">
        <f t="shared" si="84"/>
        <v/>
      </c>
      <c r="V404" s="448" t="str">
        <f t="shared" si="91"/>
        <v/>
      </c>
      <c r="W404" s="448" t="str">
        <f t="shared" si="85"/>
        <v/>
      </c>
      <c r="X404" s="448" t="str">
        <f t="shared" si="86"/>
        <v/>
      </c>
      <c r="Y404" s="448" t="str">
        <f t="shared" si="87"/>
        <v/>
      </c>
      <c r="Z404" s="449" t="str">
        <f t="shared" si="89"/>
        <v/>
      </c>
    </row>
    <row r="405" spans="1:26" x14ac:dyDescent="0.35">
      <c r="A405" s="441">
        <v>45946</v>
      </c>
      <c r="B405" s="447">
        <v>120</v>
      </c>
      <c r="C405" s="442" t="s">
        <v>595</v>
      </c>
      <c r="D405" s="442" t="s">
        <v>596</v>
      </c>
      <c r="E405" s="442" t="s">
        <v>669</v>
      </c>
      <c r="F405" s="442" t="s">
        <v>581</v>
      </c>
      <c r="G405" s="443" t="b">
        <f>IF(A405="","",IF(Daten!$AE$4=0,TRUE,MONTH(A405)=Daten!$AE$4))</f>
        <v>1</v>
      </c>
      <c r="H405" s="454" t="s">
        <v>425</v>
      </c>
      <c r="I405" s="443" t="s">
        <v>70</v>
      </c>
      <c r="J405" s="443"/>
      <c r="K405" s="442" t="s">
        <v>637</v>
      </c>
      <c r="L405" s="453"/>
      <c r="M405" s="450" t="str">
        <f t="shared" si="92"/>
        <v/>
      </c>
      <c r="N405" s="450" t="str">
        <f t="shared" si="79"/>
        <v/>
      </c>
      <c r="O405" s="450" t="str">
        <f t="shared" si="80"/>
        <v/>
      </c>
      <c r="P405" s="450" t="str">
        <f t="shared" si="81"/>
        <v/>
      </c>
      <c r="Q405" s="450" t="str">
        <f t="shared" si="82"/>
        <v/>
      </c>
      <c r="R405" s="450" t="str">
        <f t="shared" si="83"/>
        <v/>
      </c>
      <c r="S405" s="450">
        <v>120</v>
      </c>
      <c r="T405" s="450" t="str">
        <f>IF(OR(A405="", B405=""), "", IF(H405="Unterhaltung", ABS(B405), ""))</f>
        <v/>
      </c>
      <c r="U405" s="450" t="str">
        <f t="shared" si="84"/>
        <v/>
      </c>
      <c r="V405" s="450" t="str">
        <f t="shared" si="91"/>
        <v/>
      </c>
      <c r="W405" s="450" t="str">
        <f t="shared" si="85"/>
        <v/>
      </c>
      <c r="X405" s="450" t="str">
        <f t="shared" si="86"/>
        <v/>
      </c>
      <c r="Y405" s="450" t="str">
        <f t="shared" si="87"/>
        <v/>
      </c>
      <c r="Z405" s="451" t="str">
        <f t="shared" si="89"/>
        <v/>
      </c>
    </row>
    <row r="406" spans="1:26" x14ac:dyDescent="0.35">
      <c r="A406" s="438">
        <v>45946</v>
      </c>
      <c r="B406" s="446">
        <v>-59.94</v>
      </c>
      <c r="C406" s="439" t="s">
        <v>579</v>
      </c>
      <c r="D406" s="439" t="s">
        <v>580</v>
      </c>
      <c r="E406" s="439" t="s">
        <v>670</v>
      </c>
      <c r="F406" s="439" t="s">
        <v>576</v>
      </c>
      <c r="G406" s="440" t="b">
        <f>IF(A406="","",IF(Daten!$AE$4=0,TRUE,MONTH(A406)=Daten!$AE$4))</f>
        <v>1</v>
      </c>
      <c r="H406" s="454" t="s">
        <v>389</v>
      </c>
      <c r="I406" s="440" t="s">
        <v>70</v>
      </c>
      <c r="J406" s="440"/>
      <c r="K406" s="439" t="s">
        <v>637</v>
      </c>
      <c r="L406" s="452"/>
      <c r="M406" s="448" t="str">
        <f t="shared" si="92"/>
        <v/>
      </c>
      <c r="N406" s="448" t="str">
        <f t="shared" si="79"/>
        <v/>
      </c>
      <c r="O406" s="448" t="str">
        <f t="shared" si="80"/>
        <v/>
      </c>
      <c r="P406" s="448" t="str">
        <f t="shared" si="81"/>
        <v/>
      </c>
      <c r="Q406" s="448" t="str">
        <f t="shared" si="82"/>
        <v/>
      </c>
      <c r="R406" s="448" t="str">
        <f t="shared" si="83"/>
        <v/>
      </c>
      <c r="S406" s="448" t="str">
        <f>IF(OR(A406="", B406=""), "", IF(H406="Sonstige Einnahmen", ABS(B406), ""))</f>
        <v/>
      </c>
      <c r="T406" s="448">
        <v>-59.94</v>
      </c>
      <c r="U406" s="448" t="str">
        <f t="shared" si="84"/>
        <v/>
      </c>
      <c r="V406" s="448" t="str">
        <f t="shared" si="91"/>
        <v/>
      </c>
      <c r="W406" s="448" t="str">
        <f t="shared" si="85"/>
        <v/>
      </c>
      <c r="X406" s="448" t="str">
        <f t="shared" si="86"/>
        <v/>
      </c>
      <c r="Y406" s="448" t="str">
        <f t="shared" si="87"/>
        <v/>
      </c>
      <c r="Z406" s="449" t="str">
        <f t="shared" si="89"/>
        <v/>
      </c>
    </row>
    <row r="407" spans="1:26" x14ac:dyDescent="0.35">
      <c r="A407" s="441">
        <v>45950</v>
      </c>
      <c r="B407" s="447">
        <v>15</v>
      </c>
      <c r="C407" s="442" t="s">
        <v>571</v>
      </c>
      <c r="D407" s="442" t="s">
        <v>572</v>
      </c>
      <c r="E407" s="442" t="s">
        <v>636</v>
      </c>
      <c r="F407" s="442" t="s">
        <v>570</v>
      </c>
      <c r="G407" s="443" t="b">
        <f>IF(A407="","",IF(Daten!$AE$4=0,TRUE,MONTH(A407)=Daten!$AE$4))</f>
        <v>1</v>
      </c>
      <c r="H407" s="454" t="s">
        <v>415</v>
      </c>
      <c r="I407" s="443" t="s">
        <v>70</v>
      </c>
      <c r="J407" s="443"/>
      <c r="K407" s="442" t="s">
        <v>637</v>
      </c>
      <c r="L407" s="453"/>
      <c r="M407" s="450" t="str">
        <f t="shared" si="92"/>
        <v/>
      </c>
      <c r="N407" s="450" t="str">
        <f t="shared" si="79"/>
        <v/>
      </c>
      <c r="O407" s="450" t="str">
        <f t="shared" si="80"/>
        <v/>
      </c>
      <c r="P407" s="450" t="str">
        <f t="shared" si="81"/>
        <v/>
      </c>
      <c r="Q407" s="450" t="str">
        <f t="shared" si="82"/>
        <v/>
      </c>
      <c r="R407" s="450" t="str">
        <f t="shared" si="83"/>
        <v/>
      </c>
      <c r="S407" s="450">
        <v>15</v>
      </c>
      <c r="T407" s="450" t="str">
        <f t="shared" ref="T407:T433" si="93">IF(OR(A407="", B407=""), "", IF(H407="Unterhaltung", ABS(B407), ""))</f>
        <v/>
      </c>
      <c r="U407" s="450" t="str">
        <f t="shared" si="84"/>
        <v/>
      </c>
      <c r="V407" s="450" t="str">
        <f t="shared" si="91"/>
        <v/>
      </c>
      <c r="W407" s="450" t="str">
        <f t="shared" si="85"/>
        <v/>
      </c>
      <c r="X407" s="450" t="str">
        <f t="shared" si="86"/>
        <v/>
      </c>
      <c r="Y407" s="450" t="str">
        <f t="shared" si="87"/>
        <v/>
      </c>
      <c r="Z407" s="451" t="str">
        <f t="shared" si="89"/>
        <v/>
      </c>
    </row>
    <row r="408" spans="1:26" x14ac:dyDescent="0.35">
      <c r="A408" s="438">
        <v>45957</v>
      </c>
      <c r="B408" s="446">
        <v>7.5</v>
      </c>
      <c r="C408" s="439" t="s">
        <v>609</v>
      </c>
      <c r="D408" s="439" t="s">
        <v>610</v>
      </c>
      <c r="E408" s="439" t="s">
        <v>665</v>
      </c>
      <c r="F408" s="439" t="s">
        <v>570</v>
      </c>
      <c r="G408" s="440" t="b">
        <f>IF(A408="","",IF(Daten!$AE$4=0,TRUE,MONTH(A408)=Daten!$AE$4))</f>
        <v>1</v>
      </c>
      <c r="H408" s="454" t="s">
        <v>306</v>
      </c>
      <c r="I408" s="440" t="s">
        <v>70</v>
      </c>
      <c r="J408" s="440"/>
      <c r="K408" s="439" t="s">
        <v>637</v>
      </c>
      <c r="L408" s="452"/>
      <c r="M408" s="448">
        <v>7.5</v>
      </c>
      <c r="N408" s="448" t="str">
        <f t="shared" si="79"/>
        <v/>
      </c>
      <c r="O408" s="448" t="str">
        <f t="shared" si="80"/>
        <v/>
      </c>
      <c r="P408" s="448" t="str">
        <f t="shared" si="81"/>
        <v/>
      </c>
      <c r="Q408" s="448" t="str">
        <f t="shared" si="82"/>
        <v/>
      </c>
      <c r="R408" s="448" t="str">
        <f t="shared" si="83"/>
        <v/>
      </c>
      <c r="S408" s="448" t="str">
        <f>IF(OR(A408="", B408=""), "", IF(H408="Sonstige Einnahmen", ABS(B408), ""))</f>
        <v/>
      </c>
      <c r="T408" s="448" t="str">
        <f t="shared" si="93"/>
        <v/>
      </c>
      <c r="U408" s="448" t="str">
        <f t="shared" si="84"/>
        <v/>
      </c>
      <c r="V408" s="448" t="str">
        <f t="shared" si="91"/>
        <v/>
      </c>
      <c r="W408" s="448" t="str">
        <f t="shared" si="85"/>
        <v/>
      </c>
      <c r="X408" s="448" t="str">
        <f t="shared" si="86"/>
        <v/>
      </c>
      <c r="Y408" s="448" t="str">
        <f t="shared" si="87"/>
        <v/>
      </c>
      <c r="Z408" s="449" t="str">
        <f t="shared" si="89"/>
        <v/>
      </c>
    </row>
    <row r="409" spans="1:26" x14ac:dyDescent="0.35">
      <c r="A409" s="441">
        <v>45957</v>
      </c>
      <c r="B409" s="447">
        <v>15</v>
      </c>
      <c r="C409" s="442" t="s">
        <v>603</v>
      </c>
      <c r="D409" s="442" t="s">
        <v>604</v>
      </c>
      <c r="E409" s="442" t="s">
        <v>666</v>
      </c>
      <c r="F409" s="442" t="s">
        <v>570</v>
      </c>
      <c r="G409" s="443" t="b">
        <f>IF(A409="","",IF(Daten!$AE$4=0,TRUE,MONTH(A409)=Daten!$AE$4))</f>
        <v>1</v>
      </c>
      <c r="H409" s="454" t="s">
        <v>415</v>
      </c>
      <c r="I409" s="443" t="s">
        <v>70</v>
      </c>
      <c r="J409" s="443"/>
      <c r="K409" s="442" t="s">
        <v>637</v>
      </c>
      <c r="L409" s="453"/>
      <c r="M409" s="450" t="str">
        <f>IF(OR(A409="", B409=""), "", IF(H409="Mitgliedsbeiträge", ABS(B409), ""))</f>
        <v/>
      </c>
      <c r="N409" s="450" t="str">
        <f t="shared" si="79"/>
        <v/>
      </c>
      <c r="O409" s="450" t="str">
        <f t="shared" si="80"/>
        <v/>
      </c>
      <c r="P409" s="450" t="str">
        <f t="shared" si="81"/>
        <v/>
      </c>
      <c r="Q409" s="450" t="str">
        <f t="shared" si="82"/>
        <v/>
      </c>
      <c r="R409" s="450" t="str">
        <f t="shared" si="83"/>
        <v/>
      </c>
      <c r="S409" s="450">
        <v>15</v>
      </c>
      <c r="T409" s="450" t="str">
        <f t="shared" si="93"/>
        <v/>
      </c>
      <c r="U409" s="450" t="str">
        <f t="shared" si="84"/>
        <v/>
      </c>
      <c r="V409" s="450" t="str">
        <f t="shared" si="91"/>
        <v/>
      </c>
      <c r="W409" s="450" t="str">
        <f t="shared" si="85"/>
        <v/>
      </c>
      <c r="X409" s="450" t="str">
        <f t="shared" si="86"/>
        <v/>
      </c>
      <c r="Y409" s="450" t="str">
        <f t="shared" si="87"/>
        <v/>
      </c>
      <c r="Z409" s="451" t="str">
        <f t="shared" si="89"/>
        <v/>
      </c>
    </row>
    <row r="410" spans="1:26" x14ac:dyDescent="0.35">
      <c r="A410" s="438">
        <v>45957</v>
      </c>
      <c r="B410" s="446">
        <v>7.5</v>
      </c>
      <c r="C410" s="439" t="s">
        <v>603</v>
      </c>
      <c r="D410" s="439" t="s">
        <v>604</v>
      </c>
      <c r="E410" s="439" t="s">
        <v>664</v>
      </c>
      <c r="F410" s="439" t="s">
        <v>570</v>
      </c>
      <c r="G410" s="440" t="b">
        <f>IF(A410="","",IF(Daten!$AE$4=0,TRUE,MONTH(A410)=Daten!$AE$4))</f>
        <v>1</v>
      </c>
      <c r="H410" s="454" t="s">
        <v>306</v>
      </c>
      <c r="I410" s="440" t="s">
        <v>70</v>
      </c>
      <c r="J410" s="440"/>
      <c r="K410" s="439" t="s">
        <v>637</v>
      </c>
      <c r="L410" s="452"/>
      <c r="M410" s="448">
        <v>7.5</v>
      </c>
      <c r="N410" s="448" t="str">
        <f t="shared" si="79"/>
        <v/>
      </c>
      <c r="O410" s="448" t="str">
        <f t="shared" si="80"/>
        <v/>
      </c>
      <c r="P410" s="448" t="str">
        <f t="shared" si="81"/>
        <v/>
      </c>
      <c r="Q410" s="448" t="str">
        <f t="shared" si="82"/>
        <v/>
      </c>
      <c r="R410" s="448" t="str">
        <f t="shared" si="83"/>
        <v/>
      </c>
      <c r="S410" s="448" t="str">
        <f>IF(OR(A410="", B410=""), "", IF(H410="Sonstige Einnahmen", ABS(B410), ""))</f>
        <v/>
      </c>
      <c r="T410" s="448" t="str">
        <f t="shared" si="93"/>
        <v/>
      </c>
      <c r="U410" s="448" t="str">
        <f t="shared" si="84"/>
        <v/>
      </c>
      <c r="V410" s="448" t="str">
        <f t="shared" si="91"/>
        <v/>
      </c>
      <c r="W410" s="448" t="str">
        <f t="shared" si="85"/>
        <v/>
      </c>
      <c r="X410" s="448" t="str">
        <f t="shared" si="86"/>
        <v/>
      </c>
      <c r="Y410" s="448" t="str">
        <f t="shared" si="87"/>
        <v/>
      </c>
      <c r="Z410" s="449" t="str">
        <f t="shared" si="89"/>
        <v/>
      </c>
    </row>
    <row r="411" spans="1:26" x14ac:dyDescent="0.35">
      <c r="A411" s="441">
        <v>45959</v>
      </c>
      <c r="B411" s="447">
        <v>15</v>
      </c>
      <c r="C411" s="442" t="s">
        <v>597</v>
      </c>
      <c r="D411" s="442" t="s">
        <v>598</v>
      </c>
      <c r="E411" s="442" t="s">
        <v>306</v>
      </c>
      <c r="F411" s="442" t="s">
        <v>570</v>
      </c>
      <c r="G411" s="443" t="b">
        <f>IF(A411="","",IF(Daten!$AE$4=0,TRUE,MONTH(A411)=Daten!$AE$4))</f>
        <v>1</v>
      </c>
      <c r="H411" s="454" t="s">
        <v>306</v>
      </c>
      <c r="I411" s="443" t="s">
        <v>70</v>
      </c>
      <c r="J411" s="443"/>
      <c r="K411" s="442" t="s">
        <v>637</v>
      </c>
      <c r="L411" s="453"/>
      <c r="M411" s="450">
        <v>15</v>
      </c>
      <c r="N411" s="450" t="str">
        <f t="shared" si="79"/>
        <v/>
      </c>
      <c r="O411" s="450" t="str">
        <f t="shared" si="80"/>
        <v/>
      </c>
      <c r="P411" s="450" t="str">
        <f t="shared" si="81"/>
        <v/>
      </c>
      <c r="Q411" s="450" t="str">
        <f t="shared" si="82"/>
        <v/>
      </c>
      <c r="R411" s="450" t="str">
        <f t="shared" si="83"/>
        <v/>
      </c>
      <c r="S411" s="450" t="str">
        <f>IF(OR(A411="", B411=""), "", IF(H411="Sonstige Einnahmen", ABS(B411), ""))</f>
        <v/>
      </c>
      <c r="T411" s="450" t="str">
        <f t="shared" si="93"/>
        <v/>
      </c>
      <c r="U411" s="450" t="str">
        <f t="shared" si="84"/>
        <v/>
      </c>
      <c r="V411" s="450" t="str">
        <f t="shared" si="91"/>
        <v/>
      </c>
      <c r="W411" s="450" t="str">
        <f t="shared" si="85"/>
        <v/>
      </c>
      <c r="X411" s="450" t="str">
        <f t="shared" si="86"/>
        <v/>
      </c>
      <c r="Y411" s="450" t="str">
        <f t="shared" si="87"/>
        <v/>
      </c>
      <c r="Z411" s="451" t="str">
        <f t="shared" si="89"/>
        <v/>
      </c>
    </row>
    <row r="412" spans="1:26" x14ac:dyDescent="0.35">
      <c r="A412" s="438">
        <v>45964</v>
      </c>
      <c r="B412" s="446">
        <v>15</v>
      </c>
      <c r="C412" s="439" t="s">
        <v>584</v>
      </c>
      <c r="D412" s="439" t="s">
        <v>585</v>
      </c>
      <c r="E412" s="439" t="s">
        <v>655</v>
      </c>
      <c r="F412" s="439" t="s">
        <v>570</v>
      </c>
      <c r="G412" s="440" t="b">
        <f>IF(A412="","",IF(Daten!$AE$4=0,TRUE,MONTH(A412)=Daten!$AE$4))</f>
        <v>1</v>
      </c>
      <c r="H412" s="454" t="s">
        <v>306</v>
      </c>
      <c r="I412" s="440" t="s">
        <v>69</v>
      </c>
      <c r="J412" s="440"/>
      <c r="K412" s="439" t="s">
        <v>637</v>
      </c>
      <c r="L412" s="452"/>
      <c r="M412" s="448">
        <v>15</v>
      </c>
      <c r="N412" s="448" t="str">
        <f t="shared" ref="N412:N472" si="94">IF(OR(A412="", B412=""), "", IF(H412="Spenden", ABS(B412), ""))</f>
        <v/>
      </c>
      <c r="O412" s="448" t="str">
        <f t="shared" ref="O412:O472" si="95">IF(OR(A412="", B412=""), "", IF(H412="Zuschüsse", ABS(B412), ""))</f>
        <v/>
      </c>
      <c r="P412" s="448" t="str">
        <f t="shared" ref="P412:P472" si="96">IF(OR(A412="", B412=""), "", IF(H412="Verwaltung", ABS(B412), ""))</f>
        <v/>
      </c>
      <c r="Q412" s="448" t="str">
        <f t="shared" ref="Q412:Q472" si="97">IF(OR(A412="", B412=""), "", IF(H412="Vermögen", ABS(B412), ""))</f>
        <v/>
      </c>
      <c r="R412" s="448" t="str">
        <f t="shared" ref="R412:R472" si="98">IF(OR(A412="", B412=""), "", IF(H412="Vermögen", ABS(B412), ""))</f>
        <v/>
      </c>
      <c r="S412" s="448" t="str">
        <f>IF(OR(A412="", B412=""), "", IF(H412="Sonstige Einnahmen", ABS(B412), ""))</f>
        <v/>
      </c>
      <c r="T412" s="448" t="str">
        <f t="shared" si="93"/>
        <v/>
      </c>
      <c r="U412" s="448" t="str">
        <f t="shared" ref="U412:U472" si="99">IF(OR(A412="", B412=""), "", IF(H412="Fortbildung", ABS(B412), ""))</f>
        <v/>
      </c>
      <c r="V412" s="448" t="str">
        <f t="shared" si="91"/>
        <v/>
      </c>
      <c r="W412" s="448" t="str">
        <f t="shared" ref="W412:W472" si="100">IF(OR(A412="", B412=""), "", IF(H412="Bürobetrieb", ABS(B412), ""))</f>
        <v/>
      </c>
      <c r="X412" s="448" t="str">
        <f t="shared" ref="X412:X472" si="101">IF(OR(A412="", B412=""), "", IF(H412="Aufwandsentschädigungen", ABS(B412), ""))</f>
        <v/>
      </c>
      <c r="Y412" s="448" t="str">
        <f t="shared" ref="Y412:Y472" si="102">IF(OR(A412="", B412=""), "", IF(H412="Sonstige Ausgaben", ABS(B412), ""))</f>
        <v/>
      </c>
      <c r="Z412" s="449" t="str">
        <f t="shared" si="89"/>
        <v/>
      </c>
    </row>
    <row r="413" spans="1:26" x14ac:dyDescent="0.35">
      <c r="A413" s="441">
        <v>45964</v>
      </c>
      <c r="B413" s="447">
        <v>15</v>
      </c>
      <c r="C413" s="442" t="s">
        <v>51</v>
      </c>
      <c r="D413" s="442" t="s">
        <v>589</v>
      </c>
      <c r="E413" s="442" t="s">
        <v>384</v>
      </c>
      <c r="F413" s="442" t="s">
        <v>570</v>
      </c>
      <c r="G413" s="443" t="b">
        <f>IF(A413="","",IF(Daten!$AE$4=0,TRUE,MONTH(A413)=Daten!$AE$4))</f>
        <v>1</v>
      </c>
      <c r="H413" s="454" t="s">
        <v>415</v>
      </c>
      <c r="I413" s="443" t="s">
        <v>69</v>
      </c>
      <c r="J413" s="443"/>
      <c r="K413" s="442" t="s">
        <v>637</v>
      </c>
      <c r="L413" s="453"/>
      <c r="M413" s="450" t="str">
        <f>IF(OR(A413="", B413=""), "", IF(H413="Mitgliedsbeiträge", ABS(B413), ""))</f>
        <v/>
      </c>
      <c r="N413" s="450" t="str">
        <f t="shared" si="94"/>
        <v/>
      </c>
      <c r="O413" s="450" t="str">
        <f t="shared" si="95"/>
        <v/>
      </c>
      <c r="P413" s="450" t="str">
        <f t="shared" si="96"/>
        <v/>
      </c>
      <c r="Q413" s="450" t="str">
        <f t="shared" si="97"/>
        <v/>
      </c>
      <c r="R413" s="450" t="str">
        <f t="shared" si="98"/>
        <v/>
      </c>
      <c r="S413" s="450">
        <v>15</v>
      </c>
      <c r="T413" s="450" t="str">
        <f t="shared" si="93"/>
        <v/>
      </c>
      <c r="U413" s="450" t="str">
        <f t="shared" si="99"/>
        <v/>
      </c>
      <c r="V413" s="450" t="str">
        <f t="shared" si="91"/>
        <v/>
      </c>
      <c r="W413" s="450" t="str">
        <f t="shared" si="100"/>
        <v/>
      </c>
      <c r="X413" s="450" t="str">
        <f t="shared" si="101"/>
        <v/>
      </c>
      <c r="Y413" s="450" t="str">
        <f t="shared" si="102"/>
        <v/>
      </c>
      <c r="Z413" s="451" t="str">
        <f t="shared" si="89"/>
        <v/>
      </c>
    </row>
    <row r="414" spans="1:26" x14ac:dyDescent="0.35">
      <c r="A414" s="438">
        <v>45964</v>
      </c>
      <c r="B414" s="446">
        <v>7.5</v>
      </c>
      <c r="C414" s="439" t="s">
        <v>51</v>
      </c>
      <c r="D414" s="439" t="s">
        <v>589</v>
      </c>
      <c r="E414" s="439" t="s">
        <v>646</v>
      </c>
      <c r="F414" s="439" t="s">
        <v>570</v>
      </c>
      <c r="G414" s="440" t="b">
        <f>IF(A414="","",IF(Daten!$AE$4=0,TRUE,MONTH(A414)=Daten!$AE$4))</f>
        <v>1</v>
      </c>
      <c r="H414" s="454" t="s">
        <v>306</v>
      </c>
      <c r="I414" s="440" t="s">
        <v>69</v>
      </c>
      <c r="J414" s="440"/>
      <c r="K414" s="439" t="s">
        <v>637</v>
      </c>
      <c r="L414" s="452"/>
      <c r="M414" s="448">
        <v>7.5</v>
      </c>
      <c r="N414" s="448" t="str">
        <f t="shared" si="94"/>
        <v/>
      </c>
      <c r="O414" s="448" t="str">
        <f t="shared" si="95"/>
        <v/>
      </c>
      <c r="P414" s="448" t="str">
        <f t="shared" si="96"/>
        <v/>
      </c>
      <c r="Q414" s="448" t="str">
        <f t="shared" si="97"/>
        <v/>
      </c>
      <c r="R414" s="448" t="str">
        <f t="shared" si="98"/>
        <v/>
      </c>
      <c r="S414" s="448" t="str">
        <f>IF(OR(A414="", B414=""), "", IF(H414="Sonstige Einnahmen", ABS(B414), ""))</f>
        <v/>
      </c>
      <c r="T414" s="448" t="str">
        <f t="shared" si="93"/>
        <v/>
      </c>
      <c r="U414" s="448" t="str">
        <f t="shared" si="99"/>
        <v/>
      </c>
      <c r="V414" s="448" t="str">
        <f t="shared" si="91"/>
        <v/>
      </c>
      <c r="W414" s="448" t="str">
        <f t="shared" si="100"/>
        <v/>
      </c>
      <c r="X414" s="448" t="str">
        <f t="shared" si="101"/>
        <v/>
      </c>
      <c r="Y414" s="448" t="str">
        <f t="shared" si="102"/>
        <v/>
      </c>
      <c r="Z414" s="449" t="str">
        <f t="shared" si="89"/>
        <v/>
      </c>
    </row>
    <row r="415" spans="1:26" x14ac:dyDescent="0.35">
      <c r="A415" s="441">
        <v>45964</v>
      </c>
      <c r="B415" s="447">
        <v>15</v>
      </c>
      <c r="C415" s="442" t="s">
        <v>590</v>
      </c>
      <c r="D415" s="442" t="s">
        <v>591</v>
      </c>
      <c r="E415" s="442" t="s">
        <v>659</v>
      </c>
      <c r="F415" s="442" t="s">
        <v>570</v>
      </c>
      <c r="G415" s="443" t="b">
        <f>IF(A415="","",IF(Daten!$AE$4=0,TRUE,MONTH(A415)=Daten!$AE$4))</f>
        <v>1</v>
      </c>
      <c r="H415" s="454" t="s">
        <v>415</v>
      </c>
      <c r="I415" s="443" t="s">
        <v>69</v>
      </c>
      <c r="J415" s="443"/>
      <c r="K415" s="442" t="s">
        <v>637</v>
      </c>
      <c r="L415" s="453"/>
      <c r="M415" s="450" t="str">
        <f>IF(OR(A415="", B415=""), "", IF(H415="Mitgliedsbeiträge", ABS(B415), ""))</f>
        <v/>
      </c>
      <c r="N415" s="450" t="str">
        <f t="shared" si="94"/>
        <v/>
      </c>
      <c r="O415" s="450" t="str">
        <f t="shared" si="95"/>
        <v/>
      </c>
      <c r="P415" s="450" t="str">
        <f t="shared" si="96"/>
        <v/>
      </c>
      <c r="Q415" s="450" t="str">
        <f t="shared" si="97"/>
        <v/>
      </c>
      <c r="R415" s="450" t="str">
        <f t="shared" si="98"/>
        <v/>
      </c>
      <c r="S415" s="450">
        <v>15</v>
      </c>
      <c r="T415" s="450" t="str">
        <f t="shared" si="93"/>
        <v/>
      </c>
      <c r="U415" s="450" t="str">
        <f t="shared" si="99"/>
        <v/>
      </c>
      <c r="V415" s="450" t="str">
        <f t="shared" si="91"/>
        <v/>
      </c>
      <c r="W415" s="450" t="str">
        <f t="shared" si="100"/>
        <v/>
      </c>
      <c r="X415" s="450" t="str">
        <f t="shared" si="101"/>
        <v/>
      </c>
      <c r="Y415" s="450" t="str">
        <f t="shared" si="102"/>
        <v/>
      </c>
      <c r="Z415" s="451" t="str">
        <f t="shared" si="89"/>
        <v/>
      </c>
    </row>
    <row r="416" spans="1:26" x14ac:dyDescent="0.35">
      <c r="A416" s="438">
        <v>45964</v>
      </c>
      <c r="B416" s="446">
        <v>15</v>
      </c>
      <c r="C416" s="439" t="s">
        <v>590</v>
      </c>
      <c r="D416" s="439" t="s">
        <v>591</v>
      </c>
      <c r="E416" s="439" t="s">
        <v>647</v>
      </c>
      <c r="F416" s="439" t="s">
        <v>570</v>
      </c>
      <c r="G416" s="440" t="b">
        <f>IF(A416="","",IF(Daten!$AE$4=0,TRUE,MONTH(A416)=Daten!$AE$4))</f>
        <v>1</v>
      </c>
      <c r="H416" s="454" t="s">
        <v>306</v>
      </c>
      <c r="I416" s="440" t="s">
        <v>69</v>
      </c>
      <c r="J416" s="440"/>
      <c r="K416" s="439" t="s">
        <v>637</v>
      </c>
      <c r="L416" s="452"/>
      <c r="M416" s="448">
        <v>15</v>
      </c>
      <c r="N416" s="448" t="str">
        <f t="shared" si="94"/>
        <v/>
      </c>
      <c r="O416" s="448" t="str">
        <f t="shared" si="95"/>
        <v/>
      </c>
      <c r="P416" s="448" t="str">
        <f t="shared" si="96"/>
        <v/>
      </c>
      <c r="Q416" s="448" t="str">
        <f t="shared" si="97"/>
        <v/>
      </c>
      <c r="R416" s="448" t="str">
        <f t="shared" si="98"/>
        <v/>
      </c>
      <c r="S416" s="448" t="str">
        <f>IF(OR(A416="", B416=""), "", IF(H416="Sonstige Einnahmen", ABS(B416), ""))</f>
        <v/>
      </c>
      <c r="T416" s="448" t="str">
        <f t="shared" si="93"/>
        <v/>
      </c>
      <c r="U416" s="448" t="str">
        <f t="shared" si="99"/>
        <v/>
      </c>
      <c r="V416" s="448" t="str">
        <f t="shared" si="91"/>
        <v/>
      </c>
      <c r="W416" s="448" t="str">
        <f t="shared" si="100"/>
        <v/>
      </c>
      <c r="X416" s="448" t="str">
        <f t="shared" si="101"/>
        <v/>
      </c>
      <c r="Y416" s="448" t="str">
        <f t="shared" si="102"/>
        <v/>
      </c>
      <c r="Z416" s="449" t="str">
        <f t="shared" si="89"/>
        <v/>
      </c>
    </row>
    <row r="417" spans="1:26" x14ac:dyDescent="0.35">
      <c r="A417" s="441">
        <v>45964</v>
      </c>
      <c r="B417" s="447">
        <v>7.5</v>
      </c>
      <c r="C417" s="442" t="s">
        <v>56</v>
      </c>
      <c r="D417" s="442" t="s">
        <v>602</v>
      </c>
      <c r="E417" s="442" t="s">
        <v>386</v>
      </c>
      <c r="F417" s="442" t="s">
        <v>570</v>
      </c>
      <c r="G417" s="443" t="b">
        <f>IF(A417="","",IF(Daten!$AE$4=0,TRUE,MONTH(A417)=Daten!$AE$4))</f>
        <v>1</v>
      </c>
      <c r="H417" s="454" t="s">
        <v>306</v>
      </c>
      <c r="I417" s="443" t="s">
        <v>69</v>
      </c>
      <c r="J417" s="443"/>
      <c r="K417" s="442" t="s">
        <v>637</v>
      </c>
      <c r="L417" s="453"/>
      <c r="M417" s="450">
        <v>7.5</v>
      </c>
      <c r="N417" s="450" t="str">
        <f t="shared" si="94"/>
        <v/>
      </c>
      <c r="O417" s="450" t="str">
        <f t="shared" si="95"/>
        <v/>
      </c>
      <c r="P417" s="450" t="str">
        <f t="shared" si="96"/>
        <v/>
      </c>
      <c r="Q417" s="450" t="str">
        <f t="shared" si="97"/>
        <v/>
      </c>
      <c r="R417" s="450" t="str">
        <f t="shared" si="98"/>
        <v/>
      </c>
      <c r="S417" s="450" t="str">
        <f>IF(OR(A417="", B417=""), "", IF(H417="Sonstige Einnahmen", ABS(B417), ""))</f>
        <v/>
      </c>
      <c r="T417" s="450" t="str">
        <f t="shared" si="93"/>
        <v/>
      </c>
      <c r="U417" s="450" t="str">
        <f t="shared" si="99"/>
        <v/>
      </c>
      <c r="V417" s="450" t="str">
        <f t="shared" si="91"/>
        <v/>
      </c>
      <c r="W417" s="450" t="str">
        <f t="shared" si="100"/>
        <v/>
      </c>
      <c r="X417" s="450" t="str">
        <f t="shared" si="101"/>
        <v/>
      </c>
      <c r="Y417" s="450" t="str">
        <f t="shared" si="102"/>
        <v/>
      </c>
      <c r="Z417" s="451" t="str">
        <f t="shared" si="89"/>
        <v/>
      </c>
    </row>
    <row r="418" spans="1:26" x14ac:dyDescent="0.35">
      <c r="A418" s="438">
        <v>45964</v>
      </c>
      <c r="B418" s="446">
        <v>15</v>
      </c>
      <c r="C418" s="439" t="s">
        <v>595</v>
      </c>
      <c r="D418" s="439" t="s">
        <v>596</v>
      </c>
      <c r="E418" s="439" t="s">
        <v>654</v>
      </c>
      <c r="F418" s="439" t="s">
        <v>570</v>
      </c>
      <c r="G418" s="440" t="b">
        <f>IF(A418="","",IF(Daten!$AE$4=0,TRUE,MONTH(A418)=Daten!$AE$4))</f>
        <v>1</v>
      </c>
      <c r="H418" s="454" t="s">
        <v>415</v>
      </c>
      <c r="I418" s="440" t="s">
        <v>69</v>
      </c>
      <c r="J418" s="440"/>
      <c r="K418" s="439" t="s">
        <v>637</v>
      </c>
      <c r="L418" s="452"/>
      <c r="M418" s="448" t="str">
        <f>IF(OR(A418="", B418=""), "", IF(H418="Mitgliedsbeiträge", ABS(B418), ""))</f>
        <v/>
      </c>
      <c r="N418" s="448" t="str">
        <f t="shared" si="94"/>
        <v/>
      </c>
      <c r="O418" s="448" t="str">
        <f t="shared" si="95"/>
        <v/>
      </c>
      <c r="P418" s="448" t="str">
        <f t="shared" si="96"/>
        <v/>
      </c>
      <c r="Q418" s="448" t="str">
        <f t="shared" si="97"/>
        <v/>
      </c>
      <c r="R418" s="448" t="str">
        <f t="shared" si="98"/>
        <v/>
      </c>
      <c r="S418" s="448">
        <v>15</v>
      </c>
      <c r="T418" s="448" t="str">
        <f t="shared" si="93"/>
        <v/>
      </c>
      <c r="U418" s="448" t="str">
        <f t="shared" si="99"/>
        <v/>
      </c>
      <c r="V418" s="448" t="str">
        <f t="shared" si="91"/>
        <v/>
      </c>
      <c r="W418" s="448" t="str">
        <f t="shared" si="100"/>
        <v/>
      </c>
      <c r="X418" s="448" t="str">
        <f t="shared" si="101"/>
        <v/>
      </c>
      <c r="Y418" s="448" t="str">
        <f t="shared" si="102"/>
        <v/>
      </c>
      <c r="Z418" s="449" t="str">
        <f t="shared" si="89"/>
        <v/>
      </c>
    </row>
    <row r="419" spans="1:26" x14ac:dyDescent="0.35">
      <c r="A419" s="441">
        <v>45964</v>
      </c>
      <c r="B419" s="447">
        <v>15</v>
      </c>
      <c r="C419" s="442" t="s">
        <v>595</v>
      </c>
      <c r="D419" s="442" t="s">
        <v>596</v>
      </c>
      <c r="E419" s="442" t="s">
        <v>656</v>
      </c>
      <c r="F419" s="442" t="s">
        <v>570</v>
      </c>
      <c r="G419" s="443" t="b">
        <f>IF(A419="","",IF(Daten!$AE$4=0,TRUE,MONTH(A419)=Daten!$AE$4))</f>
        <v>1</v>
      </c>
      <c r="H419" s="454" t="s">
        <v>306</v>
      </c>
      <c r="I419" s="443" t="s">
        <v>69</v>
      </c>
      <c r="J419" s="443"/>
      <c r="K419" s="442" t="s">
        <v>637</v>
      </c>
      <c r="L419" s="453"/>
      <c r="M419" s="450">
        <v>15</v>
      </c>
      <c r="N419" s="450" t="str">
        <f t="shared" si="94"/>
        <v/>
      </c>
      <c r="O419" s="450" t="str">
        <f t="shared" si="95"/>
        <v/>
      </c>
      <c r="P419" s="450" t="str">
        <f t="shared" si="96"/>
        <v/>
      </c>
      <c r="Q419" s="450" t="str">
        <f t="shared" si="97"/>
        <v/>
      </c>
      <c r="R419" s="450" t="str">
        <f t="shared" si="98"/>
        <v/>
      </c>
      <c r="S419" s="450" t="str">
        <f>IF(OR(A419="", B419=""), "", IF(H419="Sonstige Einnahmen", ABS(B419), ""))</f>
        <v/>
      </c>
      <c r="T419" s="450" t="str">
        <f t="shared" si="93"/>
        <v/>
      </c>
      <c r="U419" s="450" t="str">
        <f t="shared" si="99"/>
        <v/>
      </c>
      <c r="V419" s="450" t="str">
        <f t="shared" si="91"/>
        <v/>
      </c>
      <c r="W419" s="450" t="str">
        <f t="shared" si="100"/>
        <v/>
      </c>
      <c r="X419" s="450" t="str">
        <f t="shared" si="101"/>
        <v/>
      </c>
      <c r="Y419" s="450" t="str">
        <f t="shared" si="102"/>
        <v/>
      </c>
      <c r="Z419" s="451" t="str">
        <f t="shared" si="89"/>
        <v/>
      </c>
    </row>
    <row r="420" spans="1:26" ht="58" x14ac:dyDescent="0.35">
      <c r="A420" s="438">
        <v>45964</v>
      </c>
      <c r="B420" s="446">
        <v>15</v>
      </c>
      <c r="C420" s="439" t="s">
        <v>56</v>
      </c>
      <c r="D420" s="439" t="s">
        <v>602</v>
      </c>
      <c r="E420" s="439" t="s">
        <v>657</v>
      </c>
      <c r="F420" s="439" t="s">
        <v>570</v>
      </c>
      <c r="G420" s="440" t="b">
        <f>IF(A420="","",IF(Daten!$AE$4=0,TRUE,MONTH(A420)=Daten!$AE$4))</f>
        <v>1</v>
      </c>
      <c r="H420" s="455" t="s">
        <v>463</v>
      </c>
      <c r="I420" s="440" t="s">
        <v>69</v>
      </c>
      <c r="J420" s="440"/>
      <c r="K420" s="439" t="s">
        <v>637</v>
      </c>
      <c r="L420" s="452" t="s">
        <v>781</v>
      </c>
      <c r="M420" s="448" t="str">
        <f>IF(OR(A420="", B420=""), "", IF(H420="Mitgliedsbeiträge", ABS(B420), ""))</f>
        <v/>
      </c>
      <c r="N420" s="448" t="str">
        <f t="shared" si="94"/>
        <v/>
      </c>
      <c r="O420" s="448" t="str">
        <f t="shared" si="95"/>
        <v/>
      </c>
      <c r="P420" s="448" t="str">
        <f t="shared" si="96"/>
        <v/>
      </c>
      <c r="Q420" s="448" t="str">
        <f t="shared" si="97"/>
        <v/>
      </c>
      <c r="R420" s="448" t="str">
        <f t="shared" si="98"/>
        <v/>
      </c>
      <c r="S420" s="448">
        <v>15</v>
      </c>
      <c r="T420" s="448" t="str">
        <f t="shared" si="93"/>
        <v/>
      </c>
      <c r="U420" s="448" t="str">
        <f t="shared" si="99"/>
        <v/>
      </c>
      <c r="V420" s="448" t="str">
        <f t="shared" si="91"/>
        <v/>
      </c>
      <c r="W420" s="448" t="str">
        <f t="shared" si="100"/>
        <v/>
      </c>
      <c r="X420" s="448" t="str">
        <f t="shared" si="101"/>
        <v/>
      </c>
      <c r="Y420" s="448" t="str">
        <f t="shared" si="102"/>
        <v/>
      </c>
      <c r="Z420" s="449" t="str">
        <f t="shared" si="89"/>
        <v/>
      </c>
    </row>
    <row r="421" spans="1:26" x14ac:dyDescent="0.35">
      <c r="A421" s="441">
        <v>45964</v>
      </c>
      <c r="B421" s="447">
        <v>7.5</v>
      </c>
      <c r="C421" s="442" t="s">
        <v>66</v>
      </c>
      <c r="D421" s="442" t="s">
        <v>594</v>
      </c>
      <c r="E421" s="442" t="s">
        <v>652</v>
      </c>
      <c r="F421" s="442" t="s">
        <v>570</v>
      </c>
      <c r="G421" s="443" t="b">
        <f>IF(A421="","",IF(Daten!$AE$4=0,TRUE,MONTH(A421)=Daten!$AE$4))</f>
        <v>1</v>
      </c>
      <c r="H421" s="454" t="s">
        <v>306</v>
      </c>
      <c r="I421" s="443" t="s">
        <v>69</v>
      </c>
      <c r="J421" s="443"/>
      <c r="K421" s="442" t="s">
        <v>637</v>
      </c>
      <c r="L421" s="453"/>
      <c r="M421" s="450">
        <v>7.5</v>
      </c>
      <c r="N421" s="450" t="str">
        <f t="shared" si="94"/>
        <v/>
      </c>
      <c r="O421" s="450" t="str">
        <f t="shared" si="95"/>
        <v/>
      </c>
      <c r="P421" s="450" t="str">
        <f t="shared" si="96"/>
        <v/>
      </c>
      <c r="Q421" s="450" t="str">
        <f t="shared" si="97"/>
        <v/>
      </c>
      <c r="R421" s="450" t="str">
        <f t="shared" si="98"/>
        <v/>
      </c>
      <c r="S421" s="450" t="str">
        <f>IF(OR(A421="", B421=""), "", IF(H421="Sonstige Einnahmen", ABS(B421), ""))</f>
        <v/>
      </c>
      <c r="T421" s="450" t="str">
        <f t="shared" si="93"/>
        <v/>
      </c>
      <c r="U421" s="450" t="str">
        <f t="shared" si="99"/>
        <v/>
      </c>
      <c r="V421" s="450" t="str">
        <f t="shared" si="91"/>
        <v/>
      </c>
      <c r="W421" s="450" t="str">
        <f t="shared" si="100"/>
        <v/>
      </c>
      <c r="X421" s="450" t="str">
        <f t="shared" si="101"/>
        <v/>
      </c>
      <c r="Y421" s="450" t="str">
        <f t="shared" si="102"/>
        <v/>
      </c>
      <c r="Z421" s="451" t="str">
        <f t="shared" si="89"/>
        <v/>
      </c>
    </row>
    <row r="422" spans="1:26" x14ac:dyDescent="0.35">
      <c r="A422" s="438">
        <v>45964</v>
      </c>
      <c r="B422" s="446">
        <v>15</v>
      </c>
      <c r="C422" s="439" t="s">
        <v>597</v>
      </c>
      <c r="D422" s="439" t="s">
        <v>598</v>
      </c>
      <c r="E422" s="439" t="s">
        <v>385</v>
      </c>
      <c r="F422" s="439" t="s">
        <v>570</v>
      </c>
      <c r="G422" s="440" t="b">
        <f>IF(A422="","",IF(Daten!$AE$4=0,TRUE,MONTH(A422)=Daten!$AE$4))</f>
        <v>1</v>
      </c>
      <c r="H422" s="454" t="s">
        <v>415</v>
      </c>
      <c r="I422" s="440" t="s">
        <v>69</v>
      </c>
      <c r="J422" s="440"/>
      <c r="K422" s="439" t="s">
        <v>637</v>
      </c>
      <c r="L422" s="452"/>
      <c r="M422" s="448" t="str">
        <f>IF(OR(A422="", B422=""), "", IF(H422="Mitgliedsbeiträge", ABS(B422), ""))</f>
        <v/>
      </c>
      <c r="N422" s="448" t="str">
        <f t="shared" si="94"/>
        <v/>
      </c>
      <c r="O422" s="448" t="str">
        <f t="shared" si="95"/>
        <v/>
      </c>
      <c r="P422" s="448" t="str">
        <f t="shared" si="96"/>
        <v/>
      </c>
      <c r="Q422" s="448" t="str">
        <f t="shared" si="97"/>
        <v/>
      </c>
      <c r="R422" s="448" t="str">
        <f t="shared" si="98"/>
        <v/>
      </c>
      <c r="S422" s="448">
        <v>15</v>
      </c>
      <c r="T422" s="448" t="str">
        <f t="shared" si="93"/>
        <v/>
      </c>
      <c r="U422" s="448" t="str">
        <f t="shared" si="99"/>
        <v/>
      </c>
      <c r="V422" s="448" t="str">
        <f t="shared" si="91"/>
        <v/>
      </c>
      <c r="W422" s="448" t="str">
        <f t="shared" si="100"/>
        <v/>
      </c>
      <c r="X422" s="448" t="str">
        <f t="shared" si="101"/>
        <v/>
      </c>
      <c r="Y422" s="448" t="str">
        <f t="shared" si="102"/>
        <v/>
      </c>
      <c r="Z422" s="449" t="str">
        <f t="shared" si="89"/>
        <v/>
      </c>
    </row>
    <row r="423" spans="1:26" x14ac:dyDescent="0.35">
      <c r="A423" s="441">
        <v>45964</v>
      </c>
      <c r="B423" s="447">
        <v>15</v>
      </c>
      <c r="C423" s="442" t="s">
        <v>66</v>
      </c>
      <c r="D423" s="442" t="s">
        <v>594</v>
      </c>
      <c r="E423" s="442" t="s">
        <v>653</v>
      </c>
      <c r="F423" s="442" t="s">
        <v>570</v>
      </c>
      <c r="G423" s="443" t="b">
        <f>IF(A423="","",IF(Daten!$AE$4=0,TRUE,MONTH(A423)=Daten!$AE$4))</f>
        <v>1</v>
      </c>
      <c r="H423" s="454" t="s">
        <v>415</v>
      </c>
      <c r="I423" s="443" t="s">
        <v>69</v>
      </c>
      <c r="J423" s="443"/>
      <c r="K423" s="442" t="s">
        <v>637</v>
      </c>
      <c r="L423" s="453"/>
      <c r="M423" s="450" t="str">
        <f>IF(OR(A423="", B423=""), "", IF(H423="Mitgliedsbeiträge", ABS(B423), ""))</f>
        <v/>
      </c>
      <c r="N423" s="450" t="str">
        <f t="shared" si="94"/>
        <v/>
      </c>
      <c r="O423" s="450" t="str">
        <f t="shared" si="95"/>
        <v/>
      </c>
      <c r="P423" s="450" t="str">
        <f t="shared" si="96"/>
        <v/>
      </c>
      <c r="Q423" s="450" t="str">
        <f t="shared" si="97"/>
        <v/>
      </c>
      <c r="R423" s="450" t="str">
        <f t="shared" si="98"/>
        <v/>
      </c>
      <c r="S423" s="450">
        <v>15</v>
      </c>
      <c r="T423" s="450" t="str">
        <f t="shared" si="93"/>
        <v/>
      </c>
      <c r="U423" s="450" t="str">
        <f t="shared" si="99"/>
        <v/>
      </c>
      <c r="V423" s="450" t="str">
        <f t="shared" si="91"/>
        <v/>
      </c>
      <c r="W423" s="450" t="str">
        <f t="shared" si="100"/>
        <v/>
      </c>
      <c r="X423" s="450" t="str">
        <f t="shared" si="101"/>
        <v/>
      </c>
      <c r="Y423" s="450" t="str">
        <f t="shared" si="102"/>
        <v/>
      </c>
      <c r="Z423" s="451" t="str">
        <f t="shared" si="89"/>
        <v/>
      </c>
    </row>
    <row r="424" spans="1:26" x14ac:dyDescent="0.35">
      <c r="A424" s="438">
        <v>45964</v>
      </c>
      <c r="B424" s="446">
        <v>15</v>
      </c>
      <c r="C424" s="439" t="s">
        <v>605</v>
      </c>
      <c r="D424" s="439" t="s">
        <v>606</v>
      </c>
      <c r="E424" s="439" t="s">
        <v>660</v>
      </c>
      <c r="F424" s="439" t="s">
        <v>570</v>
      </c>
      <c r="G424" s="440" t="b">
        <f>IF(A424="","",IF(Daten!$AE$4=0,TRUE,MONTH(A424)=Daten!$AE$4))</f>
        <v>1</v>
      </c>
      <c r="H424" s="454" t="s">
        <v>415</v>
      </c>
      <c r="I424" s="440" t="s">
        <v>69</v>
      </c>
      <c r="J424" s="440"/>
      <c r="K424" s="439" t="s">
        <v>637</v>
      </c>
      <c r="L424" s="452"/>
      <c r="M424" s="448" t="str">
        <f>IF(OR(A424="", B424=""), "", IF(H424="Mitgliedsbeiträge", ABS(B424), ""))</f>
        <v/>
      </c>
      <c r="N424" s="448" t="str">
        <f t="shared" si="94"/>
        <v/>
      </c>
      <c r="O424" s="448" t="str">
        <f t="shared" si="95"/>
        <v/>
      </c>
      <c r="P424" s="448" t="str">
        <f t="shared" si="96"/>
        <v/>
      </c>
      <c r="Q424" s="448" t="str">
        <f t="shared" si="97"/>
        <v/>
      </c>
      <c r="R424" s="448" t="str">
        <f t="shared" si="98"/>
        <v/>
      </c>
      <c r="S424" s="448">
        <v>15</v>
      </c>
      <c r="T424" s="448" t="str">
        <f t="shared" si="93"/>
        <v/>
      </c>
      <c r="U424" s="448" t="str">
        <f t="shared" si="99"/>
        <v/>
      </c>
      <c r="V424" s="448" t="str">
        <f t="shared" si="91"/>
        <v/>
      </c>
      <c r="W424" s="448" t="str">
        <f t="shared" si="100"/>
        <v/>
      </c>
      <c r="X424" s="448" t="str">
        <f t="shared" si="101"/>
        <v/>
      </c>
      <c r="Y424" s="448" t="str">
        <f t="shared" si="102"/>
        <v/>
      </c>
      <c r="Z424" s="449" t="str">
        <f t="shared" si="89"/>
        <v/>
      </c>
    </row>
    <row r="425" spans="1:26" x14ac:dyDescent="0.35">
      <c r="A425" s="441">
        <v>45964</v>
      </c>
      <c r="B425" s="447">
        <v>15</v>
      </c>
      <c r="C425" s="442" t="s">
        <v>607</v>
      </c>
      <c r="D425" s="442" t="s">
        <v>608</v>
      </c>
      <c r="E425" s="442" t="s">
        <v>661</v>
      </c>
      <c r="F425" s="442" t="s">
        <v>570</v>
      </c>
      <c r="G425" s="443" t="b">
        <f>IF(A425="","",IF(Daten!$AE$4=0,TRUE,MONTH(A425)=Daten!$AE$4))</f>
        <v>1</v>
      </c>
      <c r="H425" s="454" t="s">
        <v>306</v>
      </c>
      <c r="I425" s="443" t="s">
        <v>69</v>
      </c>
      <c r="J425" s="443"/>
      <c r="K425" s="442" t="s">
        <v>637</v>
      </c>
      <c r="L425" s="453"/>
      <c r="M425" s="450">
        <v>15</v>
      </c>
      <c r="N425" s="450" t="str">
        <f t="shared" si="94"/>
        <v/>
      </c>
      <c r="O425" s="450" t="str">
        <f t="shared" si="95"/>
        <v/>
      </c>
      <c r="P425" s="450" t="str">
        <f t="shared" si="96"/>
        <v/>
      </c>
      <c r="Q425" s="450" t="str">
        <f t="shared" si="97"/>
        <v/>
      </c>
      <c r="R425" s="450" t="str">
        <f t="shared" si="98"/>
        <v/>
      </c>
      <c r="S425" s="450" t="str">
        <f>IF(OR(A425="", B425=""), "", IF(H425="Sonstige Einnahmen", ABS(B425), ""))</f>
        <v/>
      </c>
      <c r="T425" s="450" t="str">
        <f t="shared" si="93"/>
        <v/>
      </c>
      <c r="U425" s="450" t="str">
        <f t="shared" si="99"/>
        <v/>
      </c>
      <c r="V425" s="450" t="str">
        <f t="shared" si="91"/>
        <v/>
      </c>
      <c r="W425" s="450" t="str">
        <f t="shared" si="100"/>
        <v/>
      </c>
      <c r="X425" s="450" t="str">
        <f t="shared" si="101"/>
        <v/>
      </c>
      <c r="Y425" s="450" t="str">
        <f t="shared" si="102"/>
        <v/>
      </c>
      <c r="Z425" s="451" t="str">
        <f t="shared" si="89"/>
        <v/>
      </c>
    </row>
    <row r="426" spans="1:26" x14ac:dyDescent="0.35">
      <c r="A426" s="438">
        <v>45964</v>
      </c>
      <c r="B426" s="446">
        <v>15</v>
      </c>
      <c r="C426" s="439" t="s">
        <v>605</v>
      </c>
      <c r="D426" s="439" t="s">
        <v>606</v>
      </c>
      <c r="E426" s="439" t="s">
        <v>662</v>
      </c>
      <c r="F426" s="439" t="s">
        <v>570</v>
      </c>
      <c r="G426" s="440" t="b">
        <f>IF(A426="","",IF(Daten!$AE$4=0,TRUE,MONTH(A426)=Daten!$AE$4))</f>
        <v>1</v>
      </c>
      <c r="H426" s="454" t="s">
        <v>306</v>
      </c>
      <c r="I426" s="440" t="s">
        <v>69</v>
      </c>
      <c r="J426" s="440"/>
      <c r="K426" s="439" t="s">
        <v>637</v>
      </c>
      <c r="L426" s="452"/>
      <c r="M426" s="448">
        <v>15</v>
      </c>
      <c r="N426" s="448" t="str">
        <f t="shared" si="94"/>
        <v/>
      </c>
      <c r="O426" s="448" t="str">
        <f t="shared" si="95"/>
        <v/>
      </c>
      <c r="P426" s="448" t="str">
        <f t="shared" si="96"/>
        <v/>
      </c>
      <c r="Q426" s="448" t="str">
        <f t="shared" si="97"/>
        <v/>
      </c>
      <c r="R426" s="448" t="str">
        <f t="shared" si="98"/>
        <v/>
      </c>
      <c r="S426" s="448" t="str">
        <f>IF(OR(A426="", B426=""), "", IF(H426="Sonstige Einnahmen", ABS(B426), ""))</f>
        <v/>
      </c>
      <c r="T426" s="448" t="str">
        <f t="shared" si="93"/>
        <v/>
      </c>
      <c r="U426" s="448" t="str">
        <f t="shared" si="99"/>
        <v/>
      </c>
      <c r="V426" s="448" t="str">
        <f t="shared" si="91"/>
        <v/>
      </c>
      <c r="W426" s="448" t="str">
        <f t="shared" si="100"/>
        <v/>
      </c>
      <c r="X426" s="448" t="str">
        <f t="shared" si="101"/>
        <v/>
      </c>
      <c r="Y426" s="448" t="str">
        <f t="shared" si="102"/>
        <v/>
      </c>
      <c r="Z426" s="449" t="str">
        <f t="shared" si="89"/>
        <v/>
      </c>
    </row>
    <row r="427" spans="1:26" x14ac:dyDescent="0.35">
      <c r="A427" s="441">
        <v>45964</v>
      </c>
      <c r="B427" s="447">
        <v>15</v>
      </c>
      <c r="C427" s="442" t="s">
        <v>600</v>
      </c>
      <c r="D427" s="442" t="s">
        <v>601</v>
      </c>
      <c r="E427" s="442" t="s">
        <v>385</v>
      </c>
      <c r="F427" s="442" t="s">
        <v>599</v>
      </c>
      <c r="G427" s="443" t="b">
        <f>IF(A427="","",IF(Daten!$AE$4=0,TRUE,MONTH(A427)=Daten!$AE$4))</f>
        <v>1</v>
      </c>
      <c r="H427" s="454" t="s">
        <v>415</v>
      </c>
      <c r="I427" s="443" t="s">
        <v>69</v>
      </c>
      <c r="J427" s="443"/>
      <c r="K427" s="442" t="s">
        <v>637</v>
      </c>
      <c r="L427" s="453"/>
      <c r="M427" s="450" t="str">
        <f>IF(OR(A427="", B427=""), "", IF(H427="Mitgliedsbeiträge", ABS(B427), ""))</f>
        <v/>
      </c>
      <c r="N427" s="450" t="str">
        <f t="shared" si="94"/>
        <v/>
      </c>
      <c r="O427" s="450" t="str">
        <f t="shared" si="95"/>
        <v/>
      </c>
      <c r="P427" s="450" t="str">
        <f t="shared" si="96"/>
        <v/>
      </c>
      <c r="Q427" s="450" t="str">
        <f t="shared" si="97"/>
        <v/>
      </c>
      <c r="R427" s="450" t="str">
        <f t="shared" si="98"/>
        <v/>
      </c>
      <c r="S427" s="450">
        <v>15</v>
      </c>
      <c r="T427" s="450" t="str">
        <f t="shared" si="93"/>
        <v/>
      </c>
      <c r="U427" s="450" t="str">
        <f t="shared" si="99"/>
        <v/>
      </c>
      <c r="V427" s="450" t="str">
        <f t="shared" si="91"/>
        <v/>
      </c>
      <c r="W427" s="450" t="str">
        <f t="shared" si="100"/>
        <v/>
      </c>
      <c r="X427" s="450" t="str">
        <f t="shared" si="101"/>
        <v/>
      </c>
      <c r="Y427" s="450" t="str">
        <f t="shared" si="102"/>
        <v/>
      </c>
      <c r="Z427" s="451" t="str">
        <f t="shared" si="89"/>
        <v/>
      </c>
    </row>
    <row r="428" spans="1:26" x14ac:dyDescent="0.35">
      <c r="A428" s="438">
        <v>45964</v>
      </c>
      <c r="B428" s="446">
        <v>15</v>
      </c>
      <c r="C428" s="439" t="s">
        <v>600</v>
      </c>
      <c r="D428" s="439" t="s">
        <v>601</v>
      </c>
      <c r="E428" s="439" t="s">
        <v>306</v>
      </c>
      <c r="F428" s="439" t="s">
        <v>599</v>
      </c>
      <c r="G428" s="440" t="b">
        <f>IF(A428="","",IF(Daten!$AE$4=0,TRUE,MONTH(A428)=Daten!$AE$4))</f>
        <v>1</v>
      </c>
      <c r="H428" s="454" t="s">
        <v>306</v>
      </c>
      <c r="I428" s="440" t="s">
        <v>69</v>
      </c>
      <c r="J428" s="440"/>
      <c r="K428" s="439" t="s">
        <v>637</v>
      </c>
      <c r="L428" s="452"/>
      <c r="M428" s="448">
        <v>15</v>
      </c>
      <c r="N428" s="448" t="str">
        <f t="shared" si="94"/>
        <v/>
      </c>
      <c r="O428" s="448" t="str">
        <f t="shared" si="95"/>
        <v/>
      </c>
      <c r="P428" s="448" t="str">
        <f t="shared" si="96"/>
        <v/>
      </c>
      <c r="Q428" s="448" t="str">
        <f t="shared" si="97"/>
        <v/>
      </c>
      <c r="R428" s="448" t="str">
        <f t="shared" si="98"/>
        <v/>
      </c>
      <c r="S428" s="448" t="str">
        <f>IF(OR(A428="", B428=""), "", IF(H428="Sonstige Einnahmen", ABS(B428), ""))</f>
        <v/>
      </c>
      <c r="T428" s="448" t="str">
        <f t="shared" si="93"/>
        <v/>
      </c>
      <c r="U428" s="448" t="str">
        <f t="shared" si="99"/>
        <v/>
      </c>
      <c r="V428" s="448" t="str">
        <f t="shared" si="91"/>
        <v/>
      </c>
      <c r="W428" s="448" t="str">
        <f t="shared" si="100"/>
        <v/>
      </c>
      <c r="X428" s="448" t="str">
        <f t="shared" si="101"/>
        <v/>
      </c>
      <c r="Y428" s="448" t="str">
        <f t="shared" si="102"/>
        <v/>
      </c>
      <c r="Z428" s="449" t="str">
        <f t="shared" si="89"/>
        <v/>
      </c>
    </row>
    <row r="429" spans="1:26" x14ac:dyDescent="0.35">
      <c r="A429" s="441">
        <v>45964</v>
      </c>
      <c r="B429" s="447">
        <v>-4.7</v>
      </c>
      <c r="C429" s="442"/>
      <c r="D429" s="442">
        <v>0</v>
      </c>
      <c r="E429" s="442" t="s">
        <v>663</v>
      </c>
      <c r="F429" s="442" t="s">
        <v>381</v>
      </c>
      <c r="G429" s="443" t="b">
        <f>IF(A429="","",IF(Daten!$AE$4=0,TRUE,MONTH(A429)=Daten!$AE$4))</f>
        <v>1</v>
      </c>
      <c r="H429" s="456" t="s">
        <v>782</v>
      </c>
      <c r="I429" s="443" t="s">
        <v>69</v>
      </c>
      <c r="J429" s="443"/>
      <c r="K429" s="442" t="s">
        <v>637</v>
      </c>
      <c r="L429" s="453" t="s">
        <v>783</v>
      </c>
      <c r="M429" s="450" t="str">
        <f>IF(OR(A429="", B429=""), "", IF(H429="Mitgliedsbeiträge", ABS(B429), ""))</f>
        <v/>
      </c>
      <c r="N429" s="450" t="str">
        <f t="shared" si="94"/>
        <v/>
      </c>
      <c r="O429" s="450" t="str">
        <f t="shared" si="95"/>
        <v/>
      </c>
      <c r="P429" s="450" t="str">
        <f t="shared" si="96"/>
        <v/>
      </c>
      <c r="Q429" s="450" t="str">
        <f t="shared" si="97"/>
        <v/>
      </c>
      <c r="R429" s="450" t="str">
        <f t="shared" si="98"/>
        <v/>
      </c>
      <c r="S429" s="450" t="str">
        <f>IF(OR(A429="", B429=""), "", IF(H429="Sonstige Einnahmen", ABS(B429), ""))</f>
        <v/>
      </c>
      <c r="T429" s="450" t="str">
        <f t="shared" si="93"/>
        <v/>
      </c>
      <c r="U429" s="450" t="str">
        <f t="shared" si="99"/>
        <v/>
      </c>
      <c r="V429" s="450" t="str">
        <f t="shared" si="91"/>
        <v/>
      </c>
      <c r="W429" s="450" t="str">
        <f t="shared" si="100"/>
        <v/>
      </c>
      <c r="X429" s="450" t="str">
        <f t="shared" si="101"/>
        <v/>
      </c>
      <c r="Y429" s="450" t="str">
        <f t="shared" si="102"/>
        <v/>
      </c>
      <c r="Z429" s="451" t="str">
        <f t="shared" si="89"/>
        <v/>
      </c>
    </row>
    <row r="430" spans="1:26" x14ac:dyDescent="0.35">
      <c r="A430" s="438">
        <v>45965</v>
      </c>
      <c r="B430" s="446">
        <v>7.5</v>
      </c>
      <c r="C430" s="439" t="s">
        <v>592</v>
      </c>
      <c r="D430" s="439" t="s">
        <v>593</v>
      </c>
      <c r="E430" s="439" t="s">
        <v>651</v>
      </c>
      <c r="F430" s="439" t="s">
        <v>570</v>
      </c>
      <c r="G430" s="440" t="b">
        <f>IF(A430="","",IF(Daten!$AE$4=0,TRUE,MONTH(A430)=Daten!$AE$4))</f>
        <v>1</v>
      </c>
      <c r="H430" s="454" t="s">
        <v>306</v>
      </c>
      <c r="I430" s="440" t="s">
        <v>69</v>
      </c>
      <c r="J430" s="440"/>
      <c r="K430" s="439" t="s">
        <v>637</v>
      </c>
      <c r="L430" s="452"/>
      <c r="M430" s="448">
        <v>7.5</v>
      </c>
      <c r="N430" s="448" t="str">
        <f t="shared" si="94"/>
        <v/>
      </c>
      <c r="O430" s="448" t="str">
        <f t="shared" si="95"/>
        <v/>
      </c>
      <c r="P430" s="448" t="str">
        <f t="shared" si="96"/>
        <v/>
      </c>
      <c r="Q430" s="448" t="str">
        <f t="shared" si="97"/>
        <v/>
      </c>
      <c r="R430" s="448" t="str">
        <f t="shared" si="98"/>
        <v/>
      </c>
      <c r="S430" s="448" t="str">
        <f>IF(OR(A430="", B430=""), "", IF(H430="Sonstige Einnahmen", ABS(B430), ""))</f>
        <v/>
      </c>
      <c r="T430" s="448" t="str">
        <f t="shared" si="93"/>
        <v/>
      </c>
      <c r="U430" s="448" t="str">
        <f t="shared" si="99"/>
        <v/>
      </c>
      <c r="V430" s="448" t="str">
        <f t="shared" si="91"/>
        <v/>
      </c>
      <c r="W430" s="448" t="str">
        <f t="shared" si="100"/>
        <v/>
      </c>
      <c r="X430" s="448" t="str">
        <f t="shared" si="101"/>
        <v/>
      </c>
      <c r="Y430" s="448" t="str">
        <f t="shared" si="102"/>
        <v/>
      </c>
      <c r="Z430" s="449" t="str">
        <f t="shared" si="89"/>
        <v/>
      </c>
    </row>
    <row r="431" spans="1:26" x14ac:dyDescent="0.35">
      <c r="A431" s="441">
        <v>45965</v>
      </c>
      <c r="B431" s="447">
        <v>15</v>
      </c>
      <c r="C431" s="442" t="s">
        <v>592</v>
      </c>
      <c r="D431" s="442" t="s">
        <v>593</v>
      </c>
      <c r="E431" s="442" t="s">
        <v>649</v>
      </c>
      <c r="F431" s="442" t="s">
        <v>570</v>
      </c>
      <c r="G431" s="443" t="b">
        <f>IF(A431="","",IF(Daten!$AE$4=0,TRUE,MONTH(A431)=Daten!$AE$4))</f>
        <v>1</v>
      </c>
      <c r="H431" s="454" t="s">
        <v>415</v>
      </c>
      <c r="I431" s="443" t="s">
        <v>69</v>
      </c>
      <c r="J431" s="443"/>
      <c r="K431" s="442" t="s">
        <v>637</v>
      </c>
      <c r="L431" s="453"/>
      <c r="M431" s="450" t="str">
        <f t="shared" ref="M431:M438" si="103">IF(OR(A431="", B431=""), "", IF(H431="Mitgliedsbeiträge", ABS(B431), ""))</f>
        <v/>
      </c>
      <c r="N431" s="450" t="str">
        <f t="shared" si="94"/>
        <v/>
      </c>
      <c r="O431" s="450" t="str">
        <f t="shared" si="95"/>
        <v/>
      </c>
      <c r="P431" s="450" t="str">
        <f t="shared" si="96"/>
        <v/>
      </c>
      <c r="Q431" s="450" t="str">
        <f t="shared" si="97"/>
        <v/>
      </c>
      <c r="R431" s="450" t="str">
        <f t="shared" si="98"/>
        <v/>
      </c>
      <c r="S431" s="450">
        <v>15</v>
      </c>
      <c r="T431" s="450" t="str">
        <f t="shared" si="93"/>
        <v/>
      </c>
      <c r="U431" s="450" t="str">
        <f t="shared" si="99"/>
        <v/>
      </c>
      <c r="V431" s="450" t="str">
        <f t="shared" si="91"/>
        <v/>
      </c>
      <c r="W431" s="450" t="str">
        <f t="shared" si="100"/>
        <v/>
      </c>
      <c r="X431" s="450" t="str">
        <f t="shared" si="101"/>
        <v/>
      </c>
      <c r="Y431" s="450" t="str">
        <f t="shared" si="102"/>
        <v/>
      </c>
      <c r="Z431" s="451" t="str">
        <f t="shared" si="89"/>
        <v/>
      </c>
    </row>
    <row r="432" spans="1:26" ht="58" x14ac:dyDescent="0.35">
      <c r="A432" s="438">
        <v>45965</v>
      </c>
      <c r="B432" s="446">
        <v>15</v>
      </c>
      <c r="C432" s="439" t="s">
        <v>582</v>
      </c>
      <c r="D432" s="439" t="s">
        <v>583</v>
      </c>
      <c r="E432" s="439" t="s">
        <v>650</v>
      </c>
      <c r="F432" s="439" t="s">
        <v>570</v>
      </c>
      <c r="G432" s="440" t="b">
        <f>IF(A432="","",IF(Daten!$AE$4=0,TRUE,MONTH(A432)=Daten!$AE$4))</f>
        <v>1</v>
      </c>
      <c r="H432" s="455" t="s">
        <v>415</v>
      </c>
      <c r="I432" s="440" t="s">
        <v>69</v>
      </c>
      <c r="J432" s="440"/>
      <c r="K432" s="439" t="s">
        <v>637</v>
      </c>
      <c r="L432" s="452" t="s">
        <v>781</v>
      </c>
      <c r="M432" s="448" t="str">
        <f t="shared" si="103"/>
        <v/>
      </c>
      <c r="N432" s="448" t="str">
        <f t="shared" si="94"/>
        <v/>
      </c>
      <c r="O432" s="448" t="str">
        <f t="shared" si="95"/>
        <v/>
      </c>
      <c r="P432" s="448" t="str">
        <f t="shared" si="96"/>
        <v/>
      </c>
      <c r="Q432" s="448" t="str">
        <f t="shared" si="97"/>
        <v/>
      </c>
      <c r="R432" s="448" t="str">
        <f t="shared" si="98"/>
        <v/>
      </c>
      <c r="S432" s="448">
        <v>15</v>
      </c>
      <c r="T432" s="448" t="str">
        <f t="shared" si="93"/>
        <v/>
      </c>
      <c r="U432" s="448" t="str">
        <f t="shared" si="99"/>
        <v/>
      </c>
      <c r="V432" s="448" t="str">
        <f t="shared" si="91"/>
        <v/>
      </c>
      <c r="W432" s="448" t="str">
        <f t="shared" si="100"/>
        <v/>
      </c>
      <c r="X432" s="448" t="str">
        <f t="shared" si="101"/>
        <v/>
      </c>
      <c r="Y432" s="448" t="str">
        <f t="shared" si="102"/>
        <v/>
      </c>
      <c r="Z432" s="449" t="str">
        <f t="shared" si="89"/>
        <v/>
      </c>
    </row>
    <row r="433" spans="1:26" x14ac:dyDescent="0.35">
      <c r="A433" s="441">
        <v>45966</v>
      </c>
      <c r="B433" s="447">
        <v>15</v>
      </c>
      <c r="C433" s="442" t="s">
        <v>584</v>
      </c>
      <c r="D433" s="442" t="s">
        <v>585</v>
      </c>
      <c r="E433" s="442" t="s">
        <v>642</v>
      </c>
      <c r="F433" s="442" t="s">
        <v>570</v>
      </c>
      <c r="G433" s="443" t="b">
        <f>IF(A433="","",IF(Daten!$AE$4=0,TRUE,MONTH(A433)=Daten!$AE$4))</f>
        <v>1</v>
      </c>
      <c r="H433" s="454" t="s">
        <v>415</v>
      </c>
      <c r="I433" s="443" t="s">
        <v>69</v>
      </c>
      <c r="J433" s="443"/>
      <c r="K433" s="442" t="s">
        <v>637</v>
      </c>
      <c r="L433" s="453"/>
      <c r="M433" s="450" t="str">
        <f t="shared" si="103"/>
        <v/>
      </c>
      <c r="N433" s="450" t="str">
        <f t="shared" si="94"/>
        <v/>
      </c>
      <c r="O433" s="450" t="str">
        <f t="shared" si="95"/>
        <v/>
      </c>
      <c r="P433" s="450" t="str">
        <f t="shared" si="96"/>
        <v/>
      </c>
      <c r="Q433" s="450" t="str">
        <f t="shared" si="97"/>
        <v/>
      </c>
      <c r="R433" s="450" t="str">
        <f t="shared" si="98"/>
        <v/>
      </c>
      <c r="S433" s="450">
        <v>15</v>
      </c>
      <c r="T433" s="450" t="str">
        <f t="shared" si="93"/>
        <v/>
      </c>
      <c r="U433" s="450" t="str">
        <f t="shared" si="99"/>
        <v/>
      </c>
      <c r="V433" s="450" t="str">
        <f t="shared" si="91"/>
        <v/>
      </c>
      <c r="W433" s="450" t="str">
        <f t="shared" si="100"/>
        <v/>
      </c>
      <c r="X433" s="450" t="str">
        <f t="shared" si="101"/>
        <v/>
      </c>
      <c r="Y433" s="450" t="str">
        <f t="shared" si="102"/>
        <v/>
      </c>
      <c r="Z433" s="451" t="str">
        <f t="shared" si="89"/>
        <v/>
      </c>
    </row>
    <row r="434" spans="1:26" x14ac:dyDescent="0.35">
      <c r="A434" s="438">
        <v>45975</v>
      </c>
      <c r="B434" s="446">
        <v>-59.94</v>
      </c>
      <c r="C434" s="439" t="s">
        <v>579</v>
      </c>
      <c r="D434" s="439" t="s">
        <v>580</v>
      </c>
      <c r="E434" s="439" t="s">
        <v>668</v>
      </c>
      <c r="F434" s="439" t="s">
        <v>576</v>
      </c>
      <c r="G434" s="440" t="b">
        <f>IF(A434="","",IF(Daten!$AE$4=0,TRUE,MONTH(A434)=Daten!$AE$4))</f>
        <v>1</v>
      </c>
      <c r="H434" s="454" t="s">
        <v>389</v>
      </c>
      <c r="I434" s="440" t="s">
        <v>69</v>
      </c>
      <c r="J434" s="440"/>
      <c r="K434" s="439" t="s">
        <v>637</v>
      </c>
      <c r="L434" s="452"/>
      <c r="M434" s="448" t="str">
        <f t="shared" si="103"/>
        <v/>
      </c>
      <c r="N434" s="448" t="str">
        <f t="shared" si="94"/>
        <v/>
      </c>
      <c r="O434" s="448" t="str">
        <f t="shared" si="95"/>
        <v/>
      </c>
      <c r="P434" s="448" t="str">
        <f t="shared" si="96"/>
        <v/>
      </c>
      <c r="Q434" s="448" t="str">
        <f t="shared" si="97"/>
        <v/>
      </c>
      <c r="R434" s="448" t="str">
        <f t="shared" si="98"/>
        <v/>
      </c>
      <c r="S434" s="448" t="str">
        <f>IF(OR(A434="", B434=""), "", IF(H434="Sonstige Einnahmen", ABS(B434), ""))</f>
        <v/>
      </c>
      <c r="T434" s="448">
        <v>-59.94</v>
      </c>
      <c r="U434" s="448" t="str">
        <f t="shared" si="99"/>
        <v/>
      </c>
      <c r="V434" s="448" t="str">
        <f t="shared" si="91"/>
        <v/>
      </c>
      <c r="W434" s="448" t="str">
        <f t="shared" si="100"/>
        <v/>
      </c>
      <c r="X434" s="448" t="str">
        <f t="shared" si="101"/>
        <v/>
      </c>
      <c r="Y434" s="448" t="str">
        <f t="shared" si="102"/>
        <v/>
      </c>
      <c r="Z434" s="449" t="str">
        <f t="shared" ref="Z434:Z472" si="104">IF(OR(A434="", B434=""), "", IF(H434="Kasse-Auszahlung", ABS(B434), ""))</f>
        <v/>
      </c>
    </row>
    <row r="435" spans="1:26" x14ac:dyDescent="0.35">
      <c r="A435" s="441">
        <v>45978</v>
      </c>
      <c r="B435" s="447">
        <v>-138</v>
      </c>
      <c r="C435" s="442" t="s">
        <v>577</v>
      </c>
      <c r="D435" s="442" t="s">
        <v>578</v>
      </c>
      <c r="E435" s="442" t="s">
        <v>639</v>
      </c>
      <c r="F435" s="442" t="s">
        <v>576</v>
      </c>
      <c r="G435" s="443" t="b">
        <f>IF(A435="","",IF(Daten!$AE$4=0,TRUE,MONTH(A435)=Daten!$AE$4))</f>
        <v>1</v>
      </c>
      <c r="H435" s="454" t="s">
        <v>459</v>
      </c>
      <c r="I435" s="443" t="s">
        <v>69</v>
      </c>
      <c r="J435" s="443"/>
      <c r="K435" s="442" t="s">
        <v>637</v>
      </c>
      <c r="L435" s="453"/>
      <c r="M435" s="450" t="str">
        <f t="shared" si="103"/>
        <v/>
      </c>
      <c r="N435" s="450" t="str">
        <f t="shared" si="94"/>
        <v/>
      </c>
      <c r="O435" s="450" t="str">
        <f t="shared" si="95"/>
        <v/>
      </c>
      <c r="P435" s="450" t="str">
        <f t="shared" si="96"/>
        <v/>
      </c>
      <c r="Q435" s="450" t="str">
        <f t="shared" si="97"/>
        <v/>
      </c>
      <c r="R435" s="450" t="str">
        <f t="shared" si="98"/>
        <v/>
      </c>
      <c r="S435" s="450" t="str">
        <f>IF(OR(A435="", B435=""), "", IF(H435="Sonstige Einnahmen", ABS(B435), ""))</f>
        <v/>
      </c>
      <c r="T435" s="450">
        <v>-138</v>
      </c>
      <c r="U435" s="450" t="str">
        <f t="shared" si="99"/>
        <v/>
      </c>
      <c r="V435" s="450" t="str">
        <f t="shared" si="91"/>
        <v/>
      </c>
      <c r="W435" s="450" t="str">
        <f t="shared" si="100"/>
        <v/>
      </c>
      <c r="X435" s="450" t="str">
        <f t="shared" si="101"/>
        <v/>
      </c>
      <c r="Y435" s="450" t="str">
        <f t="shared" si="102"/>
        <v/>
      </c>
      <c r="Z435" s="451" t="str">
        <f t="shared" si="104"/>
        <v/>
      </c>
    </row>
    <row r="436" spans="1:26" x14ac:dyDescent="0.35">
      <c r="A436" s="438">
        <v>45979</v>
      </c>
      <c r="B436" s="446">
        <v>15</v>
      </c>
      <c r="C436" s="439" t="s">
        <v>571</v>
      </c>
      <c r="D436" s="439" t="s">
        <v>572</v>
      </c>
      <c r="E436" s="439" t="s">
        <v>636</v>
      </c>
      <c r="F436" s="439" t="s">
        <v>570</v>
      </c>
      <c r="G436" s="440" t="b">
        <f>IF(A436="","",IF(Daten!$AE$4=0,TRUE,MONTH(A436)=Daten!$AE$4))</f>
        <v>1</v>
      </c>
      <c r="H436" s="454" t="s">
        <v>415</v>
      </c>
      <c r="I436" s="440" t="s">
        <v>69</v>
      </c>
      <c r="J436" s="440"/>
      <c r="K436" s="439" t="s">
        <v>637</v>
      </c>
      <c r="L436" s="452"/>
      <c r="M436" s="448" t="str">
        <f t="shared" si="103"/>
        <v/>
      </c>
      <c r="N436" s="448" t="str">
        <f t="shared" si="94"/>
        <v/>
      </c>
      <c r="O436" s="448" t="str">
        <f t="shared" si="95"/>
        <v/>
      </c>
      <c r="P436" s="448" t="str">
        <f t="shared" si="96"/>
        <v/>
      </c>
      <c r="Q436" s="448" t="str">
        <f t="shared" si="97"/>
        <v/>
      </c>
      <c r="R436" s="448" t="str">
        <f t="shared" si="98"/>
        <v/>
      </c>
      <c r="S436" s="448">
        <v>15</v>
      </c>
      <c r="T436" s="448" t="str">
        <f>IF(OR(A436="", B436=""), "", IF(H436="Unterhaltung", ABS(B436), ""))</f>
        <v/>
      </c>
      <c r="U436" s="448" t="str">
        <f t="shared" si="99"/>
        <v/>
      </c>
      <c r="V436" s="448" t="str">
        <f t="shared" si="91"/>
        <v/>
      </c>
      <c r="W436" s="448" t="str">
        <f t="shared" si="100"/>
        <v/>
      </c>
      <c r="X436" s="448" t="str">
        <f t="shared" si="101"/>
        <v/>
      </c>
      <c r="Y436" s="448" t="str">
        <f t="shared" si="102"/>
        <v/>
      </c>
      <c r="Z436" s="449" t="str">
        <f t="shared" si="104"/>
        <v/>
      </c>
    </row>
    <row r="437" spans="1:26" x14ac:dyDescent="0.35">
      <c r="A437" s="441">
        <v>45981</v>
      </c>
      <c r="B437" s="447">
        <v>-969.43</v>
      </c>
      <c r="C437" s="442" t="s">
        <v>587</v>
      </c>
      <c r="D437" s="442" t="s">
        <v>588</v>
      </c>
      <c r="E437" s="442" t="s">
        <v>667</v>
      </c>
      <c r="F437" s="442" t="s">
        <v>576</v>
      </c>
      <c r="G437" s="443" t="b">
        <f>IF(A437="","",IF(Daten!$AE$4=0,TRUE,MONTH(A437)=Daten!$AE$4))</f>
        <v>1</v>
      </c>
      <c r="H437" s="454" t="s">
        <v>451</v>
      </c>
      <c r="I437" s="443" t="s">
        <v>69</v>
      </c>
      <c r="J437" s="443"/>
      <c r="K437" s="442" t="s">
        <v>637</v>
      </c>
      <c r="L437" s="453"/>
      <c r="M437" s="450" t="str">
        <f t="shared" si="103"/>
        <v/>
      </c>
      <c r="N437" s="450" t="str">
        <f t="shared" si="94"/>
        <v/>
      </c>
      <c r="O437" s="450" t="str">
        <f t="shared" si="95"/>
        <v/>
      </c>
      <c r="P437" s="450" t="str">
        <f t="shared" si="96"/>
        <v/>
      </c>
      <c r="Q437" s="450" t="str">
        <f t="shared" si="97"/>
        <v/>
      </c>
      <c r="R437" s="450" t="str">
        <f t="shared" si="98"/>
        <v/>
      </c>
      <c r="S437" s="450" t="str">
        <f>IF(OR(A437="", B437=""), "", IF(H437="Sonstige Einnahmen", ABS(B437), ""))</f>
        <v/>
      </c>
      <c r="T437" s="450">
        <v>-969.43</v>
      </c>
      <c r="U437" s="450" t="str">
        <f t="shared" si="99"/>
        <v/>
      </c>
      <c r="V437" s="450" t="str">
        <f t="shared" si="91"/>
        <v/>
      </c>
      <c r="W437" s="450" t="str">
        <f t="shared" si="100"/>
        <v/>
      </c>
      <c r="X437" s="450" t="str">
        <f t="shared" si="101"/>
        <v/>
      </c>
      <c r="Y437" s="450" t="str">
        <f t="shared" si="102"/>
        <v/>
      </c>
      <c r="Z437" s="451" t="str">
        <f t="shared" si="104"/>
        <v/>
      </c>
    </row>
    <row r="438" spans="1:26" x14ac:dyDescent="0.35">
      <c r="A438" s="438">
        <v>45986</v>
      </c>
      <c r="B438" s="446">
        <v>15</v>
      </c>
      <c r="C438" s="439" t="s">
        <v>603</v>
      </c>
      <c r="D438" s="439" t="s">
        <v>604</v>
      </c>
      <c r="E438" s="439" t="s">
        <v>666</v>
      </c>
      <c r="F438" s="439" t="s">
        <v>570</v>
      </c>
      <c r="G438" s="440" t="b">
        <f>IF(A438="","",IF(Daten!$AE$4=0,TRUE,MONTH(A438)=Daten!$AE$4))</f>
        <v>1</v>
      </c>
      <c r="H438" s="454" t="s">
        <v>415</v>
      </c>
      <c r="I438" s="440" t="s">
        <v>69</v>
      </c>
      <c r="J438" s="440"/>
      <c r="K438" s="439" t="s">
        <v>637</v>
      </c>
      <c r="L438" s="452"/>
      <c r="M438" s="448" t="str">
        <f t="shared" si="103"/>
        <v/>
      </c>
      <c r="N438" s="448" t="str">
        <f t="shared" si="94"/>
        <v/>
      </c>
      <c r="O438" s="448" t="str">
        <f t="shared" si="95"/>
        <v/>
      </c>
      <c r="P438" s="448" t="str">
        <f t="shared" si="96"/>
        <v/>
      </c>
      <c r="Q438" s="448" t="str">
        <f t="shared" si="97"/>
        <v/>
      </c>
      <c r="R438" s="448" t="str">
        <f t="shared" si="98"/>
        <v/>
      </c>
      <c r="S438" s="448">
        <v>15</v>
      </c>
      <c r="T438" s="448" t="str">
        <f t="shared" ref="T438:T465" si="105">IF(OR(A438="", B438=""), "", IF(H438="Unterhaltung", ABS(B438), ""))</f>
        <v/>
      </c>
      <c r="U438" s="448" t="str">
        <f t="shared" si="99"/>
        <v/>
      </c>
      <c r="V438" s="448" t="str">
        <f t="shared" si="91"/>
        <v/>
      </c>
      <c r="W438" s="448" t="str">
        <f t="shared" si="100"/>
        <v/>
      </c>
      <c r="X438" s="448" t="str">
        <f t="shared" si="101"/>
        <v/>
      </c>
      <c r="Y438" s="448" t="str">
        <f t="shared" si="102"/>
        <v/>
      </c>
      <c r="Z438" s="449" t="str">
        <f t="shared" si="104"/>
        <v/>
      </c>
    </row>
    <row r="439" spans="1:26" x14ac:dyDescent="0.35">
      <c r="A439" s="441">
        <v>45987</v>
      </c>
      <c r="B439" s="447">
        <v>7.5</v>
      </c>
      <c r="C439" s="442" t="s">
        <v>609</v>
      </c>
      <c r="D439" s="442" t="s">
        <v>610</v>
      </c>
      <c r="E439" s="442" t="s">
        <v>665</v>
      </c>
      <c r="F439" s="442" t="s">
        <v>570</v>
      </c>
      <c r="G439" s="443" t="b">
        <f>IF(A439="","",IF(Daten!$AE$4=0,TRUE,MONTH(A439)=Daten!$AE$4))</f>
        <v>1</v>
      </c>
      <c r="H439" s="454" t="s">
        <v>306</v>
      </c>
      <c r="I439" s="443" t="s">
        <v>69</v>
      </c>
      <c r="J439" s="443"/>
      <c r="K439" s="442" t="s">
        <v>637</v>
      </c>
      <c r="L439" s="453"/>
      <c r="M439" s="450">
        <v>7.5</v>
      </c>
      <c r="N439" s="450" t="str">
        <f t="shared" si="94"/>
        <v/>
      </c>
      <c r="O439" s="450" t="str">
        <f t="shared" si="95"/>
        <v/>
      </c>
      <c r="P439" s="450" t="str">
        <f t="shared" si="96"/>
        <v/>
      </c>
      <c r="Q439" s="450" t="str">
        <f t="shared" si="97"/>
        <v/>
      </c>
      <c r="R439" s="450" t="str">
        <f t="shared" si="98"/>
        <v/>
      </c>
      <c r="S439" s="450" t="str">
        <f>IF(OR(A439="", B439=""), "", IF(H439="Sonstige Einnahmen", ABS(B439), ""))</f>
        <v/>
      </c>
      <c r="T439" s="450" t="str">
        <f t="shared" si="105"/>
        <v/>
      </c>
      <c r="U439" s="450" t="str">
        <f t="shared" si="99"/>
        <v/>
      </c>
      <c r="V439" s="450" t="str">
        <f t="shared" si="91"/>
        <v/>
      </c>
      <c r="W439" s="450" t="str">
        <f t="shared" si="100"/>
        <v/>
      </c>
      <c r="X439" s="450" t="str">
        <f t="shared" si="101"/>
        <v/>
      </c>
      <c r="Y439" s="450" t="str">
        <f t="shared" si="102"/>
        <v/>
      </c>
      <c r="Z439" s="451" t="str">
        <f t="shared" si="104"/>
        <v/>
      </c>
    </row>
    <row r="440" spans="1:26" x14ac:dyDescent="0.35">
      <c r="A440" s="438">
        <v>45988</v>
      </c>
      <c r="B440" s="446">
        <v>7.5</v>
      </c>
      <c r="C440" s="439" t="s">
        <v>603</v>
      </c>
      <c r="D440" s="439" t="s">
        <v>604</v>
      </c>
      <c r="E440" s="439" t="s">
        <v>664</v>
      </c>
      <c r="F440" s="439" t="s">
        <v>570</v>
      </c>
      <c r="G440" s="440" t="b">
        <f>IF(A440="","",IF(Daten!$AE$4=0,TRUE,MONTH(A440)=Daten!$AE$4))</f>
        <v>1</v>
      </c>
      <c r="H440" s="454" t="s">
        <v>306</v>
      </c>
      <c r="I440" s="440" t="s">
        <v>69</v>
      </c>
      <c r="J440" s="440"/>
      <c r="K440" s="439" t="s">
        <v>637</v>
      </c>
      <c r="L440" s="452"/>
      <c r="M440" s="448">
        <v>7.5</v>
      </c>
      <c r="N440" s="448" t="str">
        <f t="shared" si="94"/>
        <v/>
      </c>
      <c r="O440" s="448" t="str">
        <f t="shared" si="95"/>
        <v/>
      </c>
      <c r="P440" s="448" t="str">
        <f t="shared" si="96"/>
        <v/>
      </c>
      <c r="Q440" s="448" t="str">
        <f t="shared" si="97"/>
        <v/>
      </c>
      <c r="R440" s="448" t="str">
        <f t="shared" si="98"/>
        <v/>
      </c>
      <c r="S440" s="448" t="str">
        <f>IF(OR(A440="", B440=""), "", IF(H440="Sonstige Einnahmen", ABS(B440), ""))</f>
        <v/>
      </c>
      <c r="T440" s="448" t="str">
        <f t="shared" si="105"/>
        <v/>
      </c>
      <c r="U440" s="448" t="str">
        <f t="shared" si="99"/>
        <v/>
      </c>
      <c r="V440" s="448" t="str">
        <f t="shared" si="91"/>
        <v/>
      </c>
      <c r="W440" s="448" t="str">
        <f t="shared" si="100"/>
        <v/>
      </c>
      <c r="X440" s="448" t="str">
        <f t="shared" si="101"/>
        <v/>
      </c>
      <c r="Y440" s="448" t="str">
        <f t="shared" si="102"/>
        <v/>
      </c>
      <c r="Z440" s="449" t="str">
        <f t="shared" si="104"/>
        <v/>
      </c>
    </row>
    <row r="441" spans="1:26" x14ac:dyDescent="0.35">
      <c r="A441" s="441">
        <v>45992</v>
      </c>
      <c r="B441" s="447">
        <v>15</v>
      </c>
      <c r="C441" s="442" t="s">
        <v>584</v>
      </c>
      <c r="D441" s="442" t="s">
        <v>585</v>
      </c>
      <c r="E441" s="442" t="s">
        <v>655</v>
      </c>
      <c r="F441" s="442" t="s">
        <v>570</v>
      </c>
      <c r="G441" s="443" t="b">
        <f>IF(A441="","",IF(Daten!$AE$4=0,TRUE,MONTH(A441)=Daten!$AE$4))</f>
        <v>1</v>
      </c>
      <c r="H441" s="454" t="s">
        <v>306</v>
      </c>
      <c r="I441" s="443" t="s">
        <v>68</v>
      </c>
      <c r="J441" s="443"/>
      <c r="K441" s="442" t="s">
        <v>637</v>
      </c>
      <c r="L441" s="453"/>
      <c r="M441" s="450">
        <v>15</v>
      </c>
      <c r="N441" s="450" t="str">
        <f t="shared" si="94"/>
        <v/>
      </c>
      <c r="O441" s="450" t="str">
        <f t="shared" si="95"/>
        <v/>
      </c>
      <c r="P441" s="450" t="str">
        <f t="shared" si="96"/>
        <v/>
      </c>
      <c r="Q441" s="450" t="str">
        <f t="shared" si="97"/>
        <v/>
      </c>
      <c r="R441" s="450" t="str">
        <f t="shared" si="98"/>
        <v/>
      </c>
      <c r="S441" s="450" t="str">
        <f>IF(OR(A441="", B441=""), "", IF(H441="Sonstige Einnahmen", ABS(B441), ""))</f>
        <v/>
      </c>
      <c r="T441" s="450" t="str">
        <f t="shared" si="105"/>
        <v/>
      </c>
      <c r="U441" s="450" t="str">
        <f t="shared" si="99"/>
        <v/>
      </c>
      <c r="V441" s="450" t="str">
        <f t="shared" si="91"/>
        <v/>
      </c>
      <c r="W441" s="450" t="str">
        <f t="shared" si="100"/>
        <v/>
      </c>
      <c r="X441" s="450" t="str">
        <f t="shared" si="101"/>
        <v/>
      </c>
      <c r="Y441" s="450" t="str">
        <f t="shared" si="102"/>
        <v/>
      </c>
      <c r="Z441" s="451" t="str">
        <f t="shared" si="104"/>
        <v/>
      </c>
    </row>
    <row r="442" spans="1:26" x14ac:dyDescent="0.35">
      <c r="A442" s="438">
        <v>45992</v>
      </c>
      <c r="B442" s="446">
        <v>15</v>
      </c>
      <c r="C442" s="439" t="s">
        <v>600</v>
      </c>
      <c r="D442" s="439" t="s">
        <v>601</v>
      </c>
      <c r="E442" s="439" t="s">
        <v>306</v>
      </c>
      <c r="F442" s="439" t="s">
        <v>599</v>
      </c>
      <c r="G442" s="440" t="b">
        <f>IF(A442="","",IF(Daten!$AE$4=0,TRUE,MONTH(A442)=Daten!$AE$4))</f>
        <v>1</v>
      </c>
      <c r="H442" s="454" t="s">
        <v>306</v>
      </c>
      <c r="I442" s="440" t="s">
        <v>68</v>
      </c>
      <c r="J442" s="440"/>
      <c r="K442" s="439" t="s">
        <v>637</v>
      </c>
      <c r="L442" s="452"/>
      <c r="M442" s="448">
        <v>15</v>
      </c>
      <c r="N442" s="448" t="str">
        <f t="shared" si="94"/>
        <v/>
      </c>
      <c r="O442" s="448" t="str">
        <f t="shared" si="95"/>
        <v/>
      </c>
      <c r="P442" s="448" t="str">
        <f t="shared" si="96"/>
        <v/>
      </c>
      <c r="Q442" s="448" t="str">
        <f t="shared" si="97"/>
        <v/>
      </c>
      <c r="R442" s="448" t="str">
        <f t="shared" si="98"/>
        <v/>
      </c>
      <c r="S442" s="448" t="str">
        <f>IF(OR(A442="", B442=""), "", IF(H442="Sonstige Einnahmen", ABS(B442), ""))</f>
        <v/>
      </c>
      <c r="T442" s="448" t="str">
        <f t="shared" si="105"/>
        <v/>
      </c>
      <c r="U442" s="448" t="str">
        <f t="shared" si="99"/>
        <v/>
      </c>
      <c r="V442" s="448" t="str">
        <f t="shared" si="91"/>
        <v/>
      </c>
      <c r="W442" s="448" t="str">
        <f t="shared" si="100"/>
        <v/>
      </c>
      <c r="X442" s="448" t="str">
        <f t="shared" si="101"/>
        <v/>
      </c>
      <c r="Y442" s="448" t="str">
        <f t="shared" si="102"/>
        <v/>
      </c>
      <c r="Z442" s="449" t="str">
        <f t="shared" si="104"/>
        <v/>
      </c>
    </row>
    <row r="443" spans="1:26" x14ac:dyDescent="0.35">
      <c r="A443" s="441">
        <v>45992</v>
      </c>
      <c r="B443" s="447">
        <v>15</v>
      </c>
      <c r="C443" s="442" t="s">
        <v>600</v>
      </c>
      <c r="D443" s="442" t="s">
        <v>601</v>
      </c>
      <c r="E443" s="442" t="s">
        <v>385</v>
      </c>
      <c r="F443" s="442" t="s">
        <v>599</v>
      </c>
      <c r="G443" s="443" t="b">
        <f>IF(A443="","",IF(Daten!$AE$4=0,TRUE,MONTH(A443)=Daten!$AE$4))</f>
        <v>1</v>
      </c>
      <c r="H443" s="454" t="s">
        <v>415</v>
      </c>
      <c r="I443" s="443" t="s">
        <v>68</v>
      </c>
      <c r="J443" s="443"/>
      <c r="K443" s="442" t="s">
        <v>637</v>
      </c>
      <c r="L443" s="453"/>
      <c r="M443" s="450" t="str">
        <f>IF(OR(A443="", B443=""), "", IF(H443="Mitgliedsbeiträge", ABS(B443), ""))</f>
        <v/>
      </c>
      <c r="N443" s="450" t="str">
        <f t="shared" si="94"/>
        <v/>
      </c>
      <c r="O443" s="450" t="str">
        <f t="shared" si="95"/>
        <v/>
      </c>
      <c r="P443" s="450" t="str">
        <f t="shared" si="96"/>
        <v/>
      </c>
      <c r="Q443" s="450" t="str">
        <f t="shared" si="97"/>
        <v/>
      </c>
      <c r="R443" s="450" t="str">
        <f t="shared" si="98"/>
        <v/>
      </c>
      <c r="S443" s="450">
        <v>15</v>
      </c>
      <c r="T443" s="450" t="str">
        <f t="shared" si="105"/>
        <v/>
      </c>
      <c r="U443" s="450" t="str">
        <f t="shared" si="99"/>
        <v/>
      </c>
      <c r="V443" s="450" t="str">
        <f t="shared" si="91"/>
        <v/>
      </c>
      <c r="W443" s="450" t="str">
        <f t="shared" si="100"/>
        <v/>
      </c>
      <c r="X443" s="450" t="str">
        <f t="shared" si="101"/>
        <v/>
      </c>
      <c r="Y443" s="450" t="str">
        <f t="shared" si="102"/>
        <v/>
      </c>
      <c r="Z443" s="451" t="str">
        <f t="shared" si="104"/>
        <v/>
      </c>
    </row>
    <row r="444" spans="1:26" x14ac:dyDescent="0.35">
      <c r="A444" s="438">
        <v>45992</v>
      </c>
      <c r="B444" s="446">
        <v>15</v>
      </c>
      <c r="C444" s="439" t="s">
        <v>595</v>
      </c>
      <c r="D444" s="439" t="s">
        <v>596</v>
      </c>
      <c r="E444" s="439" t="s">
        <v>656</v>
      </c>
      <c r="F444" s="439" t="s">
        <v>570</v>
      </c>
      <c r="G444" s="440" t="b">
        <f>IF(A444="","",IF(Daten!$AE$4=0,TRUE,MONTH(A444)=Daten!$AE$4))</f>
        <v>1</v>
      </c>
      <c r="H444" s="454" t="s">
        <v>306</v>
      </c>
      <c r="I444" s="440" t="s">
        <v>68</v>
      </c>
      <c r="J444" s="440"/>
      <c r="K444" s="439" t="s">
        <v>637</v>
      </c>
      <c r="L444" s="452"/>
      <c r="M444" s="448">
        <v>15</v>
      </c>
      <c r="N444" s="448" t="str">
        <f t="shared" si="94"/>
        <v/>
      </c>
      <c r="O444" s="448" t="str">
        <f t="shared" si="95"/>
        <v/>
      </c>
      <c r="P444" s="448" t="str">
        <f t="shared" si="96"/>
        <v/>
      </c>
      <c r="Q444" s="448" t="str">
        <f t="shared" si="97"/>
        <v/>
      </c>
      <c r="R444" s="448" t="str">
        <f t="shared" si="98"/>
        <v/>
      </c>
      <c r="S444" s="448" t="str">
        <f>IF(OR(A444="", B444=""), "", IF(H444="Sonstige Einnahmen", ABS(B444), ""))</f>
        <v/>
      </c>
      <c r="T444" s="448" t="str">
        <f t="shared" si="105"/>
        <v/>
      </c>
      <c r="U444" s="448" t="str">
        <f t="shared" si="99"/>
        <v/>
      </c>
      <c r="V444" s="448" t="str">
        <f t="shared" si="91"/>
        <v/>
      </c>
      <c r="W444" s="448" t="str">
        <f t="shared" si="100"/>
        <v/>
      </c>
      <c r="X444" s="448" t="str">
        <f t="shared" si="101"/>
        <v/>
      </c>
      <c r="Y444" s="448" t="str">
        <f t="shared" si="102"/>
        <v/>
      </c>
      <c r="Z444" s="449" t="str">
        <f t="shared" si="104"/>
        <v/>
      </c>
    </row>
    <row r="445" spans="1:26" x14ac:dyDescent="0.35">
      <c r="A445" s="441">
        <v>45992</v>
      </c>
      <c r="B445" s="447">
        <v>7.5</v>
      </c>
      <c r="C445" s="442" t="s">
        <v>56</v>
      </c>
      <c r="D445" s="442" t="s">
        <v>602</v>
      </c>
      <c r="E445" s="442" t="s">
        <v>386</v>
      </c>
      <c r="F445" s="442" t="s">
        <v>570</v>
      </c>
      <c r="G445" s="443" t="b">
        <f>IF(A445="","",IF(Daten!$AE$4=0,TRUE,MONTH(A445)=Daten!$AE$4))</f>
        <v>1</v>
      </c>
      <c r="H445" s="454" t="s">
        <v>306</v>
      </c>
      <c r="I445" s="443" t="s">
        <v>68</v>
      </c>
      <c r="J445" s="443"/>
      <c r="K445" s="442" t="s">
        <v>637</v>
      </c>
      <c r="L445" s="453"/>
      <c r="M445" s="450">
        <v>7.5</v>
      </c>
      <c r="N445" s="450" t="str">
        <f t="shared" si="94"/>
        <v/>
      </c>
      <c r="O445" s="450" t="str">
        <f t="shared" si="95"/>
        <v/>
      </c>
      <c r="P445" s="450" t="str">
        <f t="shared" si="96"/>
        <v/>
      </c>
      <c r="Q445" s="450" t="str">
        <f t="shared" si="97"/>
        <v/>
      </c>
      <c r="R445" s="450" t="str">
        <f t="shared" si="98"/>
        <v/>
      </c>
      <c r="S445" s="450" t="str">
        <f>IF(OR(A445="", B445=""), "", IF(H445="Sonstige Einnahmen", ABS(B445), ""))</f>
        <v/>
      </c>
      <c r="T445" s="450" t="str">
        <f t="shared" si="105"/>
        <v/>
      </c>
      <c r="U445" s="450" t="str">
        <f t="shared" si="99"/>
        <v/>
      </c>
      <c r="V445" s="450" t="str">
        <f t="shared" si="91"/>
        <v/>
      </c>
      <c r="W445" s="450" t="str">
        <f t="shared" si="100"/>
        <v/>
      </c>
      <c r="X445" s="450" t="str">
        <f t="shared" si="101"/>
        <v/>
      </c>
      <c r="Y445" s="450" t="str">
        <f t="shared" si="102"/>
        <v/>
      </c>
      <c r="Z445" s="451" t="str">
        <f t="shared" si="104"/>
        <v/>
      </c>
    </row>
    <row r="446" spans="1:26" x14ac:dyDescent="0.35">
      <c r="A446" s="438">
        <v>45992</v>
      </c>
      <c r="B446" s="446">
        <v>15</v>
      </c>
      <c r="C446" s="439" t="s">
        <v>597</v>
      </c>
      <c r="D446" s="439" t="s">
        <v>598</v>
      </c>
      <c r="E446" s="439" t="s">
        <v>306</v>
      </c>
      <c r="F446" s="439" t="s">
        <v>570</v>
      </c>
      <c r="G446" s="440" t="b">
        <f>IF(A446="","",IF(Daten!$AE$4=0,TRUE,MONTH(A446)=Daten!$AE$4))</f>
        <v>1</v>
      </c>
      <c r="H446" s="454" t="s">
        <v>306</v>
      </c>
      <c r="I446" s="440" t="s">
        <v>68</v>
      </c>
      <c r="J446" s="440"/>
      <c r="K446" s="439" t="s">
        <v>637</v>
      </c>
      <c r="L446" s="452"/>
      <c r="M446" s="448">
        <v>15</v>
      </c>
      <c r="N446" s="448" t="str">
        <f t="shared" si="94"/>
        <v/>
      </c>
      <c r="O446" s="448" t="str">
        <f t="shared" si="95"/>
        <v/>
      </c>
      <c r="P446" s="448" t="str">
        <f t="shared" si="96"/>
        <v/>
      </c>
      <c r="Q446" s="448" t="str">
        <f t="shared" si="97"/>
        <v/>
      </c>
      <c r="R446" s="448" t="str">
        <f t="shared" si="98"/>
        <v/>
      </c>
      <c r="S446" s="448" t="str">
        <f>IF(OR(A446="", B446=""), "", IF(H446="Sonstige Einnahmen", ABS(B446), ""))</f>
        <v/>
      </c>
      <c r="T446" s="448" t="str">
        <f t="shared" si="105"/>
        <v/>
      </c>
      <c r="U446" s="448" t="str">
        <f t="shared" si="99"/>
        <v/>
      </c>
      <c r="V446" s="448" t="str">
        <f t="shared" si="91"/>
        <v/>
      </c>
      <c r="W446" s="448" t="str">
        <f t="shared" si="100"/>
        <v/>
      </c>
      <c r="X446" s="448" t="str">
        <f t="shared" si="101"/>
        <v/>
      </c>
      <c r="Y446" s="448" t="str">
        <f t="shared" si="102"/>
        <v/>
      </c>
      <c r="Z446" s="449" t="str">
        <f t="shared" si="104"/>
        <v/>
      </c>
    </row>
    <row r="447" spans="1:26" ht="58" x14ac:dyDescent="0.35">
      <c r="A447" s="441">
        <v>45992</v>
      </c>
      <c r="B447" s="447">
        <v>15</v>
      </c>
      <c r="C447" s="442" t="s">
        <v>56</v>
      </c>
      <c r="D447" s="442" t="s">
        <v>602</v>
      </c>
      <c r="E447" s="442" t="s">
        <v>657</v>
      </c>
      <c r="F447" s="442" t="s">
        <v>570</v>
      </c>
      <c r="G447" s="443" t="b">
        <f>IF(A447="","",IF(Daten!$AE$4=0,TRUE,MONTH(A447)=Daten!$AE$4))</f>
        <v>1</v>
      </c>
      <c r="H447" s="455" t="s">
        <v>463</v>
      </c>
      <c r="I447" s="443" t="s">
        <v>68</v>
      </c>
      <c r="J447" s="443"/>
      <c r="K447" s="442" t="s">
        <v>637</v>
      </c>
      <c r="L447" s="453" t="s">
        <v>781</v>
      </c>
      <c r="M447" s="450" t="str">
        <f>IF(OR(A447="", B447=""), "", IF(H447="Mitgliedsbeiträge", ABS(B447), ""))</f>
        <v/>
      </c>
      <c r="N447" s="450" t="str">
        <f t="shared" si="94"/>
        <v/>
      </c>
      <c r="O447" s="450" t="str">
        <f t="shared" si="95"/>
        <v/>
      </c>
      <c r="P447" s="450" t="str">
        <f t="shared" si="96"/>
        <v/>
      </c>
      <c r="Q447" s="450" t="str">
        <f t="shared" si="97"/>
        <v/>
      </c>
      <c r="R447" s="450" t="str">
        <f t="shared" si="98"/>
        <v/>
      </c>
      <c r="S447" s="450">
        <v>15</v>
      </c>
      <c r="T447" s="450" t="str">
        <f t="shared" si="105"/>
        <v/>
      </c>
      <c r="U447" s="450" t="str">
        <f t="shared" si="99"/>
        <v/>
      </c>
      <c r="V447" s="450" t="str">
        <f t="shared" si="91"/>
        <v/>
      </c>
      <c r="W447" s="450" t="str">
        <f t="shared" si="100"/>
        <v/>
      </c>
      <c r="X447" s="450" t="str">
        <f t="shared" si="101"/>
        <v/>
      </c>
      <c r="Y447" s="450" t="str">
        <f t="shared" si="102"/>
        <v/>
      </c>
      <c r="Z447" s="451" t="str">
        <f t="shared" si="104"/>
        <v/>
      </c>
    </row>
    <row r="448" spans="1:26" x14ac:dyDescent="0.35">
      <c r="A448" s="438">
        <v>45992</v>
      </c>
      <c r="B448" s="446">
        <v>120</v>
      </c>
      <c r="C448" s="439" t="s">
        <v>603</v>
      </c>
      <c r="D448" s="439" t="s">
        <v>604</v>
      </c>
      <c r="E448" s="439" t="s">
        <v>658</v>
      </c>
      <c r="F448" s="439" t="s">
        <v>570</v>
      </c>
      <c r="G448" s="440" t="b">
        <f>IF(A448="","",IF(Daten!$AE$4=0,TRUE,MONTH(A448)=Daten!$AE$4))</f>
        <v>1</v>
      </c>
      <c r="H448" s="454" t="s">
        <v>425</v>
      </c>
      <c r="I448" s="440" t="s">
        <v>68</v>
      </c>
      <c r="J448" s="440"/>
      <c r="K448" s="439" t="s">
        <v>637</v>
      </c>
      <c r="L448" s="452"/>
      <c r="M448" s="448" t="str">
        <f>IF(OR(A448="", B448=""), "", IF(H448="Mitgliedsbeiträge", ABS(B448), ""))</f>
        <v/>
      </c>
      <c r="N448" s="448" t="str">
        <f t="shared" si="94"/>
        <v/>
      </c>
      <c r="O448" s="448" t="str">
        <f t="shared" si="95"/>
        <v/>
      </c>
      <c r="P448" s="448" t="str">
        <f t="shared" si="96"/>
        <v/>
      </c>
      <c r="Q448" s="448" t="str">
        <f t="shared" si="97"/>
        <v/>
      </c>
      <c r="R448" s="448" t="str">
        <f t="shared" si="98"/>
        <v/>
      </c>
      <c r="S448" s="448">
        <v>120</v>
      </c>
      <c r="T448" s="448" t="str">
        <f t="shared" si="105"/>
        <v/>
      </c>
      <c r="U448" s="448" t="str">
        <f t="shared" si="99"/>
        <v/>
      </c>
      <c r="V448" s="448" t="str">
        <f t="shared" si="91"/>
        <v/>
      </c>
      <c r="W448" s="448" t="str">
        <f t="shared" si="100"/>
        <v/>
      </c>
      <c r="X448" s="448" t="str">
        <f t="shared" si="101"/>
        <v/>
      </c>
      <c r="Y448" s="448" t="str">
        <f t="shared" si="102"/>
        <v/>
      </c>
      <c r="Z448" s="449" t="str">
        <f t="shared" si="104"/>
        <v/>
      </c>
    </row>
    <row r="449" spans="1:26" x14ac:dyDescent="0.35">
      <c r="A449" s="441">
        <v>45992</v>
      </c>
      <c r="B449" s="447">
        <v>15</v>
      </c>
      <c r="C449" s="442" t="s">
        <v>590</v>
      </c>
      <c r="D449" s="442" t="s">
        <v>591</v>
      </c>
      <c r="E449" s="442" t="s">
        <v>659</v>
      </c>
      <c r="F449" s="442" t="s">
        <v>570</v>
      </c>
      <c r="G449" s="443" t="b">
        <f>IF(A449="","",IF(Daten!$AE$4=0,TRUE,MONTH(A449)=Daten!$AE$4))</f>
        <v>1</v>
      </c>
      <c r="H449" s="454" t="s">
        <v>415</v>
      </c>
      <c r="I449" s="443" t="s">
        <v>68</v>
      </c>
      <c r="J449" s="443"/>
      <c r="K449" s="442" t="s">
        <v>637</v>
      </c>
      <c r="L449" s="453"/>
      <c r="M449" s="450" t="str">
        <f>IF(OR(A449="", B449=""), "", IF(H449="Mitgliedsbeiträge", ABS(B449), ""))</f>
        <v/>
      </c>
      <c r="N449" s="450" t="str">
        <f t="shared" si="94"/>
        <v/>
      </c>
      <c r="O449" s="450" t="str">
        <f t="shared" si="95"/>
        <v/>
      </c>
      <c r="P449" s="450" t="str">
        <f t="shared" si="96"/>
        <v/>
      </c>
      <c r="Q449" s="450" t="str">
        <f t="shared" si="97"/>
        <v/>
      </c>
      <c r="R449" s="450" t="str">
        <f t="shared" si="98"/>
        <v/>
      </c>
      <c r="S449" s="450">
        <v>15</v>
      </c>
      <c r="T449" s="450" t="str">
        <f t="shared" si="105"/>
        <v/>
      </c>
      <c r="U449" s="450" t="str">
        <f t="shared" si="99"/>
        <v/>
      </c>
      <c r="V449" s="450" t="str">
        <f t="shared" si="91"/>
        <v/>
      </c>
      <c r="W449" s="450" t="str">
        <f t="shared" si="100"/>
        <v/>
      </c>
      <c r="X449" s="450" t="str">
        <f t="shared" si="101"/>
        <v/>
      </c>
      <c r="Y449" s="450" t="str">
        <f t="shared" si="102"/>
        <v/>
      </c>
      <c r="Z449" s="451" t="str">
        <f t="shared" si="104"/>
        <v/>
      </c>
    </row>
    <row r="450" spans="1:26" x14ac:dyDescent="0.35">
      <c r="A450" s="438">
        <v>45992</v>
      </c>
      <c r="B450" s="446">
        <v>15</v>
      </c>
      <c r="C450" s="439" t="s">
        <v>605</v>
      </c>
      <c r="D450" s="439" t="s">
        <v>606</v>
      </c>
      <c r="E450" s="439" t="s">
        <v>660</v>
      </c>
      <c r="F450" s="439" t="s">
        <v>570</v>
      </c>
      <c r="G450" s="440" t="b">
        <f>IF(A450="","",IF(Daten!$AE$4=0,TRUE,MONTH(A450)=Daten!$AE$4))</f>
        <v>1</v>
      </c>
      <c r="H450" s="454" t="s">
        <v>415</v>
      </c>
      <c r="I450" s="440" t="s">
        <v>68</v>
      </c>
      <c r="J450" s="440"/>
      <c r="K450" s="439" t="s">
        <v>637</v>
      </c>
      <c r="L450" s="452"/>
      <c r="M450" s="448" t="str">
        <f>IF(OR(A450="", B450=""), "", IF(H450="Mitgliedsbeiträge", ABS(B450), ""))</f>
        <v/>
      </c>
      <c r="N450" s="448" t="str">
        <f t="shared" si="94"/>
        <v/>
      </c>
      <c r="O450" s="448" t="str">
        <f t="shared" si="95"/>
        <v/>
      </c>
      <c r="P450" s="448" t="str">
        <f t="shared" si="96"/>
        <v/>
      </c>
      <c r="Q450" s="448" t="str">
        <f t="shared" si="97"/>
        <v/>
      </c>
      <c r="R450" s="448" t="str">
        <f t="shared" si="98"/>
        <v/>
      </c>
      <c r="S450" s="448">
        <v>15</v>
      </c>
      <c r="T450" s="448" t="str">
        <f t="shared" si="105"/>
        <v/>
      </c>
      <c r="U450" s="448" t="str">
        <f t="shared" si="99"/>
        <v/>
      </c>
      <c r="V450" s="448" t="str">
        <f t="shared" si="91"/>
        <v/>
      </c>
      <c r="W450" s="448" t="str">
        <f t="shared" si="100"/>
        <v/>
      </c>
      <c r="X450" s="448" t="str">
        <f t="shared" si="101"/>
        <v/>
      </c>
      <c r="Y450" s="448" t="str">
        <f t="shared" si="102"/>
        <v/>
      </c>
      <c r="Z450" s="449" t="str">
        <f t="shared" si="104"/>
        <v/>
      </c>
    </row>
    <row r="451" spans="1:26" x14ac:dyDescent="0.35">
      <c r="A451" s="441">
        <v>45992</v>
      </c>
      <c r="B451" s="447">
        <v>15</v>
      </c>
      <c r="C451" s="442" t="s">
        <v>607</v>
      </c>
      <c r="D451" s="442" t="s">
        <v>608</v>
      </c>
      <c r="E451" s="442" t="s">
        <v>661</v>
      </c>
      <c r="F451" s="442" t="s">
        <v>570</v>
      </c>
      <c r="G451" s="443" t="b">
        <f>IF(A451="","",IF(Daten!$AE$4=0,TRUE,MONTH(A451)=Daten!$AE$4))</f>
        <v>1</v>
      </c>
      <c r="H451" s="454" t="s">
        <v>306</v>
      </c>
      <c r="I451" s="443" t="s">
        <v>68</v>
      </c>
      <c r="J451" s="443"/>
      <c r="K451" s="442" t="s">
        <v>637</v>
      </c>
      <c r="L451" s="453"/>
      <c r="M451" s="450">
        <v>15</v>
      </c>
      <c r="N451" s="450" t="str">
        <f t="shared" si="94"/>
        <v/>
      </c>
      <c r="O451" s="450" t="str">
        <f t="shared" si="95"/>
        <v/>
      </c>
      <c r="P451" s="450" t="str">
        <f t="shared" si="96"/>
        <v/>
      </c>
      <c r="Q451" s="450" t="str">
        <f t="shared" si="97"/>
        <v/>
      </c>
      <c r="R451" s="450" t="str">
        <f t="shared" si="98"/>
        <v/>
      </c>
      <c r="S451" s="450" t="str">
        <f>IF(OR(A451="", B451=""), "", IF(H451="Sonstige Einnahmen", ABS(B451), ""))</f>
        <v/>
      </c>
      <c r="T451" s="450" t="str">
        <f t="shared" si="105"/>
        <v/>
      </c>
      <c r="U451" s="450" t="str">
        <f t="shared" si="99"/>
        <v/>
      </c>
      <c r="V451" s="450" t="str">
        <f t="shared" si="91"/>
        <v/>
      </c>
      <c r="W451" s="450" t="str">
        <f t="shared" si="100"/>
        <v/>
      </c>
      <c r="X451" s="450" t="str">
        <f t="shared" si="101"/>
        <v/>
      </c>
      <c r="Y451" s="450" t="str">
        <f t="shared" si="102"/>
        <v/>
      </c>
      <c r="Z451" s="451" t="str">
        <f t="shared" si="104"/>
        <v/>
      </c>
    </row>
    <row r="452" spans="1:26" x14ac:dyDescent="0.35">
      <c r="A452" s="438">
        <v>45992</v>
      </c>
      <c r="B452" s="446">
        <v>15</v>
      </c>
      <c r="C452" s="439" t="s">
        <v>605</v>
      </c>
      <c r="D452" s="439" t="s">
        <v>606</v>
      </c>
      <c r="E452" s="439" t="s">
        <v>662</v>
      </c>
      <c r="F452" s="439" t="s">
        <v>570</v>
      </c>
      <c r="G452" s="440" t="b">
        <f>IF(A452="","",IF(Daten!$AE$4=0,TRUE,MONTH(A452)=Daten!$AE$4))</f>
        <v>1</v>
      </c>
      <c r="H452" s="454" t="s">
        <v>306</v>
      </c>
      <c r="I452" s="440" t="s">
        <v>68</v>
      </c>
      <c r="J452" s="440"/>
      <c r="K452" s="439" t="s">
        <v>637</v>
      </c>
      <c r="L452" s="452"/>
      <c r="M452" s="448">
        <v>15</v>
      </c>
      <c r="N452" s="448" t="str">
        <f t="shared" si="94"/>
        <v/>
      </c>
      <c r="O452" s="448" t="str">
        <f t="shared" si="95"/>
        <v/>
      </c>
      <c r="P452" s="448" t="str">
        <f t="shared" si="96"/>
        <v/>
      </c>
      <c r="Q452" s="448" t="str">
        <f t="shared" si="97"/>
        <v/>
      </c>
      <c r="R452" s="448" t="str">
        <f t="shared" si="98"/>
        <v/>
      </c>
      <c r="S452" s="448" t="str">
        <f>IF(OR(A452="", B452=""), "", IF(H452="Sonstige Einnahmen", ABS(B452), ""))</f>
        <v/>
      </c>
      <c r="T452" s="448" t="str">
        <f t="shared" si="105"/>
        <v/>
      </c>
      <c r="U452" s="448" t="str">
        <f t="shared" si="99"/>
        <v/>
      </c>
      <c r="V452" s="448" t="str">
        <f t="shared" si="91"/>
        <v/>
      </c>
      <c r="W452" s="448" t="str">
        <f t="shared" si="100"/>
        <v/>
      </c>
      <c r="X452" s="448" t="str">
        <f t="shared" si="101"/>
        <v/>
      </c>
      <c r="Y452" s="448" t="str">
        <f t="shared" si="102"/>
        <v/>
      </c>
      <c r="Z452" s="449" t="str">
        <f t="shared" si="104"/>
        <v/>
      </c>
    </row>
    <row r="453" spans="1:26" x14ac:dyDescent="0.35">
      <c r="A453" s="441">
        <v>45992</v>
      </c>
      <c r="B453" s="447">
        <v>-4.3</v>
      </c>
      <c r="C453" s="442"/>
      <c r="D453" s="442">
        <v>0</v>
      </c>
      <c r="E453" s="442" t="s">
        <v>663</v>
      </c>
      <c r="F453" s="442" t="s">
        <v>381</v>
      </c>
      <c r="G453" s="443" t="b">
        <f>IF(A453="","",IF(Daten!$AE$4=0,TRUE,MONTH(A453)=Daten!$AE$4))</f>
        <v>1</v>
      </c>
      <c r="H453" s="456" t="s">
        <v>782</v>
      </c>
      <c r="I453" s="443" t="s">
        <v>68</v>
      </c>
      <c r="J453" s="443"/>
      <c r="K453" s="442" t="s">
        <v>637</v>
      </c>
      <c r="L453" s="453" t="s">
        <v>783</v>
      </c>
      <c r="M453" s="450" t="str">
        <f>IF(OR(A453="", B453=""), "", IF(H453="Mitgliedsbeiträge", ABS(B453), ""))</f>
        <v/>
      </c>
      <c r="N453" s="450" t="str">
        <f t="shared" si="94"/>
        <v/>
      </c>
      <c r="O453" s="450" t="str">
        <f t="shared" si="95"/>
        <v/>
      </c>
      <c r="P453" s="450" t="str">
        <f t="shared" si="96"/>
        <v/>
      </c>
      <c r="Q453" s="450" t="str">
        <f t="shared" si="97"/>
        <v/>
      </c>
      <c r="R453" s="450" t="str">
        <f t="shared" si="98"/>
        <v/>
      </c>
      <c r="S453" s="450" t="str">
        <f>IF(OR(A453="", B453=""), "", IF(H453="Sonstige Einnahmen", ABS(B453), ""))</f>
        <v/>
      </c>
      <c r="T453" s="450" t="str">
        <f t="shared" si="105"/>
        <v/>
      </c>
      <c r="U453" s="450" t="str">
        <f t="shared" si="99"/>
        <v/>
      </c>
      <c r="V453" s="450" t="str">
        <f t="shared" si="91"/>
        <v/>
      </c>
      <c r="W453" s="450" t="str">
        <f t="shared" si="100"/>
        <v/>
      </c>
      <c r="X453" s="450" t="str">
        <f t="shared" si="101"/>
        <v/>
      </c>
      <c r="Y453" s="450" t="str">
        <f t="shared" si="102"/>
        <v/>
      </c>
      <c r="Z453" s="451" t="str">
        <f t="shared" si="104"/>
        <v/>
      </c>
    </row>
    <row r="454" spans="1:26" ht="58" x14ac:dyDescent="0.35">
      <c r="A454" s="438">
        <v>45993</v>
      </c>
      <c r="B454" s="446">
        <v>60</v>
      </c>
      <c r="C454" s="439" t="s">
        <v>582</v>
      </c>
      <c r="D454" s="439" t="s">
        <v>583</v>
      </c>
      <c r="E454" s="439" t="s">
        <v>648</v>
      </c>
      <c r="F454" s="439" t="s">
        <v>570</v>
      </c>
      <c r="G454" s="440" t="b">
        <f>IF(A454="","",IF(Daten!$AE$4=0,TRUE,MONTH(A454)=Daten!$AE$4))</f>
        <v>1</v>
      </c>
      <c r="H454" s="455" t="s">
        <v>425</v>
      </c>
      <c r="I454" s="440" t="s">
        <v>68</v>
      </c>
      <c r="J454" s="440"/>
      <c r="K454" s="439" t="s">
        <v>637</v>
      </c>
      <c r="L454" s="452" t="s">
        <v>786</v>
      </c>
      <c r="M454" s="448" t="str">
        <f>IF(OR(A454="", B454=""), "", IF(H454="Mitgliedsbeiträge", ABS(B454), ""))</f>
        <v/>
      </c>
      <c r="N454" s="448" t="str">
        <f t="shared" si="94"/>
        <v/>
      </c>
      <c r="O454" s="448" t="str">
        <f t="shared" si="95"/>
        <v/>
      </c>
      <c r="P454" s="448" t="str">
        <f t="shared" si="96"/>
        <v/>
      </c>
      <c r="Q454" s="448" t="str">
        <f t="shared" si="97"/>
        <v/>
      </c>
      <c r="R454" s="448" t="str">
        <f t="shared" si="98"/>
        <v/>
      </c>
      <c r="S454" s="448">
        <v>60</v>
      </c>
      <c r="T454" s="448" t="str">
        <f t="shared" si="105"/>
        <v/>
      </c>
      <c r="U454" s="448" t="str">
        <f t="shared" si="99"/>
        <v/>
      </c>
      <c r="V454" s="448" t="str">
        <f t="shared" si="91"/>
        <v/>
      </c>
      <c r="W454" s="448" t="str">
        <f t="shared" si="100"/>
        <v/>
      </c>
      <c r="X454" s="448" t="str">
        <f t="shared" si="101"/>
        <v/>
      </c>
      <c r="Y454" s="448" t="str">
        <f t="shared" si="102"/>
        <v/>
      </c>
      <c r="Z454" s="449" t="str">
        <f t="shared" si="104"/>
        <v/>
      </c>
    </row>
    <row r="455" spans="1:26" x14ac:dyDescent="0.35">
      <c r="A455" s="441">
        <v>45993</v>
      </c>
      <c r="B455" s="447">
        <v>15</v>
      </c>
      <c r="C455" s="442" t="s">
        <v>592</v>
      </c>
      <c r="D455" s="442" t="s">
        <v>593</v>
      </c>
      <c r="E455" s="442" t="s">
        <v>649</v>
      </c>
      <c r="F455" s="442" t="s">
        <v>570</v>
      </c>
      <c r="G455" s="443" t="b">
        <f>IF(A455="","",IF(Daten!$AE$4=0,TRUE,MONTH(A455)=Daten!$AE$4))</f>
        <v>1</v>
      </c>
      <c r="H455" s="454" t="s">
        <v>415</v>
      </c>
      <c r="I455" s="443" t="s">
        <v>68</v>
      </c>
      <c r="J455" s="443"/>
      <c r="K455" s="442" t="s">
        <v>637</v>
      </c>
      <c r="L455" s="453"/>
      <c r="M455" s="450" t="str">
        <f>IF(OR(A455="", B455=""), "", IF(H455="Mitgliedsbeiträge", ABS(B455), ""))</f>
        <v/>
      </c>
      <c r="N455" s="450" t="str">
        <f t="shared" si="94"/>
        <v/>
      </c>
      <c r="O455" s="450" t="str">
        <f t="shared" si="95"/>
        <v/>
      </c>
      <c r="P455" s="450" t="str">
        <f t="shared" si="96"/>
        <v/>
      </c>
      <c r="Q455" s="450" t="str">
        <f t="shared" si="97"/>
        <v/>
      </c>
      <c r="R455" s="450" t="str">
        <f t="shared" si="98"/>
        <v/>
      </c>
      <c r="S455" s="450">
        <v>15</v>
      </c>
      <c r="T455" s="450" t="str">
        <f t="shared" si="105"/>
        <v/>
      </c>
      <c r="U455" s="450" t="str">
        <f t="shared" si="99"/>
        <v/>
      </c>
      <c r="V455" s="450" t="str">
        <f t="shared" si="91"/>
        <v/>
      </c>
      <c r="W455" s="450" t="str">
        <f t="shared" si="100"/>
        <v/>
      </c>
      <c r="X455" s="450" t="str">
        <f t="shared" si="101"/>
        <v/>
      </c>
      <c r="Y455" s="450" t="str">
        <f t="shared" si="102"/>
        <v/>
      </c>
      <c r="Z455" s="451" t="str">
        <f t="shared" si="104"/>
        <v/>
      </c>
    </row>
    <row r="456" spans="1:26" ht="58" x14ac:dyDescent="0.35">
      <c r="A456" s="438">
        <v>45993</v>
      </c>
      <c r="B456" s="446">
        <v>15</v>
      </c>
      <c r="C456" s="439" t="s">
        <v>582</v>
      </c>
      <c r="D456" s="439" t="s">
        <v>583</v>
      </c>
      <c r="E456" s="439" t="s">
        <v>650</v>
      </c>
      <c r="F456" s="439" t="s">
        <v>570</v>
      </c>
      <c r="G456" s="440" t="b">
        <f>IF(A456="","",IF(Daten!$AE$4=0,TRUE,MONTH(A456)=Daten!$AE$4))</f>
        <v>1</v>
      </c>
      <c r="H456" s="455" t="s">
        <v>415</v>
      </c>
      <c r="I456" s="440" t="s">
        <v>68</v>
      </c>
      <c r="J456" s="440"/>
      <c r="K456" s="439" t="s">
        <v>637</v>
      </c>
      <c r="L456" s="452" t="s">
        <v>781</v>
      </c>
      <c r="M456" s="448" t="str">
        <f>IF(OR(A456="", B456=""), "", IF(H456="Mitgliedsbeiträge", ABS(B456), ""))</f>
        <v/>
      </c>
      <c r="N456" s="448" t="str">
        <f t="shared" si="94"/>
        <v/>
      </c>
      <c r="O456" s="448" t="str">
        <f t="shared" si="95"/>
        <v/>
      </c>
      <c r="P456" s="448" t="str">
        <f t="shared" si="96"/>
        <v/>
      </c>
      <c r="Q456" s="448" t="str">
        <f t="shared" si="97"/>
        <v/>
      </c>
      <c r="R456" s="448" t="str">
        <f t="shared" si="98"/>
        <v/>
      </c>
      <c r="S456" s="448">
        <v>15</v>
      </c>
      <c r="T456" s="448" t="str">
        <f t="shared" si="105"/>
        <v/>
      </c>
      <c r="U456" s="448" t="str">
        <f t="shared" si="99"/>
        <v/>
      </c>
      <c r="V456" s="448" t="str">
        <f t="shared" si="91"/>
        <v/>
      </c>
      <c r="W456" s="448" t="str">
        <f t="shared" si="100"/>
        <v/>
      </c>
      <c r="X456" s="448" t="str">
        <f t="shared" si="101"/>
        <v/>
      </c>
      <c r="Y456" s="448" t="str">
        <f t="shared" si="102"/>
        <v/>
      </c>
      <c r="Z456" s="449" t="str">
        <f t="shared" si="104"/>
        <v/>
      </c>
    </row>
    <row r="457" spans="1:26" x14ac:dyDescent="0.35">
      <c r="A457" s="441">
        <v>45993</v>
      </c>
      <c r="B457" s="447">
        <v>7.5</v>
      </c>
      <c r="C457" s="442" t="s">
        <v>592</v>
      </c>
      <c r="D457" s="442" t="s">
        <v>593</v>
      </c>
      <c r="E457" s="442" t="s">
        <v>651</v>
      </c>
      <c r="F457" s="442" t="s">
        <v>570</v>
      </c>
      <c r="G457" s="443" t="b">
        <f>IF(A457="","",IF(Daten!$AE$4=0,TRUE,MONTH(A457)=Daten!$AE$4))</f>
        <v>1</v>
      </c>
      <c r="H457" s="454" t="s">
        <v>306</v>
      </c>
      <c r="I457" s="443" t="s">
        <v>68</v>
      </c>
      <c r="J457" s="443"/>
      <c r="K457" s="442" t="s">
        <v>637</v>
      </c>
      <c r="L457" s="453"/>
      <c r="M457" s="450">
        <v>7.5</v>
      </c>
      <c r="N457" s="450" t="str">
        <f t="shared" si="94"/>
        <v/>
      </c>
      <c r="O457" s="450" t="str">
        <f t="shared" si="95"/>
        <v/>
      </c>
      <c r="P457" s="450" t="str">
        <f t="shared" si="96"/>
        <v/>
      </c>
      <c r="Q457" s="450" t="str">
        <f t="shared" si="97"/>
        <v/>
      </c>
      <c r="R457" s="450" t="str">
        <f t="shared" si="98"/>
        <v/>
      </c>
      <c r="S457" s="450" t="str">
        <f>IF(OR(A457="", B457=""), "", IF(H457="Sonstige Einnahmen", ABS(B457), ""))</f>
        <v/>
      </c>
      <c r="T457" s="450" t="str">
        <f t="shared" si="105"/>
        <v/>
      </c>
      <c r="U457" s="450" t="str">
        <f t="shared" si="99"/>
        <v/>
      </c>
      <c r="V457" s="450" t="str">
        <f t="shared" si="91"/>
        <v/>
      </c>
      <c r="W457" s="450" t="str">
        <f t="shared" si="100"/>
        <v/>
      </c>
      <c r="X457" s="450" t="str">
        <f t="shared" si="101"/>
        <v/>
      </c>
      <c r="Y457" s="450" t="str">
        <f t="shared" si="102"/>
        <v/>
      </c>
      <c r="Z457" s="451" t="str">
        <f t="shared" si="104"/>
        <v/>
      </c>
    </row>
    <row r="458" spans="1:26" x14ac:dyDescent="0.35">
      <c r="A458" s="438">
        <v>45993</v>
      </c>
      <c r="B458" s="446">
        <v>15</v>
      </c>
      <c r="C458" s="439" t="s">
        <v>51</v>
      </c>
      <c r="D458" s="439" t="s">
        <v>589</v>
      </c>
      <c r="E458" s="439" t="s">
        <v>384</v>
      </c>
      <c r="F458" s="439" t="s">
        <v>570</v>
      </c>
      <c r="G458" s="440" t="b">
        <f>IF(A458="","",IF(Daten!$AE$4=0,TRUE,MONTH(A458)=Daten!$AE$4))</f>
        <v>1</v>
      </c>
      <c r="H458" s="454" t="s">
        <v>415</v>
      </c>
      <c r="I458" s="440" t="s">
        <v>68</v>
      </c>
      <c r="J458" s="440"/>
      <c r="K458" s="439" t="s">
        <v>637</v>
      </c>
      <c r="L458" s="452"/>
      <c r="M458" s="448" t="str">
        <f>IF(OR(A458="", B458=""), "", IF(H458="Mitgliedsbeiträge", ABS(B458), ""))</f>
        <v/>
      </c>
      <c r="N458" s="448" t="str">
        <f t="shared" si="94"/>
        <v/>
      </c>
      <c r="O458" s="448" t="str">
        <f t="shared" si="95"/>
        <v/>
      </c>
      <c r="P458" s="448" t="str">
        <f t="shared" si="96"/>
        <v/>
      </c>
      <c r="Q458" s="448" t="str">
        <f t="shared" si="97"/>
        <v/>
      </c>
      <c r="R458" s="448" t="str">
        <f t="shared" si="98"/>
        <v/>
      </c>
      <c r="S458" s="448">
        <v>15</v>
      </c>
      <c r="T458" s="448" t="str">
        <f t="shared" si="105"/>
        <v/>
      </c>
      <c r="U458" s="448" t="str">
        <f t="shared" si="99"/>
        <v/>
      </c>
      <c r="V458" s="448" t="str">
        <f t="shared" si="91"/>
        <v/>
      </c>
      <c r="W458" s="448" t="str">
        <f t="shared" si="100"/>
        <v/>
      </c>
      <c r="X458" s="448" t="str">
        <f t="shared" si="101"/>
        <v/>
      </c>
      <c r="Y458" s="448" t="str">
        <f t="shared" si="102"/>
        <v/>
      </c>
      <c r="Z458" s="449" t="str">
        <f t="shared" si="104"/>
        <v/>
      </c>
    </row>
    <row r="459" spans="1:26" x14ac:dyDescent="0.35">
      <c r="A459" s="441">
        <v>45993</v>
      </c>
      <c r="B459" s="447">
        <v>7.5</v>
      </c>
      <c r="C459" s="442" t="s">
        <v>66</v>
      </c>
      <c r="D459" s="442" t="s">
        <v>594</v>
      </c>
      <c r="E459" s="442" t="s">
        <v>652</v>
      </c>
      <c r="F459" s="442" t="s">
        <v>570</v>
      </c>
      <c r="G459" s="443" t="b">
        <f>IF(A459="","",IF(Daten!$AE$4=0,TRUE,MONTH(A459)=Daten!$AE$4))</f>
        <v>1</v>
      </c>
      <c r="H459" s="454" t="s">
        <v>306</v>
      </c>
      <c r="I459" s="443" t="s">
        <v>68</v>
      </c>
      <c r="J459" s="443"/>
      <c r="K459" s="442" t="s">
        <v>637</v>
      </c>
      <c r="L459" s="453"/>
      <c r="M459" s="450">
        <v>7.5</v>
      </c>
      <c r="N459" s="450" t="str">
        <f t="shared" si="94"/>
        <v/>
      </c>
      <c r="O459" s="450" t="str">
        <f t="shared" si="95"/>
        <v/>
      </c>
      <c r="P459" s="450" t="str">
        <f t="shared" si="96"/>
        <v/>
      </c>
      <c r="Q459" s="450" t="str">
        <f t="shared" si="97"/>
        <v/>
      </c>
      <c r="R459" s="450" t="str">
        <f t="shared" si="98"/>
        <v/>
      </c>
      <c r="S459" s="450" t="str">
        <f>IF(OR(A459="", B459=""), "", IF(H459="Sonstige Einnahmen", ABS(B459), ""))</f>
        <v/>
      </c>
      <c r="T459" s="450" t="str">
        <f t="shared" si="105"/>
        <v/>
      </c>
      <c r="U459" s="450" t="str">
        <f t="shared" si="99"/>
        <v/>
      </c>
      <c r="V459" s="450" t="str">
        <f t="shared" si="91"/>
        <v/>
      </c>
      <c r="W459" s="450" t="str">
        <f t="shared" si="100"/>
        <v/>
      </c>
      <c r="X459" s="450" t="str">
        <f t="shared" si="101"/>
        <v/>
      </c>
      <c r="Y459" s="450" t="str">
        <f t="shared" si="102"/>
        <v/>
      </c>
      <c r="Z459" s="451" t="str">
        <f t="shared" si="104"/>
        <v/>
      </c>
    </row>
    <row r="460" spans="1:26" x14ac:dyDescent="0.35">
      <c r="A460" s="438">
        <v>45993</v>
      </c>
      <c r="B460" s="446">
        <v>15</v>
      </c>
      <c r="C460" s="439" t="s">
        <v>66</v>
      </c>
      <c r="D460" s="439" t="s">
        <v>594</v>
      </c>
      <c r="E460" s="439" t="s">
        <v>653</v>
      </c>
      <c r="F460" s="439" t="s">
        <v>570</v>
      </c>
      <c r="G460" s="440" t="b">
        <f>IF(A460="","",IF(Daten!$AE$4=0,TRUE,MONTH(A460)=Daten!$AE$4))</f>
        <v>1</v>
      </c>
      <c r="H460" s="454" t="s">
        <v>415</v>
      </c>
      <c r="I460" s="440" t="s">
        <v>68</v>
      </c>
      <c r="J460" s="440"/>
      <c r="K460" s="439" t="s">
        <v>637</v>
      </c>
      <c r="L460" s="452"/>
      <c r="M460" s="448" t="str">
        <f>IF(OR(A460="", B460=""), "", IF(H460="Mitgliedsbeiträge", ABS(B460), ""))</f>
        <v/>
      </c>
      <c r="N460" s="448" t="str">
        <f t="shared" si="94"/>
        <v/>
      </c>
      <c r="O460" s="448" t="str">
        <f t="shared" si="95"/>
        <v/>
      </c>
      <c r="P460" s="448" t="str">
        <f t="shared" si="96"/>
        <v/>
      </c>
      <c r="Q460" s="448" t="str">
        <f t="shared" si="97"/>
        <v/>
      </c>
      <c r="R460" s="448" t="str">
        <f t="shared" si="98"/>
        <v/>
      </c>
      <c r="S460" s="448">
        <v>15</v>
      </c>
      <c r="T460" s="448" t="str">
        <f t="shared" si="105"/>
        <v/>
      </c>
      <c r="U460" s="448" t="str">
        <f t="shared" si="99"/>
        <v/>
      </c>
      <c r="V460" s="448" t="str">
        <f t="shared" si="91"/>
        <v/>
      </c>
      <c r="W460" s="448" t="str">
        <f t="shared" si="100"/>
        <v/>
      </c>
      <c r="X460" s="448" t="str">
        <f t="shared" si="101"/>
        <v/>
      </c>
      <c r="Y460" s="448" t="str">
        <f t="shared" si="102"/>
        <v/>
      </c>
      <c r="Z460" s="449" t="str">
        <f t="shared" si="104"/>
        <v/>
      </c>
    </row>
    <row r="461" spans="1:26" x14ac:dyDescent="0.35">
      <c r="A461" s="441">
        <v>45993</v>
      </c>
      <c r="B461" s="447">
        <v>15</v>
      </c>
      <c r="C461" s="442" t="s">
        <v>595</v>
      </c>
      <c r="D461" s="442" t="s">
        <v>596</v>
      </c>
      <c r="E461" s="442" t="s">
        <v>654</v>
      </c>
      <c r="F461" s="442" t="s">
        <v>570</v>
      </c>
      <c r="G461" s="443" t="b">
        <f>IF(A461="","",IF(Daten!$AE$4=0,TRUE,MONTH(A461)=Daten!$AE$4))</f>
        <v>1</v>
      </c>
      <c r="H461" s="454" t="s">
        <v>415</v>
      </c>
      <c r="I461" s="443" t="s">
        <v>68</v>
      </c>
      <c r="J461" s="443"/>
      <c r="K461" s="442" t="s">
        <v>637</v>
      </c>
      <c r="L461" s="453"/>
      <c r="M461" s="450" t="str">
        <f>IF(OR(A461="", B461=""), "", IF(H461="Mitgliedsbeiträge", ABS(B461), ""))</f>
        <v/>
      </c>
      <c r="N461" s="450" t="str">
        <f t="shared" si="94"/>
        <v/>
      </c>
      <c r="O461" s="450" t="str">
        <f t="shared" si="95"/>
        <v/>
      </c>
      <c r="P461" s="450" t="str">
        <f t="shared" si="96"/>
        <v/>
      </c>
      <c r="Q461" s="450" t="str">
        <f t="shared" si="97"/>
        <v/>
      </c>
      <c r="R461" s="450" t="str">
        <f t="shared" si="98"/>
        <v/>
      </c>
      <c r="S461" s="450">
        <v>15</v>
      </c>
      <c r="T461" s="450" t="str">
        <f t="shared" si="105"/>
        <v/>
      </c>
      <c r="U461" s="450" t="str">
        <f t="shared" si="99"/>
        <v/>
      </c>
      <c r="V461" s="450" t="str">
        <f t="shared" si="91"/>
        <v/>
      </c>
      <c r="W461" s="450" t="str">
        <f t="shared" si="100"/>
        <v/>
      </c>
      <c r="X461" s="450" t="str">
        <f t="shared" si="101"/>
        <v/>
      </c>
      <c r="Y461" s="450" t="str">
        <f t="shared" si="102"/>
        <v/>
      </c>
      <c r="Z461" s="451" t="str">
        <f t="shared" si="104"/>
        <v/>
      </c>
    </row>
    <row r="462" spans="1:26" x14ac:dyDescent="0.35">
      <c r="A462" s="438">
        <v>45993</v>
      </c>
      <c r="B462" s="446">
        <v>15</v>
      </c>
      <c r="C462" s="439" t="s">
        <v>597</v>
      </c>
      <c r="D462" s="439" t="s">
        <v>598</v>
      </c>
      <c r="E462" s="439" t="s">
        <v>385</v>
      </c>
      <c r="F462" s="439" t="s">
        <v>570</v>
      </c>
      <c r="G462" s="440" t="b">
        <f>IF(A462="","",IF(Daten!$AE$4=0,TRUE,MONTH(A462)=Daten!$AE$4))</f>
        <v>1</v>
      </c>
      <c r="H462" s="454" t="s">
        <v>415</v>
      </c>
      <c r="I462" s="440" t="s">
        <v>68</v>
      </c>
      <c r="J462" s="440"/>
      <c r="K462" s="439" t="s">
        <v>637</v>
      </c>
      <c r="L462" s="452"/>
      <c r="M462" s="448" t="str">
        <f>IF(OR(A462="", B462=""), "", IF(H462="Mitgliedsbeiträge", ABS(B462), ""))</f>
        <v/>
      </c>
      <c r="N462" s="448" t="str">
        <f t="shared" si="94"/>
        <v/>
      </c>
      <c r="O462" s="448" t="str">
        <f t="shared" si="95"/>
        <v/>
      </c>
      <c r="P462" s="448" t="str">
        <f t="shared" si="96"/>
        <v/>
      </c>
      <c r="Q462" s="448" t="str">
        <f t="shared" si="97"/>
        <v/>
      </c>
      <c r="R462" s="448" t="str">
        <f t="shared" si="98"/>
        <v/>
      </c>
      <c r="S462" s="448">
        <v>15</v>
      </c>
      <c r="T462" s="448" t="str">
        <f t="shared" si="105"/>
        <v/>
      </c>
      <c r="U462" s="448" t="str">
        <f t="shared" si="99"/>
        <v/>
      </c>
      <c r="V462" s="448" t="str">
        <f t="shared" ref="V462:V472" si="106">IF(OR(A462="", B462=""), "", IF(H462="Veranstaltungen Ausgabe", ABS(B462), ""))</f>
        <v/>
      </c>
      <c r="W462" s="448" t="str">
        <f t="shared" si="100"/>
        <v/>
      </c>
      <c r="X462" s="448" t="str">
        <f t="shared" si="101"/>
        <v/>
      </c>
      <c r="Y462" s="448" t="str">
        <f t="shared" si="102"/>
        <v/>
      </c>
      <c r="Z462" s="449" t="str">
        <f t="shared" si="104"/>
        <v/>
      </c>
    </row>
    <row r="463" spans="1:26" x14ac:dyDescent="0.35">
      <c r="A463" s="441">
        <v>45994</v>
      </c>
      <c r="B463" s="447">
        <v>7.5</v>
      </c>
      <c r="C463" s="442" t="s">
        <v>51</v>
      </c>
      <c r="D463" s="442" t="s">
        <v>589</v>
      </c>
      <c r="E463" s="442" t="s">
        <v>646</v>
      </c>
      <c r="F463" s="442" t="s">
        <v>570</v>
      </c>
      <c r="G463" s="443" t="b">
        <f>IF(A463="","",IF(Daten!$AE$4=0,TRUE,MONTH(A463)=Daten!$AE$4))</f>
        <v>1</v>
      </c>
      <c r="H463" s="454" t="s">
        <v>306</v>
      </c>
      <c r="I463" s="443" t="s">
        <v>68</v>
      </c>
      <c r="J463" s="443"/>
      <c r="K463" s="442" t="s">
        <v>637</v>
      </c>
      <c r="L463" s="453"/>
      <c r="M463" s="450">
        <v>7.5</v>
      </c>
      <c r="N463" s="450" t="str">
        <f t="shared" si="94"/>
        <v/>
      </c>
      <c r="O463" s="450" t="str">
        <f t="shared" si="95"/>
        <v/>
      </c>
      <c r="P463" s="450" t="str">
        <f t="shared" si="96"/>
        <v/>
      </c>
      <c r="Q463" s="450" t="str">
        <f t="shared" si="97"/>
        <v/>
      </c>
      <c r="R463" s="450" t="str">
        <f t="shared" si="98"/>
        <v/>
      </c>
      <c r="S463" s="450" t="str">
        <f>IF(OR(A463="", B463=""), "", IF(H463="Sonstige Einnahmen", ABS(B463), ""))</f>
        <v/>
      </c>
      <c r="T463" s="450" t="str">
        <f t="shared" si="105"/>
        <v/>
      </c>
      <c r="U463" s="450" t="str">
        <f t="shared" si="99"/>
        <v/>
      </c>
      <c r="V463" s="450" t="str">
        <f t="shared" si="106"/>
        <v/>
      </c>
      <c r="W463" s="450" t="str">
        <f t="shared" si="100"/>
        <v/>
      </c>
      <c r="X463" s="450" t="str">
        <f t="shared" si="101"/>
        <v/>
      </c>
      <c r="Y463" s="450" t="str">
        <f t="shared" si="102"/>
        <v/>
      </c>
      <c r="Z463" s="451" t="str">
        <f t="shared" si="104"/>
        <v/>
      </c>
    </row>
    <row r="464" spans="1:26" x14ac:dyDescent="0.35">
      <c r="A464" s="438">
        <v>45994</v>
      </c>
      <c r="B464" s="446">
        <v>15</v>
      </c>
      <c r="C464" s="439" t="s">
        <v>590</v>
      </c>
      <c r="D464" s="439" t="s">
        <v>591</v>
      </c>
      <c r="E464" s="439" t="s">
        <v>647</v>
      </c>
      <c r="F464" s="439" t="s">
        <v>570</v>
      </c>
      <c r="G464" s="440" t="b">
        <f>IF(A464="","",IF(Daten!$AE$4=0,TRUE,MONTH(A464)=Daten!$AE$4))</f>
        <v>1</v>
      </c>
      <c r="H464" s="454" t="s">
        <v>306</v>
      </c>
      <c r="I464" s="440" t="s">
        <v>68</v>
      </c>
      <c r="J464" s="440"/>
      <c r="K464" s="439" t="s">
        <v>637</v>
      </c>
      <c r="L464" s="452"/>
      <c r="M464" s="448">
        <v>15</v>
      </c>
      <c r="N464" s="448" t="str">
        <f t="shared" si="94"/>
        <v/>
      </c>
      <c r="O464" s="448" t="str">
        <f t="shared" si="95"/>
        <v/>
      </c>
      <c r="P464" s="448" t="str">
        <f t="shared" si="96"/>
        <v/>
      </c>
      <c r="Q464" s="448" t="str">
        <f t="shared" si="97"/>
        <v/>
      </c>
      <c r="R464" s="448" t="str">
        <f t="shared" si="98"/>
        <v/>
      </c>
      <c r="S464" s="448" t="str">
        <f>IF(OR(A464="", B464=""), "", IF(H464="Sonstige Einnahmen", ABS(B464), ""))</f>
        <v/>
      </c>
      <c r="T464" s="448" t="str">
        <f t="shared" si="105"/>
        <v/>
      </c>
      <c r="U464" s="448" t="str">
        <f t="shared" si="99"/>
        <v/>
      </c>
      <c r="V464" s="448" t="str">
        <f t="shared" si="106"/>
        <v/>
      </c>
      <c r="W464" s="448" t="str">
        <f t="shared" si="100"/>
        <v/>
      </c>
      <c r="X464" s="448" t="str">
        <f t="shared" si="101"/>
        <v/>
      </c>
      <c r="Y464" s="448" t="str">
        <f t="shared" si="102"/>
        <v/>
      </c>
      <c r="Z464" s="449" t="str">
        <f t="shared" si="104"/>
        <v/>
      </c>
    </row>
    <row r="465" spans="1:26" x14ac:dyDescent="0.35">
      <c r="A465" s="441">
        <v>45996</v>
      </c>
      <c r="B465" s="447">
        <v>15</v>
      </c>
      <c r="C465" s="442" t="s">
        <v>584</v>
      </c>
      <c r="D465" s="442" t="s">
        <v>585</v>
      </c>
      <c r="E465" s="442" t="s">
        <v>642</v>
      </c>
      <c r="F465" s="442" t="s">
        <v>570</v>
      </c>
      <c r="G465" s="443" t="b">
        <f>IF(A465="","",IF(Daten!$AE$4=0,TRUE,MONTH(A465)=Daten!$AE$4))</f>
        <v>1</v>
      </c>
      <c r="H465" s="454" t="s">
        <v>415</v>
      </c>
      <c r="I465" s="443" t="s">
        <v>68</v>
      </c>
      <c r="J465" s="443"/>
      <c r="K465" s="442" t="s">
        <v>637</v>
      </c>
      <c r="L465" s="453"/>
      <c r="M465" s="450" t="str">
        <f t="shared" ref="M465:M472" si="107">IF(OR(A465="", B465=""), "", IF(H465="Mitgliedsbeiträge", ABS(B465), ""))</f>
        <v/>
      </c>
      <c r="N465" s="450" t="str">
        <f t="shared" si="94"/>
        <v/>
      </c>
      <c r="O465" s="450" t="str">
        <f t="shared" si="95"/>
        <v/>
      </c>
      <c r="P465" s="450" t="str">
        <f t="shared" si="96"/>
        <v/>
      </c>
      <c r="Q465" s="450" t="str">
        <f t="shared" si="97"/>
        <v/>
      </c>
      <c r="R465" s="450" t="str">
        <f t="shared" si="98"/>
        <v/>
      </c>
      <c r="S465" s="450">
        <v>15</v>
      </c>
      <c r="T465" s="450" t="str">
        <f t="shared" si="105"/>
        <v/>
      </c>
      <c r="U465" s="450" t="str">
        <f t="shared" si="99"/>
        <v/>
      </c>
      <c r="V465" s="450" t="str">
        <f t="shared" si="106"/>
        <v/>
      </c>
      <c r="W465" s="450" t="str">
        <f t="shared" si="100"/>
        <v/>
      </c>
      <c r="X465" s="450" t="str">
        <f t="shared" si="101"/>
        <v/>
      </c>
      <c r="Y465" s="450" t="str">
        <f t="shared" si="102"/>
        <v/>
      </c>
      <c r="Z465" s="451" t="str">
        <f t="shared" si="104"/>
        <v/>
      </c>
    </row>
    <row r="466" spans="1:26" ht="58" x14ac:dyDescent="0.35">
      <c r="A466" s="438">
        <v>45996</v>
      </c>
      <c r="B466" s="446">
        <v>-506.41</v>
      </c>
      <c r="C466" s="439" t="s">
        <v>643</v>
      </c>
      <c r="D466" s="439" t="s">
        <v>586</v>
      </c>
      <c r="E466" s="439" t="s">
        <v>644</v>
      </c>
      <c r="F466" s="439" t="s">
        <v>576</v>
      </c>
      <c r="G466" s="440" t="b">
        <f>IF(A466="","",IF(Daten!$AE$4=0,TRUE,MONTH(A466)=Daten!$AE$4))</f>
        <v>1</v>
      </c>
      <c r="H466" s="455" t="s">
        <v>445</v>
      </c>
      <c r="I466" s="440" t="s">
        <v>68</v>
      </c>
      <c r="J466" s="440"/>
      <c r="K466" s="439" t="s">
        <v>637</v>
      </c>
      <c r="L466" s="452" t="s">
        <v>789</v>
      </c>
      <c r="M466" s="448" t="str">
        <f t="shared" si="107"/>
        <v/>
      </c>
      <c r="N466" s="448" t="str">
        <f t="shared" si="94"/>
        <v/>
      </c>
      <c r="O466" s="448" t="str">
        <f t="shared" si="95"/>
        <v/>
      </c>
      <c r="P466" s="448" t="str">
        <f t="shared" si="96"/>
        <v/>
      </c>
      <c r="Q466" s="448" t="str">
        <f t="shared" si="97"/>
        <v/>
      </c>
      <c r="R466" s="448" t="str">
        <f t="shared" si="98"/>
        <v/>
      </c>
      <c r="S466" s="448" t="str">
        <f>IF(OR(A466="", B466=""), "", IF(H466="Sonstige Einnahmen", ABS(B466), ""))</f>
        <v/>
      </c>
      <c r="T466" s="448">
        <v>-506.41</v>
      </c>
      <c r="U466" s="448" t="str">
        <f t="shared" si="99"/>
        <v/>
      </c>
      <c r="V466" s="448" t="str">
        <f t="shared" si="106"/>
        <v/>
      </c>
      <c r="W466" s="448" t="str">
        <f t="shared" si="100"/>
        <v/>
      </c>
      <c r="X466" s="448" t="str">
        <f t="shared" si="101"/>
        <v/>
      </c>
      <c r="Y466" s="448" t="str">
        <f t="shared" si="102"/>
        <v/>
      </c>
      <c r="Z466" s="449" t="str">
        <f t="shared" si="104"/>
        <v/>
      </c>
    </row>
    <row r="467" spans="1:26" x14ac:dyDescent="0.35">
      <c r="A467" s="441">
        <v>45996</v>
      </c>
      <c r="B467" s="447">
        <v>-477</v>
      </c>
      <c r="C467" s="442" t="s">
        <v>587</v>
      </c>
      <c r="D467" s="442" t="s">
        <v>588</v>
      </c>
      <c r="E467" s="442" t="s">
        <v>645</v>
      </c>
      <c r="F467" s="442" t="s">
        <v>576</v>
      </c>
      <c r="G467" s="443" t="b">
        <f>IF(A467="","",IF(Daten!$AE$4=0,TRUE,MONTH(A467)=Daten!$AE$4))</f>
        <v>1</v>
      </c>
      <c r="H467" s="454" t="s">
        <v>451</v>
      </c>
      <c r="I467" s="443" t="s">
        <v>68</v>
      </c>
      <c r="J467" s="443"/>
      <c r="K467" s="442" t="s">
        <v>637</v>
      </c>
      <c r="L467" s="453"/>
      <c r="M467" s="450" t="str">
        <f t="shared" si="107"/>
        <v/>
      </c>
      <c r="N467" s="450" t="str">
        <f t="shared" si="94"/>
        <v/>
      </c>
      <c r="O467" s="450" t="str">
        <f t="shared" si="95"/>
        <v/>
      </c>
      <c r="P467" s="450" t="str">
        <f t="shared" si="96"/>
        <v/>
      </c>
      <c r="Q467" s="450" t="str">
        <f t="shared" si="97"/>
        <v/>
      </c>
      <c r="R467" s="450" t="str">
        <f t="shared" si="98"/>
        <v/>
      </c>
      <c r="S467" s="450" t="str">
        <f>IF(OR(A467="", B467=""), "", IF(H467="Sonstige Einnahmen", ABS(B467), ""))</f>
        <v/>
      </c>
      <c r="T467" s="450">
        <v>-477</v>
      </c>
      <c r="U467" s="450" t="str">
        <f t="shared" si="99"/>
        <v/>
      </c>
      <c r="V467" s="450" t="str">
        <f t="shared" si="106"/>
        <v/>
      </c>
      <c r="W467" s="450" t="str">
        <f t="shared" si="100"/>
        <v/>
      </c>
      <c r="X467" s="450" t="str">
        <f t="shared" si="101"/>
        <v/>
      </c>
      <c r="Y467" s="450" t="str">
        <f t="shared" si="102"/>
        <v/>
      </c>
      <c r="Z467" s="451" t="str">
        <f t="shared" si="104"/>
        <v/>
      </c>
    </row>
    <row r="468" spans="1:26" x14ac:dyDescent="0.35">
      <c r="A468" s="438">
        <v>46002</v>
      </c>
      <c r="B468" s="446">
        <v>270.52999999999997</v>
      </c>
      <c r="C468" s="439" t="s">
        <v>582</v>
      </c>
      <c r="D468" s="439" t="s">
        <v>583</v>
      </c>
      <c r="E468" s="439" t="s">
        <v>641</v>
      </c>
      <c r="F468" s="439" t="s">
        <v>581</v>
      </c>
      <c r="G468" s="440" t="b">
        <f>IF(A468="","",IF(Daten!$AE$4=0,TRUE,MONTH(A468)=Daten!$AE$4))</f>
        <v>1</v>
      </c>
      <c r="H468" s="454" t="s">
        <v>299</v>
      </c>
      <c r="I468" s="440" t="s">
        <v>68</v>
      </c>
      <c r="J468" s="440"/>
      <c r="K468" s="439" t="s">
        <v>637</v>
      </c>
      <c r="L468" s="452"/>
      <c r="M468" s="448" t="str">
        <f t="shared" si="107"/>
        <v/>
      </c>
      <c r="N468" s="448" t="str">
        <f t="shared" si="94"/>
        <v/>
      </c>
      <c r="O468" s="448" t="str">
        <f t="shared" si="95"/>
        <v/>
      </c>
      <c r="P468" s="448" t="str">
        <f t="shared" si="96"/>
        <v/>
      </c>
      <c r="Q468" s="448" t="str">
        <f t="shared" si="97"/>
        <v/>
      </c>
      <c r="R468" s="448" t="str">
        <f t="shared" si="98"/>
        <v/>
      </c>
      <c r="S468" s="448">
        <v>270.52999999999997</v>
      </c>
      <c r="T468" s="448" t="str">
        <f>IF(OR(A468="", B468=""), "", IF(H468="Unterhaltung", ABS(B468), ""))</f>
        <v/>
      </c>
      <c r="U468" s="448" t="str">
        <f t="shared" si="99"/>
        <v/>
      </c>
      <c r="V468" s="448" t="str">
        <f t="shared" si="106"/>
        <v/>
      </c>
      <c r="W468" s="448" t="str">
        <f t="shared" si="100"/>
        <v/>
      </c>
      <c r="X468" s="448" t="str">
        <f t="shared" si="101"/>
        <v/>
      </c>
      <c r="Y468" s="448" t="str">
        <f t="shared" si="102"/>
        <v/>
      </c>
      <c r="Z468" s="449" t="str">
        <f t="shared" si="104"/>
        <v/>
      </c>
    </row>
    <row r="469" spans="1:26" x14ac:dyDescent="0.35">
      <c r="A469" s="441">
        <v>46003</v>
      </c>
      <c r="B469" s="447">
        <v>-59.94</v>
      </c>
      <c r="C469" s="442" t="s">
        <v>579</v>
      </c>
      <c r="D469" s="442" t="s">
        <v>580</v>
      </c>
      <c r="E469" s="442" t="s">
        <v>640</v>
      </c>
      <c r="F469" s="442" t="s">
        <v>576</v>
      </c>
      <c r="G469" s="443" t="b">
        <f>IF(A469="","",IF(Daten!$AE$4=0,TRUE,MONTH(A469)=Daten!$AE$4))</f>
        <v>1</v>
      </c>
      <c r="H469" s="454" t="s">
        <v>389</v>
      </c>
      <c r="I469" s="443" t="s">
        <v>68</v>
      </c>
      <c r="J469" s="443"/>
      <c r="K469" s="442" t="s">
        <v>637</v>
      </c>
      <c r="L469" s="453"/>
      <c r="M469" s="450" t="str">
        <f t="shared" si="107"/>
        <v/>
      </c>
      <c r="N469" s="450" t="str">
        <f t="shared" si="94"/>
        <v/>
      </c>
      <c r="O469" s="450" t="str">
        <f t="shared" si="95"/>
        <v/>
      </c>
      <c r="P469" s="450" t="str">
        <f t="shared" si="96"/>
        <v/>
      </c>
      <c r="Q469" s="450" t="str">
        <f t="shared" si="97"/>
        <v/>
      </c>
      <c r="R469" s="450" t="str">
        <f t="shared" si="98"/>
        <v/>
      </c>
      <c r="S469" s="450" t="str">
        <f>IF(OR(A469="", B469=""), "", IF(H469="Sonstige Einnahmen", ABS(B469), ""))</f>
        <v/>
      </c>
      <c r="T469" s="450">
        <v>-59.94</v>
      </c>
      <c r="U469" s="450" t="str">
        <f t="shared" si="99"/>
        <v/>
      </c>
      <c r="V469" s="450" t="str">
        <f t="shared" si="106"/>
        <v/>
      </c>
      <c r="W469" s="450" t="str">
        <f t="shared" si="100"/>
        <v/>
      </c>
      <c r="X469" s="450" t="str">
        <f t="shared" si="101"/>
        <v/>
      </c>
      <c r="Y469" s="450" t="str">
        <f t="shared" si="102"/>
        <v/>
      </c>
      <c r="Z469" s="451" t="str">
        <f t="shared" si="104"/>
        <v/>
      </c>
    </row>
    <row r="470" spans="1:26" x14ac:dyDescent="0.35">
      <c r="A470" s="438">
        <v>46006</v>
      </c>
      <c r="B470" s="446">
        <v>-176.42</v>
      </c>
      <c r="C470" s="439" t="s">
        <v>574</v>
      </c>
      <c r="D470" s="439" t="s">
        <v>575</v>
      </c>
      <c r="E470" s="439" t="s">
        <v>638</v>
      </c>
      <c r="F470" s="439" t="s">
        <v>573</v>
      </c>
      <c r="G470" s="440" t="b">
        <f>IF(A470="","",IF(Daten!$AE$4=0,TRUE,MONTH(A470)=Daten!$AE$4))</f>
        <v>1</v>
      </c>
      <c r="H470" s="454" t="s">
        <v>436</v>
      </c>
      <c r="I470" s="440" t="s">
        <v>68</v>
      </c>
      <c r="J470" s="440"/>
      <c r="K470" s="439" t="s">
        <v>637</v>
      </c>
      <c r="L470" s="452"/>
      <c r="M470" s="448" t="str">
        <f t="shared" si="107"/>
        <v/>
      </c>
      <c r="N470" s="448" t="str">
        <f t="shared" si="94"/>
        <v/>
      </c>
      <c r="O470" s="448" t="str">
        <f t="shared" si="95"/>
        <v/>
      </c>
      <c r="P470" s="448" t="str">
        <f t="shared" si="96"/>
        <v/>
      </c>
      <c r="Q470" s="448" t="str">
        <f t="shared" si="97"/>
        <v/>
      </c>
      <c r="R470" s="448" t="str">
        <f t="shared" si="98"/>
        <v/>
      </c>
      <c r="S470" s="448" t="str">
        <f>IF(OR(A470="", B470=""), "", IF(H470="Sonstige Einnahmen", ABS(B470), ""))</f>
        <v/>
      </c>
      <c r="T470" s="448">
        <v>-176.42</v>
      </c>
      <c r="U470" s="448" t="str">
        <f t="shared" si="99"/>
        <v/>
      </c>
      <c r="V470" s="448" t="str">
        <f t="shared" si="106"/>
        <v/>
      </c>
      <c r="W470" s="448" t="str">
        <f t="shared" si="100"/>
        <v/>
      </c>
      <c r="X470" s="448" t="str">
        <f t="shared" si="101"/>
        <v/>
      </c>
      <c r="Y470" s="448" t="str">
        <f t="shared" si="102"/>
        <v/>
      </c>
      <c r="Z470" s="449" t="str">
        <f t="shared" si="104"/>
        <v/>
      </c>
    </row>
    <row r="471" spans="1:26" x14ac:dyDescent="0.35">
      <c r="A471" s="441">
        <v>46006</v>
      </c>
      <c r="B471" s="447">
        <v>-138</v>
      </c>
      <c r="C471" s="442" t="s">
        <v>577</v>
      </c>
      <c r="D471" s="442" t="s">
        <v>578</v>
      </c>
      <c r="E471" s="442" t="s">
        <v>639</v>
      </c>
      <c r="F471" s="442" t="s">
        <v>576</v>
      </c>
      <c r="G471" s="443" t="b">
        <f>IF(A471="","",IF(Daten!$AE$4=0,TRUE,MONTH(A471)=Daten!$AE$4))</f>
        <v>1</v>
      </c>
      <c r="H471" s="454" t="s">
        <v>459</v>
      </c>
      <c r="I471" s="443" t="s">
        <v>68</v>
      </c>
      <c r="J471" s="443"/>
      <c r="K471" s="442" t="s">
        <v>637</v>
      </c>
      <c r="L471" s="453"/>
      <c r="M471" s="450" t="str">
        <f t="shared" si="107"/>
        <v/>
      </c>
      <c r="N471" s="450" t="str">
        <f t="shared" si="94"/>
        <v/>
      </c>
      <c r="O471" s="450" t="str">
        <f t="shared" si="95"/>
        <v/>
      </c>
      <c r="P471" s="450" t="str">
        <f t="shared" si="96"/>
        <v/>
      </c>
      <c r="Q471" s="450" t="str">
        <f t="shared" si="97"/>
        <v/>
      </c>
      <c r="R471" s="450" t="str">
        <f t="shared" si="98"/>
        <v/>
      </c>
      <c r="S471" s="450" t="str">
        <f>IF(OR(A471="", B471=""), "", IF(H471="Sonstige Einnahmen", ABS(B471), ""))</f>
        <v/>
      </c>
      <c r="T471" s="450">
        <v>-138</v>
      </c>
      <c r="U471" s="450" t="str">
        <f t="shared" si="99"/>
        <v/>
      </c>
      <c r="V471" s="450" t="str">
        <f t="shared" si="106"/>
        <v/>
      </c>
      <c r="W471" s="450" t="str">
        <f t="shared" si="100"/>
        <v/>
      </c>
      <c r="X471" s="450" t="str">
        <f t="shared" si="101"/>
        <v/>
      </c>
      <c r="Y471" s="450" t="str">
        <f t="shared" si="102"/>
        <v/>
      </c>
      <c r="Z471" s="451" t="str">
        <f t="shared" si="104"/>
        <v/>
      </c>
    </row>
    <row r="472" spans="1:26" x14ac:dyDescent="0.35">
      <c r="A472" s="438">
        <v>46009</v>
      </c>
      <c r="B472" s="446">
        <v>15</v>
      </c>
      <c r="C472" s="439" t="s">
        <v>571</v>
      </c>
      <c r="D472" s="439" t="s">
        <v>572</v>
      </c>
      <c r="E472" s="439" t="s">
        <v>636</v>
      </c>
      <c r="F472" s="439" t="s">
        <v>570</v>
      </c>
      <c r="G472" s="440" t="b">
        <f>IF(A472="","",IF(Daten!$AE$4=0,TRUE,MONTH(A472)=Daten!$AE$4))</f>
        <v>1</v>
      </c>
      <c r="H472" s="454" t="s">
        <v>415</v>
      </c>
      <c r="I472" s="440" t="s">
        <v>68</v>
      </c>
      <c r="J472" s="440"/>
      <c r="K472" s="439" t="s">
        <v>637</v>
      </c>
      <c r="L472" s="452"/>
      <c r="M472" s="448" t="str">
        <f t="shared" si="107"/>
        <v/>
      </c>
      <c r="N472" s="448" t="str">
        <f t="shared" si="94"/>
        <v/>
      </c>
      <c r="O472" s="448" t="str">
        <f t="shared" si="95"/>
        <v/>
      </c>
      <c r="P472" s="448" t="str">
        <f t="shared" si="96"/>
        <v/>
      </c>
      <c r="Q472" s="448" t="str">
        <f t="shared" si="97"/>
        <v/>
      </c>
      <c r="R472" s="448" t="str">
        <f t="shared" si="98"/>
        <v/>
      </c>
      <c r="S472" s="448">
        <v>15</v>
      </c>
      <c r="T472" s="448" t="str">
        <f>IF(OR(A472="", B472=""), "", IF(H472="Unterhaltung", ABS(B472), ""))</f>
        <v/>
      </c>
      <c r="U472" s="448" t="str">
        <f t="shared" si="99"/>
        <v/>
      </c>
      <c r="V472" s="448" t="str">
        <f t="shared" si="106"/>
        <v/>
      </c>
      <c r="W472" s="448" t="str">
        <f t="shared" si="100"/>
        <v/>
      </c>
      <c r="X472" s="448" t="str">
        <f t="shared" si="101"/>
        <v/>
      </c>
      <c r="Y472" s="448" t="str">
        <f t="shared" si="102"/>
        <v/>
      </c>
      <c r="Z472" s="449" t="str">
        <f t="shared" si="104"/>
        <v/>
      </c>
    </row>
    <row r="473" spans="1:26" x14ac:dyDescent="0.35">
      <c r="A473" s="265"/>
      <c r="B473" s="266"/>
      <c r="C473" s="262"/>
      <c r="D473" s="262"/>
      <c r="E473" s="262"/>
      <c r="F473" s="262"/>
      <c r="G473" s="320"/>
      <c r="H473" s="262"/>
      <c r="I473" s="320"/>
      <c r="J473" s="320"/>
      <c r="K473" s="262"/>
      <c r="L473" s="262"/>
      <c r="M473" s="327" t="str">
        <f t="shared" ref="M473:M490" si="108">IF(OR(A473="", B473=""), "", IF(H473="Mitgliedsbeiträge", ABS(B473), ""))</f>
        <v/>
      </c>
      <c r="N473" s="327" t="str">
        <f t="shared" ref="N473:N490" si="109">IF(OR(A473="", B473=""), "", IF(H473="Spenden", ABS(B473), ""))</f>
        <v/>
      </c>
      <c r="O473" s="327" t="str">
        <f t="shared" ref="O473:O490" si="110">IF(OR(A473="", B473=""), "", IF(H473="Zuschüsse", ABS(B473), ""))</f>
        <v/>
      </c>
      <c r="P473" s="327" t="str">
        <f t="shared" ref="P473:P490" si="111">IF(OR(A473="", B473=""), "", IF(H473="Verwaltung", ABS(B473), ""))</f>
        <v/>
      </c>
      <c r="Q473" s="327" t="str">
        <f t="shared" ref="Q473:Q490" si="112">IF(OR(A473="", B473=""), "", IF(H473="Vermögen", ABS(B473), ""))</f>
        <v/>
      </c>
      <c r="R473" s="327" t="str">
        <f t="shared" ref="R473:R490" si="113">IF(OR(A473="", B473=""), "", IF(H473="Vermögen", ABS(B473), ""))</f>
        <v/>
      </c>
      <c r="S473" s="421" t="str">
        <f t="shared" ref="S473:S490" si="114">IF(OR(A473="", B473=""), "", IF(H473="Sonstige Einnahmen", ABS(B473), ""))</f>
        <v/>
      </c>
      <c r="T473" s="327" t="str">
        <f t="shared" ref="T473:T490" si="115">IF(OR(A473="", B473=""), "", IF(H473="Unterhaltung", ABS(B473), ""))</f>
        <v/>
      </c>
      <c r="U473" s="327" t="str">
        <f t="shared" ref="U473:U490" si="116">IF(OR(A473="", B473=""), "", IF(H473="Fortbildung", ABS(B473), ""))</f>
        <v/>
      </c>
      <c r="V473" s="327" t="str">
        <f t="shared" ref="V473:V490" si="117">IF(OR(A473="", B473=""), "", IF(H473="Veranstaltungen Ausgabe", ABS(B473), ""))</f>
        <v/>
      </c>
      <c r="W473" s="327" t="str">
        <f t="shared" ref="W473:W490" si="118">IF(OR(A473="", B473=""), "", IF(H473="Bürobetrieb", ABS(B473), ""))</f>
        <v/>
      </c>
      <c r="X473" s="327" t="str">
        <f t="shared" ref="X473:X490" si="119">IF(OR(A473="", B473=""), "", IF(H473="Aufwandsentschädigungen", ABS(B473), ""))</f>
        <v/>
      </c>
      <c r="Y473" s="327" t="str">
        <f t="shared" ref="Y473:Y490" si="120">IF(OR(A473="", B473=""), "", IF(H473="Sonstige Ausgaben", ABS(B473), ""))</f>
        <v/>
      </c>
      <c r="Z473" s="428" t="str">
        <f t="shared" ref="Z473:Z490" si="121">IF(OR(A473="", B473=""), "", IF(H473="Kasse-Auszahlung", ABS(B473), ""))</f>
        <v/>
      </c>
    </row>
    <row r="474" spans="1:26" x14ac:dyDescent="0.35">
      <c r="A474" s="265"/>
      <c r="B474" s="266"/>
      <c r="C474" s="262"/>
      <c r="D474" s="262"/>
      <c r="E474" s="262"/>
      <c r="F474" s="262"/>
      <c r="G474" s="320"/>
      <c r="H474" s="262"/>
      <c r="I474" s="320"/>
      <c r="J474" s="320"/>
      <c r="K474" s="262"/>
      <c r="L474" s="262"/>
      <c r="M474" s="327" t="str">
        <f t="shared" si="108"/>
        <v/>
      </c>
      <c r="N474" s="327" t="str">
        <f t="shared" si="109"/>
        <v/>
      </c>
      <c r="O474" s="327" t="str">
        <f t="shared" si="110"/>
        <v/>
      </c>
      <c r="P474" s="327" t="str">
        <f t="shared" si="111"/>
        <v/>
      </c>
      <c r="Q474" s="327" t="str">
        <f t="shared" si="112"/>
        <v/>
      </c>
      <c r="R474" s="327" t="str">
        <f t="shared" si="113"/>
        <v/>
      </c>
      <c r="S474" s="421" t="str">
        <f t="shared" si="114"/>
        <v/>
      </c>
      <c r="T474" s="327" t="str">
        <f t="shared" si="115"/>
        <v/>
      </c>
      <c r="U474" s="327" t="str">
        <f t="shared" si="116"/>
        <v/>
      </c>
      <c r="V474" s="327" t="str">
        <f t="shared" si="117"/>
        <v/>
      </c>
      <c r="W474" s="327" t="str">
        <f t="shared" si="118"/>
        <v/>
      </c>
      <c r="X474" s="327" t="str">
        <f t="shared" si="119"/>
        <v/>
      </c>
      <c r="Y474" s="327" t="str">
        <f t="shared" si="120"/>
        <v/>
      </c>
      <c r="Z474" s="428" t="str">
        <f t="shared" si="121"/>
        <v/>
      </c>
    </row>
    <row r="475" spans="1:26" x14ac:dyDescent="0.35">
      <c r="A475" s="265"/>
      <c r="B475" s="266"/>
      <c r="C475" s="262"/>
      <c r="D475" s="262"/>
      <c r="E475" s="262"/>
      <c r="F475" s="262"/>
      <c r="G475" s="320"/>
      <c r="H475" s="262"/>
      <c r="I475" s="320"/>
      <c r="J475" s="320"/>
      <c r="K475" s="262"/>
      <c r="L475" s="262"/>
      <c r="M475" s="327" t="str">
        <f t="shared" si="108"/>
        <v/>
      </c>
      <c r="N475" s="327" t="str">
        <f t="shared" si="109"/>
        <v/>
      </c>
      <c r="O475" s="327" t="str">
        <f t="shared" si="110"/>
        <v/>
      </c>
      <c r="P475" s="327" t="str">
        <f t="shared" si="111"/>
        <v/>
      </c>
      <c r="Q475" s="327" t="str">
        <f t="shared" si="112"/>
        <v/>
      </c>
      <c r="R475" s="327" t="str">
        <f t="shared" si="113"/>
        <v/>
      </c>
      <c r="S475" s="421" t="str">
        <f t="shared" si="114"/>
        <v/>
      </c>
      <c r="T475" s="327" t="str">
        <f t="shared" si="115"/>
        <v/>
      </c>
      <c r="U475" s="327" t="str">
        <f t="shared" si="116"/>
        <v/>
      </c>
      <c r="V475" s="327" t="str">
        <f t="shared" si="117"/>
        <v/>
      </c>
      <c r="W475" s="327" t="str">
        <f t="shared" si="118"/>
        <v/>
      </c>
      <c r="X475" s="327" t="str">
        <f t="shared" si="119"/>
        <v/>
      </c>
      <c r="Y475" s="327" t="str">
        <f t="shared" si="120"/>
        <v/>
      </c>
      <c r="Z475" s="428" t="str">
        <f t="shared" si="121"/>
        <v/>
      </c>
    </row>
    <row r="476" spans="1:26" x14ac:dyDescent="0.35">
      <c r="A476" s="265"/>
      <c r="B476" s="266"/>
      <c r="C476" s="262"/>
      <c r="D476" s="262"/>
      <c r="E476" s="262"/>
      <c r="F476" s="262"/>
      <c r="G476" s="320"/>
      <c r="H476" s="262"/>
      <c r="I476" s="320"/>
      <c r="J476" s="320"/>
      <c r="K476" s="262"/>
      <c r="L476" s="262"/>
      <c r="M476" s="327" t="str">
        <f t="shared" si="108"/>
        <v/>
      </c>
      <c r="N476" s="327" t="str">
        <f t="shared" si="109"/>
        <v/>
      </c>
      <c r="O476" s="327" t="str">
        <f t="shared" si="110"/>
        <v/>
      </c>
      <c r="P476" s="327" t="str">
        <f t="shared" si="111"/>
        <v/>
      </c>
      <c r="Q476" s="327" t="str">
        <f t="shared" si="112"/>
        <v/>
      </c>
      <c r="R476" s="327" t="str">
        <f t="shared" si="113"/>
        <v/>
      </c>
      <c r="S476" s="421" t="str">
        <f t="shared" si="114"/>
        <v/>
      </c>
      <c r="T476" s="327" t="str">
        <f t="shared" si="115"/>
        <v/>
      </c>
      <c r="U476" s="327" t="str">
        <f t="shared" si="116"/>
        <v/>
      </c>
      <c r="V476" s="327" t="str">
        <f t="shared" si="117"/>
        <v/>
      </c>
      <c r="W476" s="327" t="str">
        <f t="shared" si="118"/>
        <v/>
      </c>
      <c r="X476" s="327" t="str">
        <f t="shared" si="119"/>
        <v/>
      </c>
      <c r="Y476" s="327" t="str">
        <f t="shared" si="120"/>
        <v/>
      </c>
      <c r="Z476" s="428" t="str">
        <f t="shared" si="121"/>
        <v/>
      </c>
    </row>
    <row r="477" spans="1:26" x14ac:dyDescent="0.35">
      <c r="A477" s="265"/>
      <c r="B477" s="266"/>
      <c r="C477" s="262"/>
      <c r="D477" s="262"/>
      <c r="E477" s="262"/>
      <c r="F477" s="262"/>
      <c r="G477" s="320"/>
      <c r="H477" s="262"/>
      <c r="I477" s="320"/>
      <c r="J477" s="320"/>
      <c r="K477" s="262"/>
      <c r="L477" s="262"/>
      <c r="M477" s="327" t="str">
        <f t="shared" si="108"/>
        <v/>
      </c>
      <c r="N477" s="327" t="str">
        <f t="shared" si="109"/>
        <v/>
      </c>
      <c r="O477" s="327" t="str">
        <f t="shared" si="110"/>
        <v/>
      </c>
      <c r="P477" s="327" t="str">
        <f t="shared" si="111"/>
        <v/>
      </c>
      <c r="Q477" s="327" t="str">
        <f t="shared" si="112"/>
        <v/>
      </c>
      <c r="R477" s="327" t="str">
        <f t="shared" si="113"/>
        <v/>
      </c>
      <c r="S477" s="421" t="str">
        <f t="shared" si="114"/>
        <v/>
      </c>
      <c r="T477" s="327" t="str">
        <f t="shared" si="115"/>
        <v/>
      </c>
      <c r="U477" s="327" t="str">
        <f t="shared" si="116"/>
        <v/>
      </c>
      <c r="V477" s="327" t="str">
        <f t="shared" si="117"/>
        <v/>
      </c>
      <c r="W477" s="327" t="str">
        <f t="shared" si="118"/>
        <v/>
      </c>
      <c r="X477" s="327" t="str">
        <f t="shared" si="119"/>
        <v/>
      </c>
      <c r="Y477" s="327" t="str">
        <f t="shared" si="120"/>
        <v/>
      </c>
      <c r="Z477" s="428" t="str">
        <f t="shared" si="121"/>
        <v/>
      </c>
    </row>
    <row r="478" spans="1:26" x14ac:dyDescent="0.35">
      <c r="A478" s="265"/>
      <c r="B478" s="266"/>
      <c r="C478" s="262"/>
      <c r="D478" s="262"/>
      <c r="E478" s="262"/>
      <c r="F478" s="262"/>
      <c r="G478" s="320"/>
      <c r="H478" s="262"/>
      <c r="I478" s="320"/>
      <c r="J478" s="320"/>
      <c r="K478" s="262"/>
      <c r="L478" s="262"/>
      <c r="M478" s="327" t="str">
        <f t="shared" si="108"/>
        <v/>
      </c>
      <c r="N478" s="327" t="str">
        <f t="shared" si="109"/>
        <v/>
      </c>
      <c r="O478" s="327" t="str">
        <f t="shared" si="110"/>
        <v/>
      </c>
      <c r="P478" s="327" t="str">
        <f t="shared" si="111"/>
        <v/>
      </c>
      <c r="Q478" s="327" t="str">
        <f t="shared" si="112"/>
        <v/>
      </c>
      <c r="R478" s="327" t="str">
        <f t="shared" si="113"/>
        <v/>
      </c>
      <c r="S478" s="421" t="str">
        <f t="shared" si="114"/>
        <v/>
      </c>
      <c r="T478" s="327" t="str">
        <f t="shared" si="115"/>
        <v/>
      </c>
      <c r="U478" s="327" t="str">
        <f t="shared" si="116"/>
        <v/>
      </c>
      <c r="V478" s="327" t="str">
        <f t="shared" si="117"/>
        <v/>
      </c>
      <c r="W478" s="327" t="str">
        <f t="shared" si="118"/>
        <v/>
      </c>
      <c r="X478" s="327" t="str">
        <f t="shared" si="119"/>
        <v/>
      </c>
      <c r="Y478" s="327" t="str">
        <f t="shared" si="120"/>
        <v/>
      </c>
      <c r="Z478" s="428" t="str">
        <f t="shared" si="121"/>
        <v/>
      </c>
    </row>
    <row r="479" spans="1:26" x14ac:dyDescent="0.35">
      <c r="A479" s="265"/>
      <c r="B479" s="266"/>
      <c r="C479" s="262"/>
      <c r="D479" s="262"/>
      <c r="E479" s="262"/>
      <c r="F479" s="262"/>
      <c r="G479" s="320"/>
      <c r="H479" s="262"/>
      <c r="I479" s="320"/>
      <c r="J479" s="320"/>
      <c r="K479" s="262"/>
      <c r="L479" s="262"/>
      <c r="M479" s="327" t="str">
        <f t="shared" si="108"/>
        <v/>
      </c>
      <c r="N479" s="327" t="str">
        <f t="shared" si="109"/>
        <v/>
      </c>
      <c r="O479" s="327" t="str">
        <f t="shared" si="110"/>
        <v/>
      </c>
      <c r="P479" s="327" t="str">
        <f t="shared" si="111"/>
        <v/>
      </c>
      <c r="Q479" s="327" t="str">
        <f t="shared" si="112"/>
        <v/>
      </c>
      <c r="R479" s="327" t="str">
        <f t="shared" si="113"/>
        <v/>
      </c>
      <c r="S479" s="421" t="str">
        <f t="shared" si="114"/>
        <v/>
      </c>
      <c r="T479" s="327" t="str">
        <f t="shared" si="115"/>
        <v/>
      </c>
      <c r="U479" s="327" t="str">
        <f t="shared" si="116"/>
        <v/>
      </c>
      <c r="V479" s="327" t="str">
        <f t="shared" si="117"/>
        <v/>
      </c>
      <c r="W479" s="327" t="str">
        <f t="shared" si="118"/>
        <v/>
      </c>
      <c r="X479" s="327" t="str">
        <f t="shared" si="119"/>
        <v/>
      </c>
      <c r="Y479" s="327" t="str">
        <f t="shared" si="120"/>
        <v/>
      </c>
      <c r="Z479" s="428" t="str">
        <f t="shared" si="121"/>
        <v/>
      </c>
    </row>
    <row r="480" spans="1:26" x14ac:dyDescent="0.35">
      <c r="A480" s="265"/>
      <c r="B480" s="266"/>
      <c r="C480" s="262"/>
      <c r="D480" s="262"/>
      <c r="E480" s="262"/>
      <c r="F480" s="262"/>
      <c r="G480" s="320"/>
      <c r="H480" s="262"/>
      <c r="I480" s="320"/>
      <c r="J480" s="320"/>
      <c r="K480" s="262"/>
      <c r="L480" s="262"/>
      <c r="M480" s="327" t="str">
        <f t="shared" si="108"/>
        <v/>
      </c>
      <c r="N480" s="327" t="str">
        <f t="shared" si="109"/>
        <v/>
      </c>
      <c r="O480" s="327" t="str">
        <f t="shared" si="110"/>
        <v/>
      </c>
      <c r="P480" s="327" t="str">
        <f t="shared" si="111"/>
        <v/>
      </c>
      <c r="Q480" s="327" t="str">
        <f t="shared" si="112"/>
        <v/>
      </c>
      <c r="R480" s="327" t="str">
        <f t="shared" si="113"/>
        <v/>
      </c>
      <c r="S480" s="421" t="str">
        <f t="shared" si="114"/>
        <v/>
      </c>
      <c r="T480" s="327" t="str">
        <f t="shared" si="115"/>
        <v/>
      </c>
      <c r="U480" s="327" t="str">
        <f t="shared" si="116"/>
        <v/>
      </c>
      <c r="V480" s="327" t="str">
        <f t="shared" si="117"/>
        <v/>
      </c>
      <c r="W480" s="327" t="str">
        <f t="shared" si="118"/>
        <v/>
      </c>
      <c r="X480" s="327" t="str">
        <f t="shared" si="119"/>
        <v/>
      </c>
      <c r="Y480" s="327" t="str">
        <f t="shared" si="120"/>
        <v/>
      </c>
      <c r="Z480" s="428" t="str">
        <f t="shared" si="121"/>
        <v/>
      </c>
    </row>
    <row r="481" spans="1:26" x14ac:dyDescent="0.35">
      <c r="A481" s="265"/>
      <c r="B481" s="266"/>
      <c r="C481" s="262"/>
      <c r="D481" s="262"/>
      <c r="E481" s="262"/>
      <c r="F481" s="262"/>
      <c r="G481" s="320"/>
      <c r="H481" s="262"/>
      <c r="I481" s="320"/>
      <c r="J481" s="320"/>
      <c r="K481" s="262"/>
      <c r="L481" s="262"/>
      <c r="M481" s="327" t="str">
        <f t="shared" si="108"/>
        <v/>
      </c>
      <c r="N481" s="327" t="str">
        <f t="shared" si="109"/>
        <v/>
      </c>
      <c r="O481" s="327" t="str">
        <f t="shared" si="110"/>
        <v/>
      </c>
      <c r="P481" s="327" t="str">
        <f t="shared" si="111"/>
        <v/>
      </c>
      <c r="Q481" s="327" t="str">
        <f t="shared" si="112"/>
        <v/>
      </c>
      <c r="R481" s="327" t="str">
        <f t="shared" si="113"/>
        <v/>
      </c>
      <c r="S481" s="421" t="str">
        <f t="shared" si="114"/>
        <v/>
      </c>
      <c r="T481" s="327" t="str">
        <f t="shared" si="115"/>
        <v/>
      </c>
      <c r="U481" s="327" t="str">
        <f t="shared" si="116"/>
        <v/>
      </c>
      <c r="V481" s="327" t="str">
        <f t="shared" si="117"/>
        <v/>
      </c>
      <c r="W481" s="327" t="str">
        <f t="shared" si="118"/>
        <v/>
      </c>
      <c r="X481" s="327" t="str">
        <f t="shared" si="119"/>
        <v/>
      </c>
      <c r="Y481" s="327" t="str">
        <f t="shared" si="120"/>
        <v/>
      </c>
      <c r="Z481" s="428" t="str">
        <f t="shared" si="121"/>
        <v/>
      </c>
    </row>
    <row r="482" spans="1:26" x14ac:dyDescent="0.35">
      <c r="A482" s="265"/>
      <c r="B482" s="266"/>
      <c r="C482" s="262"/>
      <c r="D482" s="262"/>
      <c r="E482" s="262"/>
      <c r="F482" s="262"/>
      <c r="G482" s="320"/>
      <c r="H482" s="262"/>
      <c r="I482" s="320"/>
      <c r="J482" s="320"/>
      <c r="K482" s="262"/>
      <c r="L482" s="262"/>
      <c r="M482" s="327" t="str">
        <f t="shared" si="108"/>
        <v/>
      </c>
      <c r="N482" s="327" t="str">
        <f t="shared" si="109"/>
        <v/>
      </c>
      <c r="O482" s="327" t="str">
        <f t="shared" si="110"/>
        <v/>
      </c>
      <c r="P482" s="327" t="str">
        <f t="shared" si="111"/>
        <v/>
      </c>
      <c r="Q482" s="327" t="str">
        <f t="shared" si="112"/>
        <v/>
      </c>
      <c r="R482" s="327" t="str">
        <f t="shared" si="113"/>
        <v/>
      </c>
      <c r="S482" s="421" t="str">
        <f t="shared" si="114"/>
        <v/>
      </c>
      <c r="T482" s="327" t="str">
        <f t="shared" si="115"/>
        <v/>
      </c>
      <c r="U482" s="327" t="str">
        <f t="shared" si="116"/>
        <v/>
      </c>
      <c r="V482" s="327" t="str">
        <f t="shared" si="117"/>
        <v/>
      </c>
      <c r="W482" s="327" t="str">
        <f t="shared" si="118"/>
        <v/>
      </c>
      <c r="X482" s="327" t="str">
        <f t="shared" si="119"/>
        <v/>
      </c>
      <c r="Y482" s="327" t="str">
        <f t="shared" si="120"/>
        <v/>
      </c>
      <c r="Z482" s="428" t="str">
        <f t="shared" si="121"/>
        <v/>
      </c>
    </row>
    <row r="483" spans="1:26" x14ac:dyDescent="0.35">
      <c r="A483" s="265"/>
      <c r="B483" s="266"/>
      <c r="C483" s="262"/>
      <c r="D483" s="262"/>
      <c r="E483" s="262"/>
      <c r="F483" s="262"/>
      <c r="G483" s="320"/>
      <c r="H483" s="262"/>
      <c r="I483" s="320"/>
      <c r="J483" s="320"/>
      <c r="K483" s="262"/>
      <c r="L483" s="262"/>
      <c r="M483" s="327" t="str">
        <f t="shared" si="108"/>
        <v/>
      </c>
      <c r="N483" s="327" t="str">
        <f t="shared" si="109"/>
        <v/>
      </c>
      <c r="O483" s="327" t="str">
        <f t="shared" si="110"/>
        <v/>
      </c>
      <c r="P483" s="327" t="str">
        <f t="shared" si="111"/>
        <v/>
      </c>
      <c r="Q483" s="327" t="str">
        <f t="shared" si="112"/>
        <v/>
      </c>
      <c r="R483" s="327" t="str">
        <f t="shared" si="113"/>
        <v/>
      </c>
      <c r="S483" s="421" t="str">
        <f t="shared" si="114"/>
        <v/>
      </c>
      <c r="T483" s="327" t="str">
        <f t="shared" si="115"/>
        <v/>
      </c>
      <c r="U483" s="327" t="str">
        <f t="shared" si="116"/>
        <v/>
      </c>
      <c r="V483" s="327" t="str">
        <f t="shared" si="117"/>
        <v/>
      </c>
      <c r="W483" s="327" t="str">
        <f t="shared" si="118"/>
        <v/>
      </c>
      <c r="X483" s="327" t="str">
        <f t="shared" si="119"/>
        <v/>
      </c>
      <c r="Y483" s="327" t="str">
        <f t="shared" si="120"/>
        <v/>
      </c>
      <c r="Z483" s="428" t="str">
        <f t="shared" si="121"/>
        <v/>
      </c>
    </row>
    <row r="484" spans="1:26" x14ac:dyDescent="0.35">
      <c r="A484" s="265"/>
      <c r="B484" s="266"/>
      <c r="C484" s="262"/>
      <c r="D484" s="262"/>
      <c r="E484" s="262"/>
      <c r="F484" s="262"/>
      <c r="G484" s="320"/>
      <c r="H484" s="262"/>
      <c r="I484" s="320"/>
      <c r="J484" s="320"/>
      <c r="K484" s="262"/>
      <c r="L484" s="262"/>
      <c r="M484" s="327" t="str">
        <f t="shared" si="108"/>
        <v/>
      </c>
      <c r="N484" s="327" t="str">
        <f t="shared" si="109"/>
        <v/>
      </c>
      <c r="O484" s="327" t="str">
        <f t="shared" si="110"/>
        <v/>
      </c>
      <c r="P484" s="327" t="str">
        <f t="shared" si="111"/>
        <v/>
      </c>
      <c r="Q484" s="327" t="str">
        <f t="shared" si="112"/>
        <v/>
      </c>
      <c r="R484" s="327" t="str">
        <f t="shared" si="113"/>
        <v/>
      </c>
      <c r="S484" s="421" t="str">
        <f t="shared" si="114"/>
        <v/>
      </c>
      <c r="T484" s="327" t="str">
        <f t="shared" si="115"/>
        <v/>
      </c>
      <c r="U484" s="327" t="str">
        <f t="shared" si="116"/>
        <v/>
      </c>
      <c r="V484" s="327" t="str">
        <f t="shared" si="117"/>
        <v/>
      </c>
      <c r="W484" s="327" t="str">
        <f t="shared" si="118"/>
        <v/>
      </c>
      <c r="X484" s="327" t="str">
        <f t="shared" si="119"/>
        <v/>
      </c>
      <c r="Y484" s="327" t="str">
        <f t="shared" si="120"/>
        <v/>
      </c>
      <c r="Z484" s="428" t="str">
        <f t="shared" si="121"/>
        <v/>
      </c>
    </row>
    <row r="485" spans="1:26" x14ac:dyDescent="0.35">
      <c r="A485" s="265"/>
      <c r="B485" s="266"/>
      <c r="C485" s="262"/>
      <c r="D485" s="262"/>
      <c r="E485" s="262"/>
      <c r="F485" s="262"/>
      <c r="G485" s="320"/>
      <c r="H485" s="262"/>
      <c r="I485" s="320"/>
      <c r="J485" s="320"/>
      <c r="K485" s="262"/>
      <c r="L485" s="262"/>
      <c r="M485" s="327" t="str">
        <f t="shared" si="108"/>
        <v/>
      </c>
      <c r="N485" s="327" t="str">
        <f t="shared" si="109"/>
        <v/>
      </c>
      <c r="O485" s="327" t="str">
        <f t="shared" si="110"/>
        <v/>
      </c>
      <c r="P485" s="327" t="str">
        <f t="shared" si="111"/>
        <v/>
      </c>
      <c r="Q485" s="327" t="str">
        <f t="shared" si="112"/>
        <v/>
      </c>
      <c r="R485" s="327" t="str">
        <f t="shared" si="113"/>
        <v/>
      </c>
      <c r="S485" s="421" t="str">
        <f t="shared" si="114"/>
        <v/>
      </c>
      <c r="T485" s="327" t="str">
        <f t="shared" si="115"/>
        <v/>
      </c>
      <c r="U485" s="327" t="str">
        <f t="shared" si="116"/>
        <v/>
      </c>
      <c r="V485" s="327" t="str">
        <f t="shared" si="117"/>
        <v/>
      </c>
      <c r="W485" s="327" t="str">
        <f t="shared" si="118"/>
        <v/>
      </c>
      <c r="X485" s="327" t="str">
        <f t="shared" si="119"/>
        <v/>
      </c>
      <c r="Y485" s="327" t="str">
        <f t="shared" si="120"/>
        <v/>
      </c>
      <c r="Z485" s="428" t="str">
        <f t="shared" si="121"/>
        <v/>
      </c>
    </row>
    <row r="486" spans="1:26" x14ac:dyDescent="0.35">
      <c r="A486" s="265"/>
      <c r="B486" s="266"/>
      <c r="C486" s="262"/>
      <c r="D486" s="262"/>
      <c r="E486" s="262"/>
      <c r="F486" s="262"/>
      <c r="G486" s="320"/>
      <c r="H486" s="262"/>
      <c r="I486" s="320"/>
      <c r="J486" s="320"/>
      <c r="K486" s="262"/>
      <c r="L486" s="262"/>
      <c r="M486" s="327" t="str">
        <f t="shared" si="108"/>
        <v/>
      </c>
      <c r="N486" s="327" t="str">
        <f t="shared" si="109"/>
        <v/>
      </c>
      <c r="O486" s="327" t="str">
        <f t="shared" si="110"/>
        <v/>
      </c>
      <c r="P486" s="327" t="str">
        <f t="shared" si="111"/>
        <v/>
      </c>
      <c r="Q486" s="327" t="str">
        <f t="shared" si="112"/>
        <v/>
      </c>
      <c r="R486" s="327" t="str">
        <f t="shared" si="113"/>
        <v/>
      </c>
      <c r="S486" s="421" t="str">
        <f t="shared" si="114"/>
        <v/>
      </c>
      <c r="T486" s="327" t="str">
        <f t="shared" si="115"/>
        <v/>
      </c>
      <c r="U486" s="327" t="str">
        <f t="shared" si="116"/>
        <v/>
      </c>
      <c r="V486" s="327" t="str">
        <f t="shared" si="117"/>
        <v/>
      </c>
      <c r="W486" s="327" t="str">
        <f t="shared" si="118"/>
        <v/>
      </c>
      <c r="X486" s="327" t="str">
        <f t="shared" si="119"/>
        <v/>
      </c>
      <c r="Y486" s="327" t="str">
        <f t="shared" si="120"/>
        <v/>
      </c>
      <c r="Z486" s="428" t="str">
        <f t="shared" si="121"/>
        <v/>
      </c>
    </row>
    <row r="487" spans="1:26" x14ac:dyDescent="0.35">
      <c r="A487" s="265"/>
      <c r="B487" s="266"/>
      <c r="C487" s="262"/>
      <c r="D487" s="262"/>
      <c r="E487" s="262"/>
      <c r="F487" s="262"/>
      <c r="G487" s="320"/>
      <c r="H487" s="262"/>
      <c r="I487" s="320"/>
      <c r="J487" s="320"/>
      <c r="K487" s="262"/>
      <c r="L487" s="262"/>
      <c r="M487" s="327" t="str">
        <f t="shared" si="108"/>
        <v/>
      </c>
      <c r="N487" s="327" t="str">
        <f t="shared" si="109"/>
        <v/>
      </c>
      <c r="O487" s="327" t="str">
        <f t="shared" si="110"/>
        <v/>
      </c>
      <c r="P487" s="327" t="str">
        <f t="shared" si="111"/>
        <v/>
      </c>
      <c r="Q487" s="327" t="str">
        <f t="shared" si="112"/>
        <v/>
      </c>
      <c r="R487" s="327" t="str">
        <f t="shared" si="113"/>
        <v/>
      </c>
      <c r="S487" s="421" t="str">
        <f t="shared" si="114"/>
        <v/>
      </c>
      <c r="T487" s="327" t="str">
        <f t="shared" si="115"/>
        <v/>
      </c>
      <c r="U487" s="327" t="str">
        <f t="shared" si="116"/>
        <v/>
      </c>
      <c r="V487" s="327" t="str">
        <f t="shared" si="117"/>
        <v/>
      </c>
      <c r="W487" s="327" t="str">
        <f t="shared" si="118"/>
        <v/>
      </c>
      <c r="X487" s="327" t="str">
        <f t="shared" si="119"/>
        <v/>
      </c>
      <c r="Y487" s="327" t="str">
        <f t="shared" si="120"/>
        <v/>
      </c>
      <c r="Z487" s="428" t="str">
        <f t="shared" si="121"/>
        <v/>
      </c>
    </row>
    <row r="488" spans="1:26" x14ac:dyDescent="0.35">
      <c r="A488" s="265"/>
      <c r="B488" s="266"/>
      <c r="C488" s="262"/>
      <c r="D488" s="262"/>
      <c r="E488" s="262"/>
      <c r="F488" s="262"/>
      <c r="G488" s="320"/>
      <c r="H488" s="262"/>
      <c r="I488" s="320"/>
      <c r="J488" s="320"/>
      <c r="K488" s="262"/>
      <c r="L488" s="262"/>
      <c r="M488" s="327" t="str">
        <f t="shared" si="108"/>
        <v/>
      </c>
      <c r="N488" s="327" t="str">
        <f t="shared" si="109"/>
        <v/>
      </c>
      <c r="O488" s="327" t="str">
        <f t="shared" si="110"/>
        <v/>
      </c>
      <c r="P488" s="327" t="str">
        <f t="shared" si="111"/>
        <v/>
      </c>
      <c r="Q488" s="327" t="str">
        <f t="shared" si="112"/>
        <v/>
      </c>
      <c r="R488" s="327" t="str">
        <f t="shared" si="113"/>
        <v/>
      </c>
      <c r="S488" s="421" t="str">
        <f t="shared" si="114"/>
        <v/>
      </c>
      <c r="T488" s="327" t="str">
        <f t="shared" si="115"/>
        <v/>
      </c>
      <c r="U488" s="327" t="str">
        <f t="shared" si="116"/>
        <v/>
      </c>
      <c r="V488" s="327" t="str">
        <f t="shared" si="117"/>
        <v/>
      </c>
      <c r="W488" s="327" t="str">
        <f t="shared" si="118"/>
        <v/>
      </c>
      <c r="X488" s="327" t="str">
        <f t="shared" si="119"/>
        <v/>
      </c>
      <c r="Y488" s="327" t="str">
        <f t="shared" si="120"/>
        <v/>
      </c>
      <c r="Z488" s="428" t="str">
        <f t="shared" si="121"/>
        <v/>
      </c>
    </row>
    <row r="489" spans="1:26" x14ac:dyDescent="0.35">
      <c r="A489" s="265"/>
      <c r="B489" s="266"/>
      <c r="C489" s="262"/>
      <c r="D489" s="262"/>
      <c r="E489" s="262"/>
      <c r="F489" s="262"/>
      <c r="G489" s="320"/>
      <c r="H489" s="262"/>
      <c r="I489" s="320"/>
      <c r="J489" s="320"/>
      <c r="K489" s="262"/>
      <c r="L489" s="262"/>
      <c r="M489" s="327" t="str">
        <f t="shared" si="108"/>
        <v/>
      </c>
      <c r="N489" s="327" t="str">
        <f t="shared" si="109"/>
        <v/>
      </c>
      <c r="O489" s="327" t="str">
        <f t="shared" si="110"/>
        <v/>
      </c>
      <c r="P489" s="327" t="str">
        <f t="shared" si="111"/>
        <v/>
      </c>
      <c r="Q489" s="327" t="str">
        <f t="shared" si="112"/>
        <v/>
      </c>
      <c r="R489" s="327" t="str">
        <f t="shared" si="113"/>
        <v/>
      </c>
      <c r="S489" s="421" t="str">
        <f t="shared" si="114"/>
        <v/>
      </c>
      <c r="T489" s="327" t="str">
        <f t="shared" si="115"/>
        <v/>
      </c>
      <c r="U489" s="327" t="str">
        <f t="shared" si="116"/>
        <v/>
      </c>
      <c r="V489" s="327" t="str">
        <f t="shared" si="117"/>
        <v/>
      </c>
      <c r="W489" s="327" t="str">
        <f t="shared" si="118"/>
        <v/>
      </c>
      <c r="X489" s="327" t="str">
        <f t="shared" si="119"/>
        <v/>
      </c>
      <c r="Y489" s="327" t="str">
        <f t="shared" si="120"/>
        <v/>
      </c>
      <c r="Z489" s="428" t="str">
        <f t="shared" si="121"/>
        <v/>
      </c>
    </row>
    <row r="490" spans="1:26" x14ac:dyDescent="0.35">
      <c r="A490" s="265"/>
      <c r="B490" s="266"/>
      <c r="C490" s="262"/>
      <c r="D490" s="262"/>
      <c r="E490" s="262"/>
      <c r="F490" s="262"/>
      <c r="G490" s="320"/>
      <c r="H490" s="262"/>
      <c r="I490" s="320"/>
      <c r="J490" s="320"/>
      <c r="K490" s="262"/>
      <c r="L490" s="262"/>
      <c r="M490" s="327" t="str">
        <f t="shared" si="108"/>
        <v/>
      </c>
      <c r="N490" s="327" t="str">
        <f t="shared" si="109"/>
        <v/>
      </c>
      <c r="O490" s="327" t="str">
        <f t="shared" si="110"/>
        <v/>
      </c>
      <c r="P490" s="327" t="str">
        <f t="shared" si="111"/>
        <v/>
      </c>
      <c r="Q490" s="327" t="str">
        <f t="shared" si="112"/>
        <v/>
      </c>
      <c r="R490" s="327" t="str">
        <f t="shared" si="113"/>
        <v/>
      </c>
      <c r="S490" s="421" t="str">
        <f t="shared" si="114"/>
        <v/>
      </c>
      <c r="T490" s="327" t="str">
        <f t="shared" si="115"/>
        <v/>
      </c>
      <c r="U490" s="327" t="str">
        <f t="shared" si="116"/>
        <v/>
      </c>
      <c r="V490" s="327" t="str">
        <f t="shared" si="117"/>
        <v/>
      </c>
      <c r="W490" s="327" t="str">
        <f t="shared" si="118"/>
        <v/>
      </c>
      <c r="X490" s="327" t="str">
        <f t="shared" si="119"/>
        <v/>
      </c>
      <c r="Y490" s="327" t="str">
        <f t="shared" si="120"/>
        <v/>
      </c>
      <c r="Z490" s="428" t="str">
        <f t="shared" si="121"/>
        <v/>
      </c>
    </row>
    <row r="491" spans="1:26" x14ac:dyDescent="0.35">
      <c r="A491" s="265"/>
      <c r="B491" s="266"/>
      <c r="C491" s="262"/>
      <c r="D491" s="262"/>
      <c r="E491" s="262"/>
      <c r="F491" s="262"/>
      <c r="G491" s="320"/>
      <c r="H491" s="262"/>
      <c r="I491" s="320"/>
      <c r="J491" s="320"/>
      <c r="K491" s="262"/>
      <c r="L491" s="262"/>
      <c r="M491" s="327" t="str">
        <f t="shared" ref="M491:M554" si="122">IF(OR(A491="", B491=""), "", IF(H491="Mitgliedsbeiträge", ABS(B491), ""))</f>
        <v/>
      </c>
      <c r="N491" s="327" t="str">
        <f t="shared" ref="N491:N554" si="123">IF(OR(A491="", B491=""), "", IF(H491="Spenden", ABS(B491), ""))</f>
        <v/>
      </c>
      <c r="O491" s="327" t="str">
        <f t="shared" ref="O491:O554" si="124">IF(OR(A491="", B491=""), "", IF(H491="Zuschüsse", ABS(B491), ""))</f>
        <v/>
      </c>
      <c r="P491" s="327" t="str">
        <f t="shared" ref="P491:P554" si="125">IF(OR(A491="", B491=""), "", IF(H491="Verwaltung", ABS(B491), ""))</f>
        <v/>
      </c>
      <c r="Q491" s="327" t="str">
        <f t="shared" ref="Q491:Q554" si="126">IF(OR(A491="", B491=""), "", IF(H491="Vermögen", ABS(B491), ""))</f>
        <v/>
      </c>
      <c r="R491" s="327" t="str">
        <f t="shared" ref="R491:R554" si="127">IF(OR(A491="", B491=""), "", IF(H491="Vermögen", ABS(B491), ""))</f>
        <v/>
      </c>
      <c r="S491" s="421" t="str">
        <f t="shared" ref="S491:S554" si="128">IF(OR(A491="", B491=""), "", IF(H491="Sonstige Einnahmen", ABS(B491), ""))</f>
        <v/>
      </c>
      <c r="T491" s="327" t="str">
        <f t="shared" ref="T491:T554" si="129">IF(OR(A491="", B491=""), "", IF(H491="Unterhaltung", ABS(B491), ""))</f>
        <v/>
      </c>
      <c r="U491" s="327" t="str">
        <f t="shared" ref="U491:U554" si="130">IF(OR(A491="", B491=""), "", IF(H491="Fortbildung", ABS(B491), ""))</f>
        <v/>
      </c>
      <c r="V491" s="327" t="str">
        <f t="shared" ref="V491:V554" si="131">IF(OR(A491="", B491=""), "", IF(H491="Veranstaltungen Ausgabe", ABS(B491), ""))</f>
        <v/>
      </c>
      <c r="W491" s="327" t="str">
        <f t="shared" ref="W491:W554" si="132">IF(OR(A491="", B491=""), "", IF(H491="Bürobetrieb", ABS(B491), ""))</f>
        <v/>
      </c>
      <c r="X491" s="327" t="str">
        <f t="shared" ref="X491:X554" si="133">IF(OR(A491="", B491=""), "", IF(H491="Aufwandsentschädigungen", ABS(B491), ""))</f>
        <v/>
      </c>
      <c r="Y491" s="327" t="str">
        <f t="shared" ref="Y491:Y554" si="134">IF(OR(A491="", B491=""), "", IF(H491="Sonstige Ausgaben", ABS(B491), ""))</f>
        <v/>
      </c>
      <c r="Z491" s="428" t="str">
        <f t="shared" ref="Z491:Z554" si="135">IF(OR(A491="", B491=""), "", IF(H491="Kasse-Auszahlung", ABS(B491), ""))</f>
        <v/>
      </c>
    </row>
    <row r="492" spans="1:26" x14ac:dyDescent="0.35">
      <c r="A492" s="265"/>
      <c r="B492" s="266"/>
      <c r="C492" s="262"/>
      <c r="D492" s="262"/>
      <c r="E492" s="262"/>
      <c r="F492" s="262"/>
      <c r="G492" s="320"/>
      <c r="H492" s="262"/>
      <c r="I492" s="320"/>
      <c r="J492" s="320"/>
      <c r="K492" s="262"/>
      <c r="L492" s="262"/>
      <c r="M492" s="327" t="str">
        <f t="shared" si="122"/>
        <v/>
      </c>
      <c r="N492" s="327" t="str">
        <f t="shared" si="123"/>
        <v/>
      </c>
      <c r="O492" s="327" t="str">
        <f t="shared" si="124"/>
        <v/>
      </c>
      <c r="P492" s="327" t="str">
        <f t="shared" si="125"/>
        <v/>
      </c>
      <c r="Q492" s="327" t="str">
        <f t="shared" si="126"/>
        <v/>
      </c>
      <c r="R492" s="327" t="str">
        <f t="shared" si="127"/>
        <v/>
      </c>
      <c r="S492" s="421" t="str">
        <f t="shared" si="128"/>
        <v/>
      </c>
      <c r="T492" s="327" t="str">
        <f t="shared" si="129"/>
        <v/>
      </c>
      <c r="U492" s="327" t="str">
        <f t="shared" si="130"/>
        <v/>
      </c>
      <c r="V492" s="327" t="str">
        <f t="shared" si="131"/>
        <v/>
      </c>
      <c r="W492" s="327" t="str">
        <f t="shared" si="132"/>
        <v/>
      </c>
      <c r="X492" s="327" t="str">
        <f t="shared" si="133"/>
        <v/>
      </c>
      <c r="Y492" s="327" t="str">
        <f t="shared" si="134"/>
        <v/>
      </c>
      <c r="Z492" s="428" t="str">
        <f t="shared" si="135"/>
        <v/>
      </c>
    </row>
    <row r="493" spans="1:26" x14ac:dyDescent="0.35">
      <c r="A493" s="265"/>
      <c r="B493" s="266"/>
      <c r="C493" s="262"/>
      <c r="D493" s="262"/>
      <c r="E493" s="262"/>
      <c r="F493" s="262"/>
      <c r="G493" s="320"/>
      <c r="H493" s="262"/>
      <c r="I493" s="320"/>
      <c r="J493" s="320"/>
      <c r="K493" s="262"/>
      <c r="L493" s="262"/>
      <c r="M493" s="327" t="str">
        <f t="shared" si="122"/>
        <v/>
      </c>
      <c r="N493" s="327" t="str">
        <f t="shared" si="123"/>
        <v/>
      </c>
      <c r="O493" s="327" t="str">
        <f t="shared" si="124"/>
        <v/>
      </c>
      <c r="P493" s="327" t="str">
        <f t="shared" si="125"/>
        <v/>
      </c>
      <c r="Q493" s="327" t="str">
        <f t="shared" si="126"/>
        <v/>
      </c>
      <c r="R493" s="327" t="str">
        <f t="shared" si="127"/>
        <v/>
      </c>
      <c r="S493" s="421" t="str">
        <f t="shared" si="128"/>
        <v/>
      </c>
      <c r="T493" s="327" t="str">
        <f t="shared" si="129"/>
        <v/>
      </c>
      <c r="U493" s="327" t="str">
        <f t="shared" si="130"/>
        <v/>
      </c>
      <c r="V493" s="327" t="str">
        <f t="shared" si="131"/>
        <v/>
      </c>
      <c r="W493" s="327" t="str">
        <f t="shared" si="132"/>
        <v/>
      </c>
      <c r="X493" s="327" t="str">
        <f t="shared" si="133"/>
        <v/>
      </c>
      <c r="Y493" s="327" t="str">
        <f t="shared" si="134"/>
        <v/>
      </c>
      <c r="Z493" s="428" t="str">
        <f t="shared" si="135"/>
        <v/>
      </c>
    </row>
    <row r="494" spans="1:26" x14ac:dyDescent="0.35">
      <c r="A494" s="265"/>
      <c r="B494" s="266"/>
      <c r="C494" s="262"/>
      <c r="D494" s="262"/>
      <c r="E494" s="262"/>
      <c r="F494" s="262"/>
      <c r="G494" s="320"/>
      <c r="H494" s="262"/>
      <c r="I494" s="320"/>
      <c r="J494" s="320"/>
      <c r="K494" s="262"/>
      <c r="L494" s="262"/>
      <c r="M494" s="327" t="str">
        <f t="shared" si="122"/>
        <v/>
      </c>
      <c r="N494" s="327" t="str">
        <f t="shared" si="123"/>
        <v/>
      </c>
      <c r="O494" s="327" t="str">
        <f t="shared" si="124"/>
        <v/>
      </c>
      <c r="P494" s="327" t="str">
        <f t="shared" si="125"/>
        <v/>
      </c>
      <c r="Q494" s="327" t="str">
        <f t="shared" si="126"/>
        <v/>
      </c>
      <c r="R494" s="327" t="str">
        <f t="shared" si="127"/>
        <v/>
      </c>
      <c r="S494" s="421" t="str">
        <f t="shared" si="128"/>
        <v/>
      </c>
      <c r="T494" s="327" t="str">
        <f t="shared" si="129"/>
        <v/>
      </c>
      <c r="U494" s="327" t="str">
        <f t="shared" si="130"/>
        <v/>
      </c>
      <c r="V494" s="327" t="str">
        <f t="shared" si="131"/>
        <v/>
      </c>
      <c r="W494" s="327" t="str">
        <f t="shared" si="132"/>
        <v/>
      </c>
      <c r="X494" s="327" t="str">
        <f t="shared" si="133"/>
        <v/>
      </c>
      <c r="Y494" s="327" t="str">
        <f t="shared" si="134"/>
        <v/>
      </c>
      <c r="Z494" s="428" t="str">
        <f t="shared" si="135"/>
        <v/>
      </c>
    </row>
    <row r="495" spans="1:26" x14ac:dyDescent="0.35">
      <c r="A495" s="265"/>
      <c r="B495" s="266"/>
      <c r="C495" s="262"/>
      <c r="D495" s="262"/>
      <c r="E495" s="262"/>
      <c r="F495" s="262"/>
      <c r="G495" s="320"/>
      <c r="H495" s="262"/>
      <c r="I495" s="320"/>
      <c r="J495" s="320"/>
      <c r="K495" s="262"/>
      <c r="L495" s="262"/>
      <c r="M495" s="327" t="str">
        <f t="shared" si="122"/>
        <v/>
      </c>
      <c r="N495" s="327" t="str">
        <f t="shared" si="123"/>
        <v/>
      </c>
      <c r="O495" s="327" t="str">
        <f t="shared" si="124"/>
        <v/>
      </c>
      <c r="P495" s="327" t="str">
        <f t="shared" si="125"/>
        <v/>
      </c>
      <c r="Q495" s="327" t="str">
        <f t="shared" si="126"/>
        <v/>
      </c>
      <c r="R495" s="327" t="str">
        <f t="shared" si="127"/>
        <v/>
      </c>
      <c r="S495" s="421" t="str">
        <f t="shared" si="128"/>
        <v/>
      </c>
      <c r="T495" s="327" t="str">
        <f t="shared" si="129"/>
        <v/>
      </c>
      <c r="U495" s="327" t="str">
        <f t="shared" si="130"/>
        <v/>
      </c>
      <c r="V495" s="327" t="str">
        <f t="shared" si="131"/>
        <v/>
      </c>
      <c r="W495" s="327" t="str">
        <f t="shared" si="132"/>
        <v/>
      </c>
      <c r="X495" s="327" t="str">
        <f t="shared" si="133"/>
        <v/>
      </c>
      <c r="Y495" s="327" t="str">
        <f t="shared" si="134"/>
        <v/>
      </c>
      <c r="Z495" s="428" t="str">
        <f t="shared" si="135"/>
        <v/>
      </c>
    </row>
    <row r="496" spans="1:26" x14ac:dyDescent="0.35">
      <c r="A496" s="265"/>
      <c r="B496" s="266"/>
      <c r="C496" s="262"/>
      <c r="D496" s="262"/>
      <c r="E496" s="262"/>
      <c r="F496" s="262"/>
      <c r="G496" s="320"/>
      <c r="H496" s="262"/>
      <c r="I496" s="320"/>
      <c r="J496" s="320"/>
      <c r="K496" s="262"/>
      <c r="L496" s="262"/>
      <c r="M496" s="327" t="str">
        <f t="shared" si="122"/>
        <v/>
      </c>
      <c r="N496" s="327" t="str">
        <f t="shared" si="123"/>
        <v/>
      </c>
      <c r="O496" s="327" t="str">
        <f t="shared" si="124"/>
        <v/>
      </c>
      <c r="P496" s="327" t="str">
        <f t="shared" si="125"/>
        <v/>
      </c>
      <c r="Q496" s="327" t="str">
        <f t="shared" si="126"/>
        <v/>
      </c>
      <c r="R496" s="327" t="str">
        <f t="shared" si="127"/>
        <v/>
      </c>
      <c r="S496" s="421" t="str">
        <f t="shared" si="128"/>
        <v/>
      </c>
      <c r="T496" s="327" t="str">
        <f t="shared" si="129"/>
        <v/>
      </c>
      <c r="U496" s="327" t="str">
        <f t="shared" si="130"/>
        <v/>
      </c>
      <c r="V496" s="327" t="str">
        <f t="shared" si="131"/>
        <v/>
      </c>
      <c r="W496" s="327" t="str">
        <f t="shared" si="132"/>
        <v/>
      </c>
      <c r="X496" s="327" t="str">
        <f t="shared" si="133"/>
        <v/>
      </c>
      <c r="Y496" s="327" t="str">
        <f t="shared" si="134"/>
        <v/>
      </c>
      <c r="Z496" s="428" t="str">
        <f t="shared" si="135"/>
        <v/>
      </c>
    </row>
    <row r="497" spans="1:26" x14ac:dyDescent="0.35">
      <c r="A497" s="265"/>
      <c r="B497" s="266"/>
      <c r="C497" s="262"/>
      <c r="D497" s="262"/>
      <c r="E497" s="262"/>
      <c r="F497" s="262"/>
      <c r="G497" s="320"/>
      <c r="H497" s="262"/>
      <c r="I497" s="320"/>
      <c r="J497" s="320"/>
      <c r="K497" s="262"/>
      <c r="L497" s="262"/>
      <c r="M497" s="327" t="str">
        <f t="shared" si="122"/>
        <v/>
      </c>
      <c r="N497" s="327" t="str">
        <f t="shared" si="123"/>
        <v/>
      </c>
      <c r="O497" s="327" t="str">
        <f t="shared" si="124"/>
        <v/>
      </c>
      <c r="P497" s="327" t="str">
        <f t="shared" si="125"/>
        <v/>
      </c>
      <c r="Q497" s="327" t="str">
        <f t="shared" si="126"/>
        <v/>
      </c>
      <c r="R497" s="327" t="str">
        <f t="shared" si="127"/>
        <v/>
      </c>
      <c r="S497" s="421" t="str">
        <f t="shared" si="128"/>
        <v/>
      </c>
      <c r="T497" s="327" t="str">
        <f t="shared" si="129"/>
        <v/>
      </c>
      <c r="U497" s="327" t="str">
        <f t="shared" si="130"/>
        <v/>
      </c>
      <c r="V497" s="327" t="str">
        <f t="shared" si="131"/>
        <v/>
      </c>
      <c r="W497" s="327" t="str">
        <f t="shared" si="132"/>
        <v/>
      </c>
      <c r="X497" s="327" t="str">
        <f t="shared" si="133"/>
        <v/>
      </c>
      <c r="Y497" s="327" t="str">
        <f t="shared" si="134"/>
        <v/>
      </c>
      <c r="Z497" s="428" t="str">
        <f t="shared" si="135"/>
        <v/>
      </c>
    </row>
    <row r="498" spans="1:26" x14ac:dyDescent="0.35">
      <c r="A498" s="265"/>
      <c r="B498" s="266"/>
      <c r="C498" s="262"/>
      <c r="D498" s="262"/>
      <c r="E498" s="262"/>
      <c r="F498" s="262"/>
      <c r="G498" s="320"/>
      <c r="H498" s="262"/>
      <c r="I498" s="320"/>
      <c r="J498" s="320"/>
      <c r="K498" s="262"/>
      <c r="L498" s="262"/>
      <c r="M498" s="327" t="str">
        <f t="shared" si="122"/>
        <v/>
      </c>
      <c r="N498" s="327" t="str">
        <f t="shared" si="123"/>
        <v/>
      </c>
      <c r="O498" s="327" t="str">
        <f t="shared" si="124"/>
        <v/>
      </c>
      <c r="P498" s="327" t="str">
        <f t="shared" si="125"/>
        <v/>
      </c>
      <c r="Q498" s="327" t="str">
        <f t="shared" si="126"/>
        <v/>
      </c>
      <c r="R498" s="327" t="str">
        <f t="shared" si="127"/>
        <v/>
      </c>
      <c r="S498" s="421" t="str">
        <f t="shared" si="128"/>
        <v/>
      </c>
      <c r="T498" s="327" t="str">
        <f t="shared" si="129"/>
        <v/>
      </c>
      <c r="U498" s="327" t="str">
        <f t="shared" si="130"/>
        <v/>
      </c>
      <c r="V498" s="327" t="str">
        <f t="shared" si="131"/>
        <v/>
      </c>
      <c r="W498" s="327" t="str">
        <f t="shared" si="132"/>
        <v/>
      </c>
      <c r="X498" s="327" t="str">
        <f t="shared" si="133"/>
        <v/>
      </c>
      <c r="Y498" s="327" t="str">
        <f t="shared" si="134"/>
        <v/>
      </c>
      <c r="Z498" s="428" t="str">
        <f t="shared" si="135"/>
        <v/>
      </c>
    </row>
    <row r="499" spans="1:26" x14ac:dyDescent="0.35">
      <c r="A499" s="265"/>
      <c r="B499" s="266"/>
      <c r="C499" s="262"/>
      <c r="D499" s="262"/>
      <c r="E499" s="262"/>
      <c r="F499" s="262"/>
      <c r="G499" s="320"/>
      <c r="H499" s="262"/>
      <c r="I499" s="320"/>
      <c r="J499" s="320"/>
      <c r="K499" s="262"/>
      <c r="L499" s="262"/>
      <c r="M499" s="327" t="str">
        <f t="shared" si="122"/>
        <v/>
      </c>
      <c r="N499" s="327" t="str">
        <f t="shared" si="123"/>
        <v/>
      </c>
      <c r="O499" s="327" t="str">
        <f t="shared" si="124"/>
        <v/>
      </c>
      <c r="P499" s="327" t="str">
        <f t="shared" si="125"/>
        <v/>
      </c>
      <c r="Q499" s="327" t="str">
        <f t="shared" si="126"/>
        <v/>
      </c>
      <c r="R499" s="327" t="str">
        <f t="shared" si="127"/>
        <v/>
      </c>
      <c r="S499" s="421" t="str">
        <f t="shared" si="128"/>
        <v/>
      </c>
      <c r="T499" s="327" t="str">
        <f t="shared" si="129"/>
        <v/>
      </c>
      <c r="U499" s="327" t="str">
        <f t="shared" si="130"/>
        <v/>
      </c>
      <c r="V499" s="327" t="str">
        <f t="shared" si="131"/>
        <v/>
      </c>
      <c r="W499" s="327" t="str">
        <f t="shared" si="132"/>
        <v/>
      </c>
      <c r="X499" s="327" t="str">
        <f t="shared" si="133"/>
        <v/>
      </c>
      <c r="Y499" s="327" t="str">
        <f t="shared" si="134"/>
        <v/>
      </c>
      <c r="Z499" s="428" t="str">
        <f t="shared" si="135"/>
        <v/>
      </c>
    </row>
    <row r="500" spans="1:26" x14ac:dyDescent="0.35">
      <c r="A500" s="265"/>
      <c r="B500" s="266"/>
      <c r="C500" s="262"/>
      <c r="D500" s="262"/>
      <c r="E500" s="262"/>
      <c r="F500" s="262"/>
      <c r="G500" s="320"/>
      <c r="H500" s="262"/>
      <c r="I500" s="320"/>
      <c r="J500" s="320"/>
      <c r="K500" s="262"/>
      <c r="L500" s="262"/>
      <c r="M500" s="327" t="str">
        <f t="shared" si="122"/>
        <v/>
      </c>
      <c r="N500" s="327" t="str">
        <f t="shared" si="123"/>
        <v/>
      </c>
      <c r="O500" s="327" t="str">
        <f t="shared" si="124"/>
        <v/>
      </c>
      <c r="P500" s="327" t="str">
        <f t="shared" si="125"/>
        <v/>
      </c>
      <c r="Q500" s="327" t="str">
        <f t="shared" si="126"/>
        <v/>
      </c>
      <c r="R500" s="327" t="str">
        <f t="shared" si="127"/>
        <v/>
      </c>
      <c r="S500" s="421" t="str">
        <f t="shared" si="128"/>
        <v/>
      </c>
      <c r="T500" s="327" t="str">
        <f t="shared" si="129"/>
        <v/>
      </c>
      <c r="U500" s="327" t="str">
        <f t="shared" si="130"/>
        <v/>
      </c>
      <c r="V500" s="327" t="str">
        <f t="shared" si="131"/>
        <v/>
      </c>
      <c r="W500" s="327" t="str">
        <f t="shared" si="132"/>
        <v/>
      </c>
      <c r="X500" s="327" t="str">
        <f t="shared" si="133"/>
        <v/>
      </c>
      <c r="Y500" s="327" t="str">
        <f t="shared" si="134"/>
        <v/>
      </c>
      <c r="Z500" s="428" t="str">
        <f t="shared" si="135"/>
        <v/>
      </c>
    </row>
    <row r="501" spans="1:26" x14ac:dyDescent="0.35">
      <c r="A501" s="265"/>
      <c r="B501" s="266"/>
      <c r="C501" s="262"/>
      <c r="D501" s="262"/>
      <c r="E501" s="262"/>
      <c r="F501" s="262"/>
      <c r="G501" s="320"/>
      <c r="H501" s="262"/>
      <c r="I501" s="320"/>
      <c r="J501" s="320"/>
      <c r="K501" s="262"/>
      <c r="L501" s="262"/>
      <c r="M501" s="327" t="str">
        <f t="shared" si="122"/>
        <v/>
      </c>
      <c r="N501" s="327" t="str">
        <f t="shared" si="123"/>
        <v/>
      </c>
      <c r="O501" s="327" t="str">
        <f t="shared" si="124"/>
        <v/>
      </c>
      <c r="P501" s="327" t="str">
        <f t="shared" si="125"/>
        <v/>
      </c>
      <c r="Q501" s="327" t="str">
        <f t="shared" si="126"/>
        <v/>
      </c>
      <c r="R501" s="327" t="str">
        <f t="shared" si="127"/>
        <v/>
      </c>
      <c r="S501" s="421" t="str">
        <f t="shared" si="128"/>
        <v/>
      </c>
      <c r="T501" s="327" t="str">
        <f t="shared" si="129"/>
        <v/>
      </c>
      <c r="U501" s="327" t="str">
        <f t="shared" si="130"/>
        <v/>
      </c>
      <c r="V501" s="327" t="str">
        <f t="shared" si="131"/>
        <v/>
      </c>
      <c r="W501" s="327" t="str">
        <f t="shared" si="132"/>
        <v/>
      </c>
      <c r="X501" s="327" t="str">
        <f t="shared" si="133"/>
        <v/>
      </c>
      <c r="Y501" s="327" t="str">
        <f t="shared" si="134"/>
        <v/>
      </c>
      <c r="Z501" s="428" t="str">
        <f t="shared" si="135"/>
        <v/>
      </c>
    </row>
    <row r="502" spans="1:26" x14ac:dyDescent="0.35">
      <c r="A502" s="265"/>
      <c r="B502" s="266"/>
      <c r="C502" s="262"/>
      <c r="D502" s="262"/>
      <c r="E502" s="262"/>
      <c r="F502" s="262"/>
      <c r="G502" s="320"/>
      <c r="H502" s="262"/>
      <c r="I502" s="320"/>
      <c r="J502" s="320"/>
      <c r="K502" s="262"/>
      <c r="L502" s="262"/>
      <c r="M502" s="327" t="str">
        <f t="shared" si="122"/>
        <v/>
      </c>
      <c r="N502" s="327" t="str">
        <f t="shared" si="123"/>
        <v/>
      </c>
      <c r="O502" s="327" t="str">
        <f t="shared" si="124"/>
        <v/>
      </c>
      <c r="P502" s="327" t="str">
        <f t="shared" si="125"/>
        <v/>
      </c>
      <c r="Q502" s="327" t="str">
        <f t="shared" si="126"/>
        <v/>
      </c>
      <c r="R502" s="327" t="str">
        <f t="shared" si="127"/>
        <v/>
      </c>
      <c r="S502" s="421" t="str">
        <f t="shared" si="128"/>
        <v/>
      </c>
      <c r="T502" s="327" t="str">
        <f t="shared" si="129"/>
        <v/>
      </c>
      <c r="U502" s="327" t="str">
        <f t="shared" si="130"/>
        <v/>
      </c>
      <c r="V502" s="327" t="str">
        <f t="shared" si="131"/>
        <v/>
      </c>
      <c r="W502" s="327" t="str">
        <f t="shared" si="132"/>
        <v/>
      </c>
      <c r="X502" s="327" t="str">
        <f t="shared" si="133"/>
        <v/>
      </c>
      <c r="Y502" s="327" t="str">
        <f t="shared" si="134"/>
        <v/>
      </c>
      <c r="Z502" s="428" t="str">
        <f t="shared" si="135"/>
        <v/>
      </c>
    </row>
    <row r="503" spans="1:26" x14ac:dyDescent="0.35">
      <c r="A503" s="265"/>
      <c r="B503" s="266"/>
      <c r="C503" s="262"/>
      <c r="D503" s="262"/>
      <c r="E503" s="262"/>
      <c r="F503" s="262"/>
      <c r="G503" s="320"/>
      <c r="H503" s="262"/>
      <c r="I503" s="320"/>
      <c r="J503" s="320"/>
      <c r="K503" s="262"/>
      <c r="L503" s="262"/>
      <c r="M503" s="327" t="str">
        <f t="shared" si="122"/>
        <v/>
      </c>
      <c r="N503" s="327" t="str">
        <f t="shared" si="123"/>
        <v/>
      </c>
      <c r="O503" s="327" t="str">
        <f t="shared" si="124"/>
        <v/>
      </c>
      <c r="P503" s="327" t="str">
        <f t="shared" si="125"/>
        <v/>
      </c>
      <c r="Q503" s="327" t="str">
        <f t="shared" si="126"/>
        <v/>
      </c>
      <c r="R503" s="327" t="str">
        <f t="shared" si="127"/>
        <v/>
      </c>
      <c r="S503" s="421" t="str">
        <f t="shared" si="128"/>
        <v/>
      </c>
      <c r="T503" s="327" t="str">
        <f t="shared" si="129"/>
        <v/>
      </c>
      <c r="U503" s="327" t="str">
        <f t="shared" si="130"/>
        <v/>
      </c>
      <c r="V503" s="327" t="str">
        <f t="shared" si="131"/>
        <v/>
      </c>
      <c r="W503" s="327" t="str">
        <f t="shared" si="132"/>
        <v/>
      </c>
      <c r="X503" s="327" t="str">
        <f t="shared" si="133"/>
        <v/>
      </c>
      <c r="Y503" s="327" t="str">
        <f t="shared" si="134"/>
        <v/>
      </c>
      <c r="Z503" s="428" t="str">
        <f t="shared" si="135"/>
        <v/>
      </c>
    </row>
    <row r="504" spans="1:26" x14ac:dyDescent="0.35">
      <c r="A504" s="265"/>
      <c r="B504" s="266"/>
      <c r="C504" s="262"/>
      <c r="D504" s="262"/>
      <c r="E504" s="262"/>
      <c r="F504" s="262"/>
      <c r="G504" s="320"/>
      <c r="H504" s="262"/>
      <c r="I504" s="320"/>
      <c r="J504" s="320"/>
      <c r="K504" s="262"/>
      <c r="L504" s="262"/>
      <c r="M504" s="327" t="str">
        <f t="shared" si="122"/>
        <v/>
      </c>
      <c r="N504" s="327" t="str">
        <f t="shared" si="123"/>
        <v/>
      </c>
      <c r="O504" s="327" t="str">
        <f t="shared" si="124"/>
        <v/>
      </c>
      <c r="P504" s="327" t="str">
        <f t="shared" si="125"/>
        <v/>
      </c>
      <c r="Q504" s="327" t="str">
        <f t="shared" si="126"/>
        <v/>
      </c>
      <c r="R504" s="327" t="str">
        <f t="shared" si="127"/>
        <v/>
      </c>
      <c r="S504" s="421" t="str">
        <f t="shared" si="128"/>
        <v/>
      </c>
      <c r="T504" s="327" t="str">
        <f t="shared" si="129"/>
        <v/>
      </c>
      <c r="U504" s="327" t="str">
        <f t="shared" si="130"/>
        <v/>
      </c>
      <c r="V504" s="327" t="str">
        <f t="shared" si="131"/>
        <v/>
      </c>
      <c r="W504" s="327" t="str">
        <f t="shared" si="132"/>
        <v/>
      </c>
      <c r="X504" s="327" t="str">
        <f t="shared" si="133"/>
        <v/>
      </c>
      <c r="Y504" s="327" t="str">
        <f t="shared" si="134"/>
        <v/>
      </c>
      <c r="Z504" s="428" t="str">
        <f t="shared" si="135"/>
        <v/>
      </c>
    </row>
    <row r="505" spans="1:26" x14ac:dyDescent="0.35">
      <c r="A505" s="265"/>
      <c r="B505" s="266"/>
      <c r="C505" s="262"/>
      <c r="D505" s="262"/>
      <c r="E505" s="262"/>
      <c r="F505" s="262"/>
      <c r="G505" s="320"/>
      <c r="H505" s="262"/>
      <c r="I505" s="320"/>
      <c r="J505" s="320"/>
      <c r="K505" s="262"/>
      <c r="L505" s="262"/>
      <c r="M505" s="327" t="str">
        <f t="shared" si="122"/>
        <v/>
      </c>
      <c r="N505" s="327" t="str">
        <f t="shared" si="123"/>
        <v/>
      </c>
      <c r="O505" s="327" t="str">
        <f t="shared" si="124"/>
        <v/>
      </c>
      <c r="P505" s="327" t="str">
        <f t="shared" si="125"/>
        <v/>
      </c>
      <c r="Q505" s="327" t="str">
        <f t="shared" si="126"/>
        <v/>
      </c>
      <c r="R505" s="327" t="str">
        <f t="shared" si="127"/>
        <v/>
      </c>
      <c r="S505" s="421" t="str">
        <f t="shared" si="128"/>
        <v/>
      </c>
      <c r="T505" s="327" t="str">
        <f t="shared" si="129"/>
        <v/>
      </c>
      <c r="U505" s="327" t="str">
        <f t="shared" si="130"/>
        <v/>
      </c>
      <c r="V505" s="327" t="str">
        <f t="shared" si="131"/>
        <v/>
      </c>
      <c r="W505" s="327" t="str">
        <f t="shared" si="132"/>
        <v/>
      </c>
      <c r="X505" s="327" t="str">
        <f t="shared" si="133"/>
        <v/>
      </c>
      <c r="Y505" s="327" t="str">
        <f t="shared" si="134"/>
        <v/>
      </c>
      <c r="Z505" s="428" t="str">
        <f t="shared" si="135"/>
        <v/>
      </c>
    </row>
    <row r="506" spans="1:26" x14ac:dyDescent="0.35">
      <c r="A506" s="265"/>
      <c r="B506" s="266"/>
      <c r="C506" s="262"/>
      <c r="D506" s="262"/>
      <c r="E506" s="262"/>
      <c r="F506" s="262"/>
      <c r="G506" s="320"/>
      <c r="H506" s="262"/>
      <c r="I506" s="320"/>
      <c r="J506" s="320"/>
      <c r="K506" s="262"/>
      <c r="L506" s="262"/>
      <c r="M506" s="327" t="str">
        <f t="shared" si="122"/>
        <v/>
      </c>
      <c r="N506" s="327" t="str">
        <f t="shared" si="123"/>
        <v/>
      </c>
      <c r="O506" s="327" t="str">
        <f t="shared" si="124"/>
        <v/>
      </c>
      <c r="P506" s="327" t="str">
        <f t="shared" si="125"/>
        <v/>
      </c>
      <c r="Q506" s="327" t="str">
        <f t="shared" si="126"/>
        <v/>
      </c>
      <c r="R506" s="327" t="str">
        <f t="shared" si="127"/>
        <v/>
      </c>
      <c r="S506" s="421" t="str">
        <f t="shared" si="128"/>
        <v/>
      </c>
      <c r="T506" s="327" t="str">
        <f t="shared" si="129"/>
        <v/>
      </c>
      <c r="U506" s="327" t="str">
        <f t="shared" si="130"/>
        <v/>
      </c>
      <c r="V506" s="327" t="str">
        <f t="shared" si="131"/>
        <v/>
      </c>
      <c r="W506" s="327" t="str">
        <f t="shared" si="132"/>
        <v/>
      </c>
      <c r="X506" s="327" t="str">
        <f t="shared" si="133"/>
        <v/>
      </c>
      <c r="Y506" s="327" t="str">
        <f t="shared" si="134"/>
        <v/>
      </c>
      <c r="Z506" s="428" t="str">
        <f t="shared" si="135"/>
        <v/>
      </c>
    </row>
    <row r="507" spans="1:26" x14ac:dyDescent="0.35">
      <c r="A507" s="265"/>
      <c r="B507" s="266"/>
      <c r="C507" s="262"/>
      <c r="D507" s="262"/>
      <c r="E507" s="262"/>
      <c r="F507" s="262"/>
      <c r="G507" s="320"/>
      <c r="H507" s="262"/>
      <c r="I507" s="320"/>
      <c r="J507" s="320"/>
      <c r="K507" s="262"/>
      <c r="L507" s="262"/>
      <c r="M507" s="327" t="str">
        <f t="shared" si="122"/>
        <v/>
      </c>
      <c r="N507" s="327" t="str">
        <f t="shared" si="123"/>
        <v/>
      </c>
      <c r="O507" s="327" t="str">
        <f t="shared" si="124"/>
        <v/>
      </c>
      <c r="P507" s="327" t="str">
        <f t="shared" si="125"/>
        <v/>
      </c>
      <c r="Q507" s="327" t="str">
        <f t="shared" si="126"/>
        <v/>
      </c>
      <c r="R507" s="327" t="str">
        <f t="shared" si="127"/>
        <v/>
      </c>
      <c r="S507" s="421" t="str">
        <f t="shared" si="128"/>
        <v/>
      </c>
      <c r="T507" s="327" t="str">
        <f t="shared" si="129"/>
        <v/>
      </c>
      <c r="U507" s="327" t="str">
        <f t="shared" si="130"/>
        <v/>
      </c>
      <c r="V507" s="327" t="str">
        <f t="shared" si="131"/>
        <v/>
      </c>
      <c r="W507" s="327" t="str">
        <f t="shared" si="132"/>
        <v/>
      </c>
      <c r="X507" s="327" t="str">
        <f t="shared" si="133"/>
        <v/>
      </c>
      <c r="Y507" s="327" t="str">
        <f t="shared" si="134"/>
        <v/>
      </c>
      <c r="Z507" s="428" t="str">
        <f t="shared" si="135"/>
        <v/>
      </c>
    </row>
    <row r="508" spans="1:26" x14ac:dyDescent="0.35">
      <c r="A508" s="265"/>
      <c r="B508" s="266"/>
      <c r="C508" s="262"/>
      <c r="D508" s="262"/>
      <c r="E508" s="262"/>
      <c r="F508" s="262"/>
      <c r="G508" s="320"/>
      <c r="H508" s="262"/>
      <c r="I508" s="320"/>
      <c r="J508" s="320"/>
      <c r="K508" s="262"/>
      <c r="L508" s="262"/>
      <c r="M508" s="327" t="str">
        <f t="shared" si="122"/>
        <v/>
      </c>
      <c r="N508" s="327" t="str">
        <f t="shared" si="123"/>
        <v/>
      </c>
      <c r="O508" s="327" t="str">
        <f t="shared" si="124"/>
        <v/>
      </c>
      <c r="P508" s="327" t="str">
        <f t="shared" si="125"/>
        <v/>
      </c>
      <c r="Q508" s="327" t="str">
        <f t="shared" si="126"/>
        <v/>
      </c>
      <c r="R508" s="327" t="str">
        <f t="shared" si="127"/>
        <v/>
      </c>
      <c r="S508" s="421" t="str">
        <f t="shared" si="128"/>
        <v/>
      </c>
      <c r="T508" s="327" t="str">
        <f t="shared" si="129"/>
        <v/>
      </c>
      <c r="U508" s="327" t="str">
        <f t="shared" si="130"/>
        <v/>
      </c>
      <c r="V508" s="327" t="str">
        <f t="shared" si="131"/>
        <v/>
      </c>
      <c r="W508" s="327" t="str">
        <f t="shared" si="132"/>
        <v/>
      </c>
      <c r="X508" s="327" t="str">
        <f t="shared" si="133"/>
        <v/>
      </c>
      <c r="Y508" s="327" t="str">
        <f t="shared" si="134"/>
        <v/>
      </c>
      <c r="Z508" s="428" t="str">
        <f t="shared" si="135"/>
        <v/>
      </c>
    </row>
    <row r="509" spans="1:26" x14ac:dyDescent="0.35">
      <c r="A509" s="265"/>
      <c r="B509" s="266"/>
      <c r="C509" s="262"/>
      <c r="D509" s="262"/>
      <c r="E509" s="262"/>
      <c r="F509" s="262"/>
      <c r="G509" s="320"/>
      <c r="H509" s="262"/>
      <c r="I509" s="320"/>
      <c r="J509" s="320"/>
      <c r="K509" s="262"/>
      <c r="L509" s="262"/>
      <c r="M509" s="327" t="str">
        <f t="shared" si="122"/>
        <v/>
      </c>
      <c r="N509" s="327" t="str">
        <f t="shared" si="123"/>
        <v/>
      </c>
      <c r="O509" s="327" t="str">
        <f t="shared" si="124"/>
        <v/>
      </c>
      <c r="P509" s="327" t="str">
        <f t="shared" si="125"/>
        <v/>
      </c>
      <c r="Q509" s="327" t="str">
        <f t="shared" si="126"/>
        <v/>
      </c>
      <c r="R509" s="327" t="str">
        <f t="shared" si="127"/>
        <v/>
      </c>
      <c r="S509" s="421" t="str">
        <f t="shared" si="128"/>
        <v/>
      </c>
      <c r="T509" s="327" t="str">
        <f t="shared" si="129"/>
        <v/>
      </c>
      <c r="U509" s="327" t="str">
        <f t="shared" si="130"/>
        <v/>
      </c>
      <c r="V509" s="327" t="str">
        <f t="shared" si="131"/>
        <v/>
      </c>
      <c r="W509" s="327" t="str">
        <f t="shared" si="132"/>
        <v/>
      </c>
      <c r="X509" s="327" t="str">
        <f t="shared" si="133"/>
        <v/>
      </c>
      <c r="Y509" s="327" t="str">
        <f t="shared" si="134"/>
        <v/>
      </c>
      <c r="Z509" s="428" t="str">
        <f t="shared" si="135"/>
        <v/>
      </c>
    </row>
    <row r="510" spans="1:26" x14ac:dyDescent="0.35">
      <c r="A510" s="265"/>
      <c r="B510" s="266"/>
      <c r="C510" s="262"/>
      <c r="D510" s="262"/>
      <c r="E510" s="262"/>
      <c r="F510" s="262"/>
      <c r="G510" s="320"/>
      <c r="H510" s="262"/>
      <c r="I510" s="320"/>
      <c r="J510" s="320"/>
      <c r="K510" s="262"/>
      <c r="L510" s="262"/>
      <c r="M510" s="327" t="str">
        <f t="shared" si="122"/>
        <v/>
      </c>
      <c r="N510" s="327" t="str">
        <f t="shared" si="123"/>
        <v/>
      </c>
      <c r="O510" s="327" t="str">
        <f t="shared" si="124"/>
        <v/>
      </c>
      <c r="P510" s="327" t="str">
        <f t="shared" si="125"/>
        <v/>
      </c>
      <c r="Q510" s="327" t="str">
        <f t="shared" si="126"/>
        <v/>
      </c>
      <c r="R510" s="327" t="str">
        <f t="shared" si="127"/>
        <v/>
      </c>
      <c r="S510" s="421" t="str">
        <f t="shared" si="128"/>
        <v/>
      </c>
      <c r="T510" s="327" t="str">
        <f t="shared" si="129"/>
        <v/>
      </c>
      <c r="U510" s="327" t="str">
        <f t="shared" si="130"/>
        <v/>
      </c>
      <c r="V510" s="327" t="str">
        <f t="shared" si="131"/>
        <v/>
      </c>
      <c r="W510" s="327" t="str">
        <f t="shared" si="132"/>
        <v/>
      </c>
      <c r="X510" s="327" t="str">
        <f t="shared" si="133"/>
        <v/>
      </c>
      <c r="Y510" s="327" t="str">
        <f t="shared" si="134"/>
        <v/>
      </c>
      <c r="Z510" s="428" t="str">
        <f t="shared" si="135"/>
        <v/>
      </c>
    </row>
    <row r="511" spans="1:26" x14ac:dyDescent="0.35">
      <c r="A511" s="265"/>
      <c r="B511" s="266"/>
      <c r="C511" s="262"/>
      <c r="D511" s="262"/>
      <c r="E511" s="262"/>
      <c r="F511" s="262"/>
      <c r="G511" s="320"/>
      <c r="H511" s="262"/>
      <c r="I511" s="320"/>
      <c r="J511" s="320"/>
      <c r="K511" s="262"/>
      <c r="L511" s="262"/>
      <c r="M511" s="327" t="str">
        <f t="shared" si="122"/>
        <v/>
      </c>
      <c r="N511" s="327" t="str">
        <f t="shared" si="123"/>
        <v/>
      </c>
      <c r="O511" s="327" t="str">
        <f t="shared" si="124"/>
        <v/>
      </c>
      <c r="P511" s="327" t="str">
        <f t="shared" si="125"/>
        <v/>
      </c>
      <c r="Q511" s="327" t="str">
        <f t="shared" si="126"/>
        <v/>
      </c>
      <c r="R511" s="327" t="str">
        <f t="shared" si="127"/>
        <v/>
      </c>
      <c r="S511" s="421" t="str">
        <f t="shared" si="128"/>
        <v/>
      </c>
      <c r="T511" s="327" t="str">
        <f t="shared" si="129"/>
        <v/>
      </c>
      <c r="U511" s="327" t="str">
        <f t="shared" si="130"/>
        <v/>
      </c>
      <c r="V511" s="327" t="str">
        <f t="shared" si="131"/>
        <v/>
      </c>
      <c r="W511" s="327" t="str">
        <f t="shared" si="132"/>
        <v/>
      </c>
      <c r="X511" s="327" t="str">
        <f t="shared" si="133"/>
        <v/>
      </c>
      <c r="Y511" s="327" t="str">
        <f t="shared" si="134"/>
        <v/>
      </c>
      <c r="Z511" s="428" t="str">
        <f t="shared" si="135"/>
        <v/>
      </c>
    </row>
    <row r="512" spans="1:26" x14ac:dyDescent="0.35">
      <c r="A512" s="265"/>
      <c r="B512" s="266"/>
      <c r="C512" s="262"/>
      <c r="D512" s="262"/>
      <c r="E512" s="262"/>
      <c r="F512" s="262"/>
      <c r="G512" s="320"/>
      <c r="H512" s="262"/>
      <c r="I512" s="320"/>
      <c r="J512" s="320"/>
      <c r="K512" s="262"/>
      <c r="L512" s="262"/>
      <c r="M512" s="327" t="str">
        <f t="shared" si="122"/>
        <v/>
      </c>
      <c r="N512" s="327" t="str">
        <f t="shared" si="123"/>
        <v/>
      </c>
      <c r="O512" s="327" t="str">
        <f t="shared" si="124"/>
        <v/>
      </c>
      <c r="P512" s="327" t="str">
        <f t="shared" si="125"/>
        <v/>
      </c>
      <c r="Q512" s="327" t="str">
        <f t="shared" si="126"/>
        <v/>
      </c>
      <c r="R512" s="327" t="str">
        <f t="shared" si="127"/>
        <v/>
      </c>
      <c r="S512" s="421" t="str">
        <f t="shared" si="128"/>
        <v/>
      </c>
      <c r="T512" s="327" t="str">
        <f t="shared" si="129"/>
        <v/>
      </c>
      <c r="U512" s="327" t="str">
        <f t="shared" si="130"/>
        <v/>
      </c>
      <c r="V512" s="327" t="str">
        <f t="shared" si="131"/>
        <v/>
      </c>
      <c r="W512" s="327" t="str">
        <f t="shared" si="132"/>
        <v/>
      </c>
      <c r="X512" s="327" t="str">
        <f t="shared" si="133"/>
        <v/>
      </c>
      <c r="Y512" s="327" t="str">
        <f t="shared" si="134"/>
        <v/>
      </c>
      <c r="Z512" s="428" t="str">
        <f t="shared" si="135"/>
        <v/>
      </c>
    </row>
    <row r="513" spans="1:26" x14ac:dyDescent="0.35">
      <c r="A513" s="265"/>
      <c r="B513" s="266"/>
      <c r="C513" s="262"/>
      <c r="D513" s="262"/>
      <c r="E513" s="262"/>
      <c r="F513" s="262"/>
      <c r="G513" s="320"/>
      <c r="H513" s="262"/>
      <c r="I513" s="320"/>
      <c r="J513" s="320"/>
      <c r="K513" s="262"/>
      <c r="L513" s="262"/>
      <c r="M513" s="327" t="str">
        <f t="shared" si="122"/>
        <v/>
      </c>
      <c r="N513" s="327" t="str">
        <f t="shared" si="123"/>
        <v/>
      </c>
      <c r="O513" s="327" t="str">
        <f t="shared" si="124"/>
        <v/>
      </c>
      <c r="P513" s="327" t="str">
        <f t="shared" si="125"/>
        <v/>
      </c>
      <c r="Q513" s="327" t="str">
        <f t="shared" si="126"/>
        <v/>
      </c>
      <c r="R513" s="327" t="str">
        <f t="shared" si="127"/>
        <v/>
      </c>
      <c r="S513" s="421" t="str">
        <f t="shared" si="128"/>
        <v/>
      </c>
      <c r="T513" s="327" t="str">
        <f t="shared" si="129"/>
        <v/>
      </c>
      <c r="U513" s="327" t="str">
        <f t="shared" si="130"/>
        <v/>
      </c>
      <c r="V513" s="327" t="str">
        <f t="shared" si="131"/>
        <v/>
      </c>
      <c r="W513" s="327" t="str">
        <f t="shared" si="132"/>
        <v/>
      </c>
      <c r="X513" s="327" t="str">
        <f t="shared" si="133"/>
        <v/>
      </c>
      <c r="Y513" s="327" t="str">
        <f t="shared" si="134"/>
        <v/>
      </c>
      <c r="Z513" s="428" t="str">
        <f t="shared" si="135"/>
        <v/>
      </c>
    </row>
    <row r="514" spans="1:26" x14ac:dyDescent="0.35">
      <c r="A514" s="265"/>
      <c r="B514" s="266"/>
      <c r="C514" s="262"/>
      <c r="D514" s="262"/>
      <c r="E514" s="262"/>
      <c r="F514" s="262"/>
      <c r="G514" s="320"/>
      <c r="H514" s="262"/>
      <c r="I514" s="320"/>
      <c r="J514" s="320"/>
      <c r="K514" s="262"/>
      <c r="L514" s="262"/>
      <c r="M514" s="327" t="str">
        <f t="shared" si="122"/>
        <v/>
      </c>
      <c r="N514" s="327" t="str">
        <f t="shared" si="123"/>
        <v/>
      </c>
      <c r="O514" s="327" t="str">
        <f t="shared" si="124"/>
        <v/>
      </c>
      <c r="P514" s="327" t="str">
        <f t="shared" si="125"/>
        <v/>
      </c>
      <c r="Q514" s="327" t="str">
        <f t="shared" si="126"/>
        <v/>
      </c>
      <c r="R514" s="327" t="str">
        <f t="shared" si="127"/>
        <v/>
      </c>
      <c r="S514" s="421" t="str">
        <f t="shared" si="128"/>
        <v/>
      </c>
      <c r="T514" s="327" t="str">
        <f t="shared" si="129"/>
        <v/>
      </c>
      <c r="U514" s="327" t="str">
        <f t="shared" si="130"/>
        <v/>
      </c>
      <c r="V514" s="327" t="str">
        <f t="shared" si="131"/>
        <v/>
      </c>
      <c r="W514" s="327" t="str">
        <f t="shared" si="132"/>
        <v/>
      </c>
      <c r="X514" s="327" t="str">
        <f t="shared" si="133"/>
        <v/>
      </c>
      <c r="Y514" s="327" t="str">
        <f t="shared" si="134"/>
        <v/>
      </c>
      <c r="Z514" s="428" t="str">
        <f t="shared" si="135"/>
        <v/>
      </c>
    </row>
    <row r="515" spans="1:26" x14ac:dyDescent="0.35">
      <c r="A515" s="265"/>
      <c r="B515" s="266"/>
      <c r="C515" s="262"/>
      <c r="D515" s="262"/>
      <c r="E515" s="262"/>
      <c r="F515" s="262"/>
      <c r="G515" s="320"/>
      <c r="H515" s="262"/>
      <c r="I515" s="320"/>
      <c r="J515" s="320"/>
      <c r="K515" s="262"/>
      <c r="L515" s="262"/>
      <c r="M515" s="327" t="str">
        <f t="shared" si="122"/>
        <v/>
      </c>
      <c r="N515" s="327" t="str">
        <f t="shared" si="123"/>
        <v/>
      </c>
      <c r="O515" s="327" t="str">
        <f t="shared" si="124"/>
        <v/>
      </c>
      <c r="P515" s="327" t="str">
        <f t="shared" si="125"/>
        <v/>
      </c>
      <c r="Q515" s="327" t="str">
        <f t="shared" si="126"/>
        <v/>
      </c>
      <c r="R515" s="327" t="str">
        <f t="shared" si="127"/>
        <v/>
      </c>
      <c r="S515" s="421" t="str">
        <f t="shared" si="128"/>
        <v/>
      </c>
      <c r="T515" s="327" t="str">
        <f t="shared" si="129"/>
        <v/>
      </c>
      <c r="U515" s="327" t="str">
        <f t="shared" si="130"/>
        <v/>
      </c>
      <c r="V515" s="327" t="str">
        <f t="shared" si="131"/>
        <v/>
      </c>
      <c r="W515" s="327" t="str">
        <f t="shared" si="132"/>
        <v/>
      </c>
      <c r="X515" s="327" t="str">
        <f t="shared" si="133"/>
        <v/>
      </c>
      <c r="Y515" s="327" t="str">
        <f t="shared" si="134"/>
        <v/>
      </c>
      <c r="Z515" s="428" t="str">
        <f t="shared" si="135"/>
        <v/>
      </c>
    </row>
    <row r="516" spans="1:26" x14ac:dyDescent="0.35">
      <c r="A516" s="265"/>
      <c r="B516" s="266"/>
      <c r="C516" s="262"/>
      <c r="D516" s="262"/>
      <c r="E516" s="262"/>
      <c r="F516" s="262"/>
      <c r="G516" s="320"/>
      <c r="H516" s="262"/>
      <c r="I516" s="320"/>
      <c r="J516" s="320"/>
      <c r="K516" s="262"/>
      <c r="L516" s="262"/>
      <c r="M516" s="327" t="str">
        <f t="shared" si="122"/>
        <v/>
      </c>
      <c r="N516" s="327" t="str">
        <f t="shared" si="123"/>
        <v/>
      </c>
      <c r="O516" s="327" t="str">
        <f t="shared" si="124"/>
        <v/>
      </c>
      <c r="P516" s="327" t="str">
        <f t="shared" si="125"/>
        <v/>
      </c>
      <c r="Q516" s="327" t="str">
        <f t="shared" si="126"/>
        <v/>
      </c>
      <c r="R516" s="327" t="str">
        <f t="shared" si="127"/>
        <v/>
      </c>
      <c r="S516" s="421" t="str">
        <f t="shared" si="128"/>
        <v/>
      </c>
      <c r="T516" s="327" t="str">
        <f t="shared" si="129"/>
        <v/>
      </c>
      <c r="U516" s="327" t="str">
        <f t="shared" si="130"/>
        <v/>
      </c>
      <c r="V516" s="327" t="str">
        <f t="shared" si="131"/>
        <v/>
      </c>
      <c r="W516" s="327" t="str">
        <f t="shared" si="132"/>
        <v/>
      </c>
      <c r="X516" s="327" t="str">
        <f t="shared" si="133"/>
        <v/>
      </c>
      <c r="Y516" s="327" t="str">
        <f t="shared" si="134"/>
        <v/>
      </c>
      <c r="Z516" s="428" t="str">
        <f t="shared" si="135"/>
        <v/>
      </c>
    </row>
    <row r="517" spans="1:26" x14ac:dyDescent="0.35">
      <c r="A517" s="265"/>
      <c r="B517" s="266"/>
      <c r="C517" s="262"/>
      <c r="D517" s="262"/>
      <c r="E517" s="262"/>
      <c r="F517" s="262"/>
      <c r="G517" s="320"/>
      <c r="H517" s="262"/>
      <c r="I517" s="320"/>
      <c r="J517" s="320"/>
      <c r="K517" s="262"/>
      <c r="L517" s="262"/>
      <c r="M517" s="327" t="str">
        <f t="shared" si="122"/>
        <v/>
      </c>
      <c r="N517" s="327" t="str">
        <f t="shared" si="123"/>
        <v/>
      </c>
      <c r="O517" s="327" t="str">
        <f t="shared" si="124"/>
        <v/>
      </c>
      <c r="P517" s="327" t="str">
        <f t="shared" si="125"/>
        <v/>
      </c>
      <c r="Q517" s="327" t="str">
        <f t="shared" si="126"/>
        <v/>
      </c>
      <c r="R517" s="327" t="str">
        <f t="shared" si="127"/>
        <v/>
      </c>
      <c r="S517" s="421" t="str">
        <f t="shared" si="128"/>
        <v/>
      </c>
      <c r="T517" s="327" t="str">
        <f t="shared" si="129"/>
        <v/>
      </c>
      <c r="U517" s="327" t="str">
        <f t="shared" si="130"/>
        <v/>
      </c>
      <c r="V517" s="327" t="str">
        <f t="shared" si="131"/>
        <v/>
      </c>
      <c r="W517" s="327" t="str">
        <f t="shared" si="132"/>
        <v/>
      </c>
      <c r="X517" s="327" t="str">
        <f t="shared" si="133"/>
        <v/>
      </c>
      <c r="Y517" s="327" t="str">
        <f t="shared" si="134"/>
        <v/>
      </c>
      <c r="Z517" s="428" t="str">
        <f t="shared" si="135"/>
        <v/>
      </c>
    </row>
    <row r="518" spans="1:26" x14ac:dyDescent="0.35">
      <c r="A518" s="265"/>
      <c r="B518" s="266"/>
      <c r="C518" s="262"/>
      <c r="D518" s="262"/>
      <c r="E518" s="262"/>
      <c r="F518" s="262"/>
      <c r="G518" s="320"/>
      <c r="H518" s="262"/>
      <c r="I518" s="320"/>
      <c r="J518" s="320"/>
      <c r="K518" s="262"/>
      <c r="L518" s="262"/>
      <c r="M518" s="327" t="str">
        <f t="shared" si="122"/>
        <v/>
      </c>
      <c r="N518" s="327" t="str">
        <f t="shared" si="123"/>
        <v/>
      </c>
      <c r="O518" s="327" t="str">
        <f t="shared" si="124"/>
        <v/>
      </c>
      <c r="P518" s="327" t="str">
        <f t="shared" si="125"/>
        <v/>
      </c>
      <c r="Q518" s="327" t="str">
        <f t="shared" si="126"/>
        <v/>
      </c>
      <c r="R518" s="327" t="str">
        <f t="shared" si="127"/>
        <v/>
      </c>
      <c r="S518" s="421" t="str">
        <f t="shared" si="128"/>
        <v/>
      </c>
      <c r="T518" s="327" t="str">
        <f t="shared" si="129"/>
        <v/>
      </c>
      <c r="U518" s="327" t="str">
        <f t="shared" si="130"/>
        <v/>
      </c>
      <c r="V518" s="327" t="str">
        <f t="shared" si="131"/>
        <v/>
      </c>
      <c r="W518" s="327" t="str">
        <f t="shared" si="132"/>
        <v/>
      </c>
      <c r="X518" s="327" t="str">
        <f t="shared" si="133"/>
        <v/>
      </c>
      <c r="Y518" s="327" t="str">
        <f t="shared" si="134"/>
        <v/>
      </c>
      <c r="Z518" s="428" t="str">
        <f t="shared" si="135"/>
        <v/>
      </c>
    </row>
    <row r="519" spans="1:26" x14ac:dyDescent="0.35">
      <c r="A519" s="265"/>
      <c r="B519" s="266"/>
      <c r="C519" s="262"/>
      <c r="D519" s="262"/>
      <c r="E519" s="262"/>
      <c r="F519" s="262"/>
      <c r="G519" s="320"/>
      <c r="H519" s="262"/>
      <c r="I519" s="320"/>
      <c r="J519" s="320"/>
      <c r="K519" s="262"/>
      <c r="L519" s="262"/>
      <c r="M519" s="327" t="str">
        <f t="shared" si="122"/>
        <v/>
      </c>
      <c r="N519" s="327" t="str">
        <f t="shared" si="123"/>
        <v/>
      </c>
      <c r="O519" s="327" t="str">
        <f t="shared" si="124"/>
        <v/>
      </c>
      <c r="P519" s="327" t="str">
        <f t="shared" si="125"/>
        <v/>
      </c>
      <c r="Q519" s="327" t="str">
        <f t="shared" si="126"/>
        <v/>
      </c>
      <c r="R519" s="327" t="str">
        <f t="shared" si="127"/>
        <v/>
      </c>
      <c r="S519" s="421" t="str">
        <f t="shared" si="128"/>
        <v/>
      </c>
      <c r="T519" s="327" t="str">
        <f t="shared" si="129"/>
        <v/>
      </c>
      <c r="U519" s="327" t="str">
        <f t="shared" si="130"/>
        <v/>
      </c>
      <c r="V519" s="327" t="str">
        <f t="shared" si="131"/>
        <v/>
      </c>
      <c r="W519" s="327" t="str">
        <f t="shared" si="132"/>
        <v/>
      </c>
      <c r="X519" s="327" t="str">
        <f t="shared" si="133"/>
        <v/>
      </c>
      <c r="Y519" s="327" t="str">
        <f t="shared" si="134"/>
        <v/>
      </c>
      <c r="Z519" s="428" t="str">
        <f t="shared" si="135"/>
        <v/>
      </c>
    </row>
    <row r="520" spans="1:26" x14ac:dyDescent="0.35">
      <c r="A520" s="265"/>
      <c r="B520" s="266"/>
      <c r="C520" s="262"/>
      <c r="D520" s="262"/>
      <c r="E520" s="262"/>
      <c r="F520" s="262"/>
      <c r="G520" s="320"/>
      <c r="H520" s="262"/>
      <c r="I520" s="320"/>
      <c r="J520" s="320"/>
      <c r="K520" s="262"/>
      <c r="L520" s="262"/>
      <c r="M520" s="327" t="str">
        <f t="shared" si="122"/>
        <v/>
      </c>
      <c r="N520" s="327" t="str">
        <f t="shared" si="123"/>
        <v/>
      </c>
      <c r="O520" s="327" t="str">
        <f t="shared" si="124"/>
        <v/>
      </c>
      <c r="P520" s="327" t="str">
        <f t="shared" si="125"/>
        <v/>
      </c>
      <c r="Q520" s="327" t="str">
        <f t="shared" si="126"/>
        <v/>
      </c>
      <c r="R520" s="327" t="str">
        <f t="shared" si="127"/>
        <v/>
      </c>
      <c r="S520" s="421" t="str">
        <f t="shared" si="128"/>
        <v/>
      </c>
      <c r="T520" s="327" t="str">
        <f t="shared" si="129"/>
        <v/>
      </c>
      <c r="U520" s="327" t="str">
        <f t="shared" si="130"/>
        <v/>
      </c>
      <c r="V520" s="327" t="str">
        <f t="shared" si="131"/>
        <v/>
      </c>
      <c r="W520" s="327" t="str">
        <f t="shared" si="132"/>
        <v/>
      </c>
      <c r="X520" s="327" t="str">
        <f t="shared" si="133"/>
        <v/>
      </c>
      <c r="Y520" s="327" t="str">
        <f t="shared" si="134"/>
        <v/>
      </c>
      <c r="Z520" s="428" t="str">
        <f t="shared" si="135"/>
        <v/>
      </c>
    </row>
    <row r="521" spans="1:26" x14ac:dyDescent="0.35">
      <c r="A521" s="265"/>
      <c r="B521" s="266"/>
      <c r="C521" s="262"/>
      <c r="D521" s="262"/>
      <c r="E521" s="262"/>
      <c r="F521" s="262"/>
      <c r="G521" s="320"/>
      <c r="H521" s="262"/>
      <c r="I521" s="320"/>
      <c r="J521" s="320"/>
      <c r="K521" s="262"/>
      <c r="L521" s="262"/>
      <c r="M521" s="327" t="str">
        <f t="shared" si="122"/>
        <v/>
      </c>
      <c r="N521" s="327" t="str">
        <f t="shared" si="123"/>
        <v/>
      </c>
      <c r="O521" s="327" t="str">
        <f t="shared" si="124"/>
        <v/>
      </c>
      <c r="P521" s="327" t="str">
        <f t="shared" si="125"/>
        <v/>
      </c>
      <c r="Q521" s="327" t="str">
        <f t="shared" si="126"/>
        <v/>
      </c>
      <c r="R521" s="327" t="str">
        <f t="shared" si="127"/>
        <v/>
      </c>
      <c r="S521" s="421" t="str">
        <f t="shared" si="128"/>
        <v/>
      </c>
      <c r="T521" s="327" t="str">
        <f t="shared" si="129"/>
        <v/>
      </c>
      <c r="U521" s="327" t="str">
        <f t="shared" si="130"/>
        <v/>
      </c>
      <c r="V521" s="327" t="str">
        <f t="shared" si="131"/>
        <v/>
      </c>
      <c r="W521" s="327" t="str">
        <f t="shared" si="132"/>
        <v/>
      </c>
      <c r="X521" s="327" t="str">
        <f t="shared" si="133"/>
        <v/>
      </c>
      <c r="Y521" s="327" t="str">
        <f t="shared" si="134"/>
        <v/>
      </c>
      <c r="Z521" s="428" t="str">
        <f t="shared" si="135"/>
        <v/>
      </c>
    </row>
    <row r="522" spans="1:26" x14ac:dyDescent="0.35">
      <c r="A522" s="265"/>
      <c r="B522" s="266"/>
      <c r="C522" s="262"/>
      <c r="D522" s="262"/>
      <c r="E522" s="262"/>
      <c r="F522" s="262"/>
      <c r="G522" s="320"/>
      <c r="H522" s="262"/>
      <c r="I522" s="320"/>
      <c r="J522" s="320"/>
      <c r="K522" s="262"/>
      <c r="L522" s="262"/>
      <c r="M522" s="327" t="str">
        <f t="shared" si="122"/>
        <v/>
      </c>
      <c r="N522" s="327" t="str">
        <f t="shared" si="123"/>
        <v/>
      </c>
      <c r="O522" s="327" t="str">
        <f t="shared" si="124"/>
        <v/>
      </c>
      <c r="P522" s="327" t="str">
        <f t="shared" si="125"/>
        <v/>
      </c>
      <c r="Q522" s="327" t="str">
        <f t="shared" si="126"/>
        <v/>
      </c>
      <c r="R522" s="327" t="str">
        <f t="shared" si="127"/>
        <v/>
      </c>
      <c r="S522" s="421" t="str">
        <f t="shared" si="128"/>
        <v/>
      </c>
      <c r="T522" s="327" t="str">
        <f t="shared" si="129"/>
        <v/>
      </c>
      <c r="U522" s="327" t="str">
        <f t="shared" si="130"/>
        <v/>
      </c>
      <c r="V522" s="327" t="str">
        <f t="shared" si="131"/>
        <v/>
      </c>
      <c r="W522" s="327" t="str">
        <f t="shared" si="132"/>
        <v/>
      </c>
      <c r="X522" s="327" t="str">
        <f t="shared" si="133"/>
        <v/>
      </c>
      <c r="Y522" s="327" t="str">
        <f t="shared" si="134"/>
        <v/>
      </c>
      <c r="Z522" s="428" t="str">
        <f t="shared" si="135"/>
        <v/>
      </c>
    </row>
    <row r="523" spans="1:26" x14ac:dyDescent="0.35">
      <c r="A523" s="265"/>
      <c r="B523" s="266"/>
      <c r="C523" s="262"/>
      <c r="D523" s="262"/>
      <c r="E523" s="262"/>
      <c r="F523" s="262"/>
      <c r="G523" s="320"/>
      <c r="H523" s="262"/>
      <c r="I523" s="320"/>
      <c r="J523" s="320"/>
      <c r="K523" s="262"/>
      <c r="L523" s="262"/>
      <c r="M523" s="327" t="str">
        <f t="shared" si="122"/>
        <v/>
      </c>
      <c r="N523" s="327" t="str">
        <f t="shared" si="123"/>
        <v/>
      </c>
      <c r="O523" s="327" t="str">
        <f t="shared" si="124"/>
        <v/>
      </c>
      <c r="P523" s="327" t="str">
        <f t="shared" si="125"/>
        <v/>
      </c>
      <c r="Q523" s="327" t="str">
        <f t="shared" si="126"/>
        <v/>
      </c>
      <c r="R523" s="327" t="str">
        <f t="shared" si="127"/>
        <v/>
      </c>
      <c r="S523" s="421" t="str">
        <f t="shared" si="128"/>
        <v/>
      </c>
      <c r="T523" s="327" t="str">
        <f t="shared" si="129"/>
        <v/>
      </c>
      <c r="U523" s="327" t="str">
        <f t="shared" si="130"/>
        <v/>
      </c>
      <c r="V523" s="327" t="str">
        <f t="shared" si="131"/>
        <v/>
      </c>
      <c r="W523" s="327" t="str">
        <f t="shared" si="132"/>
        <v/>
      </c>
      <c r="X523" s="327" t="str">
        <f t="shared" si="133"/>
        <v/>
      </c>
      <c r="Y523" s="327" t="str">
        <f t="shared" si="134"/>
        <v/>
      </c>
      <c r="Z523" s="428" t="str">
        <f t="shared" si="135"/>
        <v/>
      </c>
    </row>
    <row r="524" spans="1:26" x14ac:dyDescent="0.35">
      <c r="A524" s="265"/>
      <c r="B524" s="266"/>
      <c r="C524" s="262"/>
      <c r="D524" s="262"/>
      <c r="E524" s="262"/>
      <c r="F524" s="262"/>
      <c r="G524" s="320"/>
      <c r="H524" s="262"/>
      <c r="I524" s="320"/>
      <c r="J524" s="320"/>
      <c r="K524" s="262"/>
      <c r="L524" s="262"/>
      <c r="M524" s="327" t="str">
        <f t="shared" si="122"/>
        <v/>
      </c>
      <c r="N524" s="327" t="str">
        <f t="shared" si="123"/>
        <v/>
      </c>
      <c r="O524" s="327" t="str">
        <f t="shared" si="124"/>
        <v/>
      </c>
      <c r="P524" s="327" t="str">
        <f t="shared" si="125"/>
        <v/>
      </c>
      <c r="Q524" s="327" t="str">
        <f t="shared" si="126"/>
        <v/>
      </c>
      <c r="R524" s="327" t="str">
        <f t="shared" si="127"/>
        <v/>
      </c>
      <c r="S524" s="421" t="str">
        <f t="shared" si="128"/>
        <v/>
      </c>
      <c r="T524" s="327" t="str">
        <f t="shared" si="129"/>
        <v/>
      </c>
      <c r="U524" s="327" t="str">
        <f t="shared" si="130"/>
        <v/>
      </c>
      <c r="V524" s="327" t="str">
        <f t="shared" si="131"/>
        <v/>
      </c>
      <c r="W524" s="327" t="str">
        <f t="shared" si="132"/>
        <v/>
      </c>
      <c r="X524" s="327" t="str">
        <f t="shared" si="133"/>
        <v/>
      </c>
      <c r="Y524" s="327" t="str">
        <f t="shared" si="134"/>
        <v/>
      </c>
      <c r="Z524" s="428" t="str">
        <f t="shared" si="135"/>
        <v/>
      </c>
    </row>
    <row r="525" spans="1:26" x14ac:dyDescent="0.35">
      <c r="A525" s="265"/>
      <c r="B525" s="266"/>
      <c r="C525" s="262"/>
      <c r="D525" s="262"/>
      <c r="E525" s="262"/>
      <c r="F525" s="262"/>
      <c r="G525" s="320"/>
      <c r="H525" s="262"/>
      <c r="I525" s="320"/>
      <c r="J525" s="320"/>
      <c r="K525" s="262"/>
      <c r="L525" s="262"/>
      <c r="M525" s="327" t="str">
        <f t="shared" si="122"/>
        <v/>
      </c>
      <c r="N525" s="327" t="str">
        <f t="shared" si="123"/>
        <v/>
      </c>
      <c r="O525" s="327" t="str">
        <f t="shared" si="124"/>
        <v/>
      </c>
      <c r="P525" s="327" t="str">
        <f t="shared" si="125"/>
        <v/>
      </c>
      <c r="Q525" s="327" t="str">
        <f t="shared" si="126"/>
        <v/>
      </c>
      <c r="R525" s="327" t="str">
        <f t="shared" si="127"/>
        <v/>
      </c>
      <c r="S525" s="421" t="str">
        <f t="shared" si="128"/>
        <v/>
      </c>
      <c r="T525" s="327" t="str">
        <f t="shared" si="129"/>
        <v/>
      </c>
      <c r="U525" s="327" t="str">
        <f t="shared" si="130"/>
        <v/>
      </c>
      <c r="V525" s="327" t="str">
        <f t="shared" si="131"/>
        <v/>
      </c>
      <c r="W525" s="327" t="str">
        <f t="shared" si="132"/>
        <v/>
      </c>
      <c r="X525" s="327" t="str">
        <f t="shared" si="133"/>
        <v/>
      </c>
      <c r="Y525" s="327" t="str">
        <f t="shared" si="134"/>
        <v/>
      </c>
      <c r="Z525" s="428" t="str">
        <f t="shared" si="135"/>
        <v/>
      </c>
    </row>
    <row r="526" spans="1:26" x14ac:dyDescent="0.35">
      <c r="A526" s="265"/>
      <c r="B526" s="266"/>
      <c r="C526" s="262"/>
      <c r="D526" s="262"/>
      <c r="E526" s="262"/>
      <c r="F526" s="262"/>
      <c r="G526" s="320"/>
      <c r="H526" s="262"/>
      <c r="I526" s="320"/>
      <c r="J526" s="320"/>
      <c r="K526" s="262"/>
      <c r="L526" s="262"/>
      <c r="M526" s="327" t="str">
        <f t="shared" si="122"/>
        <v/>
      </c>
      <c r="N526" s="327" t="str">
        <f t="shared" si="123"/>
        <v/>
      </c>
      <c r="O526" s="327" t="str">
        <f t="shared" si="124"/>
        <v/>
      </c>
      <c r="P526" s="327" t="str">
        <f t="shared" si="125"/>
        <v/>
      </c>
      <c r="Q526" s="327" t="str">
        <f t="shared" si="126"/>
        <v/>
      </c>
      <c r="R526" s="327" t="str">
        <f t="shared" si="127"/>
        <v/>
      </c>
      <c r="S526" s="421" t="str">
        <f t="shared" si="128"/>
        <v/>
      </c>
      <c r="T526" s="327" t="str">
        <f t="shared" si="129"/>
        <v/>
      </c>
      <c r="U526" s="327" t="str">
        <f t="shared" si="130"/>
        <v/>
      </c>
      <c r="V526" s="327" t="str">
        <f t="shared" si="131"/>
        <v/>
      </c>
      <c r="W526" s="327" t="str">
        <f t="shared" si="132"/>
        <v/>
      </c>
      <c r="X526" s="327" t="str">
        <f t="shared" si="133"/>
        <v/>
      </c>
      <c r="Y526" s="327" t="str">
        <f t="shared" si="134"/>
        <v/>
      </c>
      <c r="Z526" s="428" t="str">
        <f t="shared" si="135"/>
        <v/>
      </c>
    </row>
    <row r="527" spans="1:26" x14ac:dyDescent="0.35">
      <c r="A527" s="265"/>
      <c r="B527" s="266"/>
      <c r="C527" s="262"/>
      <c r="D527" s="262"/>
      <c r="E527" s="262"/>
      <c r="F527" s="262"/>
      <c r="G527" s="320"/>
      <c r="H527" s="262"/>
      <c r="I527" s="320"/>
      <c r="J527" s="320"/>
      <c r="K527" s="262"/>
      <c r="L527" s="262"/>
      <c r="M527" s="327" t="str">
        <f t="shared" si="122"/>
        <v/>
      </c>
      <c r="N527" s="327" t="str">
        <f t="shared" si="123"/>
        <v/>
      </c>
      <c r="O527" s="327" t="str">
        <f t="shared" si="124"/>
        <v/>
      </c>
      <c r="P527" s="327" t="str">
        <f t="shared" si="125"/>
        <v/>
      </c>
      <c r="Q527" s="327" t="str">
        <f t="shared" si="126"/>
        <v/>
      </c>
      <c r="R527" s="327" t="str">
        <f t="shared" si="127"/>
        <v/>
      </c>
      <c r="S527" s="421" t="str">
        <f t="shared" si="128"/>
        <v/>
      </c>
      <c r="T527" s="327" t="str">
        <f t="shared" si="129"/>
        <v/>
      </c>
      <c r="U527" s="327" t="str">
        <f t="shared" si="130"/>
        <v/>
      </c>
      <c r="V527" s="327" t="str">
        <f t="shared" si="131"/>
        <v/>
      </c>
      <c r="W527" s="327" t="str">
        <f t="shared" si="132"/>
        <v/>
      </c>
      <c r="X527" s="327" t="str">
        <f t="shared" si="133"/>
        <v/>
      </c>
      <c r="Y527" s="327" t="str">
        <f t="shared" si="134"/>
        <v/>
      </c>
      <c r="Z527" s="428" t="str">
        <f t="shared" si="135"/>
        <v/>
      </c>
    </row>
    <row r="528" spans="1:26" x14ac:dyDescent="0.35">
      <c r="A528" s="265"/>
      <c r="B528" s="266"/>
      <c r="C528" s="262"/>
      <c r="D528" s="262"/>
      <c r="E528" s="262"/>
      <c r="F528" s="262"/>
      <c r="G528" s="320"/>
      <c r="H528" s="262"/>
      <c r="I528" s="320"/>
      <c r="J528" s="320"/>
      <c r="K528" s="262"/>
      <c r="L528" s="262"/>
      <c r="M528" s="327" t="str">
        <f t="shared" si="122"/>
        <v/>
      </c>
      <c r="N528" s="327" t="str">
        <f t="shared" si="123"/>
        <v/>
      </c>
      <c r="O528" s="327" t="str">
        <f t="shared" si="124"/>
        <v/>
      </c>
      <c r="P528" s="327" t="str">
        <f t="shared" si="125"/>
        <v/>
      </c>
      <c r="Q528" s="327" t="str">
        <f t="shared" si="126"/>
        <v/>
      </c>
      <c r="R528" s="327" t="str">
        <f t="shared" si="127"/>
        <v/>
      </c>
      <c r="S528" s="421" t="str">
        <f t="shared" si="128"/>
        <v/>
      </c>
      <c r="T528" s="327" t="str">
        <f t="shared" si="129"/>
        <v/>
      </c>
      <c r="U528" s="327" t="str">
        <f t="shared" si="130"/>
        <v/>
      </c>
      <c r="V528" s="327" t="str">
        <f t="shared" si="131"/>
        <v/>
      </c>
      <c r="W528" s="327" t="str">
        <f t="shared" si="132"/>
        <v/>
      </c>
      <c r="X528" s="327" t="str">
        <f t="shared" si="133"/>
        <v/>
      </c>
      <c r="Y528" s="327" t="str">
        <f t="shared" si="134"/>
        <v/>
      </c>
      <c r="Z528" s="428" t="str">
        <f t="shared" si="135"/>
        <v/>
      </c>
    </row>
    <row r="529" spans="1:26" x14ac:dyDescent="0.35">
      <c r="A529" s="265"/>
      <c r="B529" s="266"/>
      <c r="C529" s="262"/>
      <c r="D529" s="262"/>
      <c r="E529" s="262"/>
      <c r="F529" s="262"/>
      <c r="G529" s="320"/>
      <c r="H529" s="262"/>
      <c r="I529" s="320"/>
      <c r="J529" s="320"/>
      <c r="K529" s="262"/>
      <c r="L529" s="262"/>
      <c r="M529" s="327" t="str">
        <f t="shared" si="122"/>
        <v/>
      </c>
      <c r="N529" s="327" t="str">
        <f t="shared" si="123"/>
        <v/>
      </c>
      <c r="O529" s="327" t="str">
        <f t="shared" si="124"/>
        <v/>
      </c>
      <c r="P529" s="327" t="str">
        <f t="shared" si="125"/>
        <v/>
      </c>
      <c r="Q529" s="327" t="str">
        <f t="shared" si="126"/>
        <v/>
      </c>
      <c r="R529" s="327" t="str">
        <f t="shared" si="127"/>
        <v/>
      </c>
      <c r="S529" s="421" t="str">
        <f t="shared" si="128"/>
        <v/>
      </c>
      <c r="T529" s="327" t="str">
        <f t="shared" si="129"/>
        <v/>
      </c>
      <c r="U529" s="327" t="str">
        <f t="shared" si="130"/>
        <v/>
      </c>
      <c r="V529" s="327" t="str">
        <f t="shared" si="131"/>
        <v/>
      </c>
      <c r="W529" s="327" t="str">
        <f t="shared" si="132"/>
        <v/>
      </c>
      <c r="X529" s="327" t="str">
        <f t="shared" si="133"/>
        <v/>
      </c>
      <c r="Y529" s="327" t="str">
        <f t="shared" si="134"/>
        <v/>
      </c>
      <c r="Z529" s="428" t="str">
        <f t="shared" si="135"/>
        <v/>
      </c>
    </row>
    <row r="530" spans="1:26" x14ac:dyDescent="0.35">
      <c r="A530" s="265"/>
      <c r="B530" s="266"/>
      <c r="C530" s="262"/>
      <c r="D530" s="262"/>
      <c r="E530" s="262"/>
      <c r="F530" s="262"/>
      <c r="G530" s="320"/>
      <c r="H530" s="262"/>
      <c r="I530" s="320"/>
      <c r="J530" s="320"/>
      <c r="K530" s="262"/>
      <c r="L530" s="262"/>
      <c r="M530" s="327" t="str">
        <f t="shared" si="122"/>
        <v/>
      </c>
      <c r="N530" s="327" t="str">
        <f t="shared" si="123"/>
        <v/>
      </c>
      <c r="O530" s="327" t="str">
        <f t="shared" si="124"/>
        <v/>
      </c>
      <c r="P530" s="327" t="str">
        <f t="shared" si="125"/>
        <v/>
      </c>
      <c r="Q530" s="327" t="str">
        <f t="shared" si="126"/>
        <v/>
      </c>
      <c r="R530" s="327" t="str">
        <f t="shared" si="127"/>
        <v/>
      </c>
      <c r="S530" s="421" t="str">
        <f t="shared" si="128"/>
        <v/>
      </c>
      <c r="T530" s="327" t="str">
        <f t="shared" si="129"/>
        <v/>
      </c>
      <c r="U530" s="327" t="str">
        <f t="shared" si="130"/>
        <v/>
      </c>
      <c r="V530" s="327" t="str">
        <f t="shared" si="131"/>
        <v/>
      </c>
      <c r="W530" s="327" t="str">
        <f t="shared" si="132"/>
        <v/>
      </c>
      <c r="X530" s="327" t="str">
        <f t="shared" si="133"/>
        <v/>
      </c>
      <c r="Y530" s="327" t="str">
        <f t="shared" si="134"/>
        <v/>
      </c>
      <c r="Z530" s="428" t="str">
        <f t="shared" si="135"/>
        <v/>
      </c>
    </row>
    <row r="531" spans="1:26" x14ac:dyDescent="0.35">
      <c r="A531" s="265"/>
      <c r="B531" s="266"/>
      <c r="C531" s="262"/>
      <c r="D531" s="262"/>
      <c r="E531" s="262"/>
      <c r="F531" s="262"/>
      <c r="G531" s="320"/>
      <c r="H531" s="262"/>
      <c r="I531" s="320"/>
      <c r="J531" s="320"/>
      <c r="K531" s="262"/>
      <c r="L531" s="262"/>
      <c r="M531" s="327" t="str">
        <f t="shared" si="122"/>
        <v/>
      </c>
      <c r="N531" s="327" t="str">
        <f t="shared" si="123"/>
        <v/>
      </c>
      <c r="O531" s="327" t="str">
        <f t="shared" si="124"/>
        <v/>
      </c>
      <c r="P531" s="327" t="str">
        <f t="shared" si="125"/>
        <v/>
      </c>
      <c r="Q531" s="327" t="str">
        <f t="shared" si="126"/>
        <v/>
      </c>
      <c r="R531" s="327" t="str">
        <f t="shared" si="127"/>
        <v/>
      </c>
      <c r="S531" s="421" t="str">
        <f t="shared" si="128"/>
        <v/>
      </c>
      <c r="T531" s="327" t="str">
        <f t="shared" si="129"/>
        <v/>
      </c>
      <c r="U531" s="327" t="str">
        <f t="shared" si="130"/>
        <v/>
      </c>
      <c r="V531" s="327" t="str">
        <f t="shared" si="131"/>
        <v/>
      </c>
      <c r="W531" s="327" t="str">
        <f t="shared" si="132"/>
        <v/>
      </c>
      <c r="X531" s="327" t="str">
        <f t="shared" si="133"/>
        <v/>
      </c>
      <c r="Y531" s="327" t="str">
        <f t="shared" si="134"/>
        <v/>
      </c>
      <c r="Z531" s="428" t="str">
        <f t="shared" si="135"/>
        <v/>
      </c>
    </row>
    <row r="532" spans="1:26" x14ac:dyDescent="0.35">
      <c r="A532" s="265"/>
      <c r="B532" s="266"/>
      <c r="C532" s="262"/>
      <c r="D532" s="262"/>
      <c r="E532" s="262"/>
      <c r="F532" s="262"/>
      <c r="G532" s="320"/>
      <c r="H532" s="262"/>
      <c r="I532" s="320"/>
      <c r="J532" s="320"/>
      <c r="K532" s="262"/>
      <c r="L532" s="262"/>
      <c r="M532" s="327" t="str">
        <f t="shared" si="122"/>
        <v/>
      </c>
      <c r="N532" s="327" t="str">
        <f t="shared" si="123"/>
        <v/>
      </c>
      <c r="O532" s="327" t="str">
        <f t="shared" si="124"/>
        <v/>
      </c>
      <c r="P532" s="327" t="str">
        <f t="shared" si="125"/>
        <v/>
      </c>
      <c r="Q532" s="327" t="str">
        <f t="shared" si="126"/>
        <v/>
      </c>
      <c r="R532" s="327" t="str">
        <f t="shared" si="127"/>
        <v/>
      </c>
      <c r="S532" s="421" t="str">
        <f t="shared" si="128"/>
        <v/>
      </c>
      <c r="T532" s="327" t="str">
        <f t="shared" si="129"/>
        <v/>
      </c>
      <c r="U532" s="327" t="str">
        <f t="shared" si="130"/>
        <v/>
      </c>
      <c r="V532" s="327" t="str">
        <f t="shared" si="131"/>
        <v/>
      </c>
      <c r="W532" s="327" t="str">
        <f t="shared" si="132"/>
        <v/>
      </c>
      <c r="X532" s="327" t="str">
        <f t="shared" si="133"/>
        <v/>
      </c>
      <c r="Y532" s="327" t="str">
        <f t="shared" si="134"/>
        <v/>
      </c>
      <c r="Z532" s="428" t="str">
        <f t="shared" si="135"/>
        <v/>
      </c>
    </row>
    <row r="533" spans="1:26" x14ac:dyDescent="0.35">
      <c r="A533" s="265"/>
      <c r="B533" s="266"/>
      <c r="C533" s="262"/>
      <c r="D533" s="262"/>
      <c r="E533" s="262"/>
      <c r="F533" s="262"/>
      <c r="G533" s="320"/>
      <c r="H533" s="262"/>
      <c r="I533" s="320"/>
      <c r="J533" s="320"/>
      <c r="K533" s="262"/>
      <c r="L533" s="262"/>
      <c r="M533" s="327" t="str">
        <f t="shared" si="122"/>
        <v/>
      </c>
      <c r="N533" s="327" t="str">
        <f t="shared" si="123"/>
        <v/>
      </c>
      <c r="O533" s="327" t="str">
        <f t="shared" si="124"/>
        <v/>
      </c>
      <c r="P533" s="327" t="str">
        <f t="shared" si="125"/>
        <v/>
      </c>
      <c r="Q533" s="327" t="str">
        <f t="shared" si="126"/>
        <v/>
      </c>
      <c r="R533" s="327" t="str">
        <f t="shared" si="127"/>
        <v/>
      </c>
      <c r="S533" s="421" t="str">
        <f t="shared" si="128"/>
        <v/>
      </c>
      <c r="T533" s="327" t="str">
        <f t="shared" si="129"/>
        <v/>
      </c>
      <c r="U533" s="327" t="str">
        <f t="shared" si="130"/>
        <v/>
      </c>
      <c r="V533" s="327" t="str">
        <f t="shared" si="131"/>
        <v/>
      </c>
      <c r="W533" s="327" t="str">
        <f t="shared" si="132"/>
        <v/>
      </c>
      <c r="X533" s="327" t="str">
        <f t="shared" si="133"/>
        <v/>
      </c>
      <c r="Y533" s="327" t="str">
        <f t="shared" si="134"/>
        <v/>
      </c>
      <c r="Z533" s="428" t="str">
        <f t="shared" si="135"/>
        <v/>
      </c>
    </row>
    <row r="534" spans="1:26" x14ac:dyDescent="0.35">
      <c r="A534" s="265"/>
      <c r="B534" s="266"/>
      <c r="C534" s="262"/>
      <c r="D534" s="262"/>
      <c r="E534" s="262"/>
      <c r="F534" s="262"/>
      <c r="G534" s="320"/>
      <c r="H534" s="262"/>
      <c r="I534" s="320"/>
      <c r="J534" s="320"/>
      <c r="K534" s="262"/>
      <c r="L534" s="262"/>
      <c r="M534" s="327" t="str">
        <f t="shared" si="122"/>
        <v/>
      </c>
      <c r="N534" s="327" t="str">
        <f t="shared" si="123"/>
        <v/>
      </c>
      <c r="O534" s="327" t="str">
        <f t="shared" si="124"/>
        <v/>
      </c>
      <c r="P534" s="327" t="str">
        <f t="shared" si="125"/>
        <v/>
      </c>
      <c r="Q534" s="327" t="str">
        <f t="shared" si="126"/>
        <v/>
      </c>
      <c r="R534" s="327" t="str">
        <f t="shared" si="127"/>
        <v/>
      </c>
      <c r="S534" s="421" t="str">
        <f t="shared" si="128"/>
        <v/>
      </c>
      <c r="T534" s="327" t="str">
        <f t="shared" si="129"/>
        <v/>
      </c>
      <c r="U534" s="327" t="str">
        <f t="shared" si="130"/>
        <v/>
      </c>
      <c r="V534" s="327" t="str">
        <f t="shared" si="131"/>
        <v/>
      </c>
      <c r="W534" s="327" t="str">
        <f t="shared" si="132"/>
        <v/>
      </c>
      <c r="X534" s="327" t="str">
        <f t="shared" si="133"/>
        <v/>
      </c>
      <c r="Y534" s="327" t="str">
        <f t="shared" si="134"/>
        <v/>
      </c>
      <c r="Z534" s="428" t="str">
        <f t="shared" si="135"/>
        <v/>
      </c>
    </row>
    <row r="535" spans="1:26" x14ac:dyDescent="0.35">
      <c r="A535" s="265"/>
      <c r="B535" s="266"/>
      <c r="C535" s="262"/>
      <c r="D535" s="262"/>
      <c r="E535" s="262"/>
      <c r="F535" s="262"/>
      <c r="G535" s="320"/>
      <c r="H535" s="262"/>
      <c r="I535" s="320"/>
      <c r="J535" s="320"/>
      <c r="K535" s="262"/>
      <c r="L535" s="262"/>
      <c r="M535" s="327" t="str">
        <f t="shared" si="122"/>
        <v/>
      </c>
      <c r="N535" s="327" t="str">
        <f t="shared" si="123"/>
        <v/>
      </c>
      <c r="O535" s="327" t="str">
        <f t="shared" si="124"/>
        <v/>
      </c>
      <c r="P535" s="327" t="str">
        <f t="shared" si="125"/>
        <v/>
      </c>
      <c r="Q535" s="327" t="str">
        <f t="shared" si="126"/>
        <v/>
      </c>
      <c r="R535" s="327" t="str">
        <f t="shared" si="127"/>
        <v/>
      </c>
      <c r="S535" s="421" t="str">
        <f t="shared" si="128"/>
        <v/>
      </c>
      <c r="T535" s="327" t="str">
        <f t="shared" si="129"/>
        <v/>
      </c>
      <c r="U535" s="327" t="str">
        <f t="shared" si="130"/>
        <v/>
      </c>
      <c r="V535" s="327" t="str">
        <f t="shared" si="131"/>
        <v/>
      </c>
      <c r="W535" s="327" t="str">
        <f t="shared" si="132"/>
        <v/>
      </c>
      <c r="X535" s="327" t="str">
        <f t="shared" si="133"/>
        <v/>
      </c>
      <c r="Y535" s="327" t="str">
        <f t="shared" si="134"/>
        <v/>
      </c>
      <c r="Z535" s="428" t="str">
        <f t="shared" si="135"/>
        <v/>
      </c>
    </row>
    <row r="536" spans="1:26" x14ac:dyDescent="0.35">
      <c r="A536" s="265"/>
      <c r="B536" s="266"/>
      <c r="C536" s="262"/>
      <c r="D536" s="262"/>
      <c r="E536" s="262"/>
      <c r="F536" s="262"/>
      <c r="G536" s="320"/>
      <c r="H536" s="262"/>
      <c r="I536" s="320"/>
      <c r="J536" s="320"/>
      <c r="K536" s="262"/>
      <c r="L536" s="262"/>
      <c r="M536" s="327" t="str">
        <f t="shared" si="122"/>
        <v/>
      </c>
      <c r="N536" s="327" t="str">
        <f t="shared" si="123"/>
        <v/>
      </c>
      <c r="O536" s="327" t="str">
        <f t="shared" si="124"/>
        <v/>
      </c>
      <c r="P536" s="327" t="str">
        <f t="shared" si="125"/>
        <v/>
      </c>
      <c r="Q536" s="327" t="str">
        <f t="shared" si="126"/>
        <v/>
      </c>
      <c r="R536" s="327" t="str">
        <f t="shared" si="127"/>
        <v/>
      </c>
      <c r="S536" s="421" t="str">
        <f t="shared" si="128"/>
        <v/>
      </c>
      <c r="T536" s="327" t="str">
        <f t="shared" si="129"/>
        <v/>
      </c>
      <c r="U536" s="327" t="str">
        <f t="shared" si="130"/>
        <v/>
      </c>
      <c r="V536" s="327" t="str">
        <f t="shared" si="131"/>
        <v/>
      </c>
      <c r="W536" s="327" t="str">
        <f t="shared" si="132"/>
        <v/>
      </c>
      <c r="X536" s="327" t="str">
        <f t="shared" si="133"/>
        <v/>
      </c>
      <c r="Y536" s="327" t="str">
        <f t="shared" si="134"/>
        <v/>
      </c>
      <c r="Z536" s="428" t="str">
        <f t="shared" si="135"/>
        <v/>
      </c>
    </row>
    <row r="537" spans="1:26" x14ac:dyDescent="0.35">
      <c r="A537" s="265"/>
      <c r="B537" s="266"/>
      <c r="C537" s="262"/>
      <c r="D537" s="262"/>
      <c r="E537" s="262"/>
      <c r="F537" s="262"/>
      <c r="G537" s="320"/>
      <c r="H537" s="262"/>
      <c r="I537" s="320"/>
      <c r="J537" s="320"/>
      <c r="K537" s="262"/>
      <c r="L537" s="262"/>
      <c r="M537" s="327" t="str">
        <f t="shared" si="122"/>
        <v/>
      </c>
      <c r="N537" s="327" t="str">
        <f t="shared" si="123"/>
        <v/>
      </c>
      <c r="O537" s="327" t="str">
        <f t="shared" si="124"/>
        <v/>
      </c>
      <c r="P537" s="327" t="str">
        <f t="shared" si="125"/>
        <v/>
      </c>
      <c r="Q537" s="327" t="str">
        <f t="shared" si="126"/>
        <v/>
      </c>
      <c r="R537" s="327" t="str">
        <f t="shared" si="127"/>
        <v/>
      </c>
      <c r="S537" s="421" t="str">
        <f t="shared" si="128"/>
        <v/>
      </c>
      <c r="T537" s="327" t="str">
        <f t="shared" si="129"/>
        <v/>
      </c>
      <c r="U537" s="327" t="str">
        <f t="shared" si="130"/>
        <v/>
      </c>
      <c r="V537" s="327" t="str">
        <f t="shared" si="131"/>
        <v/>
      </c>
      <c r="W537" s="327" t="str">
        <f t="shared" si="132"/>
        <v/>
      </c>
      <c r="X537" s="327" t="str">
        <f t="shared" si="133"/>
        <v/>
      </c>
      <c r="Y537" s="327" t="str">
        <f t="shared" si="134"/>
        <v/>
      </c>
      <c r="Z537" s="428" t="str">
        <f t="shared" si="135"/>
        <v/>
      </c>
    </row>
    <row r="538" spans="1:26" x14ac:dyDescent="0.35">
      <c r="A538" s="265"/>
      <c r="B538" s="266"/>
      <c r="C538" s="262"/>
      <c r="D538" s="262"/>
      <c r="E538" s="262"/>
      <c r="F538" s="262"/>
      <c r="G538" s="320"/>
      <c r="H538" s="262"/>
      <c r="I538" s="320"/>
      <c r="J538" s="320"/>
      <c r="K538" s="262"/>
      <c r="L538" s="262"/>
      <c r="M538" s="327" t="str">
        <f t="shared" si="122"/>
        <v/>
      </c>
      <c r="N538" s="327" t="str">
        <f t="shared" si="123"/>
        <v/>
      </c>
      <c r="O538" s="327" t="str">
        <f t="shared" si="124"/>
        <v/>
      </c>
      <c r="P538" s="327" t="str">
        <f t="shared" si="125"/>
        <v/>
      </c>
      <c r="Q538" s="327" t="str">
        <f t="shared" si="126"/>
        <v/>
      </c>
      <c r="R538" s="327" t="str">
        <f t="shared" si="127"/>
        <v/>
      </c>
      <c r="S538" s="421" t="str">
        <f t="shared" si="128"/>
        <v/>
      </c>
      <c r="T538" s="327" t="str">
        <f t="shared" si="129"/>
        <v/>
      </c>
      <c r="U538" s="327" t="str">
        <f t="shared" si="130"/>
        <v/>
      </c>
      <c r="V538" s="327" t="str">
        <f t="shared" si="131"/>
        <v/>
      </c>
      <c r="W538" s="327" t="str">
        <f t="shared" si="132"/>
        <v/>
      </c>
      <c r="X538" s="327" t="str">
        <f t="shared" si="133"/>
        <v/>
      </c>
      <c r="Y538" s="327" t="str">
        <f t="shared" si="134"/>
        <v/>
      </c>
      <c r="Z538" s="428" t="str">
        <f t="shared" si="135"/>
        <v/>
      </c>
    </row>
    <row r="539" spans="1:26" x14ac:dyDescent="0.35">
      <c r="A539" s="265"/>
      <c r="B539" s="266"/>
      <c r="C539" s="262"/>
      <c r="D539" s="262"/>
      <c r="E539" s="262"/>
      <c r="F539" s="262"/>
      <c r="G539" s="320"/>
      <c r="H539" s="262"/>
      <c r="I539" s="320"/>
      <c r="J539" s="320"/>
      <c r="K539" s="262"/>
      <c r="L539" s="262"/>
      <c r="M539" s="327" t="str">
        <f t="shared" si="122"/>
        <v/>
      </c>
      <c r="N539" s="327" t="str">
        <f t="shared" si="123"/>
        <v/>
      </c>
      <c r="O539" s="327" t="str">
        <f t="shared" si="124"/>
        <v/>
      </c>
      <c r="P539" s="327" t="str">
        <f t="shared" si="125"/>
        <v/>
      </c>
      <c r="Q539" s="327" t="str">
        <f t="shared" si="126"/>
        <v/>
      </c>
      <c r="R539" s="327" t="str">
        <f t="shared" si="127"/>
        <v/>
      </c>
      <c r="S539" s="421" t="str">
        <f t="shared" si="128"/>
        <v/>
      </c>
      <c r="T539" s="327" t="str">
        <f t="shared" si="129"/>
        <v/>
      </c>
      <c r="U539" s="327" t="str">
        <f t="shared" si="130"/>
        <v/>
      </c>
      <c r="V539" s="327" t="str">
        <f t="shared" si="131"/>
        <v/>
      </c>
      <c r="W539" s="327" t="str">
        <f t="shared" si="132"/>
        <v/>
      </c>
      <c r="X539" s="327" t="str">
        <f t="shared" si="133"/>
        <v/>
      </c>
      <c r="Y539" s="327" t="str">
        <f t="shared" si="134"/>
        <v/>
      </c>
      <c r="Z539" s="428" t="str">
        <f t="shared" si="135"/>
        <v/>
      </c>
    </row>
    <row r="540" spans="1:26" x14ac:dyDescent="0.35">
      <c r="A540" s="265"/>
      <c r="B540" s="266"/>
      <c r="C540" s="262"/>
      <c r="D540" s="262"/>
      <c r="E540" s="262"/>
      <c r="F540" s="262"/>
      <c r="G540" s="320"/>
      <c r="H540" s="262"/>
      <c r="I540" s="320"/>
      <c r="J540" s="320"/>
      <c r="K540" s="262"/>
      <c r="L540" s="262"/>
      <c r="M540" s="327" t="str">
        <f t="shared" si="122"/>
        <v/>
      </c>
      <c r="N540" s="327" t="str">
        <f t="shared" si="123"/>
        <v/>
      </c>
      <c r="O540" s="327" t="str">
        <f t="shared" si="124"/>
        <v/>
      </c>
      <c r="P540" s="327" t="str">
        <f t="shared" si="125"/>
        <v/>
      </c>
      <c r="Q540" s="327" t="str">
        <f t="shared" si="126"/>
        <v/>
      </c>
      <c r="R540" s="327" t="str">
        <f t="shared" si="127"/>
        <v/>
      </c>
      <c r="S540" s="421" t="str">
        <f t="shared" si="128"/>
        <v/>
      </c>
      <c r="T540" s="327" t="str">
        <f t="shared" si="129"/>
        <v/>
      </c>
      <c r="U540" s="327" t="str">
        <f t="shared" si="130"/>
        <v/>
      </c>
      <c r="V540" s="327" t="str">
        <f t="shared" si="131"/>
        <v/>
      </c>
      <c r="W540" s="327" t="str">
        <f t="shared" si="132"/>
        <v/>
      </c>
      <c r="X540" s="327" t="str">
        <f t="shared" si="133"/>
        <v/>
      </c>
      <c r="Y540" s="327" t="str">
        <f t="shared" si="134"/>
        <v/>
      </c>
      <c r="Z540" s="428" t="str">
        <f t="shared" si="135"/>
        <v/>
      </c>
    </row>
    <row r="541" spans="1:26" x14ac:dyDescent="0.35">
      <c r="A541" s="265"/>
      <c r="B541" s="266"/>
      <c r="C541" s="262"/>
      <c r="D541" s="262"/>
      <c r="E541" s="262"/>
      <c r="F541" s="262"/>
      <c r="G541" s="320"/>
      <c r="H541" s="262"/>
      <c r="I541" s="320"/>
      <c r="J541" s="320"/>
      <c r="K541" s="262"/>
      <c r="L541" s="262"/>
      <c r="M541" s="327" t="str">
        <f t="shared" si="122"/>
        <v/>
      </c>
      <c r="N541" s="327" t="str">
        <f t="shared" si="123"/>
        <v/>
      </c>
      <c r="O541" s="327" t="str">
        <f t="shared" si="124"/>
        <v/>
      </c>
      <c r="P541" s="327" t="str">
        <f t="shared" si="125"/>
        <v/>
      </c>
      <c r="Q541" s="327" t="str">
        <f t="shared" si="126"/>
        <v/>
      </c>
      <c r="R541" s="327" t="str">
        <f t="shared" si="127"/>
        <v/>
      </c>
      <c r="S541" s="421" t="str">
        <f t="shared" si="128"/>
        <v/>
      </c>
      <c r="T541" s="327" t="str">
        <f t="shared" si="129"/>
        <v/>
      </c>
      <c r="U541" s="327" t="str">
        <f t="shared" si="130"/>
        <v/>
      </c>
      <c r="V541" s="327" t="str">
        <f t="shared" si="131"/>
        <v/>
      </c>
      <c r="W541" s="327" t="str">
        <f t="shared" si="132"/>
        <v/>
      </c>
      <c r="X541" s="327" t="str">
        <f t="shared" si="133"/>
        <v/>
      </c>
      <c r="Y541" s="327" t="str">
        <f t="shared" si="134"/>
        <v/>
      </c>
      <c r="Z541" s="428" t="str">
        <f t="shared" si="135"/>
        <v/>
      </c>
    </row>
    <row r="542" spans="1:26" x14ac:dyDescent="0.35">
      <c r="A542" s="265"/>
      <c r="B542" s="266"/>
      <c r="C542" s="262"/>
      <c r="D542" s="262"/>
      <c r="E542" s="262"/>
      <c r="F542" s="262"/>
      <c r="G542" s="320"/>
      <c r="H542" s="262"/>
      <c r="I542" s="320"/>
      <c r="J542" s="320"/>
      <c r="K542" s="262"/>
      <c r="L542" s="262"/>
      <c r="M542" s="327" t="str">
        <f t="shared" si="122"/>
        <v/>
      </c>
      <c r="N542" s="327" t="str">
        <f t="shared" si="123"/>
        <v/>
      </c>
      <c r="O542" s="327" t="str">
        <f t="shared" si="124"/>
        <v/>
      </c>
      <c r="P542" s="327" t="str">
        <f t="shared" si="125"/>
        <v/>
      </c>
      <c r="Q542" s="327" t="str">
        <f t="shared" si="126"/>
        <v/>
      </c>
      <c r="R542" s="327" t="str">
        <f t="shared" si="127"/>
        <v/>
      </c>
      <c r="S542" s="421" t="str">
        <f t="shared" si="128"/>
        <v/>
      </c>
      <c r="T542" s="327" t="str">
        <f t="shared" si="129"/>
        <v/>
      </c>
      <c r="U542" s="327" t="str">
        <f t="shared" si="130"/>
        <v/>
      </c>
      <c r="V542" s="327" t="str">
        <f t="shared" si="131"/>
        <v/>
      </c>
      <c r="W542" s="327" t="str">
        <f t="shared" si="132"/>
        <v/>
      </c>
      <c r="X542" s="327" t="str">
        <f t="shared" si="133"/>
        <v/>
      </c>
      <c r="Y542" s="327" t="str">
        <f t="shared" si="134"/>
        <v/>
      </c>
      <c r="Z542" s="428" t="str">
        <f t="shared" si="135"/>
        <v/>
      </c>
    </row>
    <row r="543" spans="1:26" x14ac:dyDescent="0.35">
      <c r="A543" s="265"/>
      <c r="B543" s="266"/>
      <c r="C543" s="262"/>
      <c r="D543" s="262"/>
      <c r="E543" s="262"/>
      <c r="F543" s="262"/>
      <c r="G543" s="320"/>
      <c r="H543" s="262"/>
      <c r="I543" s="320"/>
      <c r="J543" s="320"/>
      <c r="K543" s="262"/>
      <c r="L543" s="262"/>
      <c r="M543" s="327" t="str">
        <f t="shared" si="122"/>
        <v/>
      </c>
      <c r="N543" s="327" t="str">
        <f t="shared" si="123"/>
        <v/>
      </c>
      <c r="O543" s="327" t="str">
        <f t="shared" si="124"/>
        <v/>
      </c>
      <c r="P543" s="327" t="str">
        <f t="shared" si="125"/>
        <v/>
      </c>
      <c r="Q543" s="327" t="str">
        <f t="shared" si="126"/>
        <v/>
      </c>
      <c r="R543" s="327" t="str">
        <f t="shared" si="127"/>
        <v/>
      </c>
      <c r="S543" s="421" t="str">
        <f t="shared" si="128"/>
        <v/>
      </c>
      <c r="T543" s="327" t="str">
        <f t="shared" si="129"/>
        <v/>
      </c>
      <c r="U543" s="327" t="str">
        <f t="shared" si="130"/>
        <v/>
      </c>
      <c r="V543" s="327" t="str">
        <f t="shared" si="131"/>
        <v/>
      </c>
      <c r="W543" s="327" t="str">
        <f t="shared" si="132"/>
        <v/>
      </c>
      <c r="X543" s="327" t="str">
        <f t="shared" si="133"/>
        <v/>
      </c>
      <c r="Y543" s="327" t="str">
        <f t="shared" si="134"/>
        <v/>
      </c>
      <c r="Z543" s="428" t="str">
        <f t="shared" si="135"/>
        <v/>
      </c>
    </row>
    <row r="544" spans="1:26" x14ac:dyDescent="0.35">
      <c r="A544" s="265"/>
      <c r="B544" s="266"/>
      <c r="C544" s="262"/>
      <c r="D544" s="262"/>
      <c r="E544" s="262"/>
      <c r="F544" s="262"/>
      <c r="G544" s="320"/>
      <c r="H544" s="262"/>
      <c r="I544" s="320"/>
      <c r="J544" s="320"/>
      <c r="K544" s="262"/>
      <c r="L544" s="262"/>
      <c r="M544" s="327" t="str">
        <f t="shared" si="122"/>
        <v/>
      </c>
      <c r="N544" s="327" t="str">
        <f t="shared" si="123"/>
        <v/>
      </c>
      <c r="O544" s="327" t="str">
        <f t="shared" si="124"/>
        <v/>
      </c>
      <c r="P544" s="327" t="str">
        <f t="shared" si="125"/>
        <v/>
      </c>
      <c r="Q544" s="327" t="str">
        <f t="shared" si="126"/>
        <v/>
      </c>
      <c r="R544" s="327" t="str">
        <f t="shared" si="127"/>
        <v/>
      </c>
      <c r="S544" s="421" t="str">
        <f t="shared" si="128"/>
        <v/>
      </c>
      <c r="T544" s="327" t="str">
        <f t="shared" si="129"/>
        <v/>
      </c>
      <c r="U544" s="327" t="str">
        <f t="shared" si="130"/>
        <v/>
      </c>
      <c r="V544" s="327" t="str">
        <f t="shared" si="131"/>
        <v/>
      </c>
      <c r="W544" s="327" t="str">
        <f t="shared" si="132"/>
        <v/>
      </c>
      <c r="X544" s="327" t="str">
        <f t="shared" si="133"/>
        <v/>
      </c>
      <c r="Y544" s="327" t="str">
        <f t="shared" si="134"/>
        <v/>
      </c>
      <c r="Z544" s="428" t="str">
        <f t="shared" si="135"/>
        <v/>
      </c>
    </row>
    <row r="545" spans="1:26" x14ac:dyDescent="0.35">
      <c r="A545" s="265"/>
      <c r="B545" s="266"/>
      <c r="C545" s="262"/>
      <c r="D545" s="262"/>
      <c r="E545" s="262"/>
      <c r="F545" s="262"/>
      <c r="G545" s="320"/>
      <c r="H545" s="262"/>
      <c r="I545" s="320"/>
      <c r="J545" s="320"/>
      <c r="K545" s="262"/>
      <c r="L545" s="262"/>
      <c r="M545" s="327" t="str">
        <f t="shared" si="122"/>
        <v/>
      </c>
      <c r="N545" s="327" t="str">
        <f t="shared" si="123"/>
        <v/>
      </c>
      <c r="O545" s="327" t="str">
        <f t="shared" si="124"/>
        <v/>
      </c>
      <c r="P545" s="327" t="str">
        <f t="shared" si="125"/>
        <v/>
      </c>
      <c r="Q545" s="327" t="str">
        <f t="shared" si="126"/>
        <v/>
      </c>
      <c r="R545" s="327" t="str">
        <f t="shared" si="127"/>
        <v/>
      </c>
      <c r="S545" s="421" t="str">
        <f t="shared" si="128"/>
        <v/>
      </c>
      <c r="T545" s="327" t="str">
        <f t="shared" si="129"/>
        <v/>
      </c>
      <c r="U545" s="327" t="str">
        <f t="shared" si="130"/>
        <v/>
      </c>
      <c r="V545" s="327" t="str">
        <f t="shared" si="131"/>
        <v/>
      </c>
      <c r="W545" s="327" t="str">
        <f t="shared" si="132"/>
        <v/>
      </c>
      <c r="X545" s="327" t="str">
        <f t="shared" si="133"/>
        <v/>
      </c>
      <c r="Y545" s="327" t="str">
        <f t="shared" si="134"/>
        <v/>
      </c>
      <c r="Z545" s="428" t="str">
        <f t="shared" si="135"/>
        <v/>
      </c>
    </row>
    <row r="546" spans="1:26" x14ac:dyDescent="0.35">
      <c r="A546" s="265"/>
      <c r="B546" s="266"/>
      <c r="C546" s="262"/>
      <c r="D546" s="262"/>
      <c r="E546" s="262"/>
      <c r="F546" s="262"/>
      <c r="G546" s="320"/>
      <c r="H546" s="262"/>
      <c r="I546" s="320"/>
      <c r="J546" s="320"/>
      <c r="K546" s="262"/>
      <c r="L546" s="262"/>
      <c r="M546" s="327" t="str">
        <f t="shared" si="122"/>
        <v/>
      </c>
      <c r="N546" s="327" t="str">
        <f t="shared" si="123"/>
        <v/>
      </c>
      <c r="O546" s="327" t="str">
        <f t="shared" si="124"/>
        <v/>
      </c>
      <c r="P546" s="327" t="str">
        <f t="shared" si="125"/>
        <v/>
      </c>
      <c r="Q546" s="327" t="str">
        <f t="shared" si="126"/>
        <v/>
      </c>
      <c r="R546" s="327" t="str">
        <f t="shared" si="127"/>
        <v/>
      </c>
      <c r="S546" s="421" t="str">
        <f t="shared" si="128"/>
        <v/>
      </c>
      <c r="T546" s="327" t="str">
        <f t="shared" si="129"/>
        <v/>
      </c>
      <c r="U546" s="327" t="str">
        <f t="shared" si="130"/>
        <v/>
      </c>
      <c r="V546" s="327" t="str">
        <f t="shared" si="131"/>
        <v/>
      </c>
      <c r="W546" s="327" t="str">
        <f t="shared" si="132"/>
        <v/>
      </c>
      <c r="X546" s="327" t="str">
        <f t="shared" si="133"/>
        <v/>
      </c>
      <c r="Y546" s="327" t="str">
        <f t="shared" si="134"/>
        <v/>
      </c>
      <c r="Z546" s="428" t="str">
        <f t="shared" si="135"/>
        <v/>
      </c>
    </row>
    <row r="547" spans="1:26" x14ac:dyDescent="0.35">
      <c r="A547" s="265"/>
      <c r="B547" s="266"/>
      <c r="C547" s="262"/>
      <c r="D547" s="262"/>
      <c r="E547" s="262"/>
      <c r="F547" s="262"/>
      <c r="G547" s="320"/>
      <c r="H547" s="262"/>
      <c r="I547" s="320"/>
      <c r="J547" s="320"/>
      <c r="K547" s="262"/>
      <c r="L547" s="262"/>
      <c r="M547" s="327" t="str">
        <f t="shared" si="122"/>
        <v/>
      </c>
      <c r="N547" s="327" t="str">
        <f t="shared" si="123"/>
        <v/>
      </c>
      <c r="O547" s="327" t="str">
        <f t="shared" si="124"/>
        <v/>
      </c>
      <c r="P547" s="327" t="str">
        <f t="shared" si="125"/>
        <v/>
      </c>
      <c r="Q547" s="327" t="str">
        <f t="shared" si="126"/>
        <v/>
      </c>
      <c r="R547" s="327" t="str">
        <f t="shared" si="127"/>
        <v/>
      </c>
      <c r="S547" s="421" t="str">
        <f t="shared" si="128"/>
        <v/>
      </c>
      <c r="T547" s="327" t="str">
        <f t="shared" si="129"/>
        <v/>
      </c>
      <c r="U547" s="327" t="str">
        <f t="shared" si="130"/>
        <v/>
      </c>
      <c r="V547" s="327" t="str">
        <f t="shared" si="131"/>
        <v/>
      </c>
      <c r="W547" s="327" t="str">
        <f t="shared" si="132"/>
        <v/>
      </c>
      <c r="X547" s="327" t="str">
        <f t="shared" si="133"/>
        <v/>
      </c>
      <c r="Y547" s="327" t="str">
        <f t="shared" si="134"/>
        <v/>
      </c>
      <c r="Z547" s="428" t="str">
        <f t="shared" si="135"/>
        <v/>
      </c>
    </row>
    <row r="548" spans="1:26" x14ac:dyDescent="0.35">
      <c r="A548" s="265"/>
      <c r="B548" s="266"/>
      <c r="C548" s="262"/>
      <c r="D548" s="262"/>
      <c r="E548" s="262"/>
      <c r="F548" s="262"/>
      <c r="G548" s="320"/>
      <c r="H548" s="262"/>
      <c r="I548" s="320"/>
      <c r="J548" s="320"/>
      <c r="K548" s="262"/>
      <c r="L548" s="262"/>
      <c r="M548" s="327" t="str">
        <f t="shared" si="122"/>
        <v/>
      </c>
      <c r="N548" s="327" t="str">
        <f t="shared" si="123"/>
        <v/>
      </c>
      <c r="O548" s="327" t="str">
        <f t="shared" si="124"/>
        <v/>
      </c>
      <c r="P548" s="327" t="str">
        <f t="shared" si="125"/>
        <v/>
      </c>
      <c r="Q548" s="327" t="str">
        <f t="shared" si="126"/>
        <v/>
      </c>
      <c r="R548" s="327" t="str">
        <f t="shared" si="127"/>
        <v/>
      </c>
      <c r="S548" s="421" t="str">
        <f t="shared" si="128"/>
        <v/>
      </c>
      <c r="T548" s="327" t="str">
        <f t="shared" si="129"/>
        <v/>
      </c>
      <c r="U548" s="327" t="str">
        <f t="shared" si="130"/>
        <v/>
      </c>
      <c r="V548" s="327" t="str">
        <f t="shared" si="131"/>
        <v/>
      </c>
      <c r="W548" s="327" t="str">
        <f t="shared" si="132"/>
        <v/>
      </c>
      <c r="X548" s="327" t="str">
        <f t="shared" si="133"/>
        <v/>
      </c>
      <c r="Y548" s="327" t="str">
        <f t="shared" si="134"/>
        <v/>
      </c>
      <c r="Z548" s="428" t="str">
        <f t="shared" si="135"/>
        <v/>
      </c>
    </row>
    <row r="549" spans="1:26" x14ac:dyDescent="0.35">
      <c r="A549" s="265"/>
      <c r="B549" s="266"/>
      <c r="C549" s="262"/>
      <c r="D549" s="262"/>
      <c r="E549" s="262"/>
      <c r="F549" s="262"/>
      <c r="G549" s="320"/>
      <c r="H549" s="262"/>
      <c r="I549" s="320"/>
      <c r="J549" s="320"/>
      <c r="K549" s="262"/>
      <c r="L549" s="262"/>
      <c r="M549" s="327" t="str">
        <f t="shared" si="122"/>
        <v/>
      </c>
      <c r="N549" s="327" t="str">
        <f t="shared" si="123"/>
        <v/>
      </c>
      <c r="O549" s="327" t="str">
        <f t="shared" si="124"/>
        <v/>
      </c>
      <c r="P549" s="327" t="str">
        <f t="shared" si="125"/>
        <v/>
      </c>
      <c r="Q549" s="327" t="str">
        <f t="shared" si="126"/>
        <v/>
      </c>
      <c r="R549" s="327" t="str">
        <f t="shared" si="127"/>
        <v/>
      </c>
      <c r="S549" s="421" t="str">
        <f t="shared" si="128"/>
        <v/>
      </c>
      <c r="T549" s="327" t="str">
        <f t="shared" si="129"/>
        <v/>
      </c>
      <c r="U549" s="327" t="str">
        <f t="shared" si="130"/>
        <v/>
      </c>
      <c r="V549" s="327" t="str">
        <f t="shared" si="131"/>
        <v/>
      </c>
      <c r="W549" s="327" t="str">
        <f t="shared" si="132"/>
        <v/>
      </c>
      <c r="X549" s="327" t="str">
        <f t="shared" si="133"/>
        <v/>
      </c>
      <c r="Y549" s="327" t="str">
        <f t="shared" si="134"/>
        <v/>
      </c>
      <c r="Z549" s="428" t="str">
        <f t="shared" si="135"/>
        <v/>
      </c>
    </row>
    <row r="550" spans="1:26" x14ac:dyDescent="0.35">
      <c r="A550" s="265"/>
      <c r="B550" s="266"/>
      <c r="C550" s="262"/>
      <c r="D550" s="262"/>
      <c r="E550" s="262"/>
      <c r="F550" s="262"/>
      <c r="G550" s="320"/>
      <c r="H550" s="262"/>
      <c r="I550" s="320"/>
      <c r="J550" s="320"/>
      <c r="K550" s="262"/>
      <c r="L550" s="262"/>
      <c r="M550" s="327" t="str">
        <f t="shared" si="122"/>
        <v/>
      </c>
      <c r="N550" s="327" t="str">
        <f t="shared" si="123"/>
        <v/>
      </c>
      <c r="O550" s="327" t="str">
        <f t="shared" si="124"/>
        <v/>
      </c>
      <c r="P550" s="327" t="str">
        <f t="shared" si="125"/>
        <v/>
      </c>
      <c r="Q550" s="327" t="str">
        <f t="shared" si="126"/>
        <v/>
      </c>
      <c r="R550" s="327" t="str">
        <f t="shared" si="127"/>
        <v/>
      </c>
      <c r="S550" s="421" t="str">
        <f t="shared" si="128"/>
        <v/>
      </c>
      <c r="T550" s="327" t="str">
        <f t="shared" si="129"/>
        <v/>
      </c>
      <c r="U550" s="327" t="str">
        <f t="shared" si="130"/>
        <v/>
      </c>
      <c r="V550" s="327" t="str">
        <f t="shared" si="131"/>
        <v/>
      </c>
      <c r="W550" s="327" t="str">
        <f t="shared" si="132"/>
        <v/>
      </c>
      <c r="X550" s="327" t="str">
        <f t="shared" si="133"/>
        <v/>
      </c>
      <c r="Y550" s="327" t="str">
        <f t="shared" si="134"/>
        <v/>
      </c>
      <c r="Z550" s="428" t="str">
        <f t="shared" si="135"/>
        <v/>
      </c>
    </row>
    <row r="551" spans="1:26" x14ac:dyDescent="0.35">
      <c r="A551" s="265"/>
      <c r="B551" s="266"/>
      <c r="C551" s="262"/>
      <c r="D551" s="262"/>
      <c r="E551" s="262"/>
      <c r="F551" s="262"/>
      <c r="G551" s="320"/>
      <c r="H551" s="262"/>
      <c r="I551" s="320"/>
      <c r="J551" s="320"/>
      <c r="K551" s="262"/>
      <c r="L551" s="262"/>
      <c r="M551" s="327" t="str">
        <f t="shared" si="122"/>
        <v/>
      </c>
      <c r="N551" s="327" t="str">
        <f t="shared" si="123"/>
        <v/>
      </c>
      <c r="O551" s="327" t="str">
        <f t="shared" si="124"/>
        <v/>
      </c>
      <c r="P551" s="327" t="str">
        <f t="shared" si="125"/>
        <v/>
      </c>
      <c r="Q551" s="327" t="str">
        <f t="shared" si="126"/>
        <v/>
      </c>
      <c r="R551" s="327" t="str">
        <f t="shared" si="127"/>
        <v/>
      </c>
      <c r="S551" s="421" t="str">
        <f t="shared" si="128"/>
        <v/>
      </c>
      <c r="T551" s="327" t="str">
        <f t="shared" si="129"/>
        <v/>
      </c>
      <c r="U551" s="327" t="str">
        <f t="shared" si="130"/>
        <v/>
      </c>
      <c r="V551" s="327" t="str">
        <f t="shared" si="131"/>
        <v/>
      </c>
      <c r="W551" s="327" t="str">
        <f t="shared" si="132"/>
        <v/>
      </c>
      <c r="X551" s="327" t="str">
        <f t="shared" si="133"/>
        <v/>
      </c>
      <c r="Y551" s="327" t="str">
        <f t="shared" si="134"/>
        <v/>
      </c>
      <c r="Z551" s="428" t="str">
        <f t="shared" si="135"/>
        <v/>
      </c>
    </row>
    <row r="552" spans="1:26" x14ac:dyDescent="0.35">
      <c r="A552" s="265"/>
      <c r="B552" s="266"/>
      <c r="C552" s="262"/>
      <c r="D552" s="262"/>
      <c r="E552" s="262"/>
      <c r="F552" s="262"/>
      <c r="G552" s="320"/>
      <c r="H552" s="262"/>
      <c r="I552" s="320"/>
      <c r="J552" s="320"/>
      <c r="K552" s="262"/>
      <c r="L552" s="262"/>
      <c r="M552" s="327" t="str">
        <f t="shared" si="122"/>
        <v/>
      </c>
      <c r="N552" s="327" t="str">
        <f t="shared" si="123"/>
        <v/>
      </c>
      <c r="O552" s="327" t="str">
        <f t="shared" si="124"/>
        <v/>
      </c>
      <c r="P552" s="327" t="str">
        <f t="shared" si="125"/>
        <v/>
      </c>
      <c r="Q552" s="327" t="str">
        <f t="shared" si="126"/>
        <v/>
      </c>
      <c r="R552" s="327" t="str">
        <f t="shared" si="127"/>
        <v/>
      </c>
      <c r="S552" s="421" t="str">
        <f t="shared" si="128"/>
        <v/>
      </c>
      <c r="T552" s="327" t="str">
        <f t="shared" si="129"/>
        <v/>
      </c>
      <c r="U552" s="327" t="str">
        <f t="shared" si="130"/>
        <v/>
      </c>
      <c r="V552" s="327" t="str">
        <f t="shared" si="131"/>
        <v/>
      </c>
      <c r="W552" s="327" t="str">
        <f t="shared" si="132"/>
        <v/>
      </c>
      <c r="X552" s="327" t="str">
        <f t="shared" si="133"/>
        <v/>
      </c>
      <c r="Y552" s="327" t="str">
        <f t="shared" si="134"/>
        <v/>
      </c>
      <c r="Z552" s="428" t="str">
        <f t="shared" si="135"/>
        <v/>
      </c>
    </row>
    <row r="553" spans="1:26" x14ac:dyDescent="0.35">
      <c r="A553" s="265"/>
      <c r="B553" s="266"/>
      <c r="C553" s="262"/>
      <c r="D553" s="262"/>
      <c r="E553" s="262"/>
      <c r="F553" s="262"/>
      <c r="G553" s="320"/>
      <c r="H553" s="262"/>
      <c r="I553" s="320"/>
      <c r="J553" s="320"/>
      <c r="K553" s="262"/>
      <c r="L553" s="262"/>
      <c r="M553" s="327" t="str">
        <f t="shared" si="122"/>
        <v/>
      </c>
      <c r="N553" s="327" t="str">
        <f t="shared" si="123"/>
        <v/>
      </c>
      <c r="O553" s="327" t="str">
        <f t="shared" si="124"/>
        <v/>
      </c>
      <c r="P553" s="327" t="str">
        <f t="shared" si="125"/>
        <v/>
      </c>
      <c r="Q553" s="327" t="str">
        <f t="shared" si="126"/>
        <v/>
      </c>
      <c r="R553" s="327" t="str">
        <f t="shared" si="127"/>
        <v/>
      </c>
      <c r="S553" s="421" t="str">
        <f t="shared" si="128"/>
        <v/>
      </c>
      <c r="T553" s="327" t="str">
        <f t="shared" si="129"/>
        <v/>
      </c>
      <c r="U553" s="327" t="str">
        <f t="shared" si="130"/>
        <v/>
      </c>
      <c r="V553" s="327" t="str">
        <f t="shared" si="131"/>
        <v/>
      </c>
      <c r="W553" s="327" t="str">
        <f t="shared" si="132"/>
        <v/>
      </c>
      <c r="X553" s="327" t="str">
        <f t="shared" si="133"/>
        <v/>
      </c>
      <c r="Y553" s="327" t="str">
        <f t="shared" si="134"/>
        <v/>
      </c>
      <c r="Z553" s="428" t="str">
        <f t="shared" si="135"/>
        <v/>
      </c>
    </row>
    <row r="554" spans="1:26" x14ac:dyDescent="0.35">
      <c r="A554" s="265"/>
      <c r="B554" s="266"/>
      <c r="C554" s="262"/>
      <c r="D554" s="262"/>
      <c r="E554" s="262"/>
      <c r="F554" s="262"/>
      <c r="G554" s="320"/>
      <c r="H554" s="262"/>
      <c r="I554" s="320"/>
      <c r="J554" s="320"/>
      <c r="K554" s="262"/>
      <c r="L554" s="262"/>
      <c r="M554" s="327" t="str">
        <f t="shared" si="122"/>
        <v/>
      </c>
      <c r="N554" s="327" t="str">
        <f t="shared" si="123"/>
        <v/>
      </c>
      <c r="O554" s="327" t="str">
        <f t="shared" si="124"/>
        <v/>
      </c>
      <c r="P554" s="327" t="str">
        <f t="shared" si="125"/>
        <v/>
      </c>
      <c r="Q554" s="327" t="str">
        <f t="shared" si="126"/>
        <v/>
      </c>
      <c r="R554" s="327" t="str">
        <f t="shared" si="127"/>
        <v/>
      </c>
      <c r="S554" s="421" t="str">
        <f t="shared" si="128"/>
        <v/>
      </c>
      <c r="T554" s="327" t="str">
        <f t="shared" si="129"/>
        <v/>
      </c>
      <c r="U554" s="327" t="str">
        <f t="shared" si="130"/>
        <v/>
      </c>
      <c r="V554" s="327" t="str">
        <f t="shared" si="131"/>
        <v/>
      </c>
      <c r="W554" s="327" t="str">
        <f t="shared" si="132"/>
        <v/>
      </c>
      <c r="X554" s="327" t="str">
        <f t="shared" si="133"/>
        <v/>
      </c>
      <c r="Y554" s="327" t="str">
        <f t="shared" si="134"/>
        <v/>
      </c>
      <c r="Z554" s="428" t="str">
        <f t="shared" si="135"/>
        <v/>
      </c>
    </row>
    <row r="555" spans="1:26" x14ac:dyDescent="0.35">
      <c r="A555" s="265"/>
      <c r="B555" s="266"/>
      <c r="C555" s="262"/>
      <c r="D555" s="262"/>
      <c r="E555" s="262"/>
      <c r="F555" s="262"/>
      <c r="G555" s="320"/>
      <c r="H555" s="262"/>
      <c r="I555" s="320"/>
      <c r="J555" s="320"/>
      <c r="K555" s="262"/>
      <c r="L555" s="262"/>
      <c r="M555" s="327" t="str">
        <f t="shared" ref="M555:M618" si="136">IF(OR(A555="", B555=""), "", IF(H555="Mitgliedsbeiträge", ABS(B555), ""))</f>
        <v/>
      </c>
      <c r="N555" s="327" t="str">
        <f t="shared" ref="N555:N618" si="137">IF(OR(A555="", B555=""), "", IF(H555="Spenden", ABS(B555), ""))</f>
        <v/>
      </c>
      <c r="O555" s="327" t="str">
        <f t="shared" ref="O555:O618" si="138">IF(OR(A555="", B555=""), "", IF(H555="Zuschüsse", ABS(B555), ""))</f>
        <v/>
      </c>
      <c r="P555" s="327" t="str">
        <f t="shared" ref="P555:P618" si="139">IF(OR(A555="", B555=""), "", IF(H555="Verwaltung", ABS(B555), ""))</f>
        <v/>
      </c>
      <c r="Q555" s="327" t="str">
        <f t="shared" ref="Q555:Q618" si="140">IF(OR(A555="", B555=""), "", IF(H555="Vermögen", ABS(B555), ""))</f>
        <v/>
      </c>
      <c r="R555" s="327" t="str">
        <f t="shared" ref="R555:R618" si="141">IF(OR(A555="", B555=""), "", IF(H555="Vermögen", ABS(B555), ""))</f>
        <v/>
      </c>
      <c r="S555" s="421" t="str">
        <f t="shared" ref="S555:S618" si="142">IF(OR(A555="", B555=""), "", IF(H555="Sonstige Einnahmen", ABS(B555), ""))</f>
        <v/>
      </c>
      <c r="T555" s="327" t="str">
        <f t="shared" ref="T555:T618" si="143">IF(OR(A555="", B555=""), "", IF(H555="Unterhaltung", ABS(B555), ""))</f>
        <v/>
      </c>
      <c r="U555" s="327" t="str">
        <f t="shared" ref="U555:U618" si="144">IF(OR(A555="", B555=""), "", IF(H555="Fortbildung", ABS(B555), ""))</f>
        <v/>
      </c>
      <c r="V555" s="327" t="str">
        <f t="shared" ref="V555:V618" si="145">IF(OR(A555="", B555=""), "", IF(H555="Veranstaltungen Ausgabe", ABS(B555), ""))</f>
        <v/>
      </c>
      <c r="W555" s="327" t="str">
        <f t="shared" ref="W555:W618" si="146">IF(OR(A555="", B555=""), "", IF(H555="Bürobetrieb", ABS(B555), ""))</f>
        <v/>
      </c>
      <c r="X555" s="327" t="str">
        <f t="shared" ref="X555:X618" si="147">IF(OR(A555="", B555=""), "", IF(H555="Aufwandsentschädigungen", ABS(B555), ""))</f>
        <v/>
      </c>
      <c r="Y555" s="327" t="str">
        <f t="shared" ref="Y555:Y618" si="148">IF(OR(A555="", B555=""), "", IF(H555="Sonstige Ausgaben", ABS(B555), ""))</f>
        <v/>
      </c>
      <c r="Z555" s="428" t="str">
        <f t="shared" ref="Z555:Z618" si="149">IF(OR(A555="", B555=""), "", IF(H555="Kasse-Auszahlung", ABS(B555), ""))</f>
        <v/>
      </c>
    </row>
    <row r="556" spans="1:26" x14ac:dyDescent="0.35">
      <c r="A556" s="265"/>
      <c r="B556" s="266"/>
      <c r="C556" s="262"/>
      <c r="D556" s="262"/>
      <c r="E556" s="262"/>
      <c r="F556" s="262"/>
      <c r="G556" s="320"/>
      <c r="H556" s="262"/>
      <c r="I556" s="320"/>
      <c r="J556" s="320"/>
      <c r="K556" s="262"/>
      <c r="L556" s="262"/>
      <c r="M556" s="327" t="str">
        <f t="shared" si="136"/>
        <v/>
      </c>
      <c r="N556" s="327" t="str">
        <f t="shared" si="137"/>
        <v/>
      </c>
      <c r="O556" s="327" t="str">
        <f t="shared" si="138"/>
        <v/>
      </c>
      <c r="P556" s="327" t="str">
        <f t="shared" si="139"/>
        <v/>
      </c>
      <c r="Q556" s="327" t="str">
        <f t="shared" si="140"/>
        <v/>
      </c>
      <c r="R556" s="327" t="str">
        <f t="shared" si="141"/>
        <v/>
      </c>
      <c r="S556" s="421" t="str">
        <f t="shared" si="142"/>
        <v/>
      </c>
      <c r="T556" s="327" t="str">
        <f t="shared" si="143"/>
        <v/>
      </c>
      <c r="U556" s="327" t="str">
        <f t="shared" si="144"/>
        <v/>
      </c>
      <c r="V556" s="327" t="str">
        <f t="shared" si="145"/>
        <v/>
      </c>
      <c r="W556" s="327" t="str">
        <f t="shared" si="146"/>
        <v/>
      </c>
      <c r="X556" s="327" t="str">
        <f t="shared" si="147"/>
        <v/>
      </c>
      <c r="Y556" s="327" t="str">
        <f t="shared" si="148"/>
        <v/>
      </c>
      <c r="Z556" s="428" t="str">
        <f t="shared" si="149"/>
        <v/>
      </c>
    </row>
    <row r="557" spans="1:26" x14ac:dyDescent="0.35">
      <c r="A557" s="265"/>
      <c r="B557" s="266"/>
      <c r="C557" s="262"/>
      <c r="D557" s="262"/>
      <c r="E557" s="262"/>
      <c r="F557" s="262"/>
      <c r="G557" s="320"/>
      <c r="H557" s="262"/>
      <c r="I557" s="320"/>
      <c r="J557" s="320"/>
      <c r="K557" s="262"/>
      <c r="L557" s="262"/>
      <c r="M557" s="327" t="str">
        <f t="shared" si="136"/>
        <v/>
      </c>
      <c r="N557" s="327" t="str">
        <f t="shared" si="137"/>
        <v/>
      </c>
      <c r="O557" s="327" t="str">
        <f t="shared" si="138"/>
        <v/>
      </c>
      <c r="P557" s="327" t="str">
        <f t="shared" si="139"/>
        <v/>
      </c>
      <c r="Q557" s="327" t="str">
        <f t="shared" si="140"/>
        <v/>
      </c>
      <c r="R557" s="327" t="str">
        <f t="shared" si="141"/>
        <v/>
      </c>
      <c r="S557" s="421" t="str">
        <f t="shared" si="142"/>
        <v/>
      </c>
      <c r="T557" s="327" t="str">
        <f t="shared" si="143"/>
        <v/>
      </c>
      <c r="U557" s="327" t="str">
        <f t="shared" si="144"/>
        <v/>
      </c>
      <c r="V557" s="327" t="str">
        <f t="shared" si="145"/>
        <v/>
      </c>
      <c r="W557" s="327" t="str">
        <f t="shared" si="146"/>
        <v/>
      </c>
      <c r="X557" s="327" t="str">
        <f t="shared" si="147"/>
        <v/>
      </c>
      <c r="Y557" s="327" t="str">
        <f t="shared" si="148"/>
        <v/>
      </c>
      <c r="Z557" s="428" t="str">
        <f t="shared" si="149"/>
        <v/>
      </c>
    </row>
    <row r="558" spans="1:26" x14ac:dyDescent="0.35">
      <c r="A558" s="265"/>
      <c r="B558" s="266"/>
      <c r="C558" s="262"/>
      <c r="D558" s="262"/>
      <c r="E558" s="262"/>
      <c r="F558" s="262"/>
      <c r="G558" s="320"/>
      <c r="H558" s="262"/>
      <c r="I558" s="320"/>
      <c r="J558" s="320"/>
      <c r="K558" s="262"/>
      <c r="L558" s="262"/>
      <c r="M558" s="327" t="str">
        <f t="shared" si="136"/>
        <v/>
      </c>
      <c r="N558" s="327" t="str">
        <f t="shared" si="137"/>
        <v/>
      </c>
      <c r="O558" s="327" t="str">
        <f t="shared" si="138"/>
        <v/>
      </c>
      <c r="P558" s="327" t="str">
        <f t="shared" si="139"/>
        <v/>
      </c>
      <c r="Q558" s="327" t="str">
        <f t="shared" si="140"/>
        <v/>
      </c>
      <c r="R558" s="327" t="str">
        <f t="shared" si="141"/>
        <v/>
      </c>
      <c r="S558" s="421" t="str">
        <f t="shared" si="142"/>
        <v/>
      </c>
      <c r="T558" s="327" t="str">
        <f t="shared" si="143"/>
        <v/>
      </c>
      <c r="U558" s="327" t="str">
        <f t="shared" si="144"/>
        <v/>
      </c>
      <c r="V558" s="327" t="str">
        <f t="shared" si="145"/>
        <v/>
      </c>
      <c r="W558" s="327" t="str">
        <f t="shared" si="146"/>
        <v/>
      </c>
      <c r="X558" s="327" t="str">
        <f t="shared" si="147"/>
        <v/>
      </c>
      <c r="Y558" s="327" t="str">
        <f t="shared" si="148"/>
        <v/>
      </c>
      <c r="Z558" s="428" t="str">
        <f t="shared" si="149"/>
        <v/>
      </c>
    </row>
    <row r="559" spans="1:26" x14ac:dyDescent="0.35">
      <c r="A559" s="265"/>
      <c r="B559" s="266"/>
      <c r="C559" s="262"/>
      <c r="D559" s="262"/>
      <c r="E559" s="262"/>
      <c r="F559" s="262"/>
      <c r="G559" s="320"/>
      <c r="H559" s="262"/>
      <c r="I559" s="320"/>
      <c r="J559" s="320"/>
      <c r="K559" s="262"/>
      <c r="L559" s="262"/>
      <c r="M559" s="327" t="str">
        <f t="shared" si="136"/>
        <v/>
      </c>
      <c r="N559" s="327" t="str">
        <f t="shared" si="137"/>
        <v/>
      </c>
      <c r="O559" s="327" t="str">
        <f t="shared" si="138"/>
        <v/>
      </c>
      <c r="P559" s="327" t="str">
        <f t="shared" si="139"/>
        <v/>
      </c>
      <c r="Q559" s="327" t="str">
        <f t="shared" si="140"/>
        <v/>
      </c>
      <c r="R559" s="327" t="str">
        <f t="shared" si="141"/>
        <v/>
      </c>
      <c r="S559" s="421" t="str">
        <f t="shared" si="142"/>
        <v/>
      </c>
      <c r="T559" s="327" t="str">
        <f t="shared" si="143"/>
        <v/>
      </c>
      <c r="U559" s="327" t="str">
        <f t="shared" si="144"/>
        <v/>
      </c>
      <c r="V559" s="327" t="str">
        <f t="shared" si="145"/>
        <v/>
      </c>
      <c r="W559" s="327" t="str">
        <f t="shared" si="146"/>
        <v/>
      </c>
      <c r="X559" s="327" t="str">
        <f t="shared" si="147"/>
        <v/>
      </c>
      <c r="Y559" s="327" t="str">
        <f t="shared" si="148"/>
        <v/>
      </c>
      <c r="Z559" s="428" t="str">
        <f t="shared" si="149"/>
        <v/>
      </c>
    </row>
    <row r="560" spans="1:26" x14ac:dyDescent="0.35">
      <c r="A560" s="265"/>
      <c r="B560" s="266"/>
      <c r="C560" s="262"/>
      <c r="D560" s="262"/>
      <c r="E560" s="262"/>
      <c r="F560" s="262"/>
      <c r="G560" s="320"/>
      <c r="H560" s="262"/>
      <c r="I560" s="320"/>
      <c r="J560" s="320"/>
      <c r="K560" s="262"/>
      <c r="L560" s="262"/>
      <c r="M560" s="327" t="str">
        <f t="shared" si="136"/>
        <v/>
      </c>
      <c r="N560" s="327" t="str">
        <f t="shared" si="137"/>
        <v/>
      </c>
      <c r="O560" s="327" t="str">
        <f t="shared" si="138"/>
        <v/>
      </c>
      <c r="P560" s="327" t="str">
        <f t="shared" si="139"/>
        <v/>
      </c>
      <c r="Q560" s="327" t="str">
        <f t="shared" si="140"/>
        <v/>
      </c>
      <c r="R560" s="327" t="str">
        <f t="shared" si="141"/>
        <v/>
      </c>
      <c r="S560" s="421" t="str">
        <f t="shared" si="142"/>
        <v/>
      </c>
      <c r="T560" s="327" t="str">
        <f t="shared" si="143"/>
        <v/>
      </c>
      <c r="U560" s="327" t="str">
        <f t="shared" si="144"/>
        <v/>
      </c>
      <c r="V560" s="327" t="str">
        <f t="shared" si="145"/>
        <v/>
      </c>
      <c r="W560" s="327" t="str">
        <f t="shared" si="146"/>
        <v/>
      </c>
      <c r="X560" s="327" t="str">
        <f t="shared" si="147"/>
        <v/>
      </c>
      <c r="Y560" s="327" t="str">
        <f t="shared" si="148"/>
        <v/>
      </c>
      <c r="Z560" s="428" t="str">
        <f t="shared" si="149"/>
        <v/>
      </c>
    </row>
    <row r="561" spans="1:26" x14ac:dyDescent="0.35">
      <c r="A561" s="265"/>
      <c r="B561" s="266"/>
      <c r="C561" s="262"/>
      <c r="D561" s="262"/>
      <c r="E561" s="262"/>
      <c r="F561" s="262"/>
      <c r="G561" s="320"/>
      <c r="H561" s="262"/>
      <c r="I561" s="320"/>
      <c r="J561" s="320"/>
      <c r="K561" s="262"/>
      <c r="L561" s="262"/>
      <c r="M561" s="327" t="str">
        <f t="shared" si="136"/>
        <v/>
      </c>
      <c r="N561" s="327" t="str">
        <f t="shared" si="137"/>
        <v/>
      </c>
      <c r="O561" s="327" t="str">
        <f t="shared" si="138"/>
        <v/>
      </c>
      <c r="P561" s="327" t="str">
        <f t="shared" si="139"/>
        <v/>
      </c>
      <c r="Q561" s="327" t="str">
        <f t="shared" si="140"/>
        <v/>
      </c>
      <c r="R561" s="327" t="str">
        <f t="shared" si="141"/>
        <v/>
      </c>
      <c r="S561" s="421" t="str">
        <f t="shared" si="142"/>
        <v/>
      </c>
      <c r="T561" s="327" t="str">
        <f t="shared" si="143"/>
        <v/>
      </c>
      <c r="U561" s="327" t="str">
        <f t="shared" si="144"/>
        <v/>
      </c>
      <c r="V561" s="327" t="str">
        <f t="shared" si="145"/>
        <v/>
      </c>
      <c r="W561" s="327" t="str">
        <f t="shared" si="146"/>
        <v/>
      </c>
      <c r="X561" s="327" t="str">
        <f t="shared" si="147"/>
        <v/>
      </c>
      <c r="Y561" s="327" t="str">
        <f t="shared" si="148"/>
        <v/>
      </c>
      <c r="Z561" s="428" t="str">
        <f t="shared" si="149"/>
        <v/>
      </c>
    </row>
    <row r="562" spans="1:26" x14ac:dyDescent="0.35">
      <c r="A562" s="265"/>
      <c r="B562" s="266"/>
      <c r="C562" s="262"/>
      <c r="D562" s="262"/>
      <c r="E562" s="262"/>
      <c r="F562" s="262"/>
      <c r="G562" s="320"/>
      <c r="H562" s="262"/>
      <c r="I562" s="320"/>
      <c r="J562" s="320"/>
      <c r="K562" s="262"/>
      <c r="L562" s="262"/>
      <c r="M562" s="327" t="str">
        <f t="shared" si="136"/>
        <v/>
      </c>
      <c r="N562" s="327" t="str">
        <f t="shared" si="137"/>
        <v/>
      </c>
      <c r="O562" s="327" t="str">
        <f t="shared" si="138"/>
        <v/>
      </c>
      <c r="P562" s="327" t="str">
        <f t="shared" si="139"/>
        <v/>
      </c>
      <c r="Q562" s="327" t="str">
        <f t="shared" si="140"/>
        <v/>
      </c>
      <c r="R562" s="327" t="str">
        <f t="shared" si="141"/>
        <v/>
      </c>
      <c r="S562" s="421" t="str">
        <f t="shared" si="142"/>
        <v/>
      </c>
      <c r="T562" s="327" t="str">
        <f t="shared" si="143"/>
        <v/>
      </c>
      <c r="U562" s="327" t="str">
        <f t="shared" si="144"/>
        <v/>
      </c>
      <c r="V562" s="327" t="str">
        <f t="shared" si="145"/>
        <v/>
      </c>
      <c r="W562" s="327" t="str">
        <f t="shared" si="146"/>
        <v/>
      </c>
      <c r="X562" s="327" t="str">
        <f t="shared" si="147"/>
        <v/>
      </c>
      <c r="Y562" s="327" t="str">
        <f t="shared" si="148"/>
        <v/>
      </c>
      <c r="Z562" s="428" t="str">
        <f t="shared" si="149"/>
        <v/>
      </c>
    </row>
    <row r="563" spans="1:26" x14ac:dyDescent="0.35">
      <c r="A563" s="265"/>
      <c r="B563" s="266"/>
      <c r="C563" s="262"/>
      <c r="D563" s="262"/>
      <c r="E563" s="262"/>
      <c r="F563" s="262"/>
      <c r="G563" s="320"/>
      <c r="H563" s="262"/>
      <c r="I563" s="320"/>
      <c r="J563" s="320"/>
      <c r="K563" s="262"/>
      <c r="L563" s="262"/>
      <c r="M563" s="327" t="str">
        <f t="shared" si="136"/>
        <v/>
      </c>
      <c r="N563" s="327" t="str">
        <f t="shared" si="137"/>
        <v/>
      </c>
      <c r="O563" s="327" t="str">
        <f t="shared" si="138"/>
        <v/>
      </c>
      <c r="P563" s="327" t="str">
        <f t="shared" si="139"/>
        <v/>
      </c>
      <c r="Q563" s="327" t="str">
        <f t="shared" si="140"/>
        <v/>
      </c>
      <c r="R563" s="327" t="str">
        <f t="shared" si="141"/>
        <v/>
      </c>
      <c r="S563" s="421" t="str">
        <f t="shared" si="142"/>
        <v/>
      </c>
      <c r="T563" s="327" t="str">
        <f t="shared" si="143"/>
        <v/>
      </c>
      <c r="U563" s="327" t="str">
        <f t="shared" si="144"/>
        <v/>
      </c>
      <c r="V563" s="327" t="str">
        <f t="shared" si="145"/>
        <v/>
      </c>
      <c r="W563" s="327" t="str">
        <f t="shared" si="146"/>
        <v/>
      </c>
      <c r="X563" s="327" t="str">
        <f t="shared" si="147"/>
        <v/>
      </c>
      <c r="Y563" s="327" t="str">
        <f t="shared" si="148"/>
        <v/>
      </c>
      <c r="Z563" s="428" t="str">
        <f t="shared" si="149"/>
        <v/>
      </c>
    </row>
    <row r="564" spans="1:26" x14ac:dyDescent="0.35">
      <c r="A564" s="265"/>
      <c r="B564" s="266"/>
      <c r="C564" s="262"/>
      <c r="D564" s="262"/>
      <c r="E564" s="262"/>
      <c r="F564" s="262"/>
      <c r="G564" s="320"/>
      <c r="H564" s="262"/>
      <c r="I564" s="320"/>
      <c r="J564" s="320"/>
      <c r="K564" s="262"/>
      <c r="L564" s="262"/>
      <c r="M564" s="327" t="str">
        <f t="shared" si="136"/>
        <v/>
      </c>
      <c r="N564" s="327" t="str">
        <f t="shared" si="137"/>
        <v/>
      </c>
      <c r="O564" s="327" t="str">
        <f t="shared" si="138"/>
        <v/>
      </c>
      <c r="P564" s="327" t="str">
        <f t="shared" si="139"/>
        <v/>
      </c>
      <c r="Q564" s="327" t="str">
        <f t="shared" si="140"/>
        <v/>
      </c>
      <c r="R564" s="327" t="str">
        <f t="shared" si="141"/>
        <v/>
      </c>
      <c r="S564" s="421" t="str">
        <f t="shared" si="142"/>
        <v/>
      </c>
      <c r="T564" s="327" t="str">
        <f t="shared" si="143"/>
        <v/>
      </c>
      <c r="U564" s="327" t="str">
        <f t="shared" si="144"/>
        <v/>
      </c>
      <c r="V564" s="327" t="str">
        <f t="shared" si="145"/>
        <v/>
      </c>
      <c r="W564" s="327" t="str">
        <f t="shared" si="146"/>
        <v/>
      </c>
      <c r="X564" s="327" t="str">
        <f t="shared" si="147"/>
        <v/>
      </c>
      <c r="Y564" s="327" t="str">
        <f t="shared" si="148"/>
        <v/>
      </c>
      <c r="Z564" s="428" t="str">
        <f t="shared" si="149"/>
        <v/>
      </c>
    </row>
    <row r="565" spans="1:26" x14ac:dyDescent="0.35">
      <c r="A565" s="265"/>
      <c r="B565" s="266"/>
      <c r="C565" s="262"/>
      <c r="D565" s="262"/>
      <c r="E565" s="262"/>
      <c r="F565" s="262"/>
      <c r="G565" s="320"/>
      <c r="H565" s="262"/>
      <c r="I565" s="320"/>
      <c r="J565" s="320"/>
      <c r="K565" s="262"/>
      <c r="L565" s="262"/>
      <c r="M565" s="327" t="str">
        <f t="shared" si="136"/>
        <v/>
      </c>
      <c r="N565" s="327" t="str">
        <f t="shared" si="137"/>
        <v/>
      </c>
      <c r="O565" s="327" t="str">
        <f t="shared" si="138"/>
        <v/>
      </c>
      <c r="P565" s="327" t="str">
        <f t="shared" si="139"/>
        <v/>
      </c>
      <c r="Q565" s="327" t="str">
        <f t="shared" si="140"/>
        <v/>
      </c>
      <c r="R565" s="327" t="str">
        <f t="shared" si="141"/>
        <v/>
      </c>
      <c r="S565" s="421" t="str">
        <f t="shared" si="142"/>
        <v/>
      </c>
      <c r="T565" s="327" t="str">
        <f t="shared" si="143"/>
        <v/>
      </c>
      <c r="U565" s="327" t="str">
        <f t="shared" si="144"/>
        <v/>
      </c>
      <c r="V565" s="327" t="str">
        <f t="shared" si="145"/>
        <v/>
      </c>
      <c r="W565" s="327" t="str">
        <f t="shared" si="146"/>
        <v/>
      </c>
      <c r="X565" s="327" t="str">
        <f t="shared" si="147"/>
        <v/>
      </c>
      <c r="Y565" s="327" t="str">
        <f t="shared" si="148"/>
        <v/>
      </c>
      <c r="Z565" s="428" t="str">
        <f t="shared" si="149"/>
        <v/>
      </c>
    </row>
    <row r="566" spans="1:26" x14ac:dyDescent="0.35">
      <c r="A566" s="265"/>
      <c r="B566" s="266"/>
      <c r="C566" s="262"/>
      <c r="D566" s="262"/>
      <c r="E566" s="262"/>
      <c r="F566" s="262"/>
      <c r="G566" s="320"/>
      <c r="H566" s="262"/>
      <c r="I566" s="320"/>
      <c r="J566" s="320"/>
      <c r="K566" s="262"/>
      <c r="L566" s="262"/>
      <c r="M566" s="327" t="str">
        <f t="shared" si="136"/>
        <v/>
      </c>
      <c r="N566" s="327" t="str">
        <f t="shared" si="137"/>
        <v/>
      </c>
      <c r="O566" s="327" t="str">
        <f t="shared" si="138"/>
        <v/>
      </c>
      <c r="P566" s="327" t="str">
        <f t="shared" si="139"/>
        <v/>
      </c>
      <c r="Q566" s="327" t="str">
        <f t="shared" si="140"/>
        <v/>
      </c>
      <c r="R566" s="327" t="str">
        <f t="shared" si="141"/>
        <v/>
      </c>
      <c r="S566" s="421" t="str">
        <f t="shared" si="142"/>
        <v/>
      </c>
      <c r="T566" s="327" t="str">
        <f t="shared" si="143"/>
        <v/>
      </c>
      <c r="U566" s="327" t="str">
        <f t="shared" si="144"/>
        <v/>
      </c>
      <c r="V566" s="327" t="str">
        <f t="shared" si="145"/>
        <v/>
      </c>
      <c r="W566" s="327" t="str">
        <f t="shared" si="146"/>
        <v/>
      </c>
      <c r="X566" s="327" t="str">
        <f t="shared" si="147"/>
        <v/>
      </c>
      <c r="Y566" s="327" t="str">
        <f t="shared" si="148"/>
        <v/>
      </c>
      <c r="Z566" s="428" t="str">
        <f t="shared" si="149"/>
        <v/>
      </c>
    </row>
    <row r="567" spans="1:26" x14ac:dyDescent="0.35">
      <c r="A567" s="265"/>
      <c r="B567" s="266"/>
      <c r="C567" s="262"/>
      <c r="D567" s="262"/>
      <c r="E567" s="262"/>
      <c r="F567" s="262"/>
      <c r="G567" s="320"/>
      <c r="H567" s="262"/>
      <c r="I567" s="320"/>
      <c r="J567" s="320"/>
      <c r="K567" s="262"/>
      <c r="L567" s="262"/>
      <c r="M567" s="327" t="str">
        <f t="shared" si="136"/>
        <v/>
      </c>
      <c r="N567" s="327" t="str">
        <f t="shared" si="137"/>
        <v/>
      </c>
      <c r="O567" s="327" t="str">
        <f t="shared" si="138"/>
        <v/>
      </c>
      <c r="P567" s="327" t="str">
        <f t="shared" si="139"/>
        <v/>
      </c>
      <c r="Q567" s="327" t="str">
        <f t="shared" si="140"/>
        <v/>
      </c>
      <c r="R567" s="327" t="str">
        <f t="shared" si="141"/>
        <v/>
      </c>
      <c r="S567" s="421" t="str">
        <f t="shared" si="142"/>
        <v/>
      </c>
      <c r="T567" s="327" t="str">
        <f t="shared" si="143"/>
        <v/>
      </c>
      <c r="U567" s="327" t="str">
        <f t="shared" si="144"/>
        <v/>
      </c>
      <c r="V567" s="327" t="str">
        <f t="shared" si="145"/>
        <v/>
      </c>
      <c r="W567" s="327" t="str">
        <f t="shared" si="146"/>
        <v/>
      </c>
      <c r="X567" s="327" t="str">
        <f t="shared" si="147"/>
        <v/>
      </c>
      <c r="Y567" s="327" t="str">
        <f t="shared" si="148"/>
        <v/>
      </c>
      <c r="Z567" s="428" t="str">
        <f t="shared" si="149"/>
        <v/>
      </c>
    </row>
    <row r="568" spans="1:26" x14ac:dyDescent="0.35">
      <c r="A568" s="265"/>
      <c r="B568" s="266"/>
      <c r="C568" s="262"/>
      <c r="D568" s="262"/>
      <c r="E568" s="262"/>
      <c r="F568" s="262"/>
      <c r="G568" s="320"/>
      <c r="H568" s="262"/>
      <c r="I568" s="320"/>
      <c r="J568" s="320"/>
      <c r="K568" s="262"/>
      <c r="L568" s="262"/>
      <c r="M568" s="327" t="str">
        <f t="shared" si="136"/>
        <v/>
      </c>
      <c r="N568" s="327" t="str">
        <f t="shared" si="137"/>
        <v/>
      </c>
      <c r="O568" s="327" t="str">
        <f t="shared" si="138"/>
        <v/>
      </c>
      <c r="P568" s="327" t="str">
        <f t="shared" si="139"/>
        <v/>
      </c>
      <c r="Q568" s="327" t="str">
        <f t="shared" si="140"/>
        <v/>
      </c>
      <c r="R568" s="327" t="str">
        <f t="shared" si="141"/>
        <v/>
      </c>
      <c r="S568" s="421" t="str">
        <f t="shared" si="142"/>
        <v/>
      </c>
      <c r="T568" s="327" t="str">
        <f t="shared" si="143"/>
        <v/>
      </c>
      <c r="U568" s="327" t="str">
        <f t="shared" si="144"/>
        <v/>
      </c>
      <c r="V568" s="327" t="str">
        <f t="shared" si="145"/>
        <v/>
      </c>
      <c r="W568" s="327" t="str">
        <f t="shared" si="146"/>
        <v/>
      </c>
      <c r="X568" s="327" t="str">
        <f t="shared" si="147"/>
        <v/>
      </c>
      <c r="Y568" s="327" t="str">
        <f t="shared" si="148"/>
        <v/>
      </c>
      <c r="Z568" s="428" t="str">
        <f t="shared" si="149"/>
        <v/>
      </c>
    </row>
    <row r="569" spans="1:26" x14ac:dyDescent="0.35">
      <c r="A569" s="265"/>
      <c r="B569" s="266"/>
      <c r="C569" s="262"/>
      <c r="D569" s="262"/>
      <c r="E569" s="262"/>
      <c r="F569" s="262"/>
      <c r="G569" s="320"/>
      <c r="H569" s="262"/>
      <c r="I569" s="320"/>
      <c r="J569" s="320"/>
      <c r="K569" s="262"/>
      <c r="L569" s="262"/>
      <c r="M569" s="327" t="str">
        <f t="shared" si="136"/>
        <v/>
      </c>
      <c r="N569" s="327" t="str">
        <f t="shared" si="137"/>
        <v/>
      </c>
      <c r="O569" s="327" t="str">
        <f t="shared" si="138"/>
        <v/>
      </c>
      <c r="P569" s="327" t="str">
        <f t="shared" si="139"/>
        <v/>
      </c>
      <c r="Q569" s="327" t="str">
        <f t="shared" si="140"/>
        <v/>
      </c>
      <c r="R569" s="327" t="str">
        <f t="shared" si="141"/>
        <v/>
      </c>
      <c r="S569" s="421" t="str">
        <f t="shared" si="142"/>
        <v/>
      </c>
      <c r="T569" s="327" t="str">
        <f t="shared" si="143"/>
        <v/>
      </c>
      <c r="U569" s="327" t="str">
        <f t="shared" si="144"/>
        <v/>
      </c>
      <c r="V569" s="327" t="str">
        <f t="shared" si="145"/>
        <v/>
      </c>
      <c r="W569" s="327" t="str">
        <f t="shared" si="146"/>
        <v/>
      </c>
      <c r="X569" s="327" t="str">
        <f t="shared" si="147"/>
        <v/>
      </c>
      <c r="Y569" s="327" t="str">
        <f t="shared" si="148"/>
        <v/>
      </c>
      <c r="Z569" s="428" t="str">
        <f t="shared" si="149"/>
        <v/>
      </c>
    </row>
    <row r="570" spans="1:26" x14ac:dyDescent="0.35">
      <c r="A570" s="265"/>
      <c r="B570" s="266"/>
      <c r="C570" s="262"/>
      <c r="D570" s="262"/>
      <c r="E570" s="262"/>
      <c r="F570" s="262"/>
      <c r="G570" s="320"/>
      <c r="H570" s="262"/>
      <c r="I570" s="320"/>
      <c r="J570" s="320"/>
      <c r="K570" s="262"/>
      <c r="L570" s="262"/>
      <c r="M570" s="327" t="str">
        <f t="shared" si="136"/>
        <v/>
      </c>
      <c r="N570" s="327" t="str">
        <f t="shared" si="137"/>
        <v/>
      </c>
      <c r="O570" s="327" t="str">
        <f t="shared" si="138"/>
        <v/>
      </c>
      <c r="P570" s="327" t="str">
        <f t="shared" si="139"/>
        <v/>
      </c>
      <c r="Q570" s="327" t="str">
        <f t="shared" si="140"/>
        <v/>
      </c>
      <c r="R570" s="327" t="str">
        <f t="shared" si="141"/>
        <v/>
      </c>
      <c r="S570" s="421" t="str">
        <f t="shared" si="142"/>
        <v/>
      </c>
      <c r="T570" s="327" t="str">
        <f t="shared" si="143"/>
        <v/>
      </c>
      <c r="U570" s="327" t="str">
        <f t="shared" si="144"/>
        <v/>
      </c>
      <c r="V570" s="327" t="str">
        <f t="shared" si="145"/>
        <v/>
      </c>
      <c r="W570" s="327" t="str">
        <f t="shared" si="146"/>
        <v/>
      </c>
      <c r="X570" s="327" t="str">
        <f t="shared" si="147"/>
        <v/>
      </c>
      <c r="Y570" s="327" t="str">
        <f t="shared" si="148"/>
        <v/>
      </c>
      <c r="Z570" s="428" t="str">
        <f t="shared" si="149"/>
        <v/>
      </c>
    </row>
    <row r="571" spans="1:26" x14ac:dyDescent="0.35">
      <c r="A571" s="265"/>
      <c r="B571" s="266"/>
      <c r="C571" s="262"/>
      <c r="D571" s="262"/>
      <c r="E571" s="262"/>
      <c r="F571" s="262"/>
      <c r="G571" s="320"/>
      <c r="H571" s="262"/>
      <c r="I571" s="320"/>
      <c r="J571" s="320"/>
      <c r="K571" s="262"/>
      <c r="L571" s="262"/>
      <c r="M571" s="327" t="str">
        <f t="shared" si="136"/>
        <v/>
      </c>
      <c r="N571" s="327" t="str">
        <f t="shared" si="137"/>
        <v/>
      </c>
      <c r="O571" s="327" t="str">
        <f t="shared" si="138"/>
        <v/>
      </c>
      <c r="P571" s="327" t="str">
        <f t="shared" si="139"/>
        <v/>
      </c>
      <c r="Q571" s="327" t="str">
        <f t="shared" si="140"/>
        <v/>
      </c>
      <c r="R571" s="327" t="str">
        <f t="shared" si="141"/>
        <v/>
      </c>
      <c r="S571" s="421" t="str">
        <f t="shared" si="142"/>
        <v/>
      </c>
      <c r="T571" s="327" t="str">
        <f t="shared" si="143"/>
        <v/>
      </c>
      <c r="U571" s="327" t="str">
        <f t="shared" si="144"/>
        <v/>
      </c>
      <c r="V571" s="327" t="str">
        <f t="shared" si="145"/>
        <v/>
      </c>
      <c r="W571" s="327" t="str">
        <f t="shared" si="146"/>
        <v/>
      </c>
      <c r="X571" s="327" t="str">
        <f t="shared" si="147"/>
        <v/>
      </c>
      <c r="Y571" s="327" t="str">
        <f t="shared" si="148"/>
        <v/>
      </c>
      <c r="Z571" s="428" t="str">
        <f t="shared" si="149"/>
        <v/>
      </c>
    </row>
    <row r="572" spans="1:26" x14ac:dyDescent="0.35">
      <c r="A572" s="265"/>
      <c r="B572" s="266"/>
      <c r="C572" s="262"/>
      <c r="D572" s="262"/>
      <c r="E572" s="262"/>
      <c r="F572" s="262"/>
      <c r="G572" s="320"/>
      <c r="H572" s="262"/>
      <c r="I572" s="320"/>
      <c r="J572" s="320"/>
      <c r="K572" s="262"/>
      <c r="L572" s="262"/>
      <c r="M572" s="327" t="str">
        <f t="shared" si="136"/>
        <v/>
      </c>
      <c r="N572" s="327" t="str">
        <f t="shared" si="137"/>
        <v/>
      </c>
      <c r="O572" s="327" t="str">
        <f t="shared" si="138"/>
        <v/>
      </c>
      <c r="P572" s="327" t="str">
        <f t="shared" si="139"/>
        <v/>
      </c>
      <c r="Q572" s="327" t="str">
        <f t="shared" si="140"/>
        <v/>
      </c>
      <c r="R572" s="327" t="str">
        <f t="shared" si="141"/>
        <v/>
      </c>
      <c r="S572" s="421" t="str">
        <f t="shared" si="142"/>
        <v/>
      </c>
      <c r="T572" s="327" t="str">
        <f t="shared" si="143"/>
        <v/>
      </c>
      <c r="U572" s="327" t="str">
        <f t="shared" si="144"/>
        <v/>
      </c>
      <c r="V572" s="327" t="str">
        <f t="shared" si="145"/>
        <v/>
      </c>
      <c r="W572" s="327" t="str">
        <f t="shared" si="146"/>
        <v/>
      </c>
      <c r="X572" s="327" t="str">
        <f t="shared" si="147"/>
        <v/>
      </c>
      <c r="Y572" s="327" t="str">
        <f t="shared" si="148"/>
        <v/>
      </c>
      <c r="Z572" s="428" t="str">
        <f t="shared" si="149"/>
        <v/>
      </c>
    </row>
    <row r="573" spans="1:26" x14ac:dyDescent="0.35">
      <c r="A573" s="265"/>
      <c r="B573" s="266"/>
      <c r="C573" s="262"/>
      <c r="D573" s="262"/>
      <c r="E573" s="262"/>
      <c r="F573" s="262"/>
      <c r="G573" s="320"/>
      <c r="H573" s="262"/>
      <c r="I573" s="320"/>
      <c r="J573" s="320"/>
      <c r="K573" s="262"/>
      <c r="L573" s="262"/>
      <c r="M573" s="327" t="str">
        <f t="shared" si="136"/>
        <v/>
      </c>
      <c r="N573" s="327" t="str">
        <f t="shared" si="137"/>
        <v/>
      </c>
      <c r="O573" s="327" t="str">
        <f t="shared" si="138"/>
        <v/>
      </c>
      <c r="P573" s="327" t="str">
        <f t="shared" si="139"/>
        <v/>
      </c>
      <c r="Q573" s="327" t="str">
        <f t="shared" si="140"/>
        <v/>
      </c>
      <c r="R573" s="327" t="str">
        <f t="shared" si="141"/>
        <v/>
      </c>
      <c r="S573" s="421" t="str">
        <f t="shared" si="142"/>
        <v/>
      </c>
      <c r="T573" s="327" t="str">
        <f t="shared" si="143"/>
        <v/>
      </c>
      <c r="U573" s="327" t="str">
        <f t="shared" si="144"/>
        <v/>
      </c>
      <c r="V573" s="327" t="str">
        <f t="shared" si="145"/>
        <v/>
      </c>
      <c r="W573" s="327" t="str">
        <f t="shared" si="146"/>
        <v/>
      </c>
      <c r="X573" s="327" t="str">
        <f t="shared" si="147"/>
        <v/>
      </c>
      <c r="Y573" s="327" t="str">
        <f t="shared" si="148"/>
        <v/>
      </c>
      <c r="Z573" s="428" t="str">
        <f t="shared" si="149"/>
        <v/>
      </c>
    </row>
    <row r="574" spans="1:26" x14ac:dyDescent="0.35">
      <c r="A574" s="265"/>
      <c r="B574" s="266"/>
      <c r="C574" s="262"/>
      <c r="D574" s="262"/>
      <c r="E574" s="262"/>
      <c r="F574" s="262"/>
      <c r="G574" s="320"/>
      <c r="H574" s="262"/>
      <c r="I574" s="320"/>
      <c r="J574" s="320"/>
      <c r="K574" s="262"/>
      <c r="L574" s="262"/>
      <c r="M574" s="327" t="str">
        <f t="shared" si="136"/>
        <v/>
      </c>
      <c r="N574" s="327" t="str">
        <f t="shared" si="137"/>
        <v/>
      </c>
      <c r="O574" s="327" t="str">
        <f t="shared" si="138"/>
        <v/>
      </c>
      <c r="P574" s="327" t="str">
        <f t="shared" si="139"/>
        <v/>
      </c>
      <c r="Q574" s="327" t="str">
        <f t="shared" si="140"/>
        <v/>
      </c>
      <c r="R574" s="327" t="str">
        <f t="shared" si="141"/>
        <v/>
      </c>
      <c r="S574" s="421" t="str">
        <f t="shared" si="142"/>
        <v/>
      </c>
      <c r="T574" s="327" t="str">
        <f t="shared" si="143"/>
        <v/>
      </c>
      <c r="U574" s="327" t="str">
        <f t="shared" si="144"/>
        <v/>
      </c>
      <c r="V574" s="327" t="str">
        <f t="shared" si="145"/>
        <v/>
      </c>
      <c r="W574" s="327" t="str">
        <f t="shared" si="146"/>
        <v/>
      </c>
      <c r="X574" s="327" t="str">
        <f t="shared" si="147"/>
        <v/>
      </c>
      <c r="Y574" s="327" t="str">
        <f t="shared" si="148"/>
        <v/>
      </c>
      <c r="Z574" s="428" t="str">
        <f t="shared" si="149"/>
        <v/>
      </c>
    </row>
    <row r="575" spans="1:26" x14ac:dyDescent="0.35">
      <c r="A575" s="265"/>
      <c r="B575" s="266"/>
      <c r="C575" s="262"/>
      <c r="D575" s="262"/>
      <c r="E575" s="262"/>
      <c r="F575" s="262"/>
      <c r="G575" s="320"/>
      <c r="H575" s="262"/>
      <c r="I575" s="320"/>
      <c r="J575" s="320"/>
      <c r="K575" s="262"/>
      <c r="L575" s="262"/>
      <c r="M575" s="327" t="str">
        <f t="shared" si="136"/>
        <v/>
      </c>
      <c r="N575" s="327" t="str">
        <f t="shared" si="137"/>
        <v/>
      </c>
      <c r="O575" s="327" t="str">
        <f t="shared" si="138"/>
        <v/>
      </c>
      <c r="P575" s="327" t="str">
        <f t="shared" si="139"/>
        <v/>
      </c>
      <c r="Q575" s="327" t="str">
        <f t="shared" si="140"/>
        <v/>
      </c>
      <c r="R575" s="327" t="str">
        <f t="shared" si="141"/>
        <v/>
      </c>
      <c r="S575" s="421" t="str">
        <f t="shared" si="142"/>
        <v/>
      </c>
      <c r="T575" s="327" t="str">
        <f t="shared" si="143"/>
        <v/>
      </c>
      <c r="U575" s="327" t="str">
        <f t="shared" si="144"/>
        <v/>
      </c>
      <c r="V575" s="327" t="str">
        <f t="shared" si="145"/>
        <v/>
      </c>
      <c r="W575" s="327" t="str">
        <f t="shared" si="146"/>
        <v/>
      </c>
      <c r="X575" s="327" t="str">
        <f t="shared" si="147"/>
        <v/>
      </c>
      <c r="Y575" s="327" t="str">
        <f t="shared" si="148"/>
        <v/>
      </c>
      <c r="Z575" s="428" t="str">
        <f t="shared" si="149"/>
        <v/>
      </c>
    </row>
    <row r="576" spans="1:26" x14ac:dyDescent="0.35">
      <c r="A576" s="265"/>
      <c r="B576" s="266"/>
      <c r="C576" s="262"/>
      <c r="D576" s="262"/>
      <c r="E576" s="262"/>
      <c r="F576" s="262"/>
      <c r="G576" s="320"/>
      <c r="H576" s="262"/>
      <c r="I576" s="320"/>
      <c r="J576" s="320"/>
      <c r="K576" s="262"/>
      <c r="L576" s="262"/>
      <c r="M576" s="327" t="str">
        <f t="shared" si="136"/>
        <v/>
      </c>
      <c r="N576" s="327" t="str">
        <f t="shared" si="137"/>
        <v/>
      </c>
      <c r="O576" s="327" t="str">
        <f t="shared" si="138"/>
        <v/>
      </c>
      <c r="P576" s="327" t="str">
        <f t="shared" si="139"/>
        <v/>
      </c>
      <c r="Q576" s="327" t="str">
        <f t="shared" si="140"/>
        <v/>
      </c>
      <c r="R576" s="327" t="str">
        <f t="shared" si="141"/>
        <v/>
      </c>
      <c r="S576" s="421" t="str">
        <f t="shared" si="142"/>
        <v/>
      </c>
      <c r="T576" s="327" t="str">
        <f t="shared" si="143"/>
        <v/>
      </c>
      <c r="U576" s="327" t="str">
        <f t="shared" si="144"/>
        <v/>
      </c>
      <c r="V576" s="327" t="str">
        <f t="shared" si="145"/>
        <v/>
      </c>
      <c r="W576" s="327" t="str">
        <f t="shared" si="146"/>
        <v/>
      </c>
      <c r="X576" s="327" t="str">
        <f t="shared" si="147"/>
        <v/>
      </c>
      <c r="Y576" s="327" t="str">
        <f t="shared" si="148"/>
        <v/>
      </c>
      <c r="Z576" s="428" t="str">
        <f t="shared" si="149"/>
        <v/>
      </c>
    </row>
    <row r="577" spans="1:26" x14ac:dyDescent="0.35">
      <c r="A577" s="265"/>
      <c r="B577" s="266"/>
      <c r="C577" s="262"/>
      <c r="D577" s="262"/>
      <c r="E577" s="262"/>
      <c r="F577" s="262"/>
      <c r="G577" s="320"/>
      <c r="H577" s="262"/>
      <c r="I577" s="320"/>
      <c r="J577" s="320"/>
      <c r="K577" s="262"/>
      <c r="L577" s="262"/>
      <c r="M577" s="327" t="str">
        <f t="shared" si="136"/>
        <v/>
      </c>
      <c r="N577" s="327" t="str">
        <f t="shared" si="137"/>
        <v/>
      </c>
      <c r="O577" s="327" t="str">
        <f t="shared" si="138"/>
        <v/>
      </c>
      <c r="P577" s="327" t="str">
        <f t="shared" si="139"/>
        <v/>
      </c>
      <c r="Q577" s="327" t="str">
        <f t="shared" si="140"/>
        <v/>
      </c>
      <c r="R577" s="327" t="str">
        <f t="shared" si="141"/>
        <v/>
      </c>
      <c r="S577" s="421" t="str">
        <f t="shared" si="142"/>
        <v/>
      </c>
      <c r="T577" s="327" t="str">
        <f t="shared" si="143"/>
        <v/>
      </c>
      <c r="U577" s="327" t="str">
        <f t="shared" si="144"/>
        <v/>
      </c>
      <c r="V577" s="327" t="str">
        <f t="shared" si="145"/>
        <v/>
      </c>
      <c r="W577" s="327" t="str">
        <f t="shared" si="146"/>
        <v/>
      </c>
      <c r="X577" s="327" t="str">
        <f t="shared" si="147"/>
        <v/>
      </c>
      <c r="Y577" s="327" t="str">
        <f t="shared" si="148"/>
        <v/>
      </c>
      <c r="Z577" s="428" t="str">
        <f t="shared" si="149"/>
        <v/>
      </c>
    </row>
    <row r="578" spans="1:26" x14ac:dyDescent="0.35">
      <c r="A578" s="265"/>
      <c r="B578" s="266"/>
      <c r="C578" s="262"/>
      <c r="D578" s="262"/>
      <c r="E578" s="262"/>
      <c r="F578" s="262"/>
      <c r="G578" s="320"/>
      <c r="H578" s="262"/>
      <c r="I578" s="320"/>
      <c r="J578" s="320"/>
      <c r="K578" s="262"/>
      <c r="L578" s="262"/>
      <c r="M578" s="327" t="str">
        <f t="shared" si="136"/>
        <v/>
      </c>
      <c r="N578" s="327" t="str">
        <f t="shared" si="137"/>
        <v/>
      </c>
      <c r="O578" s="327" t="str">
        <f t="shared" si="138"/>
        <v/>
      </c>
      <c r="P578" s="327" t="str">
        <f t="shared" si="139"/>
        <v/>
      </c>
      <c r="Q578" s="327" t="str">
        <f t="shared" si="140"/>
        <v/>
      </c>
      <c r="R578" s="327" t="str">
        <f t="shared" si="141"/>
        <v/>
      </c>
      <c r="S578" s="421" t="str">
        <f t="shared" si="142"/>
        <v/>
      </c>
      <c r="T578" s="327" t="str">
        <f t="shared" si="143"/>
        <v/>
      </c>
      <c r="U578" s="327" t="str">
        <f t="shared" si="144"/>
        <v/>
      </c>
      <c r="V578" s="327" t="str">
        <f t="shared" si="145"/>
        <v/>
      </c>
      <c r="W578" s="327" t="str">
        <f t="shared" si="146"/>
        <v/>
      </c>
      <c r="X578" s="327" t="str">
        <f t="shared" si="147"/>
        <v/>
      </c>
      <c r="Y578" s="327" t="str">
        <f t="shared" si="148"/>
        <v/>
      </c>
      <c r="Z578" s="428" t="str">
        <f t="shared" si="149"/>
        <v/>
      </c>
    </row>
    <row r="579" spans="1:26" x14ac:dyDescent="0.35">
      <c r="A579" s="265"/>
      <c r="B579" s="266"/>
      <c r="C579" s="262"/>
      <c r="D579" s="262"/>
      <c r="E579" s="262"/>
      <c r="F579" s="262"/>
      <c r="G579" s="320"/>
      <c r="H579" s="262"/>
      <c r="I579" s="320"/>
      <c r="J579" s="320"/>
      <c r="K579" s="262"/>
      <c r="L579" s="262"/>
      <c r="M579" s="327" t="str">
        <f t="shared" si="136"/>
        <v/>
      </c>
      <c r="N579" s="327" t="str">
        <f t="shared" si="137"/>
        <v/>
      </c>
      <c r="O579" s="327" t="str">
        <f t="shared" si="138"/>
        <v/>
      </c>
      <c r="P579" s="327" t="str">
        <f t="shared" si="139"/>
        <v/>
      </c>
      <c r="Q579" s="327" t="str">
        <f t="shared" si="140"/>
        <v/>
      </c>
      <c r="R579" s="327" t="str">
        <f t="shared" si="141"/>
        <v/>
      </c>
      <c r="S579" s="421" t="str">
        <f t="shared" si="142"/>
        <v/>
      </c>
      <c r="T579" s="327" t="str">
        <f t="shared" si="143"/>
        <v/>
      </c>
      <c r="U579" s="327" t="str">
        <f t="shared" si="144"/>
        <v/>
      </c>
      <c r="V579" s="327" t="str">
        <f t="shared" si="145"/>
        <v/>
      </c>
      <c r="W579" s="327" t="str">
        <f t="shared" si="146"/>
        <v/>
      </c>
      <c r="X579" s="327" t="str">
        <f t="shared" si="147"/>
        <v/>
      </c>
      <c r="Y579" s="327" t="str">
        <f t="shared" si="148"/>
        <v/>
      </c>
      <c r="Z579" s="428" t="str">
        <f t="shared" si="149"/>
        <v/>
      </c>
    </row>
    <row r="580" spans="1:26" x14ac:dyDescent="0.35">
      <c r="A580" s="265"/>
      <c r="B580" s="266"/>
      <c r="C580" s="262"/>
      <c r="D580" s="262"/>
      <c r="E580" s="262"/>
      <c r="F580" s="262"/>
      <c r="G580" s="320"/>
      <c r="H580" s="262"/>
      <c r="I580" s="320"/>
      <c r="J580" s="320"/>
      <c r="K580" s="262"/>
      <c r="L580" s="262"/>
      <c r="M580" s="327" t="str">
        <f t="shared" si="136"/>
        <v/>
      </c>
      <c r="N580" s="327" t="str">
        <f t="shared" si="137"/>
        <v/>
      </c>
      <c r="O580" s="327" t="str">
        <f t="shared" si="138"/>
        <v/>
      </c>
      <c r="P580" s="327" t="str">
        <f t="shared" si="139"/>
        <v/>
      </c>
      <c r="Q580" s="327" t="str">
        <f t="shared" si="140"/>
        <v/>
      </c>
      <c r="R580" s="327" t="str">
        <f t="shared" si="141"/>
        <v/>
      </c>
      <c r="S580" s="421" t="str">
        <f t="shared" si="142"/>
        <v/>
      </c>
      <c r="T580" s="327" t="str">
        <f t="shared" si="143"/>
        <v/>
      </c>
      <c r="U580" s="327" t="str">
        <f t="shared" si="144"/>
        <v/>
      </c>
      <c r="V580" s="327" t="str">
        <f t="shared" si="145"/>
        <v/>
      </c>
      <c r="W580" s="327" t="str">
        <f t="shared" si="146"/>
        <v/>
      </c>
      <c r="X580" s="327" t="str">
        <f t="shared" si="147"/>
        <v/>
      </c>
      <c r="Y580" s="327" t="str">
        <f t="shared" si="148"/>
        <v/>
      </c>
      <c r="Z580" s="428" t="str">
        <f t="shared" si="149"/>
        <v/>
      </c>
    </row>
    <row r="581" spans="1:26" x14ac:dyDescent="0.35">
      <c r="A581" s="265"/>
      <c r="B581" s="266"/>
      <c r="C581" s="262"/>
      <c r="D581" s="262"/>
      <c r="E581" s="262"/>
      <c r="F581" s="262"/>
      <c r="G581" s="320"/>
      <c r="H581" s="262"/>
      <c r="I581" s="320"/>
      <c r="J581" s="320"/>
      <c r="K581" s="262"/>
      <c r="L581" s="262"/>
      <c r="M581" s="327" t="str">
        <f t="shared" si="136"/>
        <v/>
      </c>
      <c r="N581" s="327" t="str">
        <f t="shared" si="137"/>
        <v/>
      </c>
      <c r="O581" s="327" t="str">
        <f t="shared" si="138"/>
        <v/>
      </c>
      <c r="P581" s="327" t="str">
        <f t="shared" si="139"/>
        <v/>
      </c>
      <c r="Q581" s="327" t="str">
        <f t="shared" si="140"/>
        <v/>
      </c>
      <c r="R581" s="327" t="str">
        <f t="shared" si="141"/>
        <v/>
      </c>
      <c r="S581" s="421" t="str">
        <f t="shared" si="142"/>
        <v/>
      </c>
      <c r="T581" s="327" t="str">
        <f t="shared" si="143"/>
        <v/>
      </c>
      <c r="U581" s="327" t="str">
        <f t="shared" si="144"/>
        <v/>
      </c>
      <c r="V581" s="327" t="str">
        <f t="shared" si="145"/>
        <v/>
      </c>
      <c r="W581" s="327" t="str">
        <f t="shared" si="146"/>
        <v/>
      </c>
      <c r="X581" s="327" t="str">
        <f t="shared" si="147"/>
        <v/>
      </c>
      <c r="Y581" s="327" t="str">
        <f t="shared" si="148"/>
        <v/>
      </c>
      <c r="Z581" s="428" t="str">
        <f t="shared" si="149"/>
        <v/>
      </c>
    </row>
    <row r="582" spans="1:26" x14ac:dyDescent="0.35">
      <c r="A582" s="265"/>
      <c r="B582" s="266"/>
      <c r="C582" s="262"/>
      <c r="D582" s="262"/>
      <c r="E582" s="262"/>
      <c r="F582" s="262"/>
      <c r="G582" s="320"/>
      <c r="H582" s="262"/>
      <c r="I582" s="320"/>
      <c r="J582" s="320"/>
      <c r="K582" s="262"/>
      <c r="L582" s="262"/>
      <c r="M582" s="327" t="str">
        <f t="shared" si="136"/>
        <v/>
      </c>
      <c r="N582" s="327" t="str">
        <f t="shared" si="137"/>
        <v/>
      </c>
      <c r="O582" s="327" t="str">
        <f t="shared" si="138"/>
        <v/>
      </c>
      <c r="P582" s="327" t="str">
        <f t="shared" si="139"/>
        <v/>
      </c>
      <c r="Q582" s="327" t="str">
        <f t="shared" si="140"/>
        <v/>
      </c>
      <c r="R582" s="327" t="str">
        <f t="shared" si="141"/>
        <v/>
      </c>
      <c r="S582" s="421" t="str">
        <f t="shared" si="142"/>
        <v/>
      </c>
      <c r="T582" s="327" t="str">
        <f t="shared" si="143"/>
        <v/>
      </c>
      <c r="U582" s="327" t="str">
        <f t="shared" si="144"/>
        <v/>
      </c>
      <c r="V582" s="327" t="str">
        <f t="shared" si="145"/>
        <v/>
      </c>
      <c r="W582" s="327" t="str">
        <f t="shared" si="146"/>
        <v/>
      </c>
      <c r="X582" s="327" t="str">
        <f t="shared" si="147"/>
        <v/>
      </c>
      <c r="Y582" s="327" t="str">
        <f t="shared" si="148"/>
        <v/>
      </c>
      <c r="Z582" s="428" t="str">
        <f t="shared" si="149"/>
        <v/>
      </c>
    </row>
    <row r="583" spans="1:26" x14ac:dyDescent="0.35">
      <c r="A583" s="265"/>
      <c r="B583" s="266"/>
      <c r="C583" s="262"/>
      <c r="D583" s="262"/>
      <c r="E583" s="262"/>
      <c r="F583" s="262"/>
      <c r="G583" s="320"/>
      <c r="H583" s="262"/>
      <c r="I583" s="320"/>
      <c r="J583" s="320"/>
      <c r="K583" s="262"/>
      <c r="L583" s="262"/>
      <c r="M583" s="327" t="str">
        <f t="shared" si="136"/>
        <v/>
      </c>
      <c r="N583" s="327" t="str">
        <f t="shared" si="137"/>
        <v/>
      </c>
      <c r="O583" s="327" t="str">
        <f t="shared" si="138"/>
        <v/>
      </c>
      <c r="P583" s="327" t="str">
        <f t="shared" si="139"/>
        <v/>
      </c>
      <c r="Q583" s="327" t="str">
        <f t="shared" si="140"/>
        <v/>
      </c>
      <c r="R583" s="327" t="str">
        <f t="shared" si="141"/>
        <v/>
      </c>
      <c r="S583" s="421" t="str">
        <f t="shared" si="142"/>
        <v/>
      </c>
      <c r="T583" s="327" t="str">
        <f t="shared" si="143"/>
        <v/>
      </c>
      <c r="U583" s="327" t="str">
        <f t="shared" si="144"/>
        <v/>
      </c>
      <c r="V583" s="327" t="str">
        <f t="shared" si="145"/>
        <v/>
      </c>
      <c r="W583" s="327" t="str">
        <f t="shared" si="146"/>
        <v/>
      </c>
      <c r="X583" s="327" t="str">
        <f t="shared" si="147"/>
        <v/>
      </c>
      <c r="Y583" s="327" t="str">
        <f t="shared" si="148"/>
        <v/>
      </c>
      <c r="Z583" s="428" t="str">
        <f t="shared" si="149"/>
        <v/>
      </c>
    </row>
    <row r="584" spans="1:26" x14ac:dyDescent="0.35">
      <c r="A584" s="265"/>
      <c r="B584" s="266"/>
      <c r="C584" s="262"/>
      <c r="D584" s="262"/>
      <c r="E584" s="262"/>
      <c r="F584" s="262"/>
      <c r="G584" s="320"/>
      <c r="H584" s="262"/>
      <c r="I584" s="320"/>
      <c r="J584" s="320"/>
      <c r="K584" s="262"/>
      <c r="L584" s="262"/>
      <c r="M584" s="327" t="str">
        <f t="shared" si="136"/>
        <v/>
      </c>
      <c r="N584" s="327" t="str">
        <f t="shared" si="137"/>
        <v/>
      </c>
      <c r="O584" s="327" t="str">
        <f t="shared" si="138"/>
        <v/>
      </c>
      <c r="P584" s="327" t="str">
        <f t="shared" si="139"/>
        <v/>
      </c>
      <c r="Q584" s="327" t="str">
        <f t="shared" si="140"/>
        <v/>
      </c>
      <c r="R584" s="327" t="str">
        <f t="shared" si="141"/>
        <v/>
      </c>
      <c r="S584" s="421" t="str">
        <f t="shared" si="142"/>
        <v/>
      </c>
      <c r="T584" s="327" t="str">
        <f t="shared" si="143"/>
        <v/>
      </c>
      <c r="U584" s="327" t="str">
        <f t="shared" si="144"/>
        <v/>
      </c>
      <c r="V584" s="327" t="str">
        <f t="shared" si="145"/>
        <v/>
      </c>
      <c r="W584" s="327" t="str">
        <f t="shared" si="146"/>
        <v/>
      </c>
      <c r="X584" s="327" t="str">
        <f t="shared" si="147"/>
        <v/>
      </c>
      <c r="Y584" s="327" t="str">
        <f t="shared" si="148"/>
        <v/>
      </c>
      <c r="Z584" s="428" t="str">
        <f t="shared" si="149"/>
        <v/>
      </c>
    </row>
    <row r="585" spans="1:26" x14ac:dyDescent="0.35">
      <c r="A585" s="265"/>
      <c r="B585" s="266"/>
      <c r="C585" s="262"/>
      <c r="D585" s="262"/>
      <c r="E585" s="262"/>
      <c r="F585" s="262"/>
      <c r="G585" s="320"/>
      <c r="H585" s="262"/>
      <c r="I585" s="320"/>
      <c r="J585" s="320"/>
      <c r="K585" s="262"/>
      <c r="L585" s="262"/>
      <c r="M585" s="327" t="str">
        <f t="shared" si="136"/>
        <v/>
      </c>
      <c r="N585" s="327" t="str">
        <f t="shared" si="137"/>
        <v/>
      </c>
      <c r="O585" s="327" t="str">
        <f t="shared" si="138"/>
        <v/>
      </c>
      <c r="P585" s="327" t="str">
        <f t="shared" si="139"/>
        <v/>
      </c>
      <c r="Q585" s="327" t="str">
        <f t="shared" si="140"/>
        <v/>
      </c>
      <c r="R585" s="327" t="str">
        <f t="shared" si="141"/>
        <v/>
      </c>
      <c r="S585" s="421" t="str">
        <f t="shared" si="142"/>
        <v/>
      </c>
      <c r="T585" s="327" t="str">
        <f t="shared" si="143"/>
        <v/>
      </c>
      <c r="U585" s="327" t="str">
        <f t="shared" si="144"/>
        <v/>
      </c>
      <c r="V585" s="327" t="str">
        <f t="shared" si="145"/>
        <v/>
      </c>
      <c r="W585" s="327" t="str">
        <f t="shared" si="146"/>
        <v/>
      </c>
      <c r="X585" s="327" t="str">
        <f t="shared" si="147"/>
        <v/>
      </c>
      <c r="Y585" s="327" t="str">
        <f t="shared" si="148"/>
        <v/>
      </c>
      <c r="Z585" s="428" t="str">
        <f t="shared" si="149"/>
        <v/>
      </c>
    </row>
    <row r="586" spans="1:26" x14ac:dyDescent="0.35">
      <c r="A586" s="265"/>
      <c r="B586" s="266"/>
      <c r="C586" s="262"/>
      <c r="D586" s="262"/>
      <c r="E586" s="262"/>
      <c r="F586" s="262"/>
      <c r="G586" s="320"/>
      <c r="H586" s="262"/>
      <c r="I586" s="320"/>
      <c r="J586" s="320"/>
      <c r="K586" s="262"/>
      <c r="L586" s="262"/>
      <c r="M586" s="327" t="str">
        <f t="shared" si="136"/>
        <v/>
      </c>
      <c r="N586" s="327" t="str">
        <f t="shared" si="137"/>
        <v/>
      </c>
      <c r="O586" s="327" t="str">
        <f t="shared" si="138"/>
        <v/>
      </c>
      <c r="P586" s="327" t="str">
        <f t="shared" si="139"/>
        <v/>
      </c>
      <c r="Q586" s="327" t="str">
        <f t="shared" si="140"/>
        <v/>
      </c>
      <c r="R586" s="327" t="str">
        <f t="shared" si="141"/>
        <v/>
      </c>
      <c r="S586" s="421" t="str">
        <f t="shared" si="142"/>
        <v/>
      </c>
      <c r="T586" s="327" t="str">
        <f t="shared" si="143"/>
        <v/>
      </c>
      <c r="U586" s="327" t="str">
        <f t="shared" si="144"/>
        <v/>
      </c>
      <c r="V586" s="327" t="str">
        <f t="shared" si="145"/>
        <v/>
      </c>
      <c r="W586" s="327" t="str">
        <f t="shared" si="146"/>
        <v/>
      </c>
      <c r="X586" s="327" t="str">
        <f t="shared" si="147"/>
        <v/>
      </c>
      <c r="Y586" s="327" t="str">
        <f t="shared" si="148"/>
        <v/>
      </c>
      <c r="Z586" s="428" t="str">
        <f t="shared" si="149"/>
        <v/>
      </c>
    </row>
    <row r="587" spans="1:26" x14ac:dyDescent="0.35">
      <c r="A587" s="265"/>
      <c r="B587" s="266"/>
      <c r="C587" s="262"/>
      <c r="D587" s="262"/>
      <c r="E587" s="262"/>
      <c r="F587" s="262"/>
      <c r="G587" s="320"/>
      <c r="H587" s="262"/>
      <c r="I587" s="320"/>
      <c r="J587" s="320"/>
      <c r="K587" s="262"/>
      <c r="L587" s="262"/>
      <c r="M587" s="327" t="str">
        <f t="shared" si="136"/>
        <v/>
      </c>
      <c r="N587" s="327" t="str">
        <f t="shared" si="137"/>
        <v/>
      </c>
      <c r="O587" s="327" t="str">
        <f t="shared" si="138"/>
        <v/>
      </c>
      <c r="P587" s="327" t="str">
        <f t="shared" si="139"/>
        <v/>
      </c>
      <c r="Q587" s="327" t="str">
        <f t="shared" si="140"/>
        <v/>
      </c>
      <c r="R587" s="327" t="str">
        <f t="shared" si="141"/>
        <v/>
      </c>
      <c r="S587" s="421" t="str">
        <f t="shared" si="142"/>
        <v/>
      </c>
      <c r="T587" s="327" t="str">
        <f t="shared" si="143"/>
        <v/>
      </c>
      <c r="U587" s="327" t="str">
        <f t="shared" si="144"/>
        <v/>
      </c>
      <c r="V587" s="327" t="str">
        <f t="shared" si="145"/>
        <v/>
      </c>
      <c r="W587" s="327" t="str">
        <f t="shared" si="146"/>
        <v/>
      </c>
      <c r="X587" s="327" t="str">
        <f t="shared" si="147"/>
        <v/>
      </c>
      <c r="Y587" s="327" t="str">
        <f t="shared" si="148"/>
        <v/>
      </c>
      <c r="Z587" s="428" t="str">
        <f t="shared" si="149"/>
        <v/>
      </c>
    </row>
    <row r="588" spans="1:26" x14ac:dyDescent="0.35">
      <c r="A588" s="265"/>
      <c r="B588" s="266"/>
      <c r="C588" s="262"/>
      <c r="D588" s="262"/>
      <c r="E588" s="262"/>
      <c r="F588" s="262"/>
      <c r="G588" s="320"/>
      <c r="H588" s="262"/>
      <c r="I588" s="320"/>
      <c r="J588" s="320"/>
      <c r="K588" s="262"/>
      <c r="L588" s="262"/>
      <c r="M588" s="327" t="str">
        <f t="shared" si="136"/>
        <v/>
      </c>
      <c r="N588" s="327" t="str">
        <f t="shared" si="137"/>
        <v/>
      </c>
      <c r="O588" s="327" t="str">
        <f t="shared" si="138"/>
        <v/>
      </c>
      <c r="P588" s="327" t="str">
        <f t="shared" si="139"/>
        <v/>
      </c>
      <c r="Q588" s="327" t="str">
        <f t="shared" si="140"/>
        <v/>
      </c>
      <c r="R588" s="327" t="str">
        <f t="shared" si="141"/>
        <v/>
      </c>
      <c r="S588" s="421" t="str">
        <f t="shared" si="142"/>
        <v/>
      </c>
      <c r="T588" s="327" t="str">
        <f t="shared" si="143"/>
        <v/>
      </c>
      <c r="U588" s="327" t="str">
        <f t="shared" si="144"/>
        <v/>
      </c>
      <c r="V588" s="327" t="str">
        <f t="shared" si="145"/>
        <v/>
      </c>
      <c r="W588" s="327" t="str">
        <f t="shared" si="146"/>
        <v/>
      </c>
      <c r="X588" s="327" t="str">
        <f t="shared" si="147"/>
        <v/>
      </c>
      <c r="Y588" s="327" t="str">
        <f t="shared" si="148"/>
        <v/>
      </c>
      <c r="Z588" s="428" t="str">
        <f t="shared" si="149"/>
        <v/>
      </c>
    </row>
    <row r="589" spans="1:26" x14ac:dyDescent="0.35">
      <c r="A589" s="265"/>
      <c r="B589" s="266"/>
      <c r="C589" s="262"/>
      <c r="D589" s="262"/>
      <c r="E589" s="262"/>
      <c r="F589" s="262"/>
      <c r="G589" s="320"/>
      <c r="H589" s="262"/>
      <c r="I589" s="320"/>
      <c r="J589" s="320"/>
      <c r="K589" s="262"/>
      <c r="L589" s="262"/>
      <c r="M589" s="327" t="str">
        <f t="shared" si="136"/>
        <v/>
      </c>
      <c r="N589" s="327" t="str">
        <f t="shared" si="137"/>
        <v/>
      </c>
      <c r="O589" s="327" t="str">
        <f t="shared" si="138"/>
        <v/>
      </c>
      <c r="P589" s="327" t="str">
        <f t="shared" si="139"/>
        <v/>
      </c>
      <c r="Q589" s="327" t="str">
        <f t="shared" si="140"/>
        <v/>
      </c>
      <c r="R589" s="327" t="str">
        <f t="shared" si="141"/>
        <v/>
      </c>
      <c r="S589" s="421" t="str">
        <f t="shared" si="142"/>
        <v/>
      </c>
      <c r="T589" s="327" t="str">
        <f t="shared" si="143"/>
        <v/>
      </c>
      <c r="U589" s="327" t="str">
        <f t="shared" si="144"/>
        <v/>
      </c>
      <c r="V589" s="327" t="str">
        <f t="shared" si="145"/>
        <v/>
      </c>
      <c r="W589" s="327" t="str">
        <f t="shared" si="146"/>
        <v/>
      </c>
      <c r="X589" s="327" t="str">
        <f t="shared" si="147"/>
        <v/>
      </c>
      <c r="Y589" s="327" t="str">
        <f t="shared" si="148"/>
        <v/>
      </c>
      <c r="Z589" s="428" t="str">
        <f t="shared" si="149"/>
        <v/>
      </c>
    </row>
    <row r="590" spans="1:26" x14ac:dyDescent="0.35">
      <c r="A590" s="265"/>
      <c r="B590" s="266"/>
      <c r="C590" s="262"/>
      <c r="D590" s="262"/>
      <c r="E590" s="262"/>
      <c r="F590" s="262"/>
      <c r="G590" s="320"/>
      <c r="H590" s="262"/>
      <c r="I590" s="320"/>
      <c r="J590" s="320"/>
      <c r="K590" s="262"/>
      <c r="L590" s="262"/>
      <c r="M590" s="327" t="str">
        <f t="shared" si="136"/>
        <v/>
      </c>
      <c r="N590" s="327" t="str">
        <f t="shared" si="137"/>
        <v/>
      </c>
      <c r="O590" s="327" t="str">
        <f t="shared" si="138"/>
        <v/>
      </c>
      <c r="P590" s="327" t="str">
        <f t="shared" si="139"/>
        <v/>
      </c>
      <c r="Q590" s="327" t="str">
        <f t="shared" si="140"/>
        <v/>
      </c>
      <c r="R590" s="327" t="str">
        <f t="shared" si="141"/>
        <v/>
      </c>
      <c r="S590" s="421" t="str">
        <f t="shared" si="142"/>
        <v/>
      </c>
      <c r="T590" s="327" t="str">
        <f t="shared" si="143"/>
        <v/>
      </c>
      <c r="U590" s="327" t="str">
        <f t="shared" si="144"/>
        <v/>
      </c>
      <c r="V590" s="327" t="str">
        <f t="shared" si="145"/>
        <v/>
      </c>
      <c r="W590" s="327" t="str">
        <f t="shared" si="146"/>
        <v/>
      </c>
      <c r="X590" s="327" t="str">
        <f t="shared" si="147"/>
        <v/>
      </c>
      <c r="Y590" s="327" t="str">
        <f t="shared" si="148"/>
        <v/>
      </c>
      <c r="Z590" s="428" t="str">
        <f t="shared" si="149"/>
        <v/>
      </c>
    </row>
    <row r="591" spans="1:26" x14ac:dyDescent="0.35">
      <c r="A591" s="265"/>
      <c r="B591" s="266"/>
      <c r="C591" s="262"/>
      <c r="D591" s="262"/>
      <c r="E591" s="262"/>
      <c r="F591" s="262"/>
      <c r="G591" s="320"/>
      <c r="H591" s="262"/>
      <c r="I591" s="320"/>
      <c r="J591" s="320"/>
      <c r="K591" s="262"/>
      <c r="L591" s="262"/>
      <c r="M591" s="327" t="str">
        <f t="shared" si="136"/>
        <v/>
      </c>
      <c r="N591" s="327" t="str">
        <f t="shared" si="137"/>
        <v/>
      </c>
      <c r="O591" s="327" t="str">
        <f t="shared" si="138"/>
        <v/>
      </c>
      <c r="P591" s="327" t="str">
        <f t="shared" si="139"/>
        <v/>
      </c>
      <c r="Q591" s="327" t="str">
        <f t="shared" si="140"/>
        <v/>
      </c>
      <c r="R591" s="327" t="str">
        <f t="shared" si="141"/>
        <v/>
      </c>
      <c r="S591" s="421" t="str">
        <f t="shared" si="142"/>
        <v/>
      </c>
      <c r="T591" s="327" t="str">
        <f t="shared" si="143"/>
        <v/>
      </c>
      <c r="U591" s="327" t="str">
        <f t="shared" si="144"/>
        <v/>
      </c>
      <c r="V591" s="327" t="str">
        <f t="shared" si="145"/>
        <v/>
      </c>
      <c r="W591" s="327" t="str">
        <f t="shared" si="146"/>
        <v/>
      </c>
      <c r="X591" s="327" t="str">
        <f t="shared" si="147"/>
        <v/>
      </c>
      <c r="Y591" s="327" t="str">
        <f t="shared" si="148"/>
        <v/>
      </c>
      <c r="Z591" s="428" t="str">
        <f t="shared" si="149"/>
        <v/>
      </c>
    </row>
    <row r="592" spans="1:26" x14ac:dyDescent="0.35">
      <c r="A592" s="265"/>
      <c r="B592" s="266"/>
      <c r="C592" s="262"/>
      <c r="D592" s="262"/>
      <c r="E592" s="262"/>
      <c r="F592" s="262"/>
      <c r="G592" s="320"/>
      <c r="H592" s="262"/>
      <c r="I592" s="320"/>
      <c r="J592" s="320"/>
      <c r="K592" s="262"/>
      <c r="L592" s="262"/>
      <c r="M592" s="327" t="str">
        <f t="shared" si="136"/>
        <v/>
      </c>
      <c r="N592" s="327" t="str">
        <f t="shared" si="137"/>
        <v/>
      </c>
      <c r="O592" s="327" t="str">
        <f t="shared" si="138"/>
        <v/>
      </c>
      <c r="P592" s="327" t="str">
        <f t="shared" si="139"/>
        <v/>
      </c>
      <c r="Q592" s="327" t="str">
        <f t="shared" si="140"/>
        <v/>
      </c>
      <c r="R592" s="327" t="str">
        <f t="shared" si="141"/>
        <v/>
      </c>
      <c r="S592" s="421" t="str">
        <f t="shared" si="142"/>
        <v/>
      </c>
      <c r="T592" s="327" t="str">
        <f t="shared" si="143"/>
        <v/>
      </c>
      <c r="U592" s="327" t="str">
        <f t="shared" si="144"/>
        <v/>
      </c>
      <c r="V592" s="327" t="str">
        <f t="shared" si="145"/>
        <v/>
      </c>
      <c r="W592" s="327" t="str">
        <f t="shared" si="146"/>
        <v/>
      </c>
      <c r="X592" s="327" t="str">
        <f t="shared" si="147"/>
        <v/>
      </c>
      <c r="Y592" s="327" t="str">
        <f t="shared" si="148"/>
        <v/>
      </c>
      <c r="Z592" s="428" t="str">
        <f t="shared" si="149"/>
        <v/>
      </c>
    </row>
    <row r="593" spans="1:26" x14ac:dyDescent="0.35">
      <c r="A593" s="265"/>
      <c r="B593" s="266"/>
      <c r="C593" s="262"/>
      <c r="D593" s="262"/>
      <c r="E593" s="262"/>
      <c r="F593" s="262"/>
      <c r="G593" s="320"/>
      <c r="H593" s="262"/>
      <c r="I593" s="320"/>
      <c r="J593" s="320"/>
      <c r="K593" s="262"/>
      <c r="L593" s="262"/>
      <c r="M593" s="327" t="str">
        <f t="shared" si="136"/>
        <v/>
      </c>
      <c r="N593" s="327" t="str">
        <f t="shared" si="137"/>
        <v/>
      </c>
      <c r="O593" s="327" t="str">
        <f t="shared" si="138"/>
        <v/>
      </c>
      <c r="P593" s="327" t="str">
        <f t="shared" si="139"/>
        <v/>
      </c>
      <c r="Q593" s="327" t="str">
        <f t="shared" si="140"/>
        <v/>
      </c>
      <c r="R593" s="327" t="str">
        <f t="shared" si="141"/>
        <v/>
      </c>
      <c r="S593" s="421" t="str">
        <f t="shared" si="142"/>
        <v/>
      </c>
      <c r="T593" s="327" t="str">
        <f t="shared" si="143"/>
        <v/>
      </c>
      <c r="U593" s="327" t="str">
        <f t="shared" si="144"/>
        <v/>
      </c>
      <c r="V593" s="327" t="str">
        <f t="shared" si="145"/>
        <v/>
      </c>
      <c r="W593" s="327" t="str">
        <f t="shared" si="146"/>
        <v/>
      </c>
      <c r="X593" s="327" t="str">
        <f t="shared" si="147"/>
        <v/>
      </c>
      <c r="Y593" s="327" t="str">
        <f t="shared" si="148"/>
        <v/>
      </c>
      <c r="Z593" s="428" t="str">
        <f t="shared" si="149"/>
        <v/>
      </c>
    </row>
    <row r="594" spans="1:26" x14ac:dyDescent="0.35">
      <c r="A594" s="265"/>
      <c r="B594" s="266"/>
      <c r="C594" s="262"/>
      <c r="D594" s="262"/>
      <c r="E594" s="262"/>
      <c r="F594" s="262"/>
      <c r="G594" s="320"/>
      <c r="H594" s="262"/>
      <c r="I594" s="320"/>
      <c r="J594" s="320"/>
      <c r="K594" s="262"/>
      <c r="L594" s="262"/>
      <c r="M594" s="327" t="str">
        <f t="shared" si="136"/>
        <v/>
      </c>
      <c r="N594" s="327" t="str">
        <f t="shared" si="137"/>
        <v/>
      </c>
      <c r="O594" s="327" t="str">
        <f t="shared" si="138"/>
        <v/>
      </c>
      <c r="P594" s="327" t="str">
        <f t="shared" si="139"/>
        <v/>
      </c>
      <c r="Q594" s="327" t="str">
        <f t="shared" si="140"/>
        <v/>
      </c>
      <c r="R594" s="327" t="str">
        <f t="shared" si="141"/>
        <v/>
      </c>
      <c r="S594" s="421" t="str">
        <f t="shared" si="142"/>
        <v/>
      </c>
      <c r="T594" s="327" t="str">
        <f t="shared" si="143"/>
        <v/>
      </c>
      <c r="U594" s="327" t="str">
        <f t="shared" si="144"/>
        <v/>
      </c>
      <c r="V594" s="327" t="str">
        <f t="shared" si="145"/>
        <v/>
      </c>
      <c r="W594" s="327" t="str">
        <f t="shared" si="146"/>
        <v/>
      </c>
      <c r="X594" s="327" t="str">
        <f t="shared" si="147"/>
        <v/>
      </c>
      <c r="Y594" s="327" t="str">
        <f t="shared" si="148"/>
        <v/>
      </c>
      <c r="Z594" s="428" t="str">
        <f t="shared" si="149"/>
        <v/>
      </c>
    </row>
    <row r="595" spans="1:26" x14ac:dyDescent="0.35">
      <c r="A595" s="265"/>
      <c r="B595" s="266"/>
      <c r="C595" s="262"/>
      <c r="D595" s="262"/>
      <c r="E595" s="262"/>
      <c r="F595" s="262"/>
      <c r="G595" s="320"/>
      <c r="H595" s="262"/>
      <c r="I595" s="320"/>
      <c r="J595" s="320"/>
      <c r="K595" s="262"/>
      <c r="L595" s="262"/>
      <c r="M595" s="327" t="str">
        <f t="shared" si="136"/>
        <v/>
      </c>
      <c r="N595" s="327" t="str">
        <f t="shared" si="137"/>
        <v/>
      </c>
      <c r="O595" s="327" t="str">
        <f t="shared" si="138"/>
        <v/>
      </c>
      <c r="P595" s="327" t="str">
        <f t="shared" si="139"/>
        <v/>
      </c>
      <c r="Q595" s="327" t="str">
        <f t="shared" si="140"/>
        <v/>
      </c>
      <c r="R595" s="327" t="str">
        <f t="shared" si="141"/>
        <v/>
      </c>
      <c r="S595" s="421" t="str">
        <f t="shared" si="142"/>
        <v/>
      </c>
      <c r="T595" s="327" t="str">
        <f t="shared" si="143"/>
        <v/>
      </c>
      <c r="U595" s="327" t="str">
        <f t="shared" si="144"/>
        <v/>
      </c>
      <c r="V595" s="327" t="str">
        <f t="shared" si="145"/>
        <v/>
      </c>
      <c r="W595" s="327" t="str">
        <f t="shared" si="146"/>
        <v/>
      </c>
      <c r="X595" s="327" t="str">
        <f t="shared" si="147"/>
        <v/>
      </c>
      <c r="Y595" s="327" t="str">
        <f t="shared" si="148"/>
        <v/>
      </c>
      <c r="Z595" s="428" t="str">
        <f t="shared" si="149"/>
        <v/>
      </c>
    </row>
    <row r="596" spans="1:26" x14ac:dyDescent="0.35">
      <c r="A596" s="265"/>
      <c r="B596" s="266"/>
      <c r="C596" s="262"/>
      <c r="D596" s="262"/>
      <c r="E596" s="262"/>
      <c r="F596" s="262"/>
      <c r="G596" s="320"/>
      <c r="H596" s="262"/>
      <c r="I596" s="320"/>
      <c r="J596" s="320"/>
      <c r="K596" s="262"/>
      <c r="L596" s="262"/>
      <c r="M596" s="327" t="str">
        <f t="shared" si="136"/>
        <v/>
      </c>
      <c r="N596" s="327" t="str">
        <f t="shared" si="137"/>
        <v/>
      </c>
      <c r="O596" s="327" t="str">
        <f t="shared" si="138"/>
        <v/>
      </c>
      <c r="P596" s="327" t="str">
        <f t="shared" si="139"/>
        <v/>
      </c>
      <c r="Q596" s="327" t="str">
        <f t="shared" si="140"/>
        <v/>
      </c>
      <c r="R596" s="327" t="str">
        <f t="shared" si="141"/>
        <v/>
      </c>
      <c r="S596" s="421" t="str">
        <f t="shared" si="142"/>
        <v/>
      </c>
      <c r="T596" s="327" t="str">
        <f t="shared" si="143"/>
        <v/>
      </c>
      <c r="U596" s="327" t="str">
        <f t="shared" si="144"/>
        <v/>
      </c>
      <c r="V596" s="327" t="str">
        <f t="shared" si="145"/>
        <v/>
      </c>
      <c r="W596" s="327" t="str">
        <f t="shared" si="146"/>
        <v/>
      </c>
      <c r="X596" s="327" t="str">
        <f t="shared" si="147"/>
        <v/>
      </c>
      <c r="Y596" s="327" t="str">
        <f t="shared" si="148"/>
        <v/>
      </c>
      <c r="Z596" s="428" t="str">
        <f t="shared" si="149"/>
        <v/>
      </c>
    </row>
    <row r="597" spans="1:26" x14ac:dyDescent="0.35">
      <c r="A597" s="265"/>
      <c r="B597" s="266"/>
      <c r="C597" s="262"/>
      <c r="D597" s="262"/>
      <c r="E597" s="262"/>
      <c r="F597" s="262"/>
      <c r="G597" s="320"/>
      <c r="H597" s="262"/>
      <c r="I597" s="320"/>
      <c r="J597" s="320"/>
      <c r="K597" s="262"/>
      <c r="L597" s="262"/>
      <c r="M597" s="327" t="str">
        <f t="shared" si="136"/>
        <v/>
      </c>
      <c r="N597" s="327" t="str">
        <f t="shared" si="137"/>
        <v/>
      </c>
      <c r="O597" s="327" t="str">
        <f t="shared" si="138"/>
        <v/>
      </c>
      <c r="P597" s="327" t="str">
        <f t="shared" si="139"/>
        <v/>
      </c>
      <c r="Q597" s="327" t="str">
        <f t="shared" si="140"/>
        <v/>
      </c>
      <c r="R597" s="327" t="str">
        <f t="shared" si="141"/>
        <v/>
      </c>
      <c r="S597" s="421" t="str">
        <f t="shared" si="142"/>
        <v/>
      </c>
      <c r="T597" s="327" t="str">
        <f t="shared" si="143"/>
        <v/>
      </c>
      <c r="U597" s="327" t="str">
        <f t="shared" si="144"/>
        <v/>
      </c>
      <c r="V597" s="327" t="str">
        <f t="shared" si="145"/>
        <v/>
      </c>
      <c r="W597" s="327" t="str">
        <f t="shared" si="146"/>
        <v/>
      </c>
      <c r="X597" s="327" t="str">
        <f t="shared" si="147"/>
        <v/>
      </c>
      <c r="Y597" s="327" t="str">
        <f t="shared" si="148"/>
        <v/>
      </c>
      <c r="Z597" s="428" t="str">
        <f t="shared" si="149"/>
        <v/>
      </c>
    </row>
    <row r="598" spans="1:26" x14ac:dyDescent="0.35">
      <c r="A598" s="265"/>
      <c r="B598" s="266"/>
      <c r="C598" s="262"/>
      <c r="D598" s="262"/>
      <c r="E598" s="262"/>
      <c r="F598" s="262"/>
      <c r="G598" s="320"/>
      <c r="H598" s="262"/>
      <c r="I598" s="320"/>
      <c r="J598" s="320"/>
      <c r="K598" s="262"/>
      <c r="L598" s="262"/>
      <c r="M598" s="327" t="str">
        <f t="shared" si="136"/>
        <v/>
      </c>
      <c r="N598" s="327" t="str">
        <f t="shared" si="137"/>
        <v/>
      </c>
      <c r="O598" s="327" t="str">
        <f t="shared" si="138"/>
        <v/>
      </c>
      <c r="P598" s="327" t="str">
        <f t="shared" si="139"/>
        <v/>
      </c>
      <c r="Q598" s="327" t="str">
        <f t="shared" si="140"/>
        <v/>
      </c>
      <c r="R598" s="327" t="str">
        <f t="shared" si="141"/>
        <v/>
      </c>
      <c r="S598" s="421" t="str">
        <f t="shared" si="142"/>
        <v/>
      </c>
      <c r="T598" s="327" t="str">
        <f t="shared" si="143"/>
        <v/>
      </c>
      <c r="U598" s="327" t="str">
        <f t="shared" si="144"/>
        <v/>
      </c>
      <c r="V598" s="327" t="str">
        <f t="shared" si="145"/>
        <v/>
      </c>
      <c r="W598" s="327" t="str">
        <f t="shared" si="146"/>
        <v/>
      </c>
      <c r="X598" s="327" t="str">
        <f t="shared" si="147"/>
        <v/>
      </c>
      <c r="Y598" s="327" t="str">
        <f t="shared" si="148"/>
        <v/>
      </c>
      <c r="Z598" s="428" t="str">
        <f t="shared" si="149"/>
        <v/>
      </c>
    </row>
    <row r="599" spans="1:26" x14ac:dyDescent="0.35">
      <c r="A599" s="265"/>
      <c r="B599" s="266"/>
      <c r="C599" s="262"/>
      <c r="D599" s="262"/>
      <c r="E599" s="262"/>
      <c r="F599" s="262"/>
      <c r="G599" s="320"/>
      <c r="H599" s="262"/>
      <c r="I599" s="320"/>
      <c r="J599" s="320"/>
      <c r="K599" s="262"/>
      <c r="L599" s="262"/>
      <c r="M599" s="327" t="str">
        <f t="shared" si="136"/>
        <v/>
      </c>
      <c r="N599" s="327" t="str">
        <f t="shared" si="137"/>
        <v/>
      </c>
      <c r="O599" s="327" t="str">
        <f t="shared" si="138"/>
        <v/>
      </c>
      <c r="P599" s="327" t="str">
        <f t="shared" si="139"/>
        <v/>
      </c>
      <c r="Q599" s="327" t="str">
        <f t="shared" si="140"/>
        <v/>
      </c>
      <c r="R599" s="327" t="str">
        <f t="shared" si="141"/>
        <v/>
      </c>
      <c r="S599" s="421" t="str">
        <f t="shared" si="142"/>
        <v/>
      </c>
      <c r="T599" s="327" t="str">
        <f t="shared" si="143"/>
        <v/>
      </c>
      <c r="U599" s="327" t="str">
        <f t="shared" si="144"/>
        <v/>
      </c>
      <c r="V599" s="327" t="str">
        <f t="shared" si="145"/>
        <v/>
      </c>
      <c r="W599" s="327" t="str">
        <f t="shared" si="146"/>
        <v/>
      </c>
      <c r="X599" s="327" t="str">
        <f t="shared" si="147"/>
        <v/>
      </c>
      <c r="Y599" s="327" t="str">
        <f t="shared" si="148"/>
        <v/>
      </c>
      <c r="Z599" s="428" t="str">
        <f t="shared" si="149"/>
        <v/>
      </c>
    </row>
    <row r="600" spans="1:26" x14ac:dyDescent="0.35">
      <c r="A600" s="265"/>
      <c r="B600" s="266"/>
      <c r="C600" s="262"/>
      <c r="D600" s="262"/>
      <c r="E600" s="262"/>
      <c r="F600" s="262"/>
      <c r="G600" s="320"/>
      <c r="H600" s="262"/>
      <c r="I600" s="320"/>
      <c r="J600" s="320"/>
      <c r="K600" s="262"/>
      <c r="L600" s="262"/>
      <c r="M600" s="327" t="str">
        <f t="shared" si="136"/>
        <v/>
      </c>
      <c r="N600" s="327" t="str">
        <f t="shared" si="137"/>
        <v/>
      </c>
      <c r="O600" s="327" t="str">
        <f t="shared" si="138"/>
        <v/>
      </c>
      <c r="P600" s="327" t="str">
        <f t="shared" si="139"/>
        <v/>
      </c>
      <c r="Q600" s="327" t="str">
        <f t="shared" si="140"/>
        <v/>
      </c>
      <c r="R600" s="327" t="str">
        <f t="shared" si="141"/>
        <v/>
      </c>
      <c r="S600" s="421" t="str">
        <f t="shared" si="142"/>
        <v/>
      </c>
      <c r="T600" s="327" t="str">
        <f t="shared" si="143"/>
        <v/>
      </c>
      <c r="U600" s="327" t="str">
        <f t="shared" si="144"/>
        <v/>
      </c>
      <c r="V600" s="327" t="str">
        <f t="shared" si="145"/>
        <v/>
      </c>
      <c r="W600" s="327" t="str">
        <f t="shared" si="146"/>
        <v/>
      </c>
      <c r="X600" s="327" t="str">
        <f t="shared" si="147"/>
        <v/>
      </c>
      <c r="Y600" s="327" t="str">
        <f t="shared" si="148"/>
        <v/>
      </c>
      <c r="Z600" s="428" t="str">
        <f t="shared" si="149"/>
        <v/>
      </c>
    </row>
    <row r="601" spans="1:26" x14ac:dyDescent="0.35">
      <c r="A601" s="265"/>
      <c r="B601" s="266"/>
      <c r="C601" s="262"/>
      <c r="D601" s="262"/>
      <c r="E601" s="262"/>
      <c r="F601" s="262"/>
      <c r="G601" s="320"/>
      <c r="H601" s="262"/>
      <c r="I601" s="320"/>
      <c r="J601" s="320"/>
      <c r="K601" s="262"/>
      <c r="L601" s="262"/>
      <c r="M601" s="327" t="str">
        <f t="shared" si="136"/>
        <v/>
      </c>
      <c r="N601" s="327" t="str">
        <f t="shared" si="137"/>
        <v/>
      </c>
      <c r="O601" s="327" t="str">
        <f t="shared" si="138"/>
        <v/>
      </c>
      <c r="P601" s="327" t="str">
        <f t="shared" si="139"/>
        <v/>
      </c>
      <c r="Q601" s="327" t="str">
        <f t="shared" si="140"/>
        <v/>
      </c>
      <c r="R601" s="327" t="str">
        <f t="shared" si="141"/>
        <v/>
      </c>
      <c r="S601" s="421" t="str">
        <f t="shared" si="142"/>
        <v/>
      </c>
      <c r="T601" s="327" t="str">
        <f t="shared" si="143"/>
        <v/>
      </c>
      <c r="U601" s="327" t="str">
        <f t="shared" si="144"/>
        <v/>
      </c>
      <c r="V601" s="327" t="str">
        <f t="shared" si="145"/>
        <v/>
      </c>
      <c r="W601" s="327" t="str">
        <f t="shared" si="146"/>
        <v/>
      </c>
      <c r="X601" s="327" t="str">
        <f t="shared" si="147"/>
        <v/>
      </c>
      <c r="Y601" s="327" t="str">
        <f t="shared" si="148"/>
        <v/>
      </c>
      <c r="Z601" s="428" t="str">
        <f t="shared" si="149"/>
        <v/>
      </c>
    </row>
    <row r="602" spans="1:26" x14ac:dyDescent="0.35">
      <c r="A602" s="265"/>
      <c r="B602" s="266"/>
      <c r="C602" s="262"/>
      <c r="D602" s="262"/>
      <c r="E602" s="262"/>
      <c r="F602" s="262"/>
      <c r="G602" s="320"/>
      <c r="H602" s="262"/>
      <c r="I602" s="320"/>
      <c r="J602" s="320"/>
      <c r="K602" s="262"/>
      <c r="L602" s="262"/>
      <c r="M602" s="327" t="str">
        <f t="shared" si="136"/>
        <v/>
      </c>
      <c r="N602" s="327" t="str">
        <f t="shared" si="137"/>
        <v/>
      </c>
      <c r="O602" s="327" t="str">
        <f t="shared" si="138"/>
        <v/>
      </c>
      <c r="P602" s="327" t="str">
        <f t="shared" si="139"/>
        <v/>
      </c>
      <c r="Q602" s="327" t="str">
        <f t="shared" si="140"/>
        <v/>
      </c>
      <c r="R602" s="327" t="str">
        <f t="shared" si="141"/>
        <v/>
      </c>
      <c r="S602" s="421" t="str">
        <f t="shared" si="142"/>
        <v/>
      </c>
      <c r="T602" s="327" t="str">
        <f t="shared" si="143"/>
        <v/>
      </c>
      <c r="U602" s="327" t="str">
        <f t="shared" si="144"/>
        <v/>
      </c>
      <c r="V602" s="327" t="str">
        <f t="shared" si="145"/>
        <v/>
      </c>
      <c r="W602" s="327" t="str">
        <f t="shared" si="146"/>
        <v/>
      </c>
      <c r="X602" s="327" t="str">
        <f t="shared" si="147"/>
        <v/>
      </c>
      <c r="Y602" s="327" t="str">
        <f t="shared" si="148"/>
        <v/>
      </c>
      <c r="Z602" s="428" t="str">
        <f t="shared" si="149"/>
        <v/>
      </c>
    </row>
    <row r="603" spans="1:26" x14ac:dyDescent="0.35">
      <c r="A603" s="265"/>
      <c r="B603" s="266"/>
      <c r="C603" s="262"/>
      <c r="D603" s="262"/>
      <c r="E603" s="262"/>
      <c r="F603" s="262"/>
      <c r="G603" s="320"/>
      <c r="H603" s="262"/>
      <c r="I603" s="320"/>
      <c r="J603" s="320"/>
      <c r="K603" s="262"/>
      <c r="L603" s="262"/>
      <c r="M603" s="327" t="str">
        <f t="shared" si="136"/>
        <v/>
      </c>
      <c r="N603" s="327" t="str">
        <f t="shared" si="137"/>
        <v/>
      </c>
      <c r="O603" s="327" t="str">
        <f t="shared" si="138"/>
        <v/>
      </c>
      <c r="P603" s="327" t="str">
        <f t="shared" si="139"/>
        <v/>
      </c>
      <c r="Q603" s="327" t="str">
        <f t="shared" si="140"/>
        <v/>
      </c>
      <c r="R603" s="327" t="str">
        <f t="shared" si="141"/>
        <v/>
      </c>
      <c r="S603" s="421" t="str">
        <f t="shared" si="142"/>
        <v/>
      </c>
      <c r="T603" s="327" t="str">
        <f t="shared" si="143"/>
        <v/>
      </c>
      <c r="U603" s="327" t="str">
        <f t="shared" si="144"/>
        <v/>
      </c>
      <c r="V603" s="327" t="str">
        <f t="shared" si="145"/>
        <v/>
      </c>
      <c r="W603" s="327" t="str">
        <f t="shared" si="146"/>
        <v/>
      </c>
      <c r="X603" s="327" t="str">
        <f t="shared" si="147"/>
        <v/>
      </c>
      <c r="Y603" s="327" t="str">
        <f t="shared" si="148"/>
        <v/>
      </c>
      <c r="Z603" s="428" t="str">
        <f t="shared" si="149"/>
        <v/>
      </c>
    </row>
    <row r="604" spans="1:26" x14ac:dyDescent="0.35">
      <c r="A604" s="265"/>
      <c r="B604" s="266"/>
      <c r="C604" s="262"/>
      <c r="D604" s="262"/>
      <c r="E604" s="262"/>
      <c r="F604" s="262"/>
      <c r="G604" s="320"/>
      <c r="H604" s="262"/>
      <c r="I604" s="320"/>
      <c r="J604" s="320"/>
      <c r="K604" s="262"/>
      <c r="L604" s="262"/>
      <c r="M604" s="327" t="str">
        <f t="shared" si="136"/>
        <v/>
      </c>
      <c r="N604" s="327" t="str">
        <f t="shared" si="137"/>
        <v/>
      </c>
      <c r="O604" s="327" t="str">
        <f t="shared" si="138"/>
        <v/>
      </c>
      <c r="P604" s="327" t="str">
        <f t="shared" si="139"/>
        <v/>
      </c>
      <c r="Q604" s="327" t="str">
        <f t="shared" si="140"/>
        <v/>
      </c>
      <c r="R604" s="327" t="str">
        <f t="shared" si="141"/>
        <v/>
      </c>
      <c r="S604" s="421" t="str">
        <f t="shared" si="142"/>
        <v/>
      </c>
      <c r="T604" s="327" t="str">
        <f t="shared" si="143"/>
        <v/>
      </c>
      <c r="U604" s="327" t="str">
        <f t="shared" si="144"/>
        <v/>
      </c>
      <c r="V604" s="327" t="str">
        <f t="shared" si="145"/>
        <v/>
      </c>
      <c r="W604" s="327" t="str">
        <f t="shared" si="146"/>
        <v/>
      </c>
      <c r="X604" s="327" t="str">
        <f t="shared" si="147"/>
        <v/>
      </c>
      <c r="Y604" s="327" t="str">
        <f t="shared" si="148"/>
        <v/>
      </c>
      <c r="Z604" s="428" t="str">
        <f t="shared" si="149"/>
        <v/>
      </c>
    </row>
    <row r="605" spans="1:26" x14ac:dyDescent="0.35">
      <c r="A605" s="265"/>
      <c r="B605" s="266"/>
      <c r="C605" s="262"/>
      <c r="D605" s="262"/>
      <c r="E605" s="262"/>
      <c r="F605" s="262"/>
      <c r="G605" s="320"/>
      <c r="H605" s="262"/>
      <c r="I605" s="320"/>
      <c r="J605" s="320"/>
      <c r="K605" s="262"/>
      <c r="L605" s="262"/>
      <c r="M605" s="327" t="str">
        <f t="shared" si="136"/>
        <v/>
      </c>
      <c r="N605" s="327" t="str">
        <f t="shared" si="137"/>
        <v/>
      </c>
      <c r="O605" s="327" t="str">
        <f t="shared" si="138"/>
        <v/>
      </c>
      <c r="P605" s="327" t="str">
        <f t="shared" si="139"/>
        <v/>
      </c>
      <c r="Q605" s="327" t="str">
        <f t="shared" si="140"/>
        <v/>
      </c>
      <c r="R605" s="327" t="str">
        <f t="shared" si="141"/>
        <v/>
      </c>
      <c r="S605" s="421" t="str">
        <f t="shared" si="142"/>
        <v/>
      </c>
      <c r="T605" s="327" t="str">
        <f t="shared" si="143"/>
        <v/>
      </c>
      <c r="U605" s="327" t="str">
        <f t="shared" si="144"/>
        <v/>
      </c>
      <c r="V605" s="327" t="str">
        <f t="shared" si="145"/>
        <v/>
      </c>
      <c r="W605" s="327" t="str">
        <f t="shared" si="146"/>
        <v/>
      </c>
      <c r="X605" s="327" t="str">
        <f t="shared" si="147"/>
        <v/>
      </c>
      <c r="Y605" s="327" t="str">
        <f t="shared" si="148"/>
        <v/>
      </c>
      <c r="Z605" s="428" t="str">
        <f t="shared" si="149"/>
        <v/>
      </c>
    </row>
    <row r="606" spans="1:26" x14ac:dyDescent="0.35">
      <c r="A606" s="265"/>
      <c r="B606" s="266"/>
      <c r="C606" s="262"/>
      <c r="D606" s="262"/>
      <c r="E606" s="262"/>
      <c r="F606" s="262"/>
      <c r="G606" s="320"/>
      <c r="H606" s="262"/>
      <c r="I606" s="320"/>
      <c r="J606" s="320"/>
      <c r="K606" s="262"/>
      <c r="L606" s="262"/>
      <c r="M606" s="327" t="str">
        <f t="shared" si="136"/>
        <v/>
      </c>
      <c r="N606" s="327" t="str">
        <f t="shared" si="137"/>
        <v/>
      </c>
      <c r="O606" s="327" t="str">
        <f t="shared" si="138"/>
        <v/>
      </c>
      <c r="P606" s="327" t="str">
        <f t="shared" si="139"/>
        <v/>
      </c>
      <c r="Q606" s="327" t="str">
        <f t="shared" si="140"/>
        <v/>
      </c>
      <c r="R606" s="327" t="str">
        <f t="shared" si="141"/>
        <v/>
      </c>
      <c r="S606" s="421" t="str">
        <f t="shared" si="142"/>
        <v/>
      </c>
      <c r="T606" s="327" t="str">
        <f t="shared" si="143"/>
        <v/>
      </c>
      <c r="U606" s="327" t="str">
        <f t="shared" si="144"/>
        <v/>
      </c>
      <c r="V606" s="327" t="str">
        <f t="shared" si="145"/>
        <v/>
      </c>
      <c r="W606" s="327" t="str">
        <f t="shared" si="146"/>
        <v/>
      </c>
      <c r="X606" s="327" t="str">
        <f t="shared" si="147"/>
        <v/>
      </c>
      <c r="Y606" s="327" t="str">
        <f t="shared" si="148"/>
        <v/>
      </c>
      <c r="Z606" s="428" t="str">
        <f t="shared" si="149"/>
        <v/>
      </c>
    </row>
    <row r="607" spans="1:26" x14ac:dyDescent="0.35">
      <c r="A607" s="265"/>
      <c r="B607" s="266"/>
      <c r="C607" s="262"/>
      <c r="D607" s="262"/>
      <c r="E607" s="262"/>
      <c r="F607" s="262"/>
      <c r="G607" s="320"/>
      <c r="H607" s="262"/>
      <c r="I607" s="320"/>
      <c r="J607" s="320"/>
      <c r="K607" s="262"/>
      <c r="L607" s="262"/>
      <c r="M607" s="327" t="str">
        <f t="shared" si="136"/>
        <v/>
      </c>
      <c r="N607" s="327" t="str">
        <f t="shared" si="137"/>
        <v/>
      </c>
      <c r="O607" s="327" t="str">
        <f t="shared" si="138"/>
        <v/>
      </c>
      <c r="P607" s="327" t="str">
        <f t="shared" si="139"/>
        <v/>
      </c>
      <c r="Q607" s="327" t="str">
        <f t="shared" si="140"/>
        <v/>
      </c>
      <c r="R607" s="327" t="str">
        <f t="shared" si="141"/>
        <v/>
      </c>
      <c r="S607" s="421" t="str">
        <f t="shared" si="142"/>
        <v/>
      </c>
      <c r="T607" s="327" t="str">
        <f t="shared" si="143"/>
        <v/>
      </c>
      <c r="U607" s="327" t="str">
        <f t="shared" si="144"/>
        <v/>
      </c>
      <c r="V607" s="327" t="str">
        <f t="shared" si="145"/>
        <v/>
      </c>
      <c r="W607" s="327" t="str">
        <f t="shared" si="146"/>
        <v/>
      </c>
      <c r="X607" s="327" t="str">
        <f t="shared" si="147"/>
        <v/>
      </c>
      <c r="Y607" s="327" t="str">
        <f t="shared" si="148"/>
        <v/>
      </c>
      <c r="Z607" s="428" t="str">
        <f t="shared" si="149"/>
        <v/>
      </c>
    </row>
    <row r="608" spans="1:26" x14ac:dyDescent="0.35">
      <c r="A608" s="265"/>
      <c r="B608" s="266"/>
      <c r="C608" s="262"/>
      <c r="D608" s="262"/>
      <c r="E608" s="262"/>
      <c r="F608" s="262"/>
      <c r="G608" s="320"/>
      <c r="H608" s="262"/>
      <c r="I608" s="320"/>
      <c r="J608" s="320"/>
      <c r="K608" s="262"/>
      <c r="L608" s="262"/>
      <c r="M608" s="327" t="str">
        <f t="shared" si="136"/>
        <v/>
      </c>
      <c r="N608" s="327" t="str">
        <f t="shared" si="137"/>
        <v/>
      </c>
      <c r="O608" s="327" t="str">
        <f t="shared" si="138"/>
        <v/>
      </c>
      <c r="P608" s="327" t="str">
        <f t="shared" si="139"/>
        <v/>
      </c>
      <c r="Q608" s="327" t="str">
        <f t="shared" si="140"/>
        <v/>
      </c>
      <c r="R608" s="327" t="str">
        <f t="shared" si="141"/>
        <v/>
      </c>
      <c r="S608" s="421" t="str">
        <f t="shared" si="142"/>
        <v/>
      </c>
      <c r="T608" s="327" t="str">
        <f t="shared" si="143"/>
        <v/>
      </c>
      <c r="U608" s="327" t="str">
        <f t="shared" si="144"/>
        <v/>
      </c>
      <c r="V608" s="327" t="str">
        <f t="shared" si="145"/>
        <v/>
      </c>
      <c r="W608" s="327" t="str">
        <f t="shared" si="146"/>
        <v/>
      </c>
      <c r="X608" s="327" t="str">
        <f t="shared" si="147"/>
        <v/>
      </c>
      <c r="Y608" s="327" t="str">
        <f t="shared" si="148"/>
        <v/>
      </c>
      <c r="Z608" s="428" t="str">
        <f t="shared" si="149"/>
        <v/>
      </c>
    </row>
    <row r="609" spans="1:26" x14ac:dyDescent="0.35">
      <c r="A609" s="265"/>
      <c r="B609" s="266"/>
      <c r="C609" s="262"/>
      <c r="D609" s="262"/>
      <c r="E609" s="262"/>
      <c r="F609" s="262"/>
      <c r="G609" s="320"/>
      <c r="H609" s="262"/>
      <c r="I609" s="320"/>
      <c r="J609" s="320"/>
      <c r="K609" s="262"/>
      <c r="L609" s="262"/>
      <c r="M609" s="327" t="str">
        <f t="shared" si="136"/>
        <v/>
      </c>
      <c r="N609" s="327" t="str">
        <f t="shared" si="137"/>
        <v/>
      </c>
      <c r="O609" s="327" t="str">
        <f t="shared" si="138"/>
        <v/>
      </c>
      <c r="P609" s="327" t="str">
        <f t="shared" si="139"/>
        <v/>
      </c>
      <c r="Q609" s="327" t="str">
        <f t="shared" si="140"/>
        <v/>
      </c>
      <c r="R609" s="327" t="str">
        <f t="shared" si="141"/>
        <v/>
      </c>
      <c r="S609" s="421" t="str">
        <f t="shared" si="142"/>
        <v/>
      </c>
      <c r="T609" s="327" t="str">
        <f t="shared" si="143"/>
        <v/>
      </c>
      <c r="U609" s="327" t="str">
        <f t="shared" si="144"/>
        <v/>
      </c>
      <c r="V609" s="327" t="str">
        <f t="shared" si="145"/>
        <v/>
      </c>
      <c r="W609" s="327" t="str">
        <f t="shared" si="146"/>
        <v/>
      </c>
      <c r="X609" s="327" t="str">
        <f t="shared" si="147"/>
        <v/>
      </c>
      <c r="Y609" s="327" t="str">
        <f t="shared" si="148"/>
        <v/>
      </c>
      <c r="Z609" s="428" t="str">
        <f t="shared" si="149"/>
        <v/>
      </c>
    </row>
    <row r="610" spans="1:26" x14ac:dyDescent="0.35">
      <c r="A610" s="265"/>
      <c r="B610" s="266"/>
      <c r="C610" s="262"/>
      <c r="D610" s="262"/>
      <c r="E610" s="262"/>
      <c r="F610" s="262"/>
      <c r="G610" s="320"/>
      <c r="H610" s="262"/>
      <c r="I610" s="320"/>
      <c r="J610" s="320"/>
      <c r="K610" s="262"/>
      <c r="L610" s="262"/>
      <c r="M610" s="327" t="str">
        <f t="shared" si="136"/>
        <v/>
      </c>
      <c r="N610" s="327" t="str">
        <f t="shared" si="137"/>
        <v/>
      </c>
      <c r="O610" s="327" t="str">
        <f t="shared" si="138"/>
        <v/>
      </c>
      <c r="P610" s="327" t="str">
        <f t="shared" si="139"/>
        <v/>
      </c>
      <c r="Q610" s="327" t="str">
        <f t="shared" si="140"/>
        <v/>
      </c>
      <c r="R610" s="327" t="str">
        <f t="shared" si="141"/>
        <v/>
      </c>
      <c r="S610" s="421" t="str">
        <f t="shared" si="142"/>
        <v/>
      </c>
      <c r="T610" s="327" t="str">
        <f t="shared" si="143"/>
        <v/>
      </c>
      <c r="U610" s="327" t="str">
        <f t="shared" si="144"/>
        <v/>
      </c>
      <c r="V610" s="327" t="str">
        <f t="shared" si="145"/>
        <v/>
      </c>
      <c r="W610" s="327" t="str">
        <f t="shared" si="146"/>
        <v/>
      </c>
      <c r="X610" s="327" t="str">
        <f t="shared" si="147"/>
        <v/>
      </c>
      <c r="Y610" s="327" t="str">
        <f t="shared" si="148"/>
        <v/>
      </c>
      <c r="Z610" s="428" t="str">
        <f t="shared" si="149"/>
        <v/>
      </c>
    </row>
    <row r="611" spans="1:26" x14ac:dyDescent="0.35">
      <c r="A611" s="265"/>
      <c r="B611" s="266"/>
      <c r="C611" s="262"/>
      <c r="D611" s="262"/>
      <c r="E611" s="262"/>
      <c r="F611" s="262"/>
      <c r="G611" s="320"/>
      <c r="H611" s="262"/>
      <c r="I611" s="320"/>
      <c r="J611" s="320"/>
      <c r="K611" s="262"/>
      <c r="L611" s="262"/>
      <c r="M611" s="327" t="str">
        <f t="shared" si="136"/>
        <v/>
      </c>
      <c r="N611" s="327" t="str">
        <f t="shared" si="137"/>
        <v/>
      </c>
      <c r="O611" s="327" t="str">
        <f t="shared" si="138"/>
        <v/>
      </c>
      <c r="P611" s="327" t="str">
        <f t="shared" si="139"/>
        <v/>
      </c>
      <c r="Q611" s="327" t="str">
        <f t="shared" si="140"/>
        <v/>
      </c>
      <c r="R611" s="327" t="str">
        <f t="shared" si="141"/>
        <v/>
      </c>
      <c r="S611" s="421" t="str">
        <f t="shared" si="142"/>
        <v/>
      </c>
      <c r="T611" s="327" t="str">
        <f t="shared" si="143"/>
        <v/>
      </c>
      <c r="U611" s="327" t="str">
        <f t="shared" si="144"/>
        <v/>
      </c>
      <c r="V611" s="327" t="str">
        <f t="shared" si="145"/>
        <v/>
      </c>
      <c r="W611" s="327" t="str">
        <f t="shared" si="146"/>
        <v/>
      </c>
      <c r="X611" s="327" t="str">
        <f t="shared" si="147"/>
        <v/>
      </c>
      <c r="Y611" s="327" t="str">
        <f t="shared" si="148"/>
        <v/>
      </c>
      <c r="Z611" s="428" t="str">
        <f t="shared" si="149"/>
        <v/>
      </c>
    </row>
    <row r="612" spans="1:26" x14ac:dyDescent="0.35">
      <c r="A612" s="265"/>
      <c r="B612" s="266"/>
      <c r="C612" s="262"/>
      <c r="D612" s="262"/>
      <c r="E612" s="262"/>
      <c r="F612" s="262"/>
      <c r="G612" s="320"/>
      <c r="H612" s="262"/>
      <c r="I612" s="320"/>
      <c r="J612" s="320"/>
      <c r="K612" s="262"/>
      <c r="L612" s="262"/>
      <c r="M612" s="327" t="str">
        <f t="shared" si="136"/>
        <v/>
      </c>
      <c r="N612" s="327" t="str">
        <f t="shared" si="137"/>
        <v/>
      </c>
      <c r="O612" s="327" t="str">
        <f t="shared" si="138"/>
        <v/>
      </c>
      <c r="P612" s="327" t="str">
        <f t="shared" si="139"/>
        <v/>
      </c>
      <c r="Q612" s="327" t="str">
        <f t="shared" si="140"/>
        <v/>
      </c>
      <c r="R612" s="327" t="str">
        <f t="shared" si="141"/>
        <v/>
      </c>
      <c r="S612" s="421" t="str">
        <f t="shared" si="142"/>
        <v/>
      </c>
      <c r="T612" s="327" t="str">
        <f t="shared" si="143"/>
        <v/>
      </c>
      <c r="U612" s="327" t="str">
        <f t="shared" si="144"/>
        <v/>
      </c>
      <c r="V612" s="327" t="str">
        <f t="shared" si="145"/>
        <v/>
      </c>
      <c r="W612" s="327" t="str">
        <f t="shared" si="146"/>
        <v/>
      </c>
      <c r="X612" s="327" t="str">
        <f t="shared" si="147"/>
        <v/>
      </c>
      <c r="Y612" s="327" t="str">
        <f t="shared" si="148"/>
        <v/>
      </c>
      <c r="Z612" s="428" t="str">
        <f t="shared" si="149"/>
        <v/>
      </c>
    </row>
    <row r="613" spans="1:26" x14ac:dyDescent="0.35">
      <c r="A613" s="265"/>
      <c r="B613" s="266"/>
      <c r="C613" s="262"/>
      <c r="D613" s="262"/>
      <c r="E613" s="262"/>
      <c r="F613" s="262"/>
      <c r="G613" s="320"/>
      <c r="H613" s="262"/>
      <c r="I613" s="320"/>
      <c r="J613" s="320"/>
      <c r="K613" s="262"/>
      <c r="L613" s="262"/>
      <c r="M613" s="327" t="str">
        <f t="shared" si="136"/>
        <v/>
      </c>
      <c r="N613" s="327" t="str">
        <f t="shared" si="137"/>
        <v/>
      </c>
      <c r="O613" s="327" t="str">
        <f t="shared" si="138"/>
        <v/>
      </c>
      <c r="P613" s="327" t="str">
        <f t="shared" si="139"/>
        <v/>
      </c>
      <c r="Q613" s="327" t="str">
        <f t="shared" si="140"/>
        <v/>
      </c>
      <c r="R613" s="327" t="str">
        <f t="shared" si="141"/>
        <v/>
      </c>
      <c r="S613" s="421" t="str">
        <f t="shared" si="142"/>
        <v/>
      </c>
      <c r="T613" s="327" t="str">
        <f t="shared" si="143"/>
        <v/>
      </c>
      <c r="U613" s="327" t="str">
        <f t="shared" si="144"/>
        <v/>
      </c>
      <c r="V613" s="327" t="str">
        <f t="shared" si="145"/>
        <v/>
      </c>
      <c r="W613" s="327" t="str">
        <f t="shared" si="146"/>
        <v/>
      </c>
      <c r="X613" s="327" t="str">
        <f t="shared" si="147"/>
        <v/>
      </c>
      <c r="Y613" s="327" t="str">
        <f t="shared" si="148"/>
        <v/>
      </c>
      <c r="Z613" s="428" t="str">
        <f t="shared" si="149"/>
        <v/>
      </c>
    </row>
    <row r="614" spans="1:26" x14ac:dyDescent="0.35">
      <c r="A614" s="265"/>
      <c r="B614" s="266"/>
      <c r="C614" s="262"/>
      <c r="D614" s="262"/>
      <c r="E614" s="262"/>
      <c r="F614" s="262"/>
      <c r="G614" s="320"/>
      <c r="H614" s="262"/>
      <c r="I614" s="320"/>
      <c r="J614" s="320"/>
      <c r="K614" s="262"/>
      <c r="L614" s="262"/>
      <c r="M614" s="327" t="str">
        <f t="shared" si="136"/>
        <v/>
      </c>
      <c r="N614" s="327" t="str">
        <f t="shared" si="137"/>
        <v/>
      </c>
      <c r="O614" s="327" t="str">
        <f t="shared" si="138"/>
        <v/>
      </c>
      <c r="P614" s="327" t="str">
        <f t="shared" si="139"/>
        <v/>
      </c>
      <c r="Q614" s="327" t="str">
        <f t="shared" si="140"/>
        <v/>
      </c>
      <c r="R614" s="327" t="str">
        <f t="shared" si="141"/>
        <v/>
      </c>
      <c r="S614" s="421" t="str">
        <f t="shared" si="142"/>
        <v/>
      </c>
      <c r="T614" s="327" t="str">
        <f t="shared" si="143"/>
        <v/>
      </c>
      <c r="U614" s="327" t="str">
        <f t="shared" si="144"/>
        <v/>
      </c>
      <c r="V614" s="327" t="str">
        <f t="shared" si="145"/>
        <v/>
      </c>
      <c r="W614" s="327" t="str">
        <f t="shared" si="146"/>
        <v/>
      </c>
      <c r="X614" s="327" t="str">
        <f t="shared" si="147"/>
        <v/>
      </c>
      <c r="Y614" s="327" t="str">
        <f t="shared" si="148"/>
        <v/>
      </c>
      <c r="Z614" s="428" t="str">
        <f t="shared" si="149"/>
        <v/>
      </c>
    </row>
    <row r="615" spans="1:26" x14ac:dyDescent="0.35">
      <c r="A615" s="265"/>
      <c r="B615" s="266"/>
      <c r="C615" s="262"/>
      <c r="D615" s="262"/>
      <c r="E615" s="262"/>
      <c r="F615" s="262"/>
      <c r="G615" s="320"/>
      <c r="H615" s="262"/>
      <c r="I615" s="320"/>
      <c r="J615" s="320"/>
      <c r="K615" s="262"/>
      <c r="L615" s="262"/>
      <c r="M615" s="327" t="str">
        <f t="shared" si="136"/>
        <v/>
      </c>
      <c r="N615" s="327" t="str">
        <f t="shared" si="137"/>
        <v/>
      </c>
      <c r="O615" s="327" t="str">
        <f t="shared" si="138"/>
        <v/>
      </c>
      <c r="P615" s="327" t="str">
        <f t="shared" si="139"/>
        <v/>
      </c>
      <c r="Q615" s="327" t="str">
        <f t="shared" si="140"/>
        <v/>
      </c>
      <c r="R615" s="327" t="str">
        <f t="shared" si="141"/>
        <v/>
      </c>
      <c r="S615" s="421" t="str">
        <f t="shared" si="142"/>
        <v/>
      </c>
      <c r="T615" s="327" t="str">
        <f t="shared" si="143"/>
        <v/>
      </c>
      <c r="U615" s="327" t="str">
        <f t="shared" si="144"/>
        <v/>
      </c>
      <c r="V615" s="327" t="str">
        <f t="shared" si="145"/>
        <v/>
      </c>
      <c r="W615" s="327" t="str">
        <f t="shared" si="146"/>
        <v/>
      </c>
      <c r="X615" s="327" t="str">
        <f t="shared" si="147"/>
        <v/>
      </c>
      <c r="Y615" s="327" t="str">
        <f t="shared" si="148"/>
        <v/>
      </c>
      <c r="Z615" s="428" t="str">
        <f t="shared" si="149"/>
        <v/>
      </c>
    </row>
    <row r="616" spans="1:26" x14ac:dyDescent="0.35">
      <c r="A616" s="265"/>
      <c r="B616" s="266"/>
      <c r="C616" s="262"/>
      <c r="D616" s="262"/>
      <c r="E616" s="262"/>
      <c r="F616" s="262"/>
      <c r="G616" s="320"/>
      <c r="H616" s="262"/>
      <c r="I616" s="320"/>
      <c r="J616" s="320"/>
      <c r="K616" s="262"/>
      <c r="L616" s="262"/>
      <c r="M616" s="327" t="str">
        <f t="shared" si="136"/>
        <v/>
      </c>
      <c r="N616" s="327" t="str">
        <f t="shared" si="137"/>
        <v/>
      </c>
      <c r="O616" s="327" t="str">
        <f t="shared" si="138"/>
        <v/>
      </c>
      <c r="P616" s="327" t="str">
        <f t="shared" si="139"/>
        <v/>
      </c>
      <c r="Q616" s="327" t="str">
        <f t="shared" si="140"/>
        <v/>
      </c>
      <c r="R616" s="327" t="str">
        <f t="shared" si="141"/>
        <v/>
      </c>
      <c r="S616" s="421" t="str">
        <f t="shared" si="142"/>
        <v/>
      </c>
      <c r="T616" s="327" t="str">
        <f t="shared" si="143"/>
        <v/>
      </c>
      <c r="U616" s="327" t="str">
        <f t="shared" si="144"/>
        <v/>
      </c>
      <c r="V616" s="327" t="str">
        <f t="shared" si="145"/>
        <v/>
      </c>
      <c r="W616" s="327" t="str">
        <f t="shared" si="146"/>
        <v/>
      </c>
      <c r="X616" s="327" t="str">
        <f t="shared" si="147"/>
        <v/>
      </c>
      <c r="Y616" s="327" t="str">
        <f t="shared" si="148"/>
        <v/>
      </c>
      <c r="Z616" s="428" t="str">
        <f t="shared" si="149"/>
        <v/>
      </c>
    </row>
    <row r="617" spans="1:26" x14ac:dyDescent="0.35">
      <c r="A617" s="265"/>
      <c r="B617" s="266"/>
      <c r="C617" s="262"/>
      <c r="D617" s="262"/>
      <c r="E617" s="262"/>
      <c r="F617" s="262"/>
      <c r="G617" s="320"/>
      <c r="H617" s="262"/>
      <c r="I617" s="320"/>
      <c r="J617" s="320"/>
      <c r="K617" s="262"/>
      <c r="L617" s="262"/>
      <c r="M617" s="327" t="str">
        <f t="shared" si="136"/>
        <v/>
      </c>
      <c r="N617" s="327" t="str">
        <f t="shared" si="137"/>
        <v/>
      </c>
      <c r="O617" s="327" t="str">
        <f t="shared" si="138"/>
        <v/>
      </c>
      <c r="P617" s="327" t="str">
        <f t="shared" si="139"/>
        <v/>
      </c>
      <c r="Q617" s="327" t="str">
        <f t="shared" si="140"/>
        <v/>
      </c>
      <c r="R617" s="327" t="str">
        <f t="shared" si="141"/>
        <v/>
      </c>
      <c r="S617" s="421" t="str">
        <f t="shared" si="142"/>
        <v/>
      </c>
      <c r="T617" s="327" t="str">
        <f t="shared" si="143"/>
        <v/>
      </c>
      <c r="U617" s="327" t="str">
        <f t="shared" si="144"/>
        <v/>
      </c>
      <c r="V617" s="327" t="str">
        <f t="shared" si="145"/>
        <v/>
      </c>
      <c r="W617" s="327" t="str">
        <f t="shared" si="146"/>
        <v/>
      </c>
      <c r="X617" s="327" t="str">
        <f t="shared" si="147"/>
        <v/>
      </c>
      <c r="Y617" s="327" t="str">
        <f t="shared" si="148"/>
        <v/>
      </c>
      <c r="Z617" s="428" t="str">
        <f t="shared" si="149"/>
        <v/>
      </c>
    </row>
    <row r="618" spans="1:26" x14ac:dyDescent="0.35">
      <c r="A618" s="265"/>
      <c r="B618" s="266"/>
      <c r="C618" s="262"/>
      <c r="D618" s="262"/>
      <c r="E618" s="262"/>
      <c r="F618" s="262"/>
      <c r="G618" s="320"/>
      <c r="H618" s="262"/>
      <c r="I618" s="320"/>
      <c r="J618" s="320"/>
      <c r="K618" s="262"/>
      <c r="L618" s="262"/>
      <c r="M618" s="327" t="str">
        <f t="shared" si="136"/>
        <v/>
      </c>
      <c r="N618" s="327" t="str">
        <f t="shared" si="137"/>
        <v/>
      </c>
      <c r="O618" s="327" t="str">
        <f t="shared" si="138"/>
        <v/>
      </c>
      <c r="P618" s="327" t="str">
        <f t="shared" si="139"/>
        <v/>
      </c>
      <c r="Q618" s="327" t="str">
        <f t="shared" si="140"/>
        <v/>
      </c>
      <c r="R618" s="327" t="str">
        <f t="shared" si="141"/>
        <v/>
      </c>
      <c r="S618" s="421" t="str">
        <f t="shared" si="142"/>
        <v/>
      </c>
      <c r="T618" s="327" t="str">
        <f t="shared" si="143"/>
        <v/>
      </c>
      <c r="U618" s="327" t="str">
        <f t="shared" si="144"/>
        <v/>
      </c>
      <c r="V618" s="327" t="str">
        <f t="shared" si="145"/>
        <v/>
      </c>
      <c r="W618" s="327" t="str">
        <f t="shared" si="146"/>
        <v/>
      </c>
      <c r="X618" s="327" t="str">
        <f t="shared" si="147"/>
        <v/>
      </c>
      <c r="Y618" s="327" t="str">
        <f t="shared" si="148"/>
        <v/>
      </c>
      <c r="Z618" s="428" t="str">
        <f t="shared" si="149"/>
        <v/>
      </c>
    </row>
    <row r="619" spans="1:26" x14ac:dyDescent="0.35">
      <c r="A619" s="265"/>
      <c r="B619" s="266"/>
      <c r="C619" s="262"/>
      <c r="D619" s="262"/>
      <c r="E619" s="262"/>
      <c r="F619" s="262"/>
      <c r="G619" s="320"/>
      <c r="H619" s="262"/>
      <c r="I619" s="320"/>
      <c r="J619" s="320"/>
      <c r="K619" s="262"/>
      <c r="L619" s="262"/>
      <c r="M619" s="327" t="str">
        <f t="shared" ref="M619:M682" si="150">IF(OR(A619="", B619=""), "", IF(H619="Mitgliedsbeiträge", ABS(B619), ""))</f>
        <v/>
      </c>
      <c r="N619" s="327" t="str">
        <f t="shared" ref="N619:N682" si="151">IF(OR(A619="", B619=""), "", IF(H619="Spenden", ABS(B619), ""))</f>
        <v/>
      </c>
      <c r="O619" s="327" t="str">
        <f t="shared" ref="O619:O682" si="152">IF(OR(A619="", B619=""), "", IF(H619="Zuschüsse", ABS(B619), ""))</f>
        <v/>
      </c>
      <c r="P619" s="327" t="str">
        <f t="shared" ref="P619:P682" si="153">IF(OR(A619="", B619=""), "", IF(H619="Verwaltung", ABS(B619), ""))</f>
        <v/>
      </c>
      <c r="Q619" s="327" t="str">
        <f t="shared" ref="Q619:Q682" si="154">IF(OR(A619="", B619=""), "", IF(H619="Vermögen", ABS(B619), ""))</f>
        <v/>
      </c>
      <c r="R619" s="327" t="str">
        <f t="shared" ref="R619:R682" si="155">IF(OR(A619="", B619=""), "", IF(H619="Vermögen", ABS(B619), ""))</f>
        <v/>
      </c>
      <c r="S619" s="421" t="str">
        <f t="shared" ref="S619:S682" si="156">IF(OR(A619="", B619=""), "", IF(H619="Sonstige Einnahmen", ABS(B619), ""))</f>
        <v/>
      </c>
      <c r="T619" s="327" t="str">
        <f t="shared" ref="T619:T682" si="157">IF(OR(A619="", B619=""), "", IF(H619="Unterhaltung", ABS(B619), ""))</f>
        <v/>
      </c>
      <c r="U619" s="327" t="str">
        <f t="shared" ref="U619:U682" si="158">IF(OR(A619="", B619=""), "", IF(H619="Fortbildung", ABS(B619), ""))</f>
        <v/>
      </c>
      <c r="V619" s="327" t="str">
        <f t="shared" ref="V619:V682" si="159">IF(OR(A619="", B619=""), "", IF(H619="Veranstaltungen Ausgabe", ABS(B619), ""))</f>
        <v/>
      </c>
      <c r="W619" s="327" t="str">
        <f t="shared" ref="W619:W682" si="160">IF(OR(A619="", B619=""), "", IF(H619="Bürobetrieb", ABS(B619), ""))</f>
        <v/>
      </c>
      <c r="X619" s="327" t="str">
        <f t="shared" ref="X619:X682" si="161">IF(OR(A619="", B619=""), "", IF(H619="Aufwandsentschädigungen", ABS(B619), ""))</f>
        <v/>
      </c>
      <c r="Y619" s="327" t="str">
        <f t="shared" ref="Y619:Y682" si="162">IF(OR(A619="", B619=""), "", IF(H619="Sonstige Ausgaben", ABS(B619), ""))</f>
        <v/>
      </c>
      <c r="Z619" s="428" t="str">
        <f t="shared" ref="Z619:Z682" si="163">IF(OR(A619="", B619=""), "", IF(H619="Kasse-Auszahlung", ABS(B619), ""))</f>
        <v/>
      </c>
    </row>
    <row r="620" spans="1:26" x14ac:dyDescent="0.35">
      <c r="A620" s="265"/>
      <c r="B620" s="266"/>
      <c r="C620" s="262"/>
      <c r="D620" s="262"/>
      <c r="E620" s="262"/>
      <c r="F620" s="262"/>
      <c r="G620" s="320"/>
      <c r="H620" s="262"/>
      <c r="I620" s="320"/>
      <c r="J620" s="320"/>
      <c r="K620" s="262"/>
      <c r="L620" s="262"/>
      <c r="M620" s="327" t="str">
        <f t="shared" si="150"/>
        <v/>
      </c>
      <c r="N620" s="327" t="str">
        <f t="shared" si="151"/>
        <v/>
      </c>
      <c r="O620" s="327" t="str">
        <f t="shared" si="152"/>
        <v/>
      </c>
      <c r="P620" s="327" t="str">
        <f t="shared" si="153"/>
        <v/>
      </c>
      <c r="Q620" s="327" t="str">
        <f t="shared" si="154"/>
        <v/>
      </c>
      <c r="R620" s="327" t="str">
        <f t="shared" si="155"/>
        <v/>
      </c>
      <c r="S620" s="421" t="str">
        <f t="shared" si="156"/>
        <v/>
      </c>
      <c r="T620" s="327" t="str">
        <f t="shared" si="157"/>
        <v/>
      </c>
      <c r="U620" s="327" t="str">
        <f t="shared" si="158"/>
        <v/>
      </c>
      <c r="V620" s="327" t="str">
        <f t="shared" si="159"/>
        <v/>
      </c>
      <c r="W620" s="327" t="str">
        <f t="shared" si="160"/>
        <v/>
      </c>
      <c r="X620" s="327" t="str">
        <f t="shared" si="161"/>
        <v/>
      </c>
      <c r="Y620" s="327" t="str">
        <f t="shared" si="162"/>
        <v/>
      </c>
      <c r="Z620" s="428" t="str">
        <f t="shared" si="163"/>
        <v/>
      </c>
    </row>
    <row r="621" spans="1:26" x14ac:dyDescent="0.35">
      <c r="A621" s="265"/>
      <c r="B621" s="266"/>
      <c r="C621" s="262"/>
      <c r="D621" s="262"/>
      <c r="E621" s="262"/>
      <c r="F621" s="262"/>
      <c r="G621" s="320"/>
      <c r="H621" s="262"/>
      <c r="I621" s="320"/>
      <c r="J621" s="320"/>
      <c r="K621" s="262"/>
      <c r="L621" s="262"/>
      <c r="M621" s="327" t="str">
        <f t="shared" si="150"/>
        <v/>
      </c>
      <c r="N621" s="327" t="str">
        <f t="shared" si="151"/>
        <v/>
      </c>
      <c r="O621" s="327" t="str">
        <f t="shared" si="152"/>
        <v/>
      </c>
      <c r="P621" s="327" t="str">
        <f t="shared" si="153"/>
        <v/>
      </c>
      <c r="Q621" s="327" t="str">
        <f t="shared" si="154"/>
        <v/>
      </c>
      <c r="R621" s="327" t="str">
        <f t="shared" si="155"/>
        <v/>
      </c>
      <c r="S621" s="421" t="str">
        <f t="shared" si="156"/>
        <v/>
      </c>
      <c r="T621" s="327" t="str">
        <f t="shared" si="157"/>
        <v/>
      </c>
      <c r="U621" s="327" t="str">
        <f t="shared" si="158"/>
        <v/>
      </c>
      <c r="V621" s="327" t="str">
        <f t="shared" si="159"/>
        <v/>
      </c>
      <c r="W621" s="327" t="str">
        <f t="shared" si="160"/>
        <v/>
      </c>
      <c r="X621" s="327" t="str">
        <f t="shared" si="161"/>
        <v/>
      </c>
      <c r="Y621" s="327" t="str">
        <f t="shared" si="162"/>
        <v/>
      </c>
      <c r="Z621" s="428" t="str">
        <f t="shared" si="163"/>
        <v/>
      </c>
    </row>
    <row r="622" spans="1:26" x14ac:dyDescent="0.35">
      <c r="A622" s="265"/>
      <c r="B622" s="266"/>
      <c r="C622" s="262"/>
      <c r="D622" s="262"/>
      <c r="E622" s="262"/>
      <c r="F622" s="262"/>
      <c r="G622" s="320"/>
      <c r="H622" s="262"/>
      <c r="I622" s="320"/>
      <c r="J622" s="320"/>
      <c r="K622" s="262"/>
      <c r="L622" s="262"/>
      <c r="M622" s="327" t="str">
        <f t="shared" si="150"/>
        <v/>
      </c>
      <c r="N622" s="327" t="str">
        <f t="shared" si="151"/>
        <v/>
      </c>
      <c r="O622" s="327" t="str">
        <f t="shared" si="152"/>
        <v/>
      </c>
      <c r="P622" s="327" t="str">
        <f t="shared" si="153"/>
        <v/>
      </c>
      <c r="Q622" s="327" t="str">
        <f t="shared" si="154"/>
        <v/>
      </c>
      <c r="R622" s="327" t="str">
        <f t="shared" si="155"/>
        <v/>
      </c>
      <c r="S622" s="421" t="str">
        <f t="shared" si="156"/>
        <v/>
      </c>
      <c r="T622" s="327" t="str">
        <f t="shared" si="157"/>
        <v/>
      </c>
      <c r="U622" s="327" t="str">
        <f t="shared" si="158"/>
        <v/>
      </c>
      <c r="V622" s="327" t="str">
        <f t="shared" si="159"/>
        <v/>
      </c>
      <c r="W622" s="327" t="str">
        <f t="shared" si="160"/>
        <v/>
      </c>
      <c r="X622" s="327" t="str">
        <f t="shared" si="161"/>
        <v/>
      </c>
      <c r="Y622" s="327" t="str">
        <f t="shared" si="162"/>
        <v/>
      </c>
      <c r="Z622" s="428" t="str">
        <f t="shared" si="163"/>
        <v/>
      </c>
    </row>
    <row r="623" spans="1:26" x14ac:dyDescent="0.35">
      <c r="A623" s="265"/>
      <c r="B623" s="266"/>
      <c r="C623" s="262"/>
      <c r="D623" s="262"/>
      <c r="E623" s="262"/>
      <c r="F623" s="262"/>
      <c r="G623" s="320"/>
      <c r="H623" s="262"/>
      <c r="I623" s="320"/>
      <c r="J623" s="320"/>
      <c r="K623" s="262"/>
      <c r="L623" s="262"/>
      <c r="M623" s="327" t="str">
        <f t="shared" si="150"/>
        <v/>
      </c>
      <c r="N623" s="327" t="str">
        <f t="shared" si="151"/>
        <v/>
      </c>
      <c r="O623" s="327" t="str">
        <f t="shared" si="152"/>
        <v/>
      </c>
      <c r="P623" s="327" t="str">
        <f t="shared" si="153"/>
        <v/>
      </c>
      <c r="Q623" s="327" t="str">
        <f t="shared" si="154"/>
        <v/>
      </c>
      <c r="R623" s="327" t="str">
        <f t="shared" si="155"/>
        <v/>
      </c>
      <c r="S623" s="421" t="str">
        <f t="shared" si="156"/>
        <v/>
      </c>
      <c r="T623" s="327" t="str">
        <f t="shared" si="157"/>
        <v/>
      </c>
      <c r="U623" s="327" t="str">
        <f t="shared" si="158"/>
        <v/>
      </c>
      <c r="V623" s="327" t="str">
        <f t="shared" si="159"/>
        <v/>
      </c>
      <c r="W623" s="327" t="str">
        <f t="shared" si="160"/>
        <v/>
      </c>
      <c r="X623" s="327" t="str">
        <f t="shared" si="161"/>
        <v/>
      </c>
      <c r="Y623" s="327" t="str">
        <f t="shared" si="162"/>
        <v/>
      </c>
      <c r="Z623" s="428" t="str">
        <f t="shared" si="163"/>
        <v/>
      </c>
    </row>
    <row r="624" spans="1:26" x14ac:dyDescent="0.35">
      <c r="A624" s="265"/>
      <c r="B624" s="266"/>
      <c r="C624" s="262"/>
      <c r="D624" s="262"/>
      <c r="E624" s="262"/>
      <c r="F624" s="262"/>
      <c r="G624" s="320"/>
      <c r="H624" s="262"/>
      <c r="I624" s="320"/>
      <c r="J624" s="320"/>
      <c r="K624" s="262"/>
      <c r="L624" s="262"/>
      <c r="M624" s="327" t="str">
        <f t="shared" si="150"/>
        <v/>
      </c>
      <c r="N624" s="327" t="str">
        <f t="shared" si="151"/>
        <v/>
      </c>
      <c r="O624" s="327" t="str">
        <f t="shared" si="152"/>
        <v/>
      </c>
      <c r="P624" s="327" t="str">
        <f t="shared" si="153"/>
        <v/>
      </c>
      <c r="Q624" s="327" t="str">
        <f t="shared" si="154"/>
        <v/>
      </c>
      <c r="R624" s="327" t="str">
        <f t="shared" si="155"/>
        <v/>
      </c>
      <c r="S624" s="421" t="str">
        <f t="shared" si="156"/>
        <v/>
      </c>
      <c r="T624" s="327" t="str">
        <f t="shared" si="157"/>
        <v/>
      </c>
      <c r="U624" s="327" t="str">
        <f t="shared" si="158"/>
        <v/>
      </c>
      <c r="V624" s="327" t="str">
        <f t="shared" si="159"/>
        <v/>
      </c>
      <c r="W624" s="327" t="str">
        <f t="shared" si="160"/>
        <v/>
      </c>
      <c r="X624" s="327" t="str">
        <f t="shared" si="161"/>
        <v/>
      </c>
      <c r="Y624" s="327" t="str">
        <f t="shared" si="162"/>
        <v/>
      </c>
      <c r="Z624" s="428" t="str">
        <f t="shared" si="163"/>
        <v/>
      </c>
    </row>
    <row r="625" spans="1:26" x14ac:dyDescent="0.35">
      <c r="A625" s="265"/>
      <c r="B625" s="266"/>
      <c r="C625" s="262"/>
      <c r="D625" s="262"/>
      <c r="E625" s="262"/>
      <c r="F625" s="262"/>
      <c r="G625" s="320"/>
      <c r="H625" s="262"/>
      <c r="I625" s="320"/>
      <c r="J625" s="320"/>
      <c r="K625" s="262"/>
      <c r="L625" s="262"/>
      <c r="M625" s="327" t="str">
        <f t="shared" si="150"/>
        <v/>
      </c>
      <c r="N625" s="327" t="str">
        <f t="shared" si="151"/>
        <v/>
      </c>
      <c r="O625" s="327" t="str">
        <f t="shared" si="152"/>
        <v/>
      </c>
      <c r="P625" s="327" t="str">
        <f t="shared" si="153"/>
        <v/>
      </c>
      <c r="Q625" s="327" t="str">
        <f t="shared" si="154"/>
        <v/>
      </c>
      <c r="R625" s="327" t="str">
        <f t="shared" si="155"/>
        <v/>
      </c>
      <c r="S625" s="421" t="str">
        <f t="shared" si="156"/>
        <v/>
      </c>
      <c r="T625" s="327" t="str">
        <f t="shared" si="157"/>
        <v/>
      </c>
      <c r="U625" s="327" t="str">
        <f t="shared" si="158"/>
        <v/>
      </c>
      <c r="V625" s="327" t="str">
        <f t="shared" si="159"/>
        <v/>
      </c>
      <c r="W625" s="327" t="str">
        <f t="shared" si="160"/>
        <v/>
      </c>
      <c r="X625" s="327" t="str">
        <f t="shared" si="161"/>
        <v/>
      </c>
      <c r="Y625" s="327" t="str">
        <f t="shared" si="162"/>
        <v/>
      </c>
      <c r="Z625" s="428" t="str">
        <f t="shared" si="163"/>
        <v/>
      </c>
    </row>
    <row r="626" spans="1:26" x14ac:dyDescent="0.35">
      <c r="A626" s="265"/>
      <c r="B626" s="266"/>
      <c r="C626" s="262"/>
      <c r="D626" s="262"/>
      <c r="E626" s="262"/>
      <c r="F626" s="262"/>
      <c r="G626" s="320"/>
      <c r="H626" s="262"/>
      <c r="I626" s="320"/>
      <c r="J626" s="320"/>
      <c r="K626" s="262"/>
      <c r="L626" s="262"/>
      <c r="M626" s="327" t="str">
        <f t="shared" si="150"/>
        <v/>
      </c>
      <c r="N626" s="327" t="str">
        <f t="shared" si="151"/>
        <v/>
      </c>
      <c r="O626" s="327" t="str">
        <f t="shared" si="152"/>
        <v/>
      </c>
      <c r="P626" s="327" t="str">
        <f t="shared" si="153"/>
        <v/>
      </c>
      <c r="Q626" s="327" t="str">
        <f t="shared" si="154"/>
        <v/>
      </c>
      <c r="R626" s="327" t="str">
        <f t="shared" si="155"/>
        <v/>
      </c>
      <c r="S626" s="421" t="str">
        <f t="shared" si="156"/>
        <v/>
      </c>
      <c r="T626" s="327" t="str">
        <f t="shared" si="157"/>
        <v/>
      </c>
      <c r="U626" s="327" t="str">
        <f t="shared" si="158"/>
        <v/>
      </c>
      <c r="V626" s="327" t="str">
        <f t="shared" si="159"/>
        <v/>
      </c>
      <c r="W626" s="327" t="str">
        <f t="shared" si="160"/>
        <v/>
      </c>
      <c r="X626" s="327" t="str">
        <f t="shared" si="161"/>
        <v/>
      </c>
      <c r="Y626" s="327" t="str">
        <f t="shared" si="162"/>
        <v/>
      </c>
      <c r="Z626" s="428" t="str">
        <f t="shared" si="163"/>
        <v/>
      </c>
    </row>
    <row r="627" spans="1:26" x14ac:dyDescent="0.35">
      <c r="A627" s="265"/>
      <c r="B627" s="266"/>
      <c r="C627" s="262"/>
      <c r="D627" s="262"/>
      <c r="E627" s="262"/>
      <c r="F627" s="262"/>
      <c r="G627" s="320"/>
      <c r="H627" s="262"/>
      <c r="I627" s="320"/>
      <c r="J627" s="320"/>
      <c r="K627" s="262"/>
      <c r="L627" s="262"/>
      <c r="M627" s="327" t="str">
        <f t="shared" si="150"/>
        <v/>
      </c>
      <c r="N627" s="327" t="str">
        <f t="shared" si="151"/>
        <v/>
      </c>
      <c r="O627" s="327" t="str">
        <f t="shared" si="152"/>
        <v/>
      </c>
      <c r="P627" s="327" t="str">
        <f t="shared" si="153"/>
        <v/>
      </c>
      <c r="Q627" s="327" t="str">
        <f t="shared" si="154"/>
        <v/>
      </c>
      <c r="R627" s="327" t="str">
        <f t="shared" si="155"/>
        <v/>
      </c>
      <c r="S627" s="421" t="str">
        <f t="shared" si="156"/>
        <v/>
      </c>
      <c r="T627" s="327" t="str">
        <f t="shared" si="157"/>
        <v/>
      </c>
      <c r="U627" s="327" t="str">
        <f t="shared" si="158"/>
        <v/>
      </c>
      <c r="V627" s="327" t="str">
        <f t="shared" si="159"/>
        <v/>
      </c>
      <c r="W627" s="327" t="str">
        <f t="shared" si="160"/>
        <v/>
      </c>
      <c r="X627" s="327" t="str">
        <f t="shared" si="161"/>
        <v/>
      </c>
      <c r="Y627" s="327" t="str">
        <f t="shared" si="162"/>
        <v/>
      </c>
      <c r="Z627" s="428" t="str">
        <f t="shared" si="163"/>
        <v/>
      </c>
    </row>
    <row r="628" spans="1:26" x14ac:dyDescent="0.35">
      <c r="A628" s="265"/>
      <c r="B628" s="266"/>
      <c r="C628" s="262"/>
      <c r="D628" s="262"/>
      <c r="E628" s="262"/>
      <c r="F628" s="262"/>
      <c r="G628" s="320"/>
      <c r="H628" s="262"/>
      <c r="I628" s="320"/>
      <c r="J628" s="320"/>
      <c r="K628" s="262"/>
      <c r="L628" s="262"/>
      <c r="M628" s="327" t="str">
        <f t="shared" si="150"/>
        <v/>
      </c>
      <c r="N628" s="327" t="str">
        <f t="shared" si="151"/>
        <v/>
      </c>
      <c r="O628" s="327" t="str">
        <f t="shared" si="152"/>
        <v/>
      </c>
      <c r="P628" s="327" t="str">
        <f t="shared" si="153"/>
        <v/>
      </c>
      <c r="Q628" s="327" t="str">
        <f t="shared" si="154"/>
        <v/>
      </c>
      <c r="R628" s="327" t="str">
        <f t="shared" si="155"/>
        <v/>
      </c>
      <c r="S628" s="421" t="str">
        <f t="shared" si="156"/>
        <v/>
      </c>
      <c r="T628" s="327" t="str">
        <f t="shared" si="157"/>
        <v/>
      </c>
      <c r="U628" s="327" t="str">
        <f t="shared" si="158"/>
        <v/>
      </c>
      <c r="V628" s="327" t="str">
        <f t="shared" si="159"/>
        <v/>
      </c>
      <c r="W628" s="327" t="str">
        <f t="shared" si="160"/>
        <v/>
      </c>
      <c r="X628" s="327" t="str">
        <f t="shared" si="161"/>
        <v/>
      </c>
      <c r="Y628" s="327" t="str">
        <f t="shared" si="162"/>
        <v/>
      </c>
      <c r="Z628" s="428" t="str">
        <f t="shared" si="163"/>
        <v/>
      </c>
    </row>
    <row r="629" spans="1:26" x14ac:dyDescent="0.35">
      <c r="A629" s="265"/>
      <c r="B629" s="266"/>
      <c r="C629" s="262"/>
      <c r="D629" s="262"/>
      <c r="E629" s="262"/>
      <c r="F629" s="262"/>
      <c r="G629" s="320"/>
      <c r="H629" s="262"/>
      <c r="I629" s="320"/>
      <c r="J629" s="320"/>
      <c r="K629" s="262"/>
      <c r="L629" s="262"/>
      <c r="M629" s="327" t="str">
        <f t="shared" si="150"/>
        <v/>
      </c>
      <c r="N629" s="327" t="str">
        <f t="shared" si="151"/>
        <v/>
      </c>
      <c r="O629" s="327" t="str">
        <f t="shared" si="152"/>
        <v/>
      </c>
      <c r="P629" s="327" t="str">
        <f t="shared" si="153"/>
        <v/>
      </c>
      <c r="Q629" s="327" t="str">
        <f t="shared" si="154"/>
        <v/>
      </c>
      <c r="R629" s="327" t="str">
        <f t="shared" si="155"/>
        <v/>
      </c>
      <c r="S629" s="421" t="str">
        <f t="shared" si="156"/>
        <v/>
      </c>
      <c r="T629" s="327" t="str">
        <f t="shared" si="157"/>
        <v/>
      </c>
      <c r="U629" s="327" t="str">
        <f t="shared" si="158"/>
        <v/>
      </c>
      <c r="V629" s="327" t="str">
        <f t="shared" si="159"/>
        <v/>
      </c>
      <c r="W629" s="327" t="str">
        <f t="shared" si="160"/>
        <v/>
      </c>
      <c r="X629" s="327" t="str">
        <f t="shared" si="161"/>
        <v/>
      </c>
      <c r="Y629" s="327" t="str">
        <f t="shared" si="162"/>
        <v/>
      </c>
      <c r="Z629" s="428" t="str">
        <f t="shared" si="163"/>
        <v/>
      </c>
    </row>
    <row r="630" spans="1:26" x14ac:dyDescent="0.35">
      <c r="A630" s="265"/>
      <c r="B630" s="266"/>
      <c r="C630" s="262"/>
      <c r="D630" s="262"/>
      <c r="E630" s="262"/>
      <c r="F630" s="262"/>
      <c r="G630" s="320"/>
      <c r="H630" s="262"/>
      <c r="I630" s="320"/>
      <c r="J630" s="320"/>
      <c r="K630" s="262"/>
      <c r="L630" s="262"/>
      <c r="M630" s="327" t="str">
        <f t="shared" si="150"/>
        <v/>
      </c>
      <c r="N630" s="327" t="str">
        <f t="shared" si="151"/>
        <v/>
      </c>
      <c r="O630" s="327" t="str">
        <f t="shared" si="152"/>
        <v/>
      </c>
      <c r="P630" s="327" t="str">
        <f t="shared" si="153"/>
        <v/>
      </c>
      <c r="Q630" s="327" t="str">
        <f t="shared" si="154"/>
        <v/>
      </c>
      <c r="R630" s="327" t="str">
        <f t="shared" si="155"/>
        <v/>
      </c>
      <c r="S630" s="421" t="str">
        <f t="shared" si="156"/>
        <v/>
      </c>
      <c r="T630" s="327" t="str">
        <f t="shared" si="157"/>
        <v/>
      </c>
      <c r="U630" s="327" t="str">
        <f t="shared" si="158"/>
        <v/>
      </c>
      <c r="V630" s="327" t="str">
        <f t="shared" si="159"/>
        <v/>
      </c>
      <c r="W630" s="327" t="str">
        <f t="shared" si="160"/>
        <v/>
      </c>
      <c r="X630" s="327" t="str">
        <f t="shared" si="161"/>
        <v/>
      </c>
      <c r="Y630" s="327" t="str">
        <f t="shared" si="162"/>
        <v/>
      </c>
      <c r="Z630" s="428" t="str">
        <f t="shared" si="163"/>
        <v/>
      </c>
    </row>
    <row r="631" spans="1:26" x14ac:dyDescent="0.35">
      <c r="A631" s="265"/>
      <c r="B631" s="266"/>
      <c r="C631" s="262"/>
      <c r="D631" s="262"/>
      <c r="E631" s="262"/>
      <c r="F631" s="262"/>
      <c r="G631" s="320"/>
      <c r="H631" s="262"/>
      <c r="I631" s="320"/>
      <c r="J631" s="320"/>
      <c r="K631" s="262"/>
      <c r="L631" s="262"/>
      <c r="M631" s="327" t="str">
        <f t="shared" si="150"/>
        <v/>
      </c>
      <c r="N631" s="327" t="str">
        <f t="shared" si="151"/>
        <v/>
      </c>
      <c r="O631" s="327" t="str">
        <f t="shared" si="152"/>
        <v/>
      </c>
      <c r="P631" s="327" t="str">
        <f t="shared" si="153"/>
        <v/>
      </c>
      <c r="Q631" s="327" t="str">
        <f t="shared" si="154"/>
        <v/>
      </c>
      <c r="R631" s="327" t="str">
        <f t="shared" si="155"/>
        <v/>
      </c>
      <c r="S631" s="421" t="str">
        <f t="shared" si="156"/>
        <v/>
      </c>
      <c r="T631" s="327" t="str">
        <f t="shared" si="157"/>
        <v/>
      </c>
      <c r="U631" s="327" t="str">
        <f t="shared" si="158"/>
        <v/>
      </c>
      <c r="V631" s="327" t="str">
        <f t="shared" si="159"/>
        <v/>
      </c>
      <c r="W631" s="327" t="str">
        <f t="shared" si="160"/>
        <v/>
      </c>
      <c r="X631" s="327" t="str">
        <f t="shared" si="161"/>
        <v/>
      </c>
      <c r="Y631" s="327" t="str">
        <f t="shared" si="162"/>
        <v/>
      </c>
      <c r="Z631" s="428" t="str">
        <f t="shared" si="163"/>
        <v/>
      </c>
    </row>
    <row r="632" spans="1:26" x14ac:dyDescent="0.35">
      <c r="A632" s="265"/>
      <c r="B632" s="266"/>
      <c r="C632" s="262"/>
      <c r="D632" s="262"/>
      <c r="E632" s="262"/>
      <c r="F632" s="262"/>
      <c r="G632" s="320"/>
      <c r="H632" s="262"/>
      <c r="I632" s="320"/>
      <c r="J632" s="320"/>
      <c r="K632" s="262"/>
      <c r="L632" s="262"/>
      <c r="M632" s="327" t="str">
        <f t="shared" si="150"/>
        <v/>
      </c>
      <c r="N632" s="327" t="str">
        <f t="shared" si="151"/>
        <v/>
      </c>
      <c r="O632" s="327" t="str">
        <f t="shared" si="152"/>
        <v/>
      </c>
      <c r="P632" s="327" t="str">
        <f t="shared" si="153"/>
        <v/>
      </c>
      <c r="Q632" s="327" t="str">
        <f t="shared" si="154"/>
        <v/>
      </c>
      <c r="R632" s="327" t="str">
        <f t="shared" si="155"/>
        <v/>
      </c>
      <c r="S632" s="421" t="str">
        <f t="shared" si="156"/>
        <v/>
      </c>
      <c r="T632" s="327" t="str">
        <f t="shared" si="157"/>
        <v/>
      </c>
      <c r="U632" s="327" t="str">
        <f t="shared" si="158"/>
        <v/>
      </c>
      <c r="V632" s="327" t="str">
        <f t="shared" si="159"/>
        <v/>
      </c>
      <c r="W632" s="327" t="str">
        <f t="shared" si="160"/>
        <v/>
      </c>
      <c r="X632" s="327" t="str">
        <f t="shared" si="161"/>
        <v/>
      </c>
      <c r="Y632" s="327" t="str">
        <f t="shared" si="162"/>
        <v/>
      </c>
      <c r="Z632" s="428" t="str">
        <f t="shared" si="163"/>
        <v/>
      </c>
    </row>
    <row r="633" spans="1:26" x14ac:dyDescent="0.35">
      <c r="A633" s="265"/>
      <c r="B633" s="266"/>
      <c r="C633" s="262"/>
      <c r="D633" s="262"/>
      <c r="E633" s="262"/>
      <c r="F633" s="262"/>
      <c r="G633" s="320"/>
      <c r="H633" s="262"/>
      <c r="I633" s="320"/>
      <c r="J633" s="320"/>
      <c r="K633" s="262"/>
      <c r="L633" s="262"/>
      <c r="M633" s="327" t="str">
        <f t="shared" si="150"/>
        <v/>
      </c>
      <c r="N633" s="327" t="str">
        <f t="shared" si="151"/>
        <v/>
      </c>
      <c r="O633" s="327" t="str">
        <f t="shared" si="152"/>
        <v/>
      </c>
      <c r="P633" s="327" t="str">
        <f t="shared" si="153"/>
        <v/>
      </c>
      <c r="Q633" s="327" t="str">
        <f t="shared" si="154"/>
        <v/>
      </c>
      <c r="R633" s="327" t="str">
        <f t="shared" si="155"/>
        <v/>
      </c>
      <c r="S633" s="421" t="str">
        <f t="shared" si="156"/>
        <v/>
      </c>
      <c r="T633" s="327" t="str">
        <f t="shared" si="157"/>
        <v/>
      </c>
      <c r="U633" s="327" t="str">
        <f t="shared" si="158"/>
        <v/>
      </c>
      <c r="V633" s="327" t="str">
        <f t="shared" si="159"/>
        <v/>
      </c>
      <c r="W633" s="327" t="str">
        <f t="shared" si="160"/>
        <v/>
      </c>
      <c r="X633" s="327" t="str">
        <f t="shared" si="161"/>
        <v/>
      </c>
      <c r="Y633" s="327" t="str">
        <f t="shared" si="162"/>
        <v/>
      </c>
      <c r="Z633" s="428" t="str">
        <f t="shared" si="163"/>
        <v/>
      </c>
    </row>
    <row r="634" spans="1:26" x14ac:dyDescent="0.35">
      <c r="A634" s="265"/>
      <c r="B634" s="266"/>
      <c r="C634" s="262"/>
      <c r="D634" s="262"/>
      <c r="E634" s="262"/>
      <c r="F634" s="262"/>
      <c r="G634" s="320"/>
      <c r="H634" s="262"/>
      <c r="I634" s="320"/>
      <c r="J634" s="320"/>
      <c r="K634" s="262"/>
      <c r="L634" s="262"/>
      <c r="M634" s="327" t="str">
        <f t="shared" si="150"/>
        <v/>
      </c>
      <c r="N634" s="327" t="str">
        <f t="shared" si="151"/>
        <v/>
      </c>
      <c r="O634" s="327" t="str">
        <f t="shared" si="152"/>
        <v/>
      </c>
      <c r="P634" s="327" t="str">
        <f t="shared" si="153"/>
        <v/>
      </c>
      <c r="Q634" s="327" t="str">
        <f t="shared" si="154"/>
        <v/>
      </c>
      <c r="R634" s="327" t="str">
        <f t="shared" si="155"/>
        <v/>
      </c>
      <c r="S634" s="421" t="str">
        <f t="shared" si="156"/>
        <v/>
      </c>
      <c r="T634" s="327" t="str">
        <f t="shared" si="157"/>
        <v/>
      </c>
      <c r="U634" s="327" t="str">
        <f t="shared" si="158"/>
        <v/>
      </c>
      <c r="V634" s="327" t="str">
        <f t="shared" si="159"/>
        <v/>
      </c>
      <c r="W634" s="327" t="str">
        <f t="shared" si="160"/>
        <v/>
      </c>
      <c r="X634" s="327" t="str">
        <f t="shared" si="161"/>
        <v/>
      </c>
      <c r="Y634" s="327" t="str">
        <f t="shared" si="162"/>
        <v/>
      </c>
      <c r="Z634" s="428" t="str">
        <f t="shared" si="163"/>
        <v/>
      </c>
    </row>
    <row r="635" spans="1:26" x14ac:dyDescent="0.35">
      <c r="A635" s="265"/>
      <c r="B635" s="266"/>
      <c r="C635" s="262"/>
      <c r="D635" s="262"/>
      <c r="E635" s="262"/>
      <c r="F635" s="262"/>
      <c r="G635" s="320"/>
      <c r="H635" s="262"/>
      <c r="I635" s="320"/>
      <c r="J635" s="320"/>
      <c r="K635" s="262"/>
      <c r="L635" s="262"/>
      <c r="M635" s="327" t="str">
        <f t="shared" si="150"/>
        <v/>
      </c>
      <c r="N635" s="327" t="str">
        <f t="shared" si="151"/>
        <v/>
      </c>
      <c r="O635" s="327" t="str">
        <f t="shared" si="152"/>
        <v/>
      </c>
      <c r="P635" s="327" t="str">
        <f t="shared" si="153"/>
        <v/>
      </c>
      <c r="Q635" s="327" t="str">
        <f t="shared" si="154"/>
        <v/>
      </c>
      <c r="R635" s="327" t="str">
        <f t="shared" si="155"/>
        <v/>
      </c>
      <c r="S635" s="421" t="str">
        <f t="shared" si="156"/>
        <v/>
      </c>
      <c r="T635" s="327" t="str">
        <f t="shared" si="157"/>
        <v/>
      </c>
      <c r="U635" s="327" t="str">
        <f t="shared" si="158"/>
        <v/>
      </c>
      <c r="V635" s="327" t="str">
        <f t="shared" si="159"/>
        <v/>
      </c>
      <c r="W635" s="327" t="str">
        <f t="shared" si="160"/>
        <v/>
      </c>
      <c r="X635" s="327" t="str">
        <f t="shared" si="161"/>
        <v/>
      </c>
      <c r="Y635" s="327" t="str">
        <f t="shared" si="162"/>
        <v/>
      </c>
      <c r="Z635" s="428" t="str">
        <f t="shared" si="163"/>
        <v/>
      </c>
    </row>
    <row r="636" spans="1:26" x14ac:dyDescent="0.35">
      <c r="A636" s="265"/>
      <c r="B636" s="266"/>
      <c r="C636" s="262"/>
      <c r="D636" s="262"/>
      <c r="E636" s="262"/>
      <c r="F636" s="262"/>
      <c r="G636" s="320"/>
      <c r="H636" s="262"/>
      <c r="I636" s="320"/>
      <c r="J636" s="320"/>
      <c r="K636" s="262"/>
      <c r="L636" s="262"/>
      <c r="M636" s="327" t="str">
        <f t="shared" si="150"/>
        <v/>
      </c>
      <c r="N636" s="327" t="str">
        <f t="shared" si="151"/>
        <v/>
      </c>
      <c r="O636" s="327" t="str">
        <f t="shared" si="152"/>
        <v/>
      </c>
      <c r="P636" s="327" t="str">
        <f t="shared" si="153"/>
        <v/>
      </c>
      <c r="Q636" s="327" t="str">
        <f t="shared" si="154"/>
        <v/>
      </c>
      <c r="R636" s="327" t="str">
        <f t="shared" si="155"/>
        <v/>
      </c>
      <c r="S636" s="421" t="str">
        <f t="shared" si="156"/>
        <v/>
      </c>
      <c r="T636" s="327" t="str">
        <f t="shared" si="157"/>
        <v/>
      </c>
      <c r="U636" s="327" t="str">
        <f t="shared" si="158"/>
        <v/>
      </c>
      <c r="V636" s="327" t="str">
        <f t="shared" si="159"/>
        <v/>
      </c>
      <c r="W636" s="327" t="str">
        <f t="shared" si="160"/>
        <v/>
      </c>
      <c r="X636" s="327" t="str">
        <f t="shared" si="161"/>
        <v/>
      </c>
      <c r="Y636" s="327" t="str">
        <f t="shared" si="162"/>
        <v/>
      </c>
      <c r="Z636" s="428" t="str">
        <f t="shared" si="163"/>
        <v/>
      </c>
    </row>
    <row r="637" spans="1:26" x14ac:dyDescent="0.35">
      <c r="A637" s="265"/>
      <c r="B637" s="266"/>
      <c r="C637" s="262"/>
      <c r="D637" s="262"/>
      <c r="E637" s="262"/>
      <c r="F637" s="262"/>
      <c r="G637" s="320"/>
      <c r="H637" s="262"/>
      <c r="I637" s="320"/>
      <c r="J637" s="320"/>
      <c r="K637" s="262"/>
      <c r="L637" s="262"/>
      <c r="M637" s="327" t="str">
        <f t="shared" si="150"/>
        <v/>
      </c>
      <c r="N637" s="327" t="str">
        <f t="shared" si="151"/>
        <v/>
      </c>
      <c r="O637" s="327" t="str">
        <f t="shared" si="152"/>
        <v/>
      </c>
      <c r="P637" s="327" t="str">
        <f t="shared" si="153"/>
        <v/>
      </c>
      <c r="Q637" s="327" t="str">
        <f t="shared" si="154"/>
        <v/>
      </c>
      <c r="R637" s="327" t="str">
        <f t="shared" si="155"/>
        <v/>
      </c>
      <c r="S637" s="421" t="str">
        <f t="shared" si="156"/>
        <v/>
      </c>
      <c r="T637" s="327" t="str">
        <f t="shared" si="157"/>
        <v/>
      </c>
      <c r="U637" s="327" t="str">
        <f t="shared" si="158"/>
        <v/>
      </c>
      <c r="V637" s="327" t="str">
        <f t="shared" si="159"/>
        <v/>
      </c>
      <c r="W637" s="327" t="str">
        <f t="shared" si="160"/>
        <v/>
      </c>
      <c r="X637" s="327" t="str">
        <f t="shared" si="161"/>
        <v/>
      </c>
      <c r="Y637" s="327" t="str">
        <f t="shared" si="162"/>
        <v/>
      </c>
      <c r="Z637" s="428" t="str">
        <f t="shared" si="163"/>
        <v/>
      </c>
    </row>
    <row r="638" spans="1:26" x14ac:dyDescent="0.35">
      <c r="A638" s="265"/>
      <c r="B638" s="266"/>
      <c r="C638" s="262"/>
      <c r="D638" s="262"/>
      <c r="E638" s="262"/>
      <c r="F638" s="262"/>
      <c r="G638" s="320"/>
      <c r="H638" s="262"/>
      <c r="I638" s="320"/>
      <c r="J638" s="320"/>
      <c r="K638" s="262"/>
      <c r="L638" s="262"/>
      <c r="M638" s="327" t="str">
        <f t="shared" si="150"/>
        <v/>
      </c>
      <c r="N638" s="327" t="str">
        <f t="shared" si="151"/>
        <v/>
      </c>
      <c r="O638" s="327" t="str">
        <f t="shared" si="152"/>
        <v/>
      </c>
      <c r="P638" s="327" t="str">
        <f t="shared" si="153"/>
        <v/>
      </c>
      <c r="Q638" s="327" t="str">
        <f t="shared" si="154"/>
        <v/>
      </c>
      <c r="R638" s="327" t="str">
        <f t="shared" si="155"/>
        <v/>
      </c>
      <c r="S638" s="421" t="str">
        <f t="shared" si="156"/>
        <v/>
      </c>
      <c r="T638" s="327" t="str">
        <f t="shared" si="157"/>
        <v/>
      </c>
      <c r="U638" s="327" t="str">
        <f t="shared" si="158"/>
        <v/>
      </c>
      <c r="V638" s="327" t="str">
        <f t="shared" si="159"/>
        <v/>
      </c>
      <c r="W638" s="327" t="str">
        <f t="shared" si="160"/>
        <v/>
      </c>
      <c r="X638" s="327" t="str">
        <f t="shared" si="161"/>
        <v/>
      </c>
      <c r="Y638" s="327" t="str">
        <f t="shared" si="162"/>
        <v/>
      </c>
      <c r="Z638" s="428" t="str">
        <f t="shared" si="163"/>
        <v/>
      </c>
    </row>
    <row r="639" spans="1:26" x14ac:dyDescent="0.35">
      <c r="A639" s="265"/>
      <c r="B639" s="266"/>
      <c r="C639" s="262"/>
      <c r="D639" s="262"/>
      <c r="E639" s="262"/>
      <c r="F639" s="262"/>
      <c r="G639" s="320"/>
      <c r="H639" s="262"/>
      <c r="I639" s="320"/>
      <c r="J639" s="320"/>
      <c r="K639" s="262"/>
      <c r="L639" s="262"/>
      <c r="M639" s="327" t="str">
        <f t="shared" si="150"/>
        <v/>
      </c>
      <c r="N639" s="327" t="str">
        <f t="shared" si="151"/>
        <v/>
      </c>
      <c r="O639" s="327" t="str">
        <f t="shared" si="152"/>
        <v/>
      </c>
      <c r="P639" s="327" t="str">
        <f t="shared" si="153"/>
        <v/>
      </c>
      <c r="Q639" s="327" t="str">
        <f t="shared" si="154"/>
        <v/>
      </c>
      <c r="R639" s="327" t="str">
        <f t="shared" si="155"/>
        <v/>
      </c>
      <c r="S639" s="421" t="str">
        <f t="shared" si="156"/>
        <v/>
      </c>
      <c r="T639" s="327" t="str">
        <f t="shared" si="157"/>
        <v/>
      </c>
      <c r="U639" s="327" t="str">
        <f t="shared" si="158"/>
        <v/>
      </c>
      <c r="V639" s="327" t="str">
        <f t="shared" si="159"/>
        <v/>
      </c>
      <c r="W639" s="327" t="str">
        <f t="shared" si="160"/>
        <v/>
      </c>
      <c r="X639" s="327" t="str">
        <f t="shared" si="161"/>
        <v/>
      </c>
      <c r="Y639" s="327" t="str">
        <f t="shared" si="162"/>
        <v/>
      </c>
      <c r="Z639" s="428" t="str">
        <f t="shared" si="163"/>
        <v/>
      </c>
    </row>
    <row r="640" spans="1:26" x14ac:dyDescent="0.35">
      <c r="A640" s="265"/>
      <c r="B640" s="266"/>
      <c r="C640" s="262"/>
      <c r="D640" s="262"/>
      <c r="E640" s="262"/>
      <c r="F640" s="262"/>
      <c r="G640" s="320"/>
      <c r="H640" s="262"/>
      <c r="I640" s="320"/>
      <c r="J640" s="320"/>
      <c r="K640" s="262"/>
      <c r="L640" s="262"/>
      <c r="M640" s="327" t="str">
        <f t="shared" si="150"/>
        <v/>
      </c>
      <c r="N640" s="327" t="str">
        <f t="shared" si="151"/>
        <v/>
      </c>
      <c r="O640" s="327" t="str">
        <f t="shared" si="152"/>
        <v/>
      </c>
      <c r="P640" s="327" t="str">
        <f t="shared" si="153"/>
        <v/>
      </c>
      <c r="Q640" s="327" t="str">
        <f t="shared" si="154"/>
        <v/>
      </c>
      <c r="R640" s="327" t="str">
        <f t="shared" si="155"/>
        <v/>
      </c>
      <c r="S640" s="421" t="str">
        <f t="shared" si="156"/>
        <v/>
      </c>
      <c r="T640" s="327" t="str">
        <f t="shared" si="157"/>
        <v/>
      </c>
      <c r="U640" s="327" t="str">
        <f t="shared" si="158"/>
        <v/>
      </c>
      <c r="V640" s="327" t="str">
        <f t="shared" si="159"/>
        <v/>
      </c>
      <c r="W640" s="327" t="str">
        <f t="shared" si="160"/>
        <v/>
      </c>
      <c r="X640" s="327" t="str">
        <f t="shared" si="161"/>
        <v/>
      </c>
      <c r="Y640" s="327" t="str">
        <f t="shared" si="162"/>
        <v/>
      </c>
      <c r="Z640" s="428" t="str">
        <f t="shared" si="163"/>
        <v/>
      </c>
    </row>
    <row r="641" spans="1:26" x14ac:dyDescent="0.35">
      <c r="A641" s="265"/>
      <c r="B641" s="266"/>
      <c r="C641" s="262"/>
      <c r="D641" s="262"/>
      <c r="E641" s="262"/>
      <c r="F641" s="262"/>
      <c r="G641" s="320"/>
      <c r="H641" s="262"/>
      <c r="I641" s="320"/>
      <c r="J641" s="320"/>
      <c r="K641" s="262"/>
      <c r="L641" s="262"/>
      <c r="M641" s="327" t="str">
        <f t="shared" si="150"/>
        <v/>
      </c>
      <c r="N641" s="327" t="str">
        <f t="shared" si="151"/>
        <v/>
      </c>
      <c r="O641" s="327" t="str">
        <f t="shared" si="152"/>
        <v/>
      </c>
      <c r="P641" s="327" t="str">
        <f t="shared" si="153"/>
        <v/>
      </c>
      <c r="Q641" s="327" t="str">
        <f t="shared" si="154"/>
        <v/>
      </c>
      <c r="R641" s="327" t="str">
        <f t="shared" si="155"/>
        <v/>
      </c>
      <c r="S641" s="421" t="str">
        <f t="shared" si="156"/>
        <v/>
      </c>
      <c r="T641" s="327" t="str">
        <f t="shared" si="157"/>
        <v/>
      </c>
      <c r="U641" s="327" t="str">
        <f t="shared" si="158"/>
        <v/>
      </c>
      <c r="V641" s="327" t="str">
        <f t="shared" si="159"/>
        <v/>
      </c>
      <c r="W641" s="327" t="str">
        <f t="shared" si="160"/>
        <v/>
      </c>
      <c r="X641" s="327" t="str">
        <f t="shared" si="161"/>
        <v/>
      </c>
      <c r="Y641" s="327" t="str">
        <f t="shared" si="162"/>
        <v/>
      </c>
      <c r="Z641" s="428" t="str">
        <f t="shared" si="163"/>
        <v/>
      </c>
    </row>
    <row r="642" spans="1:26" x14ac:dyDescent="0.35">
      <c r="A642" s="265"/>
      <c r="B642" s="266"/>
      <c r="C642" s="262"/>
      <c r="D642" s="262"/>
      <c r="E642" s="262"/>
      <c r="F642" s="262"/>
      <c r="G642" s="320"/>
      <c r="H642" s="262"/>
      <c r="I642" s="320"/>
      <c r="J642" s="320"/>
      <c r="K642" s="262"/>
      <c r="L642" s="262"/>
      <c r="M642" s="327" t="str">
        <f t="shared" si="150"/>
        <v/>
      </c>
      <c r="N642" s="327" t="str">
        <f t="shared" si="151"/>
        <v/>
      </c>
      <c r="O642" s="327" t="str">
        <f t="shared" si="152"/>
        <v/>
      </c>
      <c r="P642" s="327" t="str">
        <f t="shared" si="153"/>
        <v/>
      </c>
      <c r="Q642" s="327" t="str">
        <f t="shared" si="154"/>
        <v/>
      </c>
      <c r="R642" s="327" t="str">
        <f t="shared" si="155"/>
        <v/>
      </c>
      <c r="S642" s="421" t="str">
        <f t="shared" si="156"/>
        <v/>
      </c>
      <c r="T642" s="327" t="str">
        <f t="shared" si="157"/>
        <v/>
      </c>
      <c r="U642" s="327" t="str">
        <f t="shared" si="158"/>
        <v/>
      </c>
      <c r="V642" s="327" t="str">
        <f t="shared" si="159"/>
        <v/>
      </c>
      <c r="W642" s="327" t="str">
        <f t="shared" si="160"/>
        <v/>
      </c>
      <c r="X642" s="327" t="str">
        <f t="shared" si="161"/>
        <v/>
      </c>
      <c r="Y642" s="327" t="str">
        <f t="shared" si="162"/>
        <v/>
      </c>
      <c r="Z642" s="428" t="str">
        <f t="shared" si="163"/>
        <v/>
      </c>
    </row>
    <row r="643" spans="1:26" x14ac:dyDescent="0.35">
      <c r="A643" s="265"/>
      <c r="B643" s="266"/>
      <c r="C643" s="262"/>
      <c r="D643" s="262"/>
      <c r="E643" s="262"/>
      <c r="F643" s="262"/>
      <c r="G643" s="320"/>
      <c r="H643" s="262"/>
      <c r="I643" s="320"/>
      <c r="J643" s="320"/>
      <c r="K643" s="262"/>
      <c r="L643" s="262"/>
      <c r="M643" s="327" t="str">
        <f t="shared" si="150"/>
        <v/>
      </c>
      <c r="N643" s="327" t="str">
        <f t="shared" si="151"/>
        <v/>
      </c>
      <c r="O643" s="327" t="str">
        <f t="shared" si="152"/>
        <v/>
      </c>
      <c r="P643" s="327" t="str">
        <f t="shared" si="153"/>
        <v/>
      </c>
      <c r="Q643" s="327" t="str">
        <f t="shared" si="154"/>
        <v/>
      </c>
      <c r="R643" s="327" t="str">
        <f t="shared" si="155"/>
        <v/>
      </c>
      <c r="S643" s="421" t="str">
        <f t="shared" si="156"/>
        <v/>
      </c>
      <c r="T643" s="327" t="str">
        <f t="shared" si="157"/>
        <v/>
      </c>
      <c r="U643" s="327" t="str">
        <f t="shared" si="158"/>
        <v/>
      </c>
      <c r="V643" s="327" t="str">
        <f t="shared" si="159"/>
        <v/>
      </c>
      <c r="W643" s="327" t="str">
        <f t="shared" si="160"/>
        <v/>
      </c>
      <c r="X643" s="327" t="str">
        <f t="shared" si="161"/>
        <v/>
      </c>
      <c r="Y643" s="327" t="str">
        <f t="shared" si="162"/>
        <v/>
      </c>
      <c r="Z643" s="428" t="str">
        <f t="shared" si="163"/>
        <v/>
      </c>
    </row>
    <row r="644" spans="1:26" x14ac:dyDescent="0.35">
      <c r="A644" s="265"/>
      <c r="B644" s="266"/>
      <c r="C644" s="262"/>
      <c r="D644" s="262"/>
      <c r="E644" s="262"/>
      <c r="F644" s="262"/>
      <c r="G644" s="320"/>
      <c r="H644" s="262"/>
      <c r="I644" s="320"/>
      <c r="J644" s="320"/>
      <c r="K644" s="262"/>
      <c r="L644" s="262"/>
      <c r="M644" s="327" t="str">
        <f t="shared" si="150"/>
        <v/>
      </c>
      <c r="N644" s="327" t="str">
        <f t="shared" si="151"/>
        <v/>
      </c>
      <c r="O644" s="327" t="str">
        <f t="shared" si="152"/>
        <v/>
      </c>
      <c r="P644" s="327" t="str">
        <f t="shared" si="153"/>
        <v/>
      </c>
      <c r="Q644" s="327" t="str">
        <f t="shared" si="154"/>
        <v/>
      </c>
      <c r="R644" s="327" t="str">
        <f t="shared" si="155"/>
        <v/>
      </c>
      <c r="S644" s="421" t="str">
        <f t="shared" si="156"/>
        <v/>
      </c>
      <c r="T644" s="327" t="str">
        <f t="shared" si="157"/>
        <v/>
      </c>
      <c r="U644" s="327" t="str">
        <f t="shared" si="158"/>
        <v/>
      </c>
      <c r="V644" s="327" t="str">
        <f t="shared" si="159"/>
        <v/>
      </c>
      <c r="W644" s="327" t="str">
        <f t="shared" si="160"/>
        <v/>
      </c>
      <c r="X644" s="327" t="str">
        <f t="shared" si="161"/>
        <v/>
      </c>
      <c r="Y644" s="327" t="str">
        <f t="shared" si="162"/>
        <v/>
      </c>
      <c r="Z644" s="428" t="str">
        <f t="shared" si="163"/>
        <v/>
      </c>
    </row>
    <row r="645" spans="1:26" x14ac:dyDescent="0.35">
      <c r="A645" s="265"/>
      <c r="B645" s="266"/>
      <c r="C645" s="262"/>
      <c r="D645" s="262"/>
      <c r="E645" s="262"/>
      <c r="F645" s="262"/>
      <c r="G645" s="320"/>
      <c r="H645" s="262"/>
      <c r="I645" s="320"/>
      <c r="J645" s="320"/>
      <c r="K645" s="262"/>
      <c r="L645" s="262"/>
      <c r="M645" s="327" t="str">
        <f t="shared" si="150"/>
        <v/>
      </c>
      <c r="N645" s="327" t="str">
        <f t="shared" si="151"/>
        <v/>
      </c>
      <c r="O645" s="327" t="str">
        <f t="shared" si="152"/>
        <v/>
      </c>
      <c r="P645" s="327" t="str">
        <f t="shared" si="153"/>
        <v/>
      </c>
      <c r="Q645" s="327" t="str">
        <f t="shared" si="154"/>
        <v/>
      </c>
      <c r="R645" s="327" t="str">
        <f t="shared" si="155"/>
        <v/>
      </c>
      <c r="S645" s="421" t="str">
        <f t="shared" si="156"/>
        <v/>
      </c>
      <c r="T645" s="327" t="str">
        <f t="shared" si="157"/>
        <v/>
      </c>
      <c r="U645" s="327" t="str">
        <f t="shared" si="158"/>
        <v/>
      </c>
      <c r="V645" s="327" t="str">
        <f t="shared" si="159"/>
        <v/>
      </c>
      <c r="W645" s="327" t="str">
        <f t="shared" si="160"/>
        <v/>
      </c>
      <c r="X645" s="327" t="str">
        <f t="shared" si="161"/>
        <v/>
      </c>
      <c r="Y645" s="327" t="str">
        <f t="shared" si="162"/>
        <v/>
      </c>
      <c r="Z645" s="428" t="str">
        <f t="shared" si="163"/>
        <v/>
      </c>
    </row>
    <row r="646" spans="1:26" x14ac:dyDescent="0.35">
      <c r="A646" s="265"/>
      <c r="B646" s="266"/>
      <c r="C646" s="262"/>
      <c r="D646" s="262"/>
      <c r="E646" s="262"/>
      <c r="F646" s="262"/>
      <c r="G646" s="320"/>
      <c r="H646" s="262"/>
      <c r="I646" s="320"/>
      <c r="J646" s="320"/>
      <c r="K646" s="262"/>
      <c r="L646" s="262"/>
      <c r="M646" s="327" t="str">
        <f t="shared" si="150"/>
        <v/>
      </c>
      <c r="N646" s="327" t="str">
        <f t="shared" si="151"/>
        <v/>
      </c>
      <c r="O646" s="327" t="str">
        <f t="shared" si="152"/>
        <v/>
      </c>
      <c r="P646" s="327" t="str">
        <f t="shared" si="153"/>
        <v/>
      </c>
      <c r="Q646" s="327" t="str">
        <f t="shared" si="154"/>
        <v/>
      </c>
      <c r="R646" s="327" t="str">
        <f t="shared" si="155"/>
        <v/>
      </c>
      <c r="S646" s="421" t="str">
        <f t="shared" si="156"/>
        <v/>
      </c>
      <c r="T646" s="327" t="str">
        <f t="shared" si="157"/>
        <v/>
      </c>
      <c r="U646" s="327" t="str">
        <f t="shared" si="158"/>
        <v/>
      </c>
      <c r="V646" s="327" t="str">
        <f t="shared" si="159"/>
        <v/>
      </c>
      <c r="W646" s="327" t="str">
        <f t="shared" si="160"/>
        <v/>
      </c>
      <c r="X646" s="327" t="str">
        <f t="shared" si="161"/>
        <v/>
      </c>
      <c r="Y646" s="327" t="str">
        <f t="shared" si="162"/>
        <v/>
      </c>
      <c r="Z646" s="428" t="str">
        <f t="shared" si="163"/>
        <v/>
      </c>
    </row>
    <row r="647" spans="1:26" x14ac:dyDescent="0.35">
      <c r="A647" s="265"/>
      <c r="B647" s="266"/>
      <c r="C647" s="262"/>
      <c r="D647" s="262"/>
      <c r="E647" s="262"/>
      <c r="F647" s="262"/>
      <c r="G647" s="320"/>
      <c r="H647" s="262"/>
      <c r="I647" s="320"/>
      <c r="J647" s="320"/>
      <c r="K647" s="262"/>
      <c r="L647" s="262"/>
      <c r="M647" s="327" t="str">
        <f t="shared" si="150"/>
        <v/>
      </c>
      <c r="N647" s="327" t="str">
        <f t="shared" si="151"/>
        <v/>
      </c>
      <c r="O647" s="327" t="str">
        <f t="shared" si="152"/>
        <v/>
      </c>
      <c r="P647" s="327" t="str">
        <f t="shared" si="153"/>
        <v/>
      </c>
      <c r="Q647" s="327" t="str">
        <f t="shared" si="154"/>
        <v/>
      </c>
      <c r="R647" s="327" t="str">
        <f t="shared" si="155"/>
        <v/>
      </c>
      <c r="S647" s="421" t="str">
        <f t="shared" si="156"/>
        <v/>
      </c>
      <c r="T647" s="327" t="str">
        <f t="shared" si="157"/>
        <v/>
      </c>
      <c r="U647" s="327" t="str">
        <f t="shared" si="158"/>
        <v/>
      </c>
      <c r="V647" s="327" t="str">
        <f t="shared" si="159"/>
        <v/>
      </c>
      <c r="W647" s="327" t="str">
        <f t="shared" si="160"/>
        <v/>
      </c>
      <c r="X647" s="327" t="str">
        <f t="shared" si="161"/>
        <v/>
      </c>
      <c r="Y647" s="327" t="str">
        <f t="shared" si="162"/>
        <v/>
      </c>
      <c r="Z647" s="428" t="str">
        <f t="shared" si="163"/>
        <v/>
      </c>
    </row>
    <row r="648" spans="1:26" x14ac:dyDescent="0.35">
      <c r="A648" s="265"/>
      <c r="B648" s="266"/>
      <c r="C648" s="262"/>
      <c r="D648" s="262"/>
      <c r="E648" s="262"/>
      <c r="F648" s="262"/>
      <c r="G648" s="320"/>
      <c r="H648" s="262"/>
      <c r="I648" s="320"/>
      <c r="J648" s="320"/>
      <c r="K648" s="262"/>
      <c r="L648" s="262"/>
      <c r="M648" s="327" t="str">
        <f t="shared" si="150"/>
        <v/>
      </c>
      <c r="N648" s="327" t="str">
        <f t="shared" si="151"/>
        <v/>
      </c>
      <c r="O648" s="327" t="str">
        <f t="shared" si="152"/>
        <v/>
      </c>
      <c r="P648" s="327" t="str">
        <f t="shared" si="153"/>
        <v/>
      </c>
      <c r="Q648" s="327" t="str">
        <f t="shared" si="154"/>
        <v/>
      </c>
      <c r="R648" s="327" t="str">
        <f t="shared" si="155"/>
        <v/>
      </c>
      <c r="S648" s="421" t="str">
        <f t="shared" si="156"/>
        <v/>
      </c>
      <c r="T648" s="327" t="str">
        <f t="shared" si="157"/>
        <v/>
      </c>
      <c r="U648" s="327" t="str">
        <f t="shared" si="158"/>
        <v/>
      </c>
      <c r="V648" s="327" t="str">
        <f t="shared" si="159"/>
        <v/>
      </c>
      <c r="W648" s="327" t="str">
        <f t="shared" si="160"/>
        <v/>
      </c>
      <c r="X648" s="327" t="str">
        <f t="shared" si="161"/>
        <v/>
      </c>
      <c r="Y648" s="327" t="str">
        <f t="shared" si="162"/>
        <v/>
      </c>
      <c r="Z648" s="428" t="str">
        <f t="shared" si="163"/>
        <v/>
      </c>
    </row>
    <row r="649" spans="1:26" x14ac:dyDescent="0.35">
      <c r="A649" s="265"/>
      <c r="B649" s="266"/>
      <c r="C649" s="262"/>
      <c r="D649" s="262"/>
      <c r="E649" s="262"/>
      <c r="F649" s="262"/>
      <c r="G649" s="320"/>
      <c r="H649" s="262"/>
      <c r="I649" s="320"/>
      <c r="J649" s="320"/>
      <c r="K649" s="262"/>
      <c r="L649" s="262"/>
      <c r="M649" s="327" t="str">
        <f t="shared" si="150"/>
        <v/>
      </c>
      <c r="N649" s="327" t="str">
        <f t="shared" si="151"/>
        <v/>
      </c>
      <c r="O649" s="327" t="str">
        <f t="shared" si="152"/>
        <v/>
      </c>
      <c r="P649" s="327" t="str">
        <f t="shared" si="153"/>
        <v/>
      </c>
      <c r="Q649" s="327" t="str">
        <f t="shared" si="154"/>
        <v/>
      </c>
      <c r="R649" s="327" t="str">
        <f t="shared" si="155"/>
        <v/>
      </c>
      <c r="S649" s="421" t="str">
        <f t="shared" si="156"/>
        <v/>
      </c>
      <c r="T649" s="327" t="str">
        <f t="shared" si="157"/>
        <v/>
      </c>
      <c r="U649" s="327" t="str">
        <f t="shared" si="158"/>
        <v/>
      </c>
      <c r="V649" s="327" t="str">
        <f t="shared" si="159"/>
        <v/>
      </c>
      <c r="W649" s="327" t="str">
        <f t="shared" si="160"/>
        <v/>
      </c>
      <c r="X649" s="327" t="str">
        <f t="shared" si="161"/>
        <v/>
      </c>
      <c r="Y649" s="327" t="str">
        <f t="shared" si="162"/>
        <v/>
      </c>
      <c r="Z649" s="428" t="str">
        <f t="shared" si="163"/>
        <v/>
      </c>
    </row>
    <row r="650" spans="1:26" x14ac:dyDescent="0.35">
      <c r="A650" s="265"/>
      <c r="B650" s="266"/>
      <c r="C650" s="262"/>
      <c r="D650" s="262"/>
      <c r="E650" s="262"/>
      <c r="F650" s="262"/>
      <c r="G650" s="320"/>
      <c r="H650" s="262"/>
      <c r="I650" s="320"/>
      <c r="J650" s="320"/>
      <c r="K650" s="262"/>
      <c r="L650" s="262"/>
      <c r="M650" s="327" t="str">
        <f t="shared" si="150"/>
        <v/>
      </c>
      <c r="N650" s="327" t="str">
        <f t="shared" si="151"/>
        <v/>
      </c>
      <c r="O650" s="327" t="str">
        <f t="shared" si="152"/>
        <v/>
      </c>
      <c r="P650" s="327" t="str">
        <f t="shared" si="153"/>
        <v/>
      </c>
      <c r="Q650" s="327" t="str">
        <f t="shared" si="154"/>
        <v/>
      </c>
      <c r="R650" s="327" t="str">
        <f t="shared" si="155"/>
        <v/>
      </c>
      <c r="S650" s="421" t="str">
        <f t="shared" si="156"/>
        <v/>
      </c>
      <c r="T650" s="327" t="str">
        <f t="shared" si="157"/>
        <v/>
      </c>
      <c r="U650" s="327" t="str">
        <f t="shared" si="158"/>
        <v/>
      </c>
      <c r="V650" s="327" t="str">
        <f t="shared" si="159"/>
        <v/>
      </c>
      <c r="W650" s="327" t="str">
        <f t="shared" si="160"/>
        <v/>
      </c>
      <c r="X650" s="327" t="str">
        <f t="shared" si="161"/>
        <v/>
      </c>
      <c r="Y650" s="327" t="str">
        <f t="shared" si="162"/>
        <v/>
      </c>
      <c r="Z650" s="428" t="str">
        <f t="shared" si="163"/>
        <v/>
      </c>
    </row>
    <row r="651" spans="1:26" x14ac:dyDescent="0.35">
      <c r="A651" s="265"/>
      <c r="B651" s="266"/>
      <c r="C651" s="262"/>
      <c r="D651" s="262"/>
      <c r="E651" s="262"/>
      <c r="F651" s="262"/>
      <c r="G651" s="320"/>
      <c r="H651" s="262"/>
      <c r="I651" s="320"/>
      <c r="J651" s="320"/>
      <c r="K651" s="262"/>
      <c r="L651" s="262"/>
      <c r="M651" s="327" t="str">
        <f t="shared" si="150"/>
        <v/>
      </c>
      <c r="N651" s="327" t="str">
        <f t="shared" si="151"/>
        <v/>
      </c>
      <c r="O651" s="327" t="str">
        <f t="shared" si="152"/>
        <v/>
      </c>
      <c r="P651" s="327" t="str">
        <f t="shared" si="153"/>
        <v/>
      </c>
      <c r="Q651" s="327" t="str">
        <f t="shared" si="154"/>
        <v/>
      </c>
      <c r="R651" s="327" t="str">
        <f t="shared" si="155"/>
        <v/>
      </c>
      <c r="S651" s="421" t="str">
        <f t="shared" si="156"/>
        <v/>
      </c>
      <c r="T651" s="327" t="str">
        <f t="shared" si="157"/>
        <v/>
      </c>
      <c r="U651" s="327" t="str">
        <f t="shared" si="158"/>
        <v/>
      </c>
      <c r="V651" s="327" t="str">
        <f t="shared" si="159"/>
        <v/>
      </c>
      <c r="W651" s="327" t="str">
        <f t="shared" si="160"/>
        <v/>
      </c>
      <c r="X651" s="327" t="str">
        <f t="shared" si="161"/>
        <v/>
      </c>
      <c r="Y651" s="327" t="str">
        <f t="shared" si="162"/>
        <v/>
      </c>
      <c r="Z651" s="428" t="str">
        <f t="shared" si="163"/>
        <v/>
      </c>
    </row>
    <row r="652" spans="1:26" x14ac:dyDescent="0.35">
      <c r="A652" s="265"/>
      <c r="B652" s="266"/>
      <c r="C652" s="262"/>
      <c r="D652" s="262"/>
      <c r="E652" s="262"/>
      <c r="F652" s="262"/>
      <c r="G652" s="320"/>
      <c r="H652" s="262"/>
      <c r="I652" s="320"/>
      <c r="J652" s="320"/>
      <c r="K652" s="262"/>
      <c r="L652" s="262"/>
      <c r="M652" s="327" t="str">
        <f t="shared" si="150"/>
        <v/>
      </c>
      <c r="N652" s="327" t="str">
        <f t="shared" si="151"/>
        <v/>
      </c>
      <c r="O652" s="327" t="str">
        <f t="shared" si="152"/>
        <v/>
      </c>
      <c r="P652" s="327" t="str">
        <f t="shared" si="153"/>
        <v/>
      </c>
      <c r="Q652" s="327" t="str">
        <f t="shared" si="154"/>
        <v/>
      </c>
      <c r="R652" s="327" t="str">
        <f t="shared" si="155"/>
        <v/>
      </c>
      <c r="S652" s="421" t="str">
        <f t="shared" si="156"/>
        <v/>
      </c>
      <c r="T652" s="327" t="str">
        <f t="shared" si="157"/>
        <v/>
      </c>
      <c r="U652" s="327" t="str">
        <f t="shared" si="158"/>
        <v/>
      </c>
      <c r="V652" s="327" t="str">
        <f t="shared" si="159"/>
        <v/>
      </c>
      <c r="W652" s="327" t="str">
        <f t="shared" si="160"/>
        <v/>
      </c>
      <c r="X652" s="327" t="str">
        <f t="shared" si="161"/>
        <v/>
      </c>
      <c r="Y652" s="327" t="str">
        <f t="shared" si="162"/>
        <v/>
      </c>
      <c r="Z652" s="428" t="str">
        <f t="shared" si="163"/>
        <v/>
      </c>
    </row>
    <row r="653" spans="1:26" x14ac:dyDescent="0.35">
      <c r="A653" s="265"/>
      <c r="B653" s="266"/>
      <c r="C653" s="262"/>
      <c r="D653" s="262"/>
      <c r="E653" s="262"/>
      <c r="F653" s="262"/>
      <c r="G653" s="320"/>
      <c r="H653" s="262"/>
      <c r="I653" s="320"/>
      <c r="J653" s="320"/>
      <c r="K653" s="262"/>
      <c r="L653" s="262"/>
      <c r="M653" s="327" t="str">
        <f t="shared" si="150"/>
        <v/>
      </c>
      <c r="N653" s="327" t="str">
        <f t="shared" si="151"/>
        <v/>
      </c>
      <c r="O653" s="327" t="str">
        <f t="shared" si="152"/>
        <v/>
      </c>
      <c r="P653" s="327" t="str">
        <f t="shared" si="153"/>
        <v/>
      </c>
      <c r="Q653" s="327" t="str">
        <f t="shared" si="154"/>
        <v/>
      </c>
      <c r="R653" s="327" t="str">
        <f t="shared" si="155"/>
        <v/>
      </c>
      <c r="S653" s="421" t="str">
        <f t="shared" si="156"/>
        <v/>
      </c>
      <c r="T653" s="327" t="str">
        <f t="shared" si="157"/>
        <v/>
      </c>
      <c r="U653" s="327" t="str">
        <f t="shared" si="158"/>
        <v/>
      </c>
      <c r="V653" s="327" t="str">
        <f t="shared" si="159"/>
        <v/>
      </c>
      <c r="W653" s="327" t="str">
        <f t="shared" si="160"/>
        <v/>
      </c>
      <c r="X653" s="327" t="str">
        <f t="shared" si="161"/>
        <v/>
      </c>
      <c r="Y653" s="327" t="str">
        <f t="shared" si="162"/>
        <v/>
      </c>
      <c r="Z653" s="428" t="str">
        <f t="shared" si="163"/>
        <v/>
      </c>
    </row>
    <row r="654" spans="1:26" x14ac:dyDescent="0.35">
      <c r="A654" s="265"/>
      <c r="B654" s="266"/>
      <c r="C654" s="262"/>
      <c r="D654" s="262"/>
      <c r="E654" s="262"/>
      <c r="F654" s="262"/>
      <c r="G654" s="320"/>
      <c r="H654" s="262"/>
      <c r="I654" s="320"/>
      <c r="J654" s="320"/>
      <c r="K654" s="262"/>
      <c r="L654" s="262"/>
      <c r="M654" s="327" t="str">
        <f t="shared" si="150"/>
        <v/>
      </c>
      <c r="N654" s="327" t="str">
        <f t="shared" si="151"/>
        <v/>
      </c>
      <c r="O654" s="327" t="str">
        <f t="shared" si="152"/>
        <v/>
      </c>
      <c r="P654" s="327" t="str">
        <f t="shared" si="153"/>
        <v/>
      </c>
      <c r="Q654" s="327" t="str">
        <f t="shared" si="154"/>
        <v/>
      </c>
      <c r="R654" s="327" t="str">
        <f t="shared" si="155"/>
        <v/>
      </c>
      <c r="S654" s="421" t="str">
        <f t="shared" si="156"/>
        <v/>
      </c>
      <c r="T654" s="327" t="str">
        <f t="shared" si="157"/>
        <v/>
      </c>
      <c r="U654" s="327" t="str">
        <f t="shared" si="158"/>
        <v/>
      </c>
      <c r="V654" s="327" t="str">
        <f t="shared" si="159"/>
        <v/>
      </c>
      <c r="W654" s="327" t="str">
        <f t="shared" si="160"/>
        <v/>
      </c>
      <c r="X654" s="327" t="str">
        <f t="shared" si="161"/>
        <v/>
      </c>
      <c r="Y654" s="327" t="str">
        <f t="shared" si="162"/>
        <v/>
      </c>
      <c r="Z654" s="428" t="str">
        <f t="shared" si="163"/>
        <v/>
      </c>
    </row>
    <row r="655" spans="1:26" x14ac:dyDescent="0.35">
      <c r="A655" s="265"/>
      <c r="B655" s="266"/>
      <c r="C655" s="262"/>
      <c r="D655" s="262"/>
      <c r="E655" s="262"/>
      <c r="F655" s="262"/>
      <c r="G655" s="320"/>
      <c r="H655" s="262"/>
      <c r="I655" s="320"/>
      <c r="J655" s="320"/>
      <c r="K655" s="262"/>
      <c r="L655" s="262"/>
      <c r="M655" s="327" t="str">
        <f t="shared" si="150"/>
        <v/>
      </c>
      <c r="N655" s="327" t="str">
        <f t="shared" si="151"/>
        <v/>
      </c>
      <c r="O655" s="327" t="str">
        <f t="shared" si="152"/>
        <v/>
      </c>
      <c r="P655" s="327" t="str">
        <f t="shared" si="153"/>
        <v/>
      </c>
      <c r="Q655" s="327" t="str">
        <f t="shared" si="154"/>
        <v/>
      </c>
      <c r="R655" s="327" t="str">
        <f t="shared" si="155"/>
        <v/>
      </c>
      <c r="S655" s="421" t="str">
        <f t="shared" si="156"/>
        <v/>
      </c>
      <c r="T655" s="327" t="str">
        <f t="shared" si="157"/>
        <v/>
      </c>
      <c r="U655" s="327" t="str">
        <f t="shared" si="158"/>
        <v/>
      </c>
      <c r="V655" s="327" t="str">
        <f t="shared" si="159"/>
        <v/>
      </c>
      <c r="W655" s="327" t="str">
        <f t="shared" si="160"/>
        <v/>
      </c>
      <c r="X655" s="327" t="str">
        <f t="shared" si="161"/>
        <v/>
      </c>
      <c r="Y655" s="327" t="str">
        <f t="shared" si="162"/>
        <v/>
      </c>
      <c r="Z655" s="428" t="str">
        <f t="shared" si="163"/>
        <v/>
      </c>
    </row>
    <row r="656" spans="1:26" x14ac:dyDescent="0.35">
      <c r="A656" s="265"/>
      <c r="B656" s="266"/>
      <c r="C656" s="262"/>
      <c r="D656" s="262"/>
      <c r="E656" s="262"/>
      <c r="F656" s="262"/>
      <c r="G656" s="320"/>
      <c r="H656" s="262"/>
      <c r="I656" s="320"/>
      <c r="J656" s="320"/>
      <c r="K656" s="262"/>
      <c r="L656" s="262"/>
      <c r="M656" s="327" t="str">
        <f t="shared" si="150"/>
        <v/>
      </c>
      <c r="N656" s="327" t="str">
        <f t="shared" si="151"/>
        <v/>
      </c>
      <c r="O656" s="327" t="str">
        <f t="shared" si="152"/>
        <v/>
      </c>
      <c r="P656" s="327" t="str">
        <f t="shared" si="153"/>
        <v/>
      </c>
      <c r="Q656" s="327" t="str">
        <f t="shared" si="154"/>
        <v/>
      </c>
      <c r="R656" s="327" t="str">
        <f t="shared" si="155"/>
        <v/>
      </c>
      <c r="S656" s="421" t="str">
        <f t="shared" si="156"/>
        <v/>
      </c>
      <c r="T656" s="327" t="str">
        <f t="shared" si="157"/>
        <v/>
      </c>
      <c r="U656" s="327" t="str">
        <f t="shared" si="158"/>
        <v/>
      </c>
      <c r="V656" s="327" t="str">
        <f t="shared" si="159"/>
        <v/>
      </c>
      <c r="W656" s="327" t="str">
        <f t="shared" si="160"/>
        <v/>
      </c>
      <c r="X656" s="327" t="str">
        <f t="shared" si="161"/>
        <v/>
      </c>
      <c r="Y656" s="327" t="str">
        <f t="shared" si="162"/>
        <v/>
      </c>
      <c r="Z656" s="428" t="str">
        <f t="shared" si="163"/>
        <v/>
      </c>
    </row>
    <row r="657" spans="1:26" x14ac:dyDescent="0.35">
      <c r="A657" s="265"/>
      <c r="B657" s="266"/>
      <c r="C657" s="262"/>
      <c r="D657" s="262"/>
      <c r="E657" s="262"/>
      <c r="F657" s="262"/>
      <c r="G657" s="320"/>
      <c r="H657" s="262"/>
      <c r="I657" s="320"/>
      <c r="J657" s="320"/>
      <c r="K657" s="262"/>
      <c r="L657" s="262"/>
      <c r="M657" s="327" t="str">
        <f t="shared" si="150"/>
        <v/>
      </c>
      <c r="N657" s="327" t="str">
        <f t="shared" si="151"/>
        <v/>
      </c>
      <c r="O657" s="327" t="str">
        <f t="shared" si="152"/>
        <v/>
      </c>
      <c r="P657" s="327" t="str">
        <f t="shared" si="153"/>
        <v/>
      </c>
      <c r="Q657" s="327" t="str">
        <f t="shared" si="154"/>
        <v/>
      </c>
      <c r="R657" s="327" t="str">
        <f t="shared" si="155"/>
        <v/>
      </c>
      <c r="S657" s="421" t="str">
        <f t="shared" si="156"/>
        <v/>
      </c>
      <c r="T657" s="327" t="str">
        <f t="shared" si="157"/>
        <v/>
      </c>
      <c r="U657" s="327" t="str">
        <f t="shared" si="158"/>
        <v/>
      </c>
      <c r="V657" s="327" t="str">
        <f t="shared" si="159"/>
        <v/>
      </c>
      <c r="W657" s="327" t="str">
        <f t="shared" si="160"/>
        <v/>
      </c>
      <c r="X657" s="327" t="str">
        <f t="shared" si="161"/>
        <v/>
      </c>
      <c r="Y657" s="327" t="str">
        <f t="shared" si="162"/>
        <v/>
      </c>
      <c r="Z657" s="428" t="str">
        <f t="shared" si="163"/>
        <v/>
      </c>
    </row>
    <row r="658" spans="1:26" x14ac:dyDescent="0.35">
      <c r="A658" s="265"/>
      <c r="B658" s="266"/>
      <c r="C658" s="262"/>
      <c r="D658" s="262"/>
      <c r="E658" s="262"/>
      <c r="F658" s="262"/>
      <c r="G658" s="320"/>
      <c r="H658" s="262"/>
      <c r="I658" s="320"/>
      <c r="J658" s="320"/>
      <c r="K658" s="262"/>
      <c r="L658" s="262"/>
      <c r="M658" s="327" t="str">
        <f t="shared" si="150"/>
        <v/>
      </c>
      <c r="N658" s="327" t="str">
        <f t="shared" si="151"/>
        <v/>
      </c>
      <c r="O658" s="327" t="str">
        <f t="shared" si="152"/>
        <v/>
      </c>
      <c r="P658" s="327" t="str">
        <f t="shared" si="153"/>
        <v/>
      </c>
      <c r="Q658" s="327" t="str">
        <f t="shared" si="154"/>
        <v/>
      </c>
      <c r="R658" s="327" t="str">
        <f t="shared" si="155"/>
        <v/>
      </c>
      <c r="S658" s="421" t="str">
        <f t="shared" si="156"/>
        <v/>
      </c>
      <c r="T658" s="327" t="str">
        <f t="shared" si="157"/>
        <v/>
      </c>
      <c r="U658" s="327" t="str">
        <f t="shared" si="158"/>
        <v/>
      </c>
      <c r="V658" s="327" t="str">
        <f t="shared" si="159"/>
        <v/>
      </c>
      <c r="W658" s="327" t="str">
        <f t="shared" si="160"/>
        <v/>
      </c>
      <c r="X658" s="327" t="str">
        <f t="shared" si="161"/>
        <v/>
      </c>
      <c r="Y658" s="327" t="str">
        <f t="shared" si="162"/>
        <v/>
      </c>
      <c r="Z658" s="428" t="str">
        <f t="shared" si="163"/>
        <v/>
      </c>
    </row>
    <row r="659" spans="1:26" x14ac:dyDescent="0.35">
      <c r="A659" s="265"/>
      <c r="B659" s="266"/>
      <c r="C659" s="262"/>
      <c r="D659" s="262"/>
      <c r="E659" s="262"/>
      <c r="F659" s="262"/>
      <c r="G659" s="320"/>
      <c r="H659" s="262"/>
      <c r="I659" s="320"/>
      <c r="J659" s="320"/>
      <c r="K659" s="262"/>
      <c r="L659" s="262"/>
      <c r="M659" s="327" t="str">
        <f t="shared" si="150"/>
        <v/>
      </c>
      <c r="N659" s="327" t="str">
        <f t="shared" si="151"/>
        <v/>
      </c>
      <c r="O659" s="327" t="str">
        <f t="shared" si="152"/>
        <v/>
      </c>
      <c r="P659" s="327" t="str">
        <f t="shared" si="153"/>
        <v/>
      </c>
      <c r="Q659" s="327" t="str">
        <f t="shared" si="154"/>
        <v/>
      </c>
      <c r="R659" s="327" t="str">
        <f t="shared" si="155"/>
        <v/>
      </c>
      <c r="S659" s="421" t="str">
        <f t="shared" si="156"/>
        <v/>
      </c>
      <c r="T659" s="327" t="str">
        <f t="shared" si="157"/>
        <v/>
      </c>
      <c r="U659" s="327" t="str">
        <f t="shared" si="158"/>
        <v/>
      </c>
      <c r="V659" s="327" t="str">
        <f t="shared" si="159"/>
        <v/>
      </c>
      <c r="W659" s="327" t="str">
        <f t="shared" si="160"/>
        <v/>
      </c>
      <c r="X659" s="327" t="str">
        <f t="shared" si="161"/>
        <v/>
      </c>
      <c r="Y659" s="327" t="str">
        <f t="shared" si="162"/>
        <v/>
      </c>
      <c r="Z659" s="428" t="str">
        <f t="shared" si="163"/>
        <v/>
      </c>
    </row>
    <row r="660" spans="1:26" x14ac:dyDescent="0.35">
      <c r="A660" s="265"/>
      <c r="B660" s="266"/>
      <c r="C660" s="262"/>
      <c r="D660" s="262"/>
      <c r="E660" s="262"/>
      <c r="F660" s="262"/>
      <c r="G660" s="320"/>
      <c r="H660" s="262"/>
      <c r="I660" s="320"/>
      <c r="J660" s="320"/>
      <c r="K660" s="262"/>
      <c r="L660" s="262"/>
      <c r="M660" s="327" t="str">
        <f t="shared" si="150"/>
        <v/>
      </c>
      <c r="N660" s="327" t="str">
        <f t="shared" si="151"/>
        <v/>
      </c>
      <c r="O660" s="327" t="str">
        <f t="shared" si="152"/>
        <v/>
      </c>
      <c r="P660" s="327" t="str">
        <f t="shared" si="153"/>
        <v/>
      </c>
      <c r="Q660" s="327" t="str">
        <f t="shared" si="154"/>
        <v/>
      </c>
      <c r="R660" s="327" t="str">
        <f t="shared" si="155"/>
        <v/>
      </c>
      <c r="S660" s="421" t="str">
        <f t="shared" si="156"/>
        <v/>
      </c>
      <c r="T660" s="327" t="str">
        <f t="shared" si="157"/>
        <v/>
      </c>
      <c r="U660" s="327" t="str">
        <f t="shared" si="158"/>
        <v/>
      </c>
      <c r="V660" s="327" t="str">
        <f t="shared" si="159"/>
        <v/>
      </c>
      <c r="W660" s="327" t="str">
        <f t="shared" si="160"/>
        <v/>
      </c>
      <c r="X660" s="327" t="str">
        <f t="shared" si="161"/>
        <v/>
      </c>
      <c r="Y660" s="327" t="str">
        <f t="shared" si="162"/>
        <v/>
      </c>
      <c r="Z660" s="428" t="str">
        <f t="shared" si="163"/>
        <v/>
      </c>
    </row>
    <row r="661" spans="1:26" x14ac:dyDescent="0.35">
      <c r="A661" s="265"/>
      <c r="B661" s="266"/>
      <c r="C661" s="262"/>
      <c r="D661" s="262"/>
      <c r="E661" s="262"/>
      <c r="F661" s="262"/>
      <c r="G661" s="320"/>
      <c r="H661" s="262"/>
      <c r="I661" s="320"/>
      <c r="J661" s="320"/>
      <c r="K661" s="262"/>
      <c r="L661" s="262"/>
      <c r="M661" s="327" t="str">
        <f t="shared" si="150"/>
        <v/>
      </c>
      <c r="N661" s="327" t="str">
        <f t="shared" si="151"/>
        <v/>
      </c>
      <c r="O661" s="327" t="str">
        <f t="shared" si="152"/>
        <v/>
      </c>
      <c r="P661" s="327" t="str">
        <f t="shared" si="153"/>
        <v/>
      </c>
      <c r="Q661" s="327" t="str">
        <f t="shared" si="154"/>
        <v/>
      </c>
      <c r="R661" s="327" t="str">
        <f t="shared" si="155"/>
        <v/>
      </c>
      <c r="S661" s="421" t="str">
        <f t="shared" si="156"/>
        <v/>
      </c>
      <c r="T661" s="327" t="str">
        <f t="shared" si="157"/>
        <v/>
      </c>
      <c r="U661" s="327" t="str">
        <f t="shared" si="158"/>
        <v/>
      </c>
      <c r="V661" s="327" t="str">
        <f t="shared" si="159"/>
        <v/>
      </c>
      <c r="W661" s="327" t="str">
        <f t="shared" si="160"/>
        <v/>
      </c>
      <c r="X661" s="327" t="str">
        <f t="shared" si="161"/>
        <v/>
      </c>
      <c r="Y661" s="327" t="str">
        <f t="shared" si="162"/>
        <v/>
      </c>
      <c r="Z661" s="428" t="str">
        <f t="shared" si="163"/>
        <v/>
      </c>
    </row>
    <row r="662" spans="1:26" x14ac:dyDescent="0.35">
      <c r="A662" s="265"/>
      <c r="B662" s="266"/>
      <c r="C662" s="262"/>
      <c r="D662" s="262"/>
      <c r="E662" s="262"/>
      <c r="F662" s="262"/>
      <c r="G662" s="320"/>
      <c r="H662" s="262"/>
      <c r="I662" s="320"/>
      <c r="J662" s="320"/>
      <c r="K662" s="262"/>
      <c r="L662" s="262"/>
      <c r="M662" s="327" t="str">
        <f t="shared" si="150"/>
        <v/>
      </c>
      <c r="N662" s="327" t="str">
        <f t="shared" si="151"/>
        <v/>
      </c>
      <c r="O662" s="327" t="str">
        <f t="shared" si="152"/>
        <v/>
      </c>
      <c r="P662" s="327" t="str">
        <f t="shared" si="153"/>
        <v/>
      </c>
      <c r="Q662" s="327" t="str">
        <f t="shared" si="154"/>
        <v/>
      </c>
      <c r="R662" s="327" t="str">
        <f t="shared" si="155"/>
        <v/>
      </c>
      <c r="S662" s="421" t="str">
        <f t="shared" si="156"/>
        <v/>
      </c>
      <c r="T662" s="327" t="str">
        <f t="shared" si="157"/>
        <v/>
      </c>
      <c r="U662" s="327" t="str">
        <f t="shared" si="158"/>
        <v/>
      </c>
      <c r="V662" s="327" t="str">
        <f t="shared" si="159"/>
        <v/>
      </c>
      <c r="W662" s="327" t="str">
        <f t="shared" si="160"/>
        <v/>
      </c>
      <c r="X662" s="327" t="str">
        <f t="shared" si="161"/>
        <v/>
      </c>
      <c r="Y662" s="327" t="str">
        <f t="shared" si="162"/>
        <v/>
      </c>
      <c r="Z662" s="428" t="str">
        <f t="shared" si="163"/>
        <v/>
      </c>
    </row>
    <row r="663" spans="1:26" x14ac:dyDescent="0.35">
      <c r="A663" s="265"/>
      <c r="B663" s="266"/>
      <c r="C663" s="262"/>
      <c r="D663" s="262"/>
      <c r="E663" s="262"/>
      <c r="F663" s="262"/>
      <c r="G663" s="320"/>
      <c r="H663" s="262"/>
      <c r="I663" s="320"/>
      <c r="J663" s="320"/>
      <c r="K663" s="262"/>
      <c r="L663" s="262"/>
      <c r="M663" s="327" t="str">
        <f t="shared" si="150"/>
        <v/>
      </c>
      <c r="N663" s="327" t="str">
        <f t="shared" si="151"/>
        <v/>
      </c>
      <c r="O663" s="327" t="str">
        <f t="shared" si="152"/>
        <v/>
      </c>
      <c r="P663" s="327" t="str">
        <f t="shared" si="153"/>
        <v/>
      </c>
      <c r="Q663" s="327" t="str">
        <f t="shared" si="154"/>
        <v/>
      </c>
      <c r="R663" s="327" t="str">
        <f t="shared" si="155"/>
        <v/>
      </c>
      <c r="S663" s="421" t="str">
        <f t="shared" si="156"/>
        <v/>
      </c>
      <c r="T663" s="327" t="str">
        <f t="shared" si="157"/>
        <v/>
      </c>
      <c r="U663" s="327" t="str">
        <f t="shared" si="158"/>
        <v/>
      </c>
      <c r="V663" s="327" t="str">
        <f t="shared" si="159"/>
        <v/>
      </c>
      <c r="W663" s="327" t="str">
        <f t="shared" si="160"/>
        <v/>
      </c>
      <c r="X663" s="327" t="str">
        <f t="shared" si="161"/>
        <v/>
      </c>
      <c r="Y663" s="327" t="str">
        <f t="shared" si="162"/>
        <v/>
      </c>
      <c r="Z663" s="428" t="str">
        <f t="shared" si="163"/>
        <v/>
      </c>
    </row>
    <row r="664" spans="1:26" x14ac:dyDescent="0.35">
      <c r="A664" s="265"/>
      <c r="B664" s="266"/>
      <c r="C664" s="262"/>
      <c r="D664" s="262"/>
      <c r="E664" s="262"/>
      <c r="F664" s="262"/>
      <c r="G664" s="320"/>
      <c r="H664" s="262"/>
      <c r="I664" s="320"/>
      <c r="J664" s="320"/>
      <c r="K664" s="262"/>
      <c r="L664" s="262"/>
      <c r="M664" s="327" t="str">
        <f t="shared" si="150"/>
        <v/>
      </c>
      <c r="N664" s="327" t="str">
        <f t="shared" si="151"/>
        <v/>
      </c>
      <c r="O664" s="327" t="str">
        <f t="shared" si="152"/>
        <v/>
      </c>
      <c r="P664" s="327" t="str">
        <f t="shared" si="153"/>
        <v/>
      </c>
      <c r="Q664" s="327" t="str">
        <f t="shared" si="154"/>
        <v/>
      </c>
      <c r="R664" s="327" t="str">
        <f t="shared" si="155"/>
        <v/>
      </c>
      <c r="S664" s="421" t="str">
        <f t="shared" si="156"/>
        <v/>
      </c>
      <c r="T664" s="327" t="str">
        <f t="shared" si="157"/>
        <v/>
      </c>
      <c r="U664" s="327" t="str">
        <f t="shared" si="158"/>
        <v/>
      </c>
      <c r="V664" s="327" t="str">
        <f t="shared" si="159"/>
        <v/>
      </c>
      <c r="W664" s="327" t="str">
        <f t="shared" si="160"/>
        <v/>
      </c>
      <c r="X664" s="327" t="str">
        <f t="shared" si="161"/>
        <v/>
      </c>
      <c r="Y664" s="327" t="str">
        <f t="shared" si="162"/>
        <v/>
      </c>
      <c r="Z664" s="428" t="str">
        <f t="shared" si="163"/>
        <v/>
      </c>
    </row>
    <row r="665" spans="1:26" x14ac:dyDescent="0.35">
      <c r="A665" s="265"/>
      <c r="B665" s="266"/>
      <c r="C665" s="262"/>
      <c r="D665" s="262"/>
      <c r="E665" s="262"/>
      <c r="F665" s="262"/>
      <c r="G665" s="320"/>
      <c r="H665" s="262"/>
      <c r="I665" s="320"/>
      <c r="J665" s="320"/>
      <c r="K665" s="262"/>
      <c r="L665" s="262"/>
      <c r="M665" s="327" t="str">
        <f t="shared" si="150"/>
        <v/>
      </c>
      <c r="N665" s="327" t="str">
        <f t="shared" si="151"/>
        <v/>
      </c>
      <c r="O665" s="327" t="str">
        <f t="shared" si="152"/>
        <v/>
      </c>
      <c r="P665" s="327" t="str">
        <f t="shared" si="153"/>
        <v/>
      </c>
      <c r="Q665" s="327" t="str">
        <f t="shared" si="154"/>
        <v/>
      </c>
      <c r="R665" s="327" t="str">
        <f t="shared" si="155"/>
        <v/>
      </c>
      <c r="S665" s="421" t="str">
        <f t="shared" si="156"/>
        <v/>
      </c>
      <c r="T665" s="327" t="str">
        <f t="shared" si="157"/>
        <v/>
      </c>
      <c r="U665" s="327" t="str">
        <f t="shared" si="158"/>
        <v/>
      </c>
      <c r="V665" s="327" t="str">
        <f t="shared" si="159"/>
        <v/>
      </c>
      <c r="W665" s="327" t="str">
        <f t="shared" si="160"/>
        <v/>
      </c>
      <c r="X665" s="327" t="str">
        <f t="shared" si="161"/>
        <v/>
      </c>
      <c r="Y665" s="327" t="str">
        <f t="shared" si="162"/>
        <v/>
      </c>
      <c r="Z665" s="428" t="str">
        <f t="shared" si="163"/>
        <v/>
      </c>
    </row>
    <row r="666" spans="1:26" x14ac:dyDescent="0.35">
      <c r="A666" s="265"/>
      <c r="B666" s="266"/>
      <c r="C666" s="262"/>
      <c r="D666" s="262"/>
      <c r="E666" s="262"/>
      <c r="F666" s="262"/>
      <c r="G666" s="320"/>
      <c r="H666" s="262"/>
      <c r="I666" s="320"/>
      <c r="J666" s="320"/>
      <c r="K666" s="262"/>
      <c r="L666" s="262"/>
      <c r="M666" s="327" t="str">
        <f t="shared" si="150"/>
        <v/>
      </c>
      <c r="N666" s="327" t="str">
        <f t="shared" si="151"/>
        <v/>
      </c>
      <c r="O666" s="327" t="str">
        <f t="shared" si="152"/>
        <v/>
      </c>
      <c r="P666" s="327" t="str">
        <f t="shared" si="153"/>
        <v/>
      </c>
      <c r="Q666" s="327" t="str">
        <f t="shared" si="154"/>
        <v/>
      </c>
      <c r="R666" s="327" t="str">
        <f t="shared" si="155"/>
        <v/>
      </c>
      <c r="S666" s="421" t="str">
        <f t="shared" si="156"/>
        <v/>
      </c>
      <c r="T666" s="327" t="str">
        <f t="shared" si="157"/>
        <v/>
      </c>
      <c r="U666" s="327" t="str">
        <f t="shared" si="158"/>
        <v/>
      </c>
      <c r="V666" s="327" t="str">
        <f t="shared" si="159"/>
        <v/>
      </c>
      <c r="W666" s="327" t="str">
        <f t="shared" si="160"/>
        <v/>
      </c>
      <c r="X666" s="327" t="str">
        <f t="shared" si="161"/>
        <v/>
      </c>
      <c r="Y666" s="327" t="str">
        <f t="shared" si="162"/>
        <v/>
      </c>
      <c r="Z666" s="428" t="str">
        <f t="shared" si="163"/>
        <v/>
      </c>
    </row>
    <row r="667" spans="1:26" x14ac:dyDescent="0.35">
      <c r="A667" s="265"/>
      <c r="B667" s="266"/>
      <c r="C667" s="262"/>
      <c r="D667" s="262"/>
      <c r="E667" s="262"/>
      <c r="F667" s="262"/>
      <c r="G667" s="320"/>
      <c r="H667" s="262"/>
      <c r="I667" s="320"/>
      <c r="J667" s="320"/>
      <c r="K667" s="262"/>
      <c r="L667" s="262"/>
      <c r="M667" s="327" t="str">
        <f t="shared" si="150"/>
        <v/>
      </c>
      <c r="N667" s="327" t="str">
        <f t="shared" si="151"/>
        <v/>
      </c>
      <c r="O667" s="327" t="str">
        <f t="shared" si="152"/>
        <v/>
      </c>
      <c r="P667" s="327" t="str">
        <f t="shared" si="153"/>
        <v/>
      </c>
      <c r="Q667" s="327" t="str">
        <f t="shared" si="154"/>
        <v/>
      </c>
      <c r="R667" s="327" t="str">
        <f t="shared" si="155"/>
        <v/>
      </c>
      <c r="S667" s="421" t="str">
        <f t="shared" si="156"/>
        <v/>
      </c>
      <c r="T667" s="327" t="str">
        <f t="shared" si="157"/>
        <v/>
      </c>
      <c r="U667" s="327" t="str">
        <f t="shared" si="158"/>
        <v/>
      </c>
      <c r="V667" s="327" t="str">
        <f t="shared" si="159"/>
        <v/>
      </c>
      <c r="W667" s="327" t="str">
        <f t="shared" si="160"/>
        <v/>
      </c>
      <c r="X667" s="327" t="str">
        <f t="shared" si="161"/>
        <v/>
      </c>
      <c r="Y667" s="327" t="str">
        <f t="shared" si="162"/>
        <v/>
      </c>
      <c r="Z667" s="428" t="str">
        <f t="shared" si="163"/>
        <v/>
      </c>
    </row>
    <row r="668" spans="1:26" x14ac:dyDescent="0.35">
      <c r="A668" s="265"/>
      <c r="B668" s="266"/>
      <c r="C668" s="262"/>
      <c r="D668" s="262"/>
      <c r="E668" s="262"/>
      <c r="F668" s="262"/>
      <c r="G668" s="320"/>
      <c r="H668" s="262"/>
      <c r="I668" s="320"/>
      <c r="J668" s="320"/>
      <c r="K668" s="262"/>
      <c r="L668" s="262"/>
      <c r="M668" s="327" t="str">
        <f t="shared" si="150"/>
        <v/>
      </c>
      <c r="N668" s="327" t="str">
        <f t="shared" si="151"/>
        <v/>
      </c>
      <c r="O668" s="327" t="str">
        <f t="shared" si="152"/>
        <v/>
      </c>
      <c r="P668" s="327" t="str">
        <f t="shared" si="153"/>
        <v/>
      </c>
      <c r="Q668" s="327" t="str">
        <f t="shared" si="154"/>
        <v/>
      </c>
      <c r="R668" s="327" t="str">
        <f t="shared" si="155"/>
        <v/>
      </c>
      <c r="S668" s="421" t="str">
        <f t="shared" si="156"/>
        <v/>
      </c>
      <c r="T668" s="327" t="str">
        <f t="shared" si="157"/>
        <v/>
      </c>
      <c r="U668" s="327" t="str">
        <f t="shared" si="158"/>
        <v/>
      </c>
      <c r="V668" s="327" t="str">
        <f t="shared" si="159"/>
        <v/>
      </c>
      <c r="W668" s="327" t="str">
        <f t="shared" si="160"/>
        <v/>
      </c>
      <c r="X668" s="327" t="str">
        <f t="shared" si="161"/>
        <v/>
      </c>
      <c r="Y668" s="327" t="str">
        <f t="shared" si="162"/>
        <v/>
      </c>
      <c r="Z668" s="428" t="str">
        <f t="shared" si="163"/>
        <v/>
      </c>
    </row>
    <row r="669" spans="1:26" x14ac:dyDescent="0.35">
      <c r="A669" s="265"/>
      <c r="B669" s="266"/>
      <c r="C669" s="262"/>
      <c r="D669" s="262"/>
      <c r="E669" s="262"/>
      <c r="F669" s="262"/>
      <c r="G669" s="320"/>
      <c r="H669" s="262"/>
      <c r="I669" s="320"/>
      <c r="J669" s="320"/>
      <c r="K669" s="262"/>
      <c r="L669" s="262"/>
      <c r="M669" s="327" t="str">
        <f t="shared" si="150"/>
        <v/>
      </c>
      <c r="N669" s="327" t="str">
        <f t="shared" si="151"/>
        <v/>
      </c>
      <c r="O669" s="327" t="str">
        <f t="shared" si="152"/>
        <v/>
      </c>
      <c r="P669" s="327" t="str">
        <f t="shared" si="153"/>
        <v/>
      </c>
      <c r="Q669" s="327" t="str">
        <f t="shared" si="154"/>
        <v/>
      </c>
      <c r="R669" s="327" t="str">
        <f t="shared" si="155"/>
        <v/>
      </c>
      <c r="S669" s="421" t="str">
        <f t="shared" si="156"/>
        <v/>
      </c>
      <c r="T669" s="327" t="str">
        <f t="shared" si="157"/>
        <v/>
      </c>
      <c r="U669" s="327" t="str">
        <f t="shared" si="158"/>
        <v/>
      </c>
      <c r="V669" s="327" t="str">
        <f t="shared" si="159"/>
        <v/>
      </c>
      <c r="W669" s="327" t="str">
        <f t="shared" si="160"/>
        <v/>
      </c>
      <c r="X669" s="327" t="str">
        <f t="shared" si="161"/>
        <v/>
      </c>
      <c r="Y669" s="327" t="str">
        <f t="shared" si="162"/>
        <v/>
      </c>
      <c r="Z669" s="428" t="str">
        <f t="shared" si="163"/>
        <v/>
      </c>
    </row>
    <row r="670" spans="1:26" x14ac:dyDescent="0.35">
      <c r="A670" s="265"/>
      <c r="B670" s="266"/>
      <c r="C670" s="262"/>
      <c r="D670" s="262"/>
      <c r="E670" s="262"/>
      <c r="F670" s="262"/>
      <c r="G670" s="320"/>
      <c r="H670" s="262"/>
      <c r="I670" s="320"/>
      <c r="J670" s="320"/>
      <c r="K670" s="262"/>
      <c r="L670" s="262"/>
      <c r="M670" s="327" t="str">
        <f t="shared" si="150"/>
        <v/>
      </c>
      <c r="N670" s="327" t="str">
        <f t="shared" si="151"/>
        <v/>
      </c>
      <c r="O670" s="327" t="str">
        <f t="shared" si="152"/>
        <v/>
      </c>
      <c r="P670" s="327" t="str">
        <f t="shared" si="153"/>
        <v/>
      </c>
      <c r="Q670" s="327" t="str">
        <f t="shared" si="154"/>
        <v/>
      </c>
      <c r="R670" s="327" t="str">
        <f t="shared" si="155"/>
        <v/>
      </c>
      <c r="S670" s="421" t="str">
        <f t="shared" si="156"/>
        <v/>
      </c>
      <c r="T670" s="327" t="str">
        <f t="shared" si="157"/>
        <v/>
      </c>
      <c r="U670" s="327" t="str">
        <f t="shared" si="158"/>
        <v/>
      </c>
      <c r="V670" s="327" t="str">
        <f t="shared" si="159"/>
        <v/>
      </c>
      <c r="W670" s="327" t="str">
        <f t="shared" si="160"/>
        <v/>
      </c>
      <c r="X670" s="327" t="str">
        <f t="shared" si="161"/>
        <v/>
      </c>
      <c r="Y670" s="327" t="str">
        <f t="shared" si="162"/>
        <v/>
      </c>
      <c r="Z670" s="428" t="str">
        <f t="shared" si="163"/>
        <v/>
      </c>
    </row>
    <row r="671" spans="1:26" x14ac:dyDescent="0.35">
      <c r="A671" s="265"/>
      <c r="B671" s="266"/>
      <c r="C671" s="262"/>
      <c r="D671" s="262"/>
      <c r="E671" s="262"/>
      <c r="F671" s="262"/>
      <c r="G671" s="320"/>
      <c r="H671" s="262"/>
      <c r="I671" s="320"/>
      <c r="J671" s="320"/>
      <c r="K671" s="262"/>
      <c r="L671" s="262"/>
      <c r="M671" s="327" t="str">
        <f t="shared" si="150"/>
        <v/>
      </c>
      <c r="N671" s="327" t="str">
        <f t="shared" si="151"/>
        <v/>
      </c>
      <c r="O671" s="327" t="str">
        <f t="shared" si="152"/>
        <v/>
      </c>
      <c r="P671" s="327" t="str">
        <f t="shared" si="153"/>
        <v/>
      </c>
      <c r="Q671" s="327" t="str">
        <f t="shared" si="154"/>
        <v/>
      </c>
      <c r="R671" s="327" t="str">
        <f t="shared" si="155"/>
        <v/>
      </c>
      <c r="S671" s="421" t="str">
        <f t="shared" si="156"/>
        <v/>
      </c>
      <c r="T671" s="327" t="str">
        <f t="shared" si="157"/>
        <v/>
      </c>
      <c r="U671" s="327" t="str">
        <f t="shared" si="158"/>
        <v/>
      </c>
      <c r="V671" s="327" t="str">
        <f t="shared" si="159"/>
        <v/>
      </c>
      <c r="W671" s="327" t="str">
        <f t="shared" si="160"/>
        <v/>
      </c>
      <c r="X671" s="327" t="str">
        <f t="shared" si="161"/>
        <v/>
      </c>
      <c r="Y671" s="327" t="str">
        <f t="shared" si="162"/>
        <v/>
      </c>
      <c r="Z671" s="428" t="str">
        <f t="shared" si="163"/>
        <v/>
      </c>
    </row>
    <row r="672" spans="1:26" x14ac:dyDescent="0.35">
      <c r="A672" s="265"/>
      <c r="B672" s="266"/>
      <c r="C672" s="262"/>
      <c r="D672" s="262"/>
      <c r="E672" s="262"/>
      <c r="F672" s="262"/>
      <c r="G672" s="320"/>
      <c r="H672" s="262"/>
      <c r="I672" s="320"/>
      <c r="J672" s="320"/>
      <c r="K672" s="262"/>
      <c r="L672" s="262"/>
      <c r="M672" s="327" t="str">
        <f t="shared" si="150"/>
        <v/>
      </c>
      <c r="N672" s="327" t="str">
        <f t="shared" si="151"/>
        <v/>
      </c>
      <c r="O672" s="327" t="str">
        <f t="shared" si="152"/>
        <v/>
      </c>
      <c r="P672" s="327" t="str">
        <f t="shared" si="153"/>
        <v/>
      </c>
      <c r="Q672" s="327" t="str">
        <f t="shared" si="154"/>
        <v/>
      </c>
      <c r="R672" s="327" t="str">
        <f t="shared" si="155"/>
        <v/>
      </c>
      <c r="S672" s="421" t="str">
        <f t="shared" si="156"/>
        <v/>
      </c>
      <c r="T672" s="327" t="str">
        <f t="shared" si="157"/>
        <v/>
      </c>
      <c r="U672" s="327" t="str">
        <f t="shared" si="158"/>
        <v/>
      </c>
      <c r="V672" s="327" t="str">
        <f t="shared" si="159"/>
        <v/>
      </c>
      <c r="W672" s="327" t="str">
        <f t="shared" si="160"/>
        <v/>
      </c>
      <c r="X672" s="327" t="str">
        <f t="shared" si="161"/>
        <v/>
      </c>
      <c r="Y672" s="327" t="str">
        <f t="shared" si="162"/>
        <v/>
      </c>
      <c r="Z672" s="428" t="str">
        <f t="shared" si="163"/>
        <v/>
      </c>
    </row>
    <row r="673" spans="1:26" x14ac:dyDescent="0.35">
      <c r="A673" s="265"/>
      <c r="B673" s="266"/>
      <c r="C673" s="262"/>
      <c r="D673" s="262"/>
      <c r="E673" s="262"/>
      <c r="F673" s="262"/>
      <c r="G673" s="320"/>
      <c r="H673" s="262"/>
      <c r="I673" s="320"/>
      <c r="J673" s="320"/>
      <c r="K673" s="262"/>
      <c r="L673" s="262"/>
      <c r="M673" s="327" t="str">
        <f t="shared" si="150"/>
        <v/>
      </c>
      <c r="N673" s="327" t="str">
        <f t="shared" si="151"/>
        <v/>
      </c>
      <c r="O673" s="327" t="str">
        <f t="shared" si="152"/>
        <v/>
      </c>
      <c r="P673" s="327" t="str">
        <f t="shared" si="153"/>
        <v/>
      </c>
      <c r="Q673" s="327" t="str">
        <f t="shared" si="154"/>
        <v/>
      </c>
      <c r="R673" s="327" t="str">
        <f t="shared" si="155"/>
        <v/>
      </c>
      <c r="S673" s="421" t="str">
        <f t="shared" si="156"/>
        <v/>
      </c>
      <c r="T673" s="327" t="str">
        <f t="shared" si="157"/>
        <v/>
      </c>
      <c r="U673" s="327" t="str">
        <f t="shared" si="158"/>
        <v/>
      </c>
      <c r="V673" s="327" t="str">
        <f t="shared" si="159"/>
        <v/>
      </c>
      <c r="W673" s="327" t="str">
        <f t="shared" si="160"/>
        <v/>
      </c>
      <c r="X673" s="327" t="str">
        <f t="shared" si="161"/>
        <v/>
      </c>
      <c r="Y673" s="327" t="str">
        <f t="shared" si="162"/>
        <v/>
      </c>
      <c r="Z673" s="428" t="str">
        <f t="shared" si="163"/>
        <v/>
      </c>
    </row>
    <row r="674" spans="1:26" x14ac:dyDescent="0.35">
      <c r="A674" s="265"/>
      <c r="B674" s="266"/>
      <c r="C674" s="262"/>
      <c r="D674" s="262"/>
      <c r="E674" s="262"/>
      <c r="F674" s="262"/>
      <c r="G674" s="320"/>
      <c r="H674" s="262"/>
      <c r="I674" s="320"/>
      <c r="J674" s="320"/>
      <c r="K674" s="262"/>
      <c r="L674" s="262"/>
      <c r="M674" s="327" t="str">
        <f t="shared" si="150"/>
        <v/>
      </c>
      <c r="N674" s="327" t="str">
        <f t="shared" si="151"/>
        <v/>
      </c>
      <c r="O674" s="327" t="str">
        <f t="shared" si="152"/>
        <v/>
      </c>
      <c r="P674" s="327" t="str">
        <f t="shared" si="153"/>
        <v/>
      </c>
      <c r="Q674" s="327" t="str">
        <f t="shared" si="154"/>
        <v/>
      </c>
      <c r="R674" s="327" t="str">
        <f t="shared" si="155"/>
        <v/>
      </c>
      <c r="S674" s="421" t="str">
        <f t="shared" si="156"/>
        <v/>
      </c>
      <c r="T674" s="327" t="str">
        <f t="shared" si="157"/>
        <v/>
      </c>
      <c r="U674" s="327" t="str">
        <f t="shared" si="158"/>
        <v/>
      </c>
      <c r="V674" s="327" t="str">
        <f t="shared" si="159"/>
        <v/>
      </c>
      <c r="W674" s="327" t="str">
        <f t="shared" si="160"/>
        <v/>
      </c>
      <c r="X674" s="327" t="str">
        <f t="shared" si="161"/>
        <v/>
      </c>
      <c r="Y674" s="327" t="str">
        <f t="shared" si="162"/>
        <v/>
      </c>
      <c r="Z674" s="428" t="str">
        <f t="shared" si="163"/>
        <v/>
      </c>
    </row>
    <row r="675" spans="1:26" x14ac:dyDescent="0.35">
      <c r="A675" s="265"/>
      <c r="B675" s="266"/>
      <c r="C675" s="262"/>
      <c r="D675" s="262"/>
      <c r="E675" s="262"/>
      <c r="F675" s="262"/>
      <c r="G675" s="320"/>
      <c r="H675" s="262"/>
      <c r="I675" s="320"/>
      <c r="J675" s="320"/>
      <c r="K675" s="262"/>
      <c r="L675" s="262"/>
      <c r="M675" s="327" t="str">
        <f t="shared" si="150"/>
        <v/>
      </c>
      <c r="N675" s="327" t="str">
        <f t="shared" si="151"/>
        <v/>
      </c>
      <c r="O675" s="327" t="str">
        <f t="shared" si="152"/>
        <v/>
      </c>
      <c r="P675" s="327" t="str">
        <f t="shared" si="153"/>
        <v/>
      </c>
      <c r="Q675" s="327" t="str">
        <f t="shared" si="154"/>
        <v/>
      </c>
      <c r="R675" s="327" t="str">
        <f t="shared" si="155"/>
        <v/>
      </c>
      <c r="S675" s="421" t="str">
        <f t="shared" si="156"/>
        <v/>
      </c>
      <c r="T675" s="327" t="str">
        <f t="shared" si="157"/>
        <v/>
      </c>
      <c r="U675" s="327" t="str">
        <f t="shared" si="158"/>
        <v/>
      </c>
      <c r="V675" s="327" t="str">
        <f t="shared" si="159"/>
        <v/>
      </c>
      <c r="W675" s="327" t="str">
        <f t="shared" si="160"/>
        <v/>
      </c>
      <c r="X675" s="327" t="str">
        <f t="shared" si="161"/>
        <v/>
      </c>
      <c r="Y675" s="327" t="str">
        <f t="shared" si="162"/>
        <v/>
      </c>
      <c r="Z675" s="428" t="str">
        <f t="shared" si="163"/>
        <v/>
      </c>
    </row>
    <row r="676" spans="1:26" x14ac:dyDescent="0.35">
      <c r="A676" s="265"/>
      <c r="B676" s="266"/>
      <c r="C676" s="262"/>
      <c r="D676" s="262"/>
      <c r="E676" s="262"/>
      <c r="F676" s="262"/>
      <c r="G676" s="320"/>
      <c r="H676" s="262"/>
      <c r="I676" s="320"/>
      <c r="J676" s="320"/>
      <c r="K676" s="262"/>
      <c r="L676" s="262"/>
      <c r="M676" s="327" t="str">
        <f t="shared" si="150"/>
        <v/>
      </c>
      <c r="N676" s="327" t="str">
        <f t="shared" si="151"/>
        <v/>
      </c>
      <c r="O676" s="327" t="str">
        <f t="shared" si="152"/>
        <v/>
      </c>
      <c r="P676" s="327" t="str">
        <f t="shared" si="153"/>
        <v/>
      </c>
      <c r="Q676" s="327" t="str">
        <f t="shared" si="154"/>
        <v/>
      </c>
      <c r="R676" s="327" t="str">
        <f t="shared" si="155"/>
        <v/>
      </c>
      <c r="S676" s="421" t="str">
        <f t="shared" si="156"/>
        <v/>
      </c>
      <c r="T676" s="327" t="str">
        <f t="shared" si="157"/>
        <v/>
      </c>
      <c r="U676" s="327" t="str">
        <f t="shared" si="158"/>
        <v/>
      </c>
      <c r="V676" s="327" t="str">
        <f t="shared" si="159"/>
        <v/>
      </c>
      <c r="W676" s="327" t="str">
        <f t="shared" si="160"/>
        <v/>
      </c>
      <c r="X676" s="327" t="str">
        <f t="shared" si="161"/>
        <v/>
      </c>
      <c r="Y676" s="327" t="str">
        <f t="shared" si="162"/>
        <v/>
      </c>
      <c r="Z676" s="428" t="str">
        <f t="shared" si="163"/>
        <v/>
      </c>
    </row>
    <row r="677" spans="1:26" x14ac:dyDescent="0.35">
      <c r="A677" s="265"/>
      <c r="B677" s="266"/>
      <c r="C677" s="262"/>
      <c r="D677" s="262"/>
      <c r="E677" s="262"/>
      <c r="F677" s="262"/>
      <c r="G677" s="320"/>
      <c r="H677" s="262"/>
      <c r="I677" s="320"/>
      <c r="J677" s="320"/>
      <c r="K677" s="262"/>
      <c r="L677" s="262"/>
      <c r="M677" s="327" t="str">
        <f t="shared" si="150"/>
        <v/>
      </c>
      <c r="N677" s="327" t="str">
        <f t="shared" si="151"/>
        <v/>
      </c>
      <c r="O677" s="327" t="str">
        <f t="shared" si="152"/>
        <v/>
      </c>
      <c r="P677" s="327" t="str">
        <f t="shared" si="153"/>
        <v/>
      </c>
      <c r="Q677" s="327" t="str">
        <f t="shared" si="154"/>
        <v/>
      </c>
      <c r="R677" s="327" t="str">
        <f t="shared" si="155"/>
        <v/>
      </c>
      <c r="S677" s="421" t="str">
        <f t="shared" si="156"/>
        <v/>
      </c>
      <c r="T677" s="327" t="str">
        <f t="shared" si="157"/>
        <v/>
      </c>
      <c r="U677" s="327" t="str">
        <f t="shared" si="158"/>
        <v/>
      </c>
      <c r="V677" s="327" t="str">
        <f t="shared" si="159"/>
        <v/>
      </c>
      <c r="W677" s="327" t="str">
        <f t="shared" si="160"/>
        <v/>
      </c>
      <c r="X677" s="327" t="str">
        <f t="shared" si="161"/>
        <v/>
      </c>
      <c r="Y677" s="327" t="str">
        <f t="shared" si="162"/>
        <v/>
      </c>
      <c r="Z677" s="428" t="str">
        <f t="shared" si="163"/>
        <v/>
      </c>
    </row>
    <row r="678" spans="1:26" x14ac:dyDescent="0.35">
      <c r="A678" s="265"/>
      <c r="B678" s="266"/>
      <c r="C678" s="262"/>
      <c r="D678" s="262"/>
      <c r="E678" s="262"/>
      <c r="F678" s="262"/>
      <c r="G678" s="320"/>
      <c r="H678" s="262"/>
      <c r="I678" s="320"/>
      <c r="J678" s="320"/>
      <c r="K678" s="262"/>
      <c r="L678" s="262"/>
      <c r="M678" s="327" t="str">
        <f t="shared" si="150"/>
        <v/>
      </c>
      <c r="N678" s="327" t="str">
        <f t="shared" si="151"/>
        <v/>
      </c>
      <c r="O678" s="327" t="str">
        <f t="shared" si="152"/>
        <v/>
      </c>
      <c r="P678" s="327" t="str">
        <f t="shared" si="153"/>
        <v/>
      </c>
      <c r="Q678" s="327" t="str">
        <f t="shared" si="154"/>
        <v/>
      </c>
      <c r="R678" s="327" t="str">
        <f t="shared" si="155"/>
        <v/>
      </c>
      <c r="S678" s="421" t="str">
        <f t="shared" si="156"/>
        <v/>
      </c>
      <c r="T678" s="327" t="str">
        <f t="shared" si="157"/>
        <v/>
      </c>
      <c r="U678" s="327" t="str">
        <f t="shared" si="158"/>
        <v/>
      </c>
      <c r="V678" s="327" t="str">
        <f t="shared" si="159"/>
        <v/>
      </c>
      <c r="W678" s="327" t="str">
        <f t="shared" si="160"/>
        <v/>
      </c>
      <c r="X678" s="327" t="str">
        <f t="shared" si="161"/>
        <v/>
      </c>
      <c r="Y678" s="327" t="str">
        <f t="shared" si="162"/>
        <v/>
      </c>
      <c r="Z678" s="428" t="str">
        <f t="shared" si="163"/>
        <v/>
      </c>
    </row>
    <row r="679" spans="1:26" x14ac:dyDescent="0.35">
      <c r="A679" s="265"/>
      <c r="B679" s="266"/>
      <c r="C679" s="262"/>
      <c r="D679" s="262"/>
      <c r="E679" s="262"/>
      <c r="F679" s="262"/>
      <c r="G679" s="320"/>
      <c r="H679" s="262"/>
      <c r="I679" s="320"/>
      <c r="J679" s="320"/>
      <c r="K679" s="262"/>
      <c r="L679" s="262"/>
      <c r="M679" s="327" t="str">
        <f t="shared" si="150"/>
        <v/>
      </c>
      <c r="N679" s="327" t="str">
        <f t="shared" si="151"/>
        <v/>
      </c>
      <c r="O679" s="327" t="str">
        <f t="shared" si="152"/>
        <v/>
      </c>
      <c r="P679" s="327" t="str">
        <f t="shared" si="153"/>
        <v/>
      </c>
      <c r="Q679" s="327" t="str">
        <f t="shared" si="154"/>
        <v/>
      </c>
      <c r="R679" s="327" t="str">
        <f t="shared" si="155"/>
        <v/>
      </c>
      <c r="S679" s="421" t="str">
        <f t="shared" si="156"/>
        <v/>
      </c>
      <c r="T679" s="327" t="str">
        <f t="shared" si="157"/>
        <v/>
      </c>
      <c r="U679" s="327" t="str">
        <f t="shared" si="158"/>
        <v/>
      </c>
      <c r="V679" s="327" t="str">
        <f t="shared" si="159"/>
        <v/>
      </c>
      <c r="W679" s="327" t="str">
        <f t="shared" si="160"/>
        <v/>
      </c>
      <c r="X679" s="327" t="str">
        <f t="shared" si="161"/>
        <v/>
      </c>
      <c r="Y679" s="327" t="str">
        <f t="shared" si="162"/>
        <v/>
      </c>
      <c r="Z679" s="428" t="str">
        <f t="shared" si="163"/>
        <v/>
      </c>
    </row>
    <row r="680" spans="1:26" x14ac:dyDescent="0.35">
      <c r="A680" s="265"/>
      <c r="B680" s="266"/>
      <c r="C680" s="262"/>
      <c r="D680" s="262"/>
      <c r="E680" s="262"/>
      <c r="F680" s="262"/>
      <c r="G680" s="320"/>
      <c r="H680" s="262"/>
      <c r="I680" s="320"/>
      <c r="J680" s="320"/>
      <c r="K680" s="262"/>
      <c r="L680" s="262"/>
      <c r="M680" s="327" t="str">
        <f t="shared" si="150"/>
        <v/>
      </c>
      <c r="N680" s="327" t="str">
        <f t="shared" si="151"/>
        <v/>
      </c>
      <c r="O680" s="327" t="str">
        <f t="shared" si="152"/>
        <v/>
      </c>
      <c r="P680" s="327" t="str">
        <f t="shared" si="153"/>
        <v/>
      </c>
      <c r="Q680" s="327" t="str">
        <f t="shared" si="154"/>
        <v/>
      </c>
      <c r="R680" s="327" t="str">
        <f t="shared" si="155"/>
        <v/>
      </c>
      <c r="S680" s="421" t="str">
        <f t="shared" si="156"/>
        <v/>
      </c>
      <c r="T680" s="327" t="str">
        <f t="shared" si="157"/>
        <v/>
      </c>
      <c r="U680" s="327" t="str">
        <f t="shared" si="158"/>
        <v/>
      </c>
      <c r="V680" s="327" t="str">
        <f t="shared" si="159"/>
        <v/>
      </c>
      <c r="W680" s="327" t="str">
        <f t="shared" si="160"/>
        <v/>
      </c>
      <c r="X680" s="327" t="str">
        <f t="shared" si="161"/>
        <v/>
      </c>
      <c r="Y680" s="327" t="str">
        <f t="shared" si="162"/>
        <v/>
      </c>
      <c r="Z680" s="428" t="str">
        <f t="shared" si="163"/>
        <v/>
      </c>
    </row>
    <row r="681" spans="1:26" x14ac:dyDescent="0.35">
      <c r="A681" s="265"/>
      <c r="B681" s="266"/>
      <c r="C681" s="262"/>
      <c r="D681" s="262"/>
      <c r="E681" s="262"/>
      <c r="F681" s="262"/>
      <c r="G681" s="320"/>
      <c r="H681" s="262"/>
      <c r="I681" s="320"/>
      <c r="J681" s="320"/>
      <c r="K681" s="262"/>
      <c r="L681" s="262"/>
      <c r="M681" s="327" t="str">
        <f t="shared" si="150"/>
        <v/>
      </c>
      <c r="N681" s="327" t="str">
        <f t="shared" si="151"/>
        <v/>
      </c>
      <c r="O681" s="327" t="str">
        <f t="shared" si="152"/>
        <v/>
      </c>
      <c r="P681" s="327" t="str">
        <f t="shared" si="153"/>
        <v/>
      </c>
      <c r="Q681" s="327" t="str">
        <f t="shared" si="154"/>
        <v/>
      </c>
      <c r="R681" s="327" t="str">
        <f t="shared" si="155"/>
        <v/>
      </c>
      <c r="S681" s="421" t="str">
        <f t="shared" si="156"/>
        <v/>
      </c>
      <c r="T681" s="327" t="str">
        <f t="shared" si="157"/>
        <v/>
      </c>
      <c r="U681" s="327" t="str">
        <f t="shared" si="158"/>
        <v/>
      </c>
      <c r="V681" s="327" t="str">
        <f t="shared" si="159"/>
        <v/>
      </c>
      <c r="W681" s="327" t="str">
        <f t="shared" si="160"/>
        <v/>
      </c>
      <c r="X681" s="327" t="str">
        <f t="shared" si="161"/>
        <v/>
      </c>
      <c r="Y681" s="327" t="str">
        <f t="shared" si="162"/>
        <v/>
      </c>
      <c r="Z681" s="428" t="str">
        <f t="shared" si="163"/>
        <v/>
      </c>
    </row>
    <row r="682" spans="1:26" x14ac:dyDescent="0.35">
      <c r="A682" s="265"/>
      <c r="B682" s="266"/>
      <c r="C682" s="262"/>
      <c r="D682" s="262"/>
      <c r="E682" s="262"/>
      <c r="F682" s="262"/>
      <c r="G682" s="320"/>
      <c r="H682" s="262"/>
      <c r="I682" s="320"/>
      <c r="J682" s="320"/>
      <c r="K682" s="262"/>
      <c r="L682" s="262"/>
      <c r="M682" s="327" t="str">
        <f t="shared" si="150"/>
        <v/>
      </c>
      <c r="N682" s="327" t="str">
        <f t="shared" si="151"/>
        <v/>
      </c>
      <c r="O682" s="327" t="str">
        <f t="shared" si="152"/>
        <v/>
      </c>
      <c r="P682" s="327" t="str">
        <f t="shared" si="153"/>
        <v/>
      </c>
      <c r="Q682" s="327" t="str">
        <f t="shared" si="154"/>
        <v/>
      </c>
      <c r="R682" s="327" t="str">
        <f t="shared" si="155"/>
        <v/>
      </c>
      <c r="S682" s="421" t="str">
        <f t="shared" si="156"/>
        <v/>
      </c>
      <c r="T682" s="327" t="str">
        <f t="shared" si="157"/>
        <v/>
      </c>
      <c r="U682" s="327" t="str">
        <f t="shared" si="158"/>
        <v/>
      </c>
      <c r="V682" s="327" t="str">
        <f t="shared" si="159"/>
        <v/>
      </c>
      <c r="W682" s="327" t="str">
        <f t="shared" si="160"/>
        <v/>
      </c>
      <c r="X682" s="327" t="str">
        <f t="shared" si="161"/>
        <v/>
      </c>
      <c r="Y682" s="327" t="str">
        <f t="shared" si="162"/>
        <v/>
      </c>
      <c r="Z682" s="428" t="str">
        <f t="shared" si="163"/>
        <v/>
      </c>
    </row>
    <row r="683" spans="1:26" x14ac:dyDescent="0.35">
      <c r="A683" s="265"/>
      <c r="B683" s="266"/>
      <c r="C683" s="262"/>
      <c r="D683" s="262"/>
      <c r="E683" s="262"/>
      <c r="F683" s="262"/>
      <c r="G683" s="320"/>
      <c r="H683" s="262"/>
      <c r="I683" s="320"/>
      <c r="J683" s="320"/>
      <c r="K683" s="262"/>
      <c r="L683" s="262"/>
      <c r="M683" s="327" t="str">
        <f t="shared" ref="M683:M746" si="164">IF(OR(A683="", B683=""), "", IF(H683="Mitgliedsbeiträge", ABS(B683), ""))</f>
        <v/>
      </c>
      <c r="N683" s="327" t="str">
        <f t="shared" ref="N683:N746" si="165">IF(OR(A683="", B683=""), "", IF(H683="Spenden", ABS(B683), ""))</f>
        <v/>
      </c>
      <c r="O683" s="327" t="str">
        <f t="shared" ref="O683:O746" si="166">IF(OR(A683="", B683=""), "", IF(H683="Zuschüsse", ABS(B683), ""))</f>
        <v/>
      </c>
      <c r="P683" s="327" t="str">
        <f t="shared" ref="P683:P746" si="167">IF(OR(A683="", B683=""), "", IF(H683="Verwaltung", ABS(B683), ""))</f>
        <v/>
      </c>
      <c r="Q683" s="327" t="str">
        <f t="shared" ref="Q683:Q746" si="168">IF(OR(A683="", B683=""), "", IF(H683="Vermögen", ABS(B683), ""))</f>
        <v/>
      </c>
      <c r="R683" s="327" t="str">
        <f t="shared" ref="R683:R746" si="169">IF(OR(A683="", B683=""), "", IF(H683="Vermögen", ABS(B683), ""))</f>
        <v/>
      </c>
      <c r="S683" s="421" t="str">
        <f t="shared" ref="S683:S746" si="170">IF(OR(A683="", B683=""), "", IF(H683="Sonstige Einnahmen", ABS(B683), ""))</f>
        <v/>
      </c>
      <c r="T683" s="327" t="str">
        <f t="shared" ref="T683:T746" si="171">IF(OR(A683="", B683=""), "", IF(H683="Unterhaltung", ABS(B683), ""))</f>
        <v/>
      </c>
      <c r="U683" s="327" t="str">
        <f t="shared" ref="U683:U746" si="172">IF(OR(A683="", B683=""), "", IF(H683="Fortbildung", ABS(B683), ""))</f>
        <v/>
      </c>
      <c r="V683" s="327" t="str">
        <f t="shared" ref="V683:V746" si="173">IF(OR(A683="", B683=""), "", IF(H683="Veranstaltungen Ausgabe", ABS(B683), ""))</f>
        <v/>
      </c>
      <c r="W683" s="327" t="str">
        <f t="shared" ref="W683:W746" si="174">IF(OR(A683="", B683=""), "", IF(H683="Bürobetrieb", ABS(B683), ""))</f>
        <v/>
      </c>
      <c r="X683" s="327" t="str">
        <f t="shared" ref="X683:X746" si="175">IF(OR(A683="", B683=""), "", IF(H683="Aufwandsentschädigungen", ABS(B683), ""))</f>
        <v/>
      </c>
      <c r="Y683" s="327" t="str">
        <f t="shared" ref="Y683:Y746" si="176">IF(OR(A683="", B683=""), "", IF(H683="Sonstige Ausgaben", ABS(B683), ""))</f>
        <v/>
      </c>
      <c r="Z683" s="428" t="str">
        <f t="shared" ref="Z683:Z746" si="177">IF(OR(A683="", B683=""), "", IF(H683="Kasse-Auszahlung", ABS(B683), ""))</f>
        <v/>
      </c>
    </row>
    <row r="684" spans="1:26" x14ac:dyDescent="0.35">
      <c r="A684" s="265"/>
      <c r="B684" s="266"/>
      <c r="C684" s="262"/>
      <c r="D684" s="262"/>
      <c r="E684" s="262"/>
      <c r="F684" s="262"/>
      <c r="G684" s="320"/>
      <c r="H684" s="262"/>
      <c r="I684" s="320"/>
      <c r="J684" s="320"/>
      <c r="K684" s="262"/>
      <c r="L684" s="262"/>
      <c r="M684" s="327" t="str">
        <f t="shared" si="164"/>
        <v/>
      </c>
      <c r="N684" s="327" t="str">
        <f t="shared" si="165"/>
        <v/>
      </c>
      <c r="O684" s="327" t="str">
        <f t="shared" si="166"/>
        <v/>
      </c>
      <c r="P684" s="327" t="str">
        <f t="shared" si="167"/>
        <v/>
      </c>
      <c r="Q684" s="327" t="str">
        <f t="shared" si="168"/>
        <v/>
      </c>
      <c r="R684" s="327" t="str">
        <f t="shared" si="169"/>
        <v/>
      </c>
      <c r="S684" s="421" t="str">
        <f t="shared" si="170"/>
        <v/>
      </c>
      <c r="T684" s="327" t="str">
        <f t="shared" si="171"/>
        <v/>
      </c>
      <c r="U684" s="327" t="str">
        <f t="shared" si="172"/>
        <v/>
      </c>
      <c r="V684" s="327" t="str">
        <f t="shared" si="173"/>
        <v/>
      </c>
      <c r="W684" s="327" t="str">
        <f t="shared" si="174"/>
        <v/>
      </c>
      <c r="X684" s="327" t="str">
        <f t="shared" si="175"/>
        <v/>
      </c>
      <c r="Y684" s="327" t="str">
        <f t="shared" si="176"/>
        <v/>
      </c>
      <c r="Z684" s="428" t="str">
        <f t="shared" si="177"/>
        <v/>
      </c>
    </row>
    <row r="685" spans="1:26" x14ac:dyDescent="0.35">
      <c r="A685" s="265"/>
      <c r="B685" s="266"/>
      <c r="C685" s="262"/>
      <c r="D685" s="262"/>
      <c r="E685" s="262"/>
      <c r="F685" s="262"/>
      <c r="G685" s="320"/>
      <c r="H685" s="262"/>
      <c r="I685" s="320"/>
      <c r="J685" s="320"/>
      <c r="K685" s="262"/>
      <c r="L685" s="262"/>
      <c r="M685" s="327" t="str">
        <f t="shared" si="164"/>
        <v/>
      </c>
      <c r="N685" s="327" t="str">
        <f t="shared" si="165"/>
        <v/>
      </c>
      <c r="O685" s="327" t="str">
        <f t="shared" si="166"/>
        <v/>
      </c>
      <c r="P685" s="327" t="str">
        <f t="shared" si="167"/>
        <v/>
      </c>
      <c r="Q685" s="327" t="str">
        <f t="shared" si="168"/>
        <v/>
      </c>
      <c r="R685" s="327" t="str">
        <f t="shared" si="169"/>
        <v/>
      </c>
      <c r="S685" s="421" t="str">
        <f t="shared" si="170"/>
        <v/>
      </c>
      <c r="T685" s="327" t="str">
        <f t="shared" si="171"/>
        <v/>
      </c>
      <c r="U685" s="327" t="str">
        <f t="shared" si="172"/>
        <v/>
      </c>
      <c r="V685" s="327" t="str">
        <f t="shared" si="173"/>
        <v/>
      </c>
      <c r="W685" s="327" t="str">
        <f t="shared" si="174"/>
        <v/>
      </c>
      <c r="X685" s="327" t="str">
        <f t="shared" si="175"/>
        <v/>
      </c>
      <c r="Y685" s="327" t="str">
        <f t="shared" si="176"/>
        <v/>
      </c>
      <c r="Z685" s="428" t="str">
        <f t="shared" si="177"/>
        <v/>
      </c>
    </row>
    <row r="686" spans="1:26" x14ac:dyDescent="0.35">
      <c r="A686" s="265"/>
      <c r="B686" s="266"/>
      <c r="C686" s="262"/>
      <c r="D686" s="262"/>
      <c r="E686" s="262"/>
      <c r="F686" s="262"/>
      <c r="G686" s="320"/>
      <c r="H686" s="262"/>
      <c r="I686" s="320"/>
      <c r="J686" s="320"/>
      <c r="K686" s="262"/>
      <c r="L686" s="262"/>
      <c r="M686" s="327" t="str">
        <f t="shared" si="164"/>
        <v/>
      </c>
      <c r="N686" s="327" t="str">
        <f t="shared" si="165"/>
        <v/>
      </c>
      <c r="O686" s="327" t="str">
        <f t="shared" si="166"/>
        <v/>
      </c>
      <c r="P686" s="327" t="str">
        <f t="shared" si="167"/>
        <v/>
      </c>
      <c r="Q686" s="327" t="str">
        <f t="shared" si="168"/>
        <v/>
      </c>
      <c r="R686" s="327" t="str">
        <f t="shared" si="169"/>
        <v/>
      </c>
      <c r="S686" s="421" t="str">
        <f t="shared" si="170"/>
        <v/>
      </c>
      <c r="T686" s="327" t="str">
        <f t="shared" si="171"/>
        <v/>
      </c>
      <c r="U686" s="327" t="str">
        <f t="shared" si="172"/>
        <v/>
      </c>
      <c r="V686" s="327" t="str">
        <f t="shared" si="173"/>
        <v/>
      </c>
      <c r="W686" s="327" t="str">
        <f t="shared" si="174"/>
        <v/>
      </c>
      <c r="X686" s="327" t="str">
        <f t="shared" si="175"/>
        <v/>
      </c>
      <c r="Y686" s="327" t="str">
        <f t="shared" si="176"/>
        <v/>
      </c>
      <c r="Z686" s="428" t="str">
        <f t="shared" si="177"/>
        <v/>
      </c>
    </row>
    <row r="687" spans="1:26" x14ac:dyDescent="0.35">
      <c r="A687" s="265"/>
      <c r="B687" s="266"/>
      <c r="C687" s="262"/>
      <c r="D687" s="262"/>
      <c r="E687" s="262"/>
      <c r="F687" s="262"/>
      <c r="G687" s="320"/>
      <c r="H687" s="262"/>
      <c r="I687" s="320"/>
      <c r="J687" s="320"/>
      <c r="K687" s="262"/>
      <c r="L687" s="262"/>
      <c r="M687" s="327" t="str">
        <f t="shared" si="164"/>
        <v/>
      </c>
      <c r="N687" s="327" t="str">
        <f t="shared" si="165"/>
        <v/>
      </c>
      <c r="O687" s="327" t="str">
        <f t="shared" si="166"/>
        <v/>
      </c>
      <c r="P687" s="327" t="str">
        <f t="shared" si="167"/>
        <v/>
      </c>
      <c r="Q687" s="327" t="str">
        <f t="shared" si="168"/>
        <v/>
      </c>
      <c r="R687" s="327" t="str">
        <f t="shared" si="169"/>
        <v/>
      </c>
      <c r="S687" s="421" t="str">
        <f t="shared" si="170"/>
        <v/>
      </c>
      <c r="T687" s="327" t="str">
        <f t="shared" si="171"/>
        <v/>
      </c>
      <c r="U687" s="327" t="str">
        <f t="shared" si="172"/>
        <v/>
      </c>
      <c r="V687" s="327" t="str">
        <f t="shared" si="173"/>
        <v/>
      </c>
      <c r="W687" s="327" t="str">
        <f t="shared" si="174"/>
        <v/>
      </c>
      <c r="X687" s="327" t="str">
        <f t="shared" si="175"/>
        <v/>
      </c>
      <c r="Y687" s="327" t="str">
        <f t="shared" si="176"/>
        <v/>
      </c>
      <c r="Z687" s="428" t="str">
        <f t="shared" si="177"/>
        <v/>
      </c>
    </row>
    <row r="688" spans="1:26" x14ac:dyDescent="0.35">
      <c r="A688" s="265"/>
      <c r="B688" s="266"/>
      <c r="C688" s="262"/>
      <c r="D688" s="262"/>
      <c r="E688" s="262"/>
      <c r="F688" s="262"/>
      <c r="G688" s="320"/>
      <c r="H688" s="262"/>
      <c r="I688" s="320"/>
      <c r="J688" s="320"/>
      <c r="K688" s="262"/>
      <c r="L688" s="262"/>
      <c r="M688" s="327" t="str">
        <f t="shared" si="164"/>
        <v/>
      </c>
      <c r="N688" s="327" t="str">
        <f t="shared" si="165"/>
        <v/>
      </c>
      <c r="O688" s="327" t="str">
        <f t="shared" si="166"/>
        <v/>
      </c>
      <c r="P688" s="327" t="str">
        <f t="shared" si="167"/>
        <v/>
      </c>
      <c r="Q688" s="327" t="str">
        <f t="shared" si="168"/>
        <v/>
      </c>
      <c r="R688" s="327" t="str">
        <f t="shared" si="169"/>
        <v/>
      </c>
      <c r="S688" s="421" t="str">
        <f t="shared" si="170"/>
        <v/>
      </c>
      <c r="T688" s="327" t="str">
        <f t="shared" si="171"/>
        <v/>
      </c>
      <c r="U688" s="327" t="str">
        <f t="shared" si="172"/>
        <v/>
      </c>
      <c r="V688" s="327" t="str">
        <f t="shared" si="173"/>
        <v/>
      </c>
      <c r="W688" s="327" t="str">
        <f t="shared" si="174"/>
        <v/>
      </c>
      <c r="X688" s="327" t="str">
        <f t="shared" si="175"/>
        <v/>
      </c>
      <c r="Y688" s="327" t="str">
        <f t="shared" si="176"/>
        <v/>
      </c>
      <c r="Z688" s="428" t="str">
        <f t="shared" si="177"/>
        <v/>
      </c>
    </row>
    <row r="689" spans="1:26" x14ac:dyDescent="0.35">
      <c r="A689" s="265"/>
      <c r="B689" s="266"/>
      <c r="C689" s="262"/>
      <c r="D689" s="262"/>
      <c r="E689" s="262"/>
      <c r="F689" s="262"/>
      <c r="G689" s="320"/>
      <c r="H689" s="262"/>
      <c r="I689" s="320"/>
      <c r="J689" s="320"/>
      <c r="K689" s="262"/>
      <c r="L689" s="262"/>
      <c r="M689" s="327" t="str">
        <f t="shared" si="164"/>
        <v/>
      </c>
      <c r="N689" s="327" t="str">
        <f t="shared" si="165"/>
        <v/>
      </c>
      <c r="O689" s="327" t="str">
        <f t="shared" si="166"/>
        <v/>
      </c>
      <c r="P689" s="327" t="str">
        <f t="shared" si="167"/>
        <v/>
      </c>
      <c r="Q689" s="327" t="str">
        <f t="shared" si="168"/>
        <v/>
      </c>
      <c r="R689" s="327" t="str">
        <f t="shared" si="169"/>
        <v/>
      </c>
      <c r="S689" s="421" t="str">
        <f t="shared" si="170"/>
        <v/>
      </c>
      <c r="T689" s="327" t="str">
        <f t="shared" si="171"/>
        <v/>
      </c>
      <c r="U689" s="327" t="str">
        <f t="shared" si="172"/>
        <v/>
      </c>
      <c r="V689" s="327" t="str">
        <f t="shared" si="173"/>
        <v/>
      </c>
      <c r="W689" s="327" t="str">
        <f t="shared" si="174"/>
        <v/>
      </c>
      <c r="X689" s="327" t="str">
        <f t="shared" si="175"/>
        <v/>
      </c>
      <c r="Y689" s="327" t="str">
        <f t="shared" si="176"/>
        <v/>
      </c>
      <c r="Z689" s="428" t="str">
        <f t="shared" si="177"/>
        <v/>
      </c>
    </row>
    <row r="690" spans="1:26" x14ac:dyDescent="0.35">
      <c r="A690" s="265"/>
      <c r="B690" s="266"/>
      <c r="C690" s="262"/>
      <c r="D690" s="262"/>
      <c r="E690" s="262"/>
      <c r="F690" s="262"/>
      <c r="G690" s="320"/>
      <c r="H690" s="262"/>
      <c r="I690" s="320"/>
      <c r="J690" s="320"/>
      <c r="K690" s="262"/>
      <c r="L690" s="262"/>
      <c r="M690" s="327" t="str">
        <f t="shared" si="164"/>
        <v/>
      </c>
      <c r="N690" s="327" t="str">
        <f t="shared" si="165"/>
        <v/>
      </c>
      <c r="O690" s="327" t="str">
        <f t="shared" si="166"/>
        <v/>
      </c>
      <c r="P690" s="327" t="str">
        <f t="shared" si="167"/>
        <v/>
      </c>
      <c r="Q690" s="327" t="str">
        <f t="shared" si="168"/>
        <v/>
      </c>
      <c r="R690" s="327" t="str">
        <f t="shared" si="169"/>
        <v/>
      </c>
      <c r="S690" s="421" t="str">
        <f t="shared" si="170"/>
        <v/>
      </c>
      <c r="T690" s="327" t="str">
        <f t="shared" si="171"/>
        <v/>
      </c>
      <c r="U690" s="327" t="str">
        <f t="shared" si="172"/>
        <v/>
      </c>
      <c r="V690" s="327" t="str">
        <f t="shared" si="173"/>
        <v/>
      </c>
      <c r="W690" s="327" t="str">
        <f t="shared" si="174"/>
        <v/>
      </c>
      <c r="X690" s="327" t="str">
        <f t="shared" si="175"/>
        <v/>
      </c>
      <c r="Y690" s="327" t="str">
        <f t="shared" si="176"/>
        <v/>
      </c>
      <c r="Z690" s="428" t="str">
        <f t="shared" si="177"/>
        <v/>
      </c>
    </row>
    <row r="691" spans="1:26" x14ac:dyDescent="0.35">
      <c r="A691" s="265"/>
      <c r="B691" s="266"/>
      <c r="C691" s="262"/>
      <c r="D691" s="262"/>
      <c r="E691" s="262"/>
      <c r="F691" s="262"/>
      <c r="G691" s="320"/>
      <c r="H691" s="262"/>
      <c r="I691" s="320"/>
      <c r="J691" s="320"/>
      <c r="K691" s="262"/>
      <c r="L691" s="262"/>
      <c r="M691" s="327" t="str">
        <f t="shared" si="164"/>
        <v/>
      </c>
      <c r="N691" s="327" t="str">
        <f t="shared" si="165"/>
        <v/>
      </c>
      <c r="O691" s="327" t="str">
        <f t="shared" si="166"/>
        <v/>
      </c>
      <c r="P691" s="327" t="str">
        <f t="shared" si="167"/>
        <v/>
      </c>
      <c r="Q691" s="327" t="str">
        <f t="shared" si="168"/>
        <v/>
      </c>
      <c r="R691" s="327" t="str">
        <f t="shared" si="169"/>
        <v/>
      </c>
      <c r="S691" s="421" t="str">
        <f t="shared" si="170"/>
        <v/>
      </c>
      <c r="T691" s="327" t="str">
        <f t="shared" si="171"/>
        <v/>
      </c>
      <c r="U691" s="327" t="str">
        <f t="shared" si="172"/>
        <v/>
      </c>
      <c r="V691" s="327" t="str">
        <f t="shared" si="173"/>
        <v/>
      </c>
      <c r="W691" s="327" t="str">
        <f t="shared" si="174"/>
        <v/>
      </c>
      <c r="X691" s="327" t="str">
        <f t="shared" si="175"/>
        <v/>
      </c>
      <c r="Y691" s="327" t="str">
        <f t="shared" si="176"/>
        <v/>
      </c>
      <c r="Z691" s="428" t="str">
        <f t="shared" si="177"/>
        <v/>
      </c>
    </row>
    <row r="692" spans="1:26" x14ac:dyDescent="0.35">
      <c r="A692" s="265"/>
      <c r="B692" s="266"/>
      <c r="C692" s="262"/>
      <c r="D692" s="262"/>
      <c r="E692" s="262"/>
      <c r="F692" s="262"/>
      <c r="G692" s="320"/>
      <c r="H692" s="262"/>
      <c r="I692" s="320"/>
      <c r="J692" s="320"/>
      <c r="K692" s="262"/>
      <c r="L692" s="262"/>
      <c r="M692" s="327" t="str">
        <f t="shared" si="164"/>
        <v/>
      </c>
      <c r="N692" s="327" t="str">
        <f t="shared" si="165"/>
        <v/>
      </c>
      <c r="O692" s="327" t="str">
        <f t="shared" si="166"/>
        <v/>
      </c>
      <c r="P692" s="327" t="str">
        <f t="shared" si="167"/>
        <v/>
      </c>
      <c r="Q692" s="327" t="str">
        <f t="shared" si="168"/>
        <v/>
      </c>
      <c r="R692" s="327" t="str">
        <f t="shared" si="169"/>
        <v/>
      </c>
      <c r="S692" s="421" t="str">
        <f t="shared" si="170"/>
        <v/>
      </c>
      <c r="T692" s="327" t="str">
        <f t="shared" si="171"/>
        <v/>
      </c>
      <c r="U692" s="327" t="str">
        <f t="shared" si="172"/>
        <v/>
      </c>
      <c r="V692" s="327" t="str">
        <f t="shared" si="173"/>
        <v/>
      </c>
      <c r="W692" s="327" t="str">
        <f t="shared" si="174"/>
        <v/>
      </c>
      <c r="X692" s="327" t="str">
        <f t="shared" si="175"/>
        <v/>
      </c>
      <c r="Y692" s="327" t="str">
        <f t="shared" si="176"/>
        <v/>
      </c>
      <c r="Z692" s="428" t="str">
        <f t="shared" si="177"/>
        <v/>
      </c>
    </row>
    <row r="693" spans="1:26" x14ac:dyDescent="0.35">
      <c r="A693" s="265"/>
      <c r="B693" s="266"/>
      <c r="C693" s="262"/>
      <c r="D693" s="262"/>
      <c r="E693" s="262"/>
      <c r="F693" s="262"/>
      <c r="G693" s="320"/>
      <c r="H693" s="262"/>
      <c r="I693" s="320"/>
      <c r="J693" s="320"/>
      <c r="K693" s="262"/>
      <c r="L693" s="262"/>
      <c r="M693" s="327" t="str">
        <f t="shared" si="164"/>
        <v/>
      </c>
      <c r="N693" s="327" t="str">
        <f t="shared" si="165"/>
        <v/>
      </c>
      <c r="O693" s="327" t="str">
        <f t="shared" si="166"/>
        <v/>
      </c>
      <c r="P693" s="327" t="str">
        <f t="shared" si="167"/>
        <v/>
      </c>
      <c r="Q693" s="327" t="str">
        <f t="shared" si="168"/>
        <v/>
      </c>
      <c r="R693" s="327" t="str">
        <f t="shared" si="169"/>
        <v/>
      </c>
      <c r="S693" s="421" t="str">
        <f t="shared" si="170"/>
        <v/>
      </c>
      <c r="T693" s="327" t="str">
        <f t="shared" si="171"/>
        <v/>
      </c>
      <c r="U693" s="327" t="str">
        <f t="shared" si="172"/>
        <v/>
      </c>
      <c r="V693" s="327" t="str">
        <f t="shared" si="173"/>
        <v/>
      </c>
      <c r="W693" s="327" t="str">
        <f t="shared" si="174"/>
        <v/>
      </c>
      <c r="X693" s="327" t="str">
        <f t="shared" si="175"/>
        <v/>
      </c>
      <c r="Y693" s="327" t="str">
        <f t="shared" si="176"/>
        <v/>
      </c>
      <c r="Z693" s="428" t="str">
        <f t="shared" si="177"/>
        <v/>
      </c>
    </row>
    <row r="694" spans="1:26" x14ac:dyDescent="0.35">
      <c r="A694" s="265"/>
      <c r="B694" s="266"/>
      <c r="C694" s="262"/>
      <c r="D694" s="262"/>
      <c r="E694" s="262"/>
      <c r="F694" s="262"/>
      <c r="G694" s="320"/>
      <c r="H694" s="262"/>
      <c r="I694" s="320"/>
      <c r="J694" s="320"/>
      <c r="K694" s="262"/>
      <c r="L694" s="262"/>
      <c r="M694" s="327" t="str">
        <f t="shared" si="164"/>
        <v/>
      </c>
      <c r="N694" s="327" t="str">
        <f t="shared" si="165"/>
        <v/>
      </c>
      <c r="O694" s="327" t="str">
        <f t="shared" si="166"/>
        <v/>
      </c>
      <c r="P694" s="327" t="str">
        <f t="shared" si="167"/>
        <v/>
      </c>
      <c r="Q694" s="327" t="str">
        <f t="shared" si="168"/>
        <v/>
      </c>
      <c r="R694" s="327" t="str">
        <f t="shared" si="169"/>
        <v/>
      </c>
      <c r="S694" s="421" t="str">
        <f t="shared" si="170"/>
        <v/>
      </c>
      <c r="T694" s="327" t="str">
        <f t="shared" si="171"/>
        <v/>
      </c>
      <c r="U694" s="327" t="str">
        <f t="shared" si="172"/>
        <v/>
      </c>
      <c r="V694" s="327" t="str">
        <f t="shared" si="173"/>
        <v/>
      </c>
      <c r="W694" s="327" t="str">
        <f t="shared" si="174"/>
        <v/>
      </c>
      <c r="X694" s="327" t="str">
        <f t="shared" si="175"/>
        <v/>
      </c>
      <c r="Y694" s="327" t="str">
        <f t="shared" si="176"/>
        <v/>
      </c>
      <c r="Z694" s="428" t="str">
        <f t="shared" si="177"/>
        <v/>
      </c>
    </row>
    <row r="695" spans="1:26" x14ac:dyDescent="0.35">
      <c r="A695" s="265"/>
      <c r="B695" s="266"/>
      <c r="C695" s="262"/>
      <c r="D695" s="262"/>
      <c r="E695" s="262"/>
      <c r="F695" s="262"/>
      <c r="G695" s="320"/>
      <c r="H695" s="262"/>
      <c r="I695" s="320"/>
      <c r="J695" s="320"/>
      <c r="K695" s="262"/>
      <c r="L695" s="262"/>
      <c r="M695" s="327" t="str">
        <f t="shared" si="164"/>
        <v/>
      </c>
      <c r="N695" s="327" t="str">
        <f t="shared" si="165"/>
        <v/>
      </c>
      <c r="O695" s="327" t="str">
        <f t="shared" si="166"/>
        <v/>
      </c>
      <c r="P695" s="327" t="str">
        <f t="shared" si="167"/>
        <v/>
      </c>
      <c r="Q695" s="327" t="str">
        <f t="shared" si="168"/>
        <v/>
      </c>
      <c r="R695" s="327" t="str">
        <f t="shared" si="169"/>
        <v/>
      </c>
      <c r="S695" s="421" t="str">
        <f t="shared" si="170"/>
        <v/>
      </c>
      <c r="T695" s="327" t="str">
        <f t="shared" si="171"/>
        <v/>
      </c>
      <c r="U695" s="327" t="str">
        <f t="shared" si="172"/>
        <v/>
      </c>
      <c r="V695" s="327" t="str">
        <f t="shared" si="173"/>
        <v/>
      </c>
      <c r="W695" s="327" t="str">
        <f t="shared" si="174"/>
        <v/>
      </c>
      <c r="X695" s="327" t="str">
        <f t="shared" si="175"/>
        <v/>
      </c>
      <c r="Y695" s="327" t="str">
        <f t="shared" si="176"/>
        <v/>
      </c>
      <c r="Z695" s="428" t="str">
        <f t="shared" si="177"/>
        <v/>
      </c>
    </row>
    <row r="696" spans="1:26" x14ac:dyDescent="0.35">
      <c r="A696" s="265"/>
      <c r="B696" s="266"/>
      <c r="C696" s="262"/>
      <c r="D696" s="262"/>
      <c r="E696" s="262"/>
      <c r="F696" s="262"/>
      <c r="G696" s="320"/>
      <c r="H696" s="262"/>
      <c r="I696" s="320"/>
      <c r="J696" s="320"/>
      <c r="K696" s="262"/>
      <c r="L696" s="262"/>
      <c r="M696" s="327" t="str">
        <f t="shared" si="164"/>
        <v/>
      </c>
      <c r="N696" s="327" t="str">
        <f t="shared" si="165"/>
        <v/>
      </c>
      <c r="O696" s="327" t="str">
        <f t="shared" si="166"/>
        <v/>
      </c>
      <c r="P696" s="327" t="str">
        <f t="shared" si="167"/>
        <v/>
      </c>
      <c r="Q696" s="327" t="str">
        <f t="shared" si="168"/>
        <v/>
      </c>
      <c r="R696" s="327" t="str">
        <f t="shared" si="169"/>
        <v/>
      </c>
      <c r="S696" s="421" t="str">
        <f t="shared" si="170"/>
        <v/>
      </c>
      <c r="T696" s="327" t="str">
        <f t="shared" si="171"/>
        <v/>
      </c>
      <c r="U696" s="327" t="str">
        <f t="shared" si="172"/>
        <v/>
      </c>
      <c r="V696" s="327" t="str">
        <f t="shared" si="173"/>
        <v/>
      </c>
      <c r="W696" s="327" t="str">
        <f t="shared" si="174"/>
        <v/>
      </c>
      <c r="X696" s="327" t="str">
        <f t="shared" si="175"/>
        <v/>
      </c>
      <c r="Y696" s="327" t="str">
        <f t="shared" si="176"/>
        <v/>
      </c>
      <c r="Z696" s="428" t="str">
        <f t="shared" si="177"/>
        <v/>
      </c>
    </row>
    <row r="697" spans="1:26" x14ac:dyDescent="0.35">
      <c r="A697" s="265"/>
      <c r="B697" s="266"/>
      <c r="C697" s="262"/>
      <c r="D697" s="262"/>
      <c r="E697" s="262"/>
      <c r="F697" s="262"/>
      <c r="G697" s="320"/>
      <c r="H697" s="262"/>
      <c r="I697" s="320"/>
      <c r="J697" s="320"/>
      <c r="K697" s="262"/>
      <c r="L697" s="262"/>
      <c r="M697" s="327" t="str">
        <f t="shared" si="164"/>
        <v/>
      </c>
      <c r="N697" s="327" t="str">
        <f t="shared" si="165"/>
        <v/>
      </c>
      <c r="O697" s="327" t="str">
        <f t="shared" si="166"/>
        <v/>
      </c>
      <c r="P697" s="327" t="str">
        <f t="shared" si="167"/>
        <v/>
      </c>
      <c r="Q697" s="327" t="str">
        <f t="shared" si="168"/>
        <v/>
      </c>
      <c r="R697" s="327" t="str">
        <f t="shared" si="169"/>
        <v/>
      </c>
      <c r="S697" s="421" t="str">
        <f t="shared" si="170"/>
        <v/>
      </c>
      <c r="T697" s="327" t="str">
        <f t="shared" si="171"/>
        <v/>
      </c>
      <c r="U697" s="327" t="str">
        <f t="shared" si="172"/>
        <v/>
      </c>
      <c r="V697" s="327" t="str">
        <f t="shared" si="173"/>
        <v/>
      </c>
      <c r="W697" s="327" t="str">
        <f t="shared" si="174"/>
        <v/>
      </c>
      <c r="X697" s="327" t="str">
        <f t="shared" si="175"/>
        <v/>
      </c>
      <c r="Y697" s="327" t="str">
        <f t="shared" si="176"/>
        <v/>
      </c>
      <c r="Z697" s="428" t="str">
        <f t="shared" si="177"/>
        <v/>
      </c>
    </row>
    <row r="698" spans="1:26" x14ac:dyDescent="0.35">
      <c r="A698" s="265"/>
      <c r="B698" s="266"/>
      <c r="C698" s="262"/>
      <c r="D698" s="262"/>
      <c r="E698" s="262"/>
      <c r="F698" s="262"/>
      <c r="G698" s="320"/>
      <c r="H698" s="262"/>
      <c r="I698" s="320"/>
      <c r="J698" s="320"/>
      <c r="K698" s="262"/>
      <c r="L698" s="262"/>
      <c r="M698" s="327" t="str">
        <f t="shared" si="164"/>
        <v/>
      </c>
      <c r="N698" s="327" t="str">
        <f t="shared" si="165"/>
        <v/>
      </c>
      <c r="O698" s="327" t="str">
        <f t="shared" si="166"/>
        <v/>
      </c>
      <c r="P698" s="327" t="str">
        <f t="shared" si="167"/>
        <v/>
      </c>
      <c r="Q698" s="327" t="str">
        <f t="shared" si="168"/>
        <v/>
      </c>
      <c r="R698" s="327" t="str">
        <f t="shared" si="169"/>
        <v/>
      </c>
      <c r="S698" s="421" t="str">
        <f t="shared" si="170"/>
        <v/>
      </c>
      <c r="T698" s="327" t="str">
        <f t="shared" si="171"/>
        <v/>
      </c>
      <c r="U698" s="327" t="str">
        <f t="shared" si="172"/>
        <v/>
      </c>
      <c r="V698" s="327" t="str">
        <f t="shared" si="173"/>
        <v/>
      </c>
      <c r="W698" s="327" t="str">
        <f t="shared" si="174"/>
        <v/>
      </c>
      <c r="X698" s="327" t="str">
        <f t="shared" si="175"/>
        <v/>
      </c>
      <c r="Y698" s="327" t="str">
        <f t="shared" si="176"/>
        <v/>
      </c>
      <c r="Z698" s="428" t="str">
        <f t="shared" si="177"/>
        <v/>
      </c>
    </row>
    <row r="699" spans="1:26" x14ac:dyDescent="0.35">
      <c r="A699" s="265"/>
      <c r="B699" s="266"/>
      <c r="C699" s="262"/>
      <c r="D699" s="262"/>
      <c r="E699" s="262"/>
      <c r="F699" s="262"/>
      <c r="G699" s="320"/>
      <c r="H699" s="262"/>
      <c r="I699" s="320"/>
      <c r="J699" s="320"/>
      <c r="K699" s="262"/>
      <c r="L699" s="262"/>
      <c r="M699" s="327" t="str">
        <f t="shared" si="164"/>
        <v/>
      </c>
      <c r="N699" s="327" t="str">
        <f t="shared" si="165"/>
        <v/>
      </c>
      <c r="O699" s="327" t="str">
        <f t="shared" si="166"/>
        <v/>
      </c>
      <c r="P699" s="327" t="str">
        <f t="shared" si="167"/>
        <v/>
      </c>
      <c r="Q699" s="327" t="str">
        <f t="shared" si="168"/>
        <v/>
      </c>
      <c r="R699" s="327" t="str">
        <f t="shared" si="169"/>
        <v/>
      </c>
      <c r="S699" s="421" t="str">
        <f t="shared" si="170"/>
        <v/>
      </c>
      <c r="T699" s="327" t="str">
        <f t="shared" si="171"/>
        <v/>
      </c>
      <c r="U699" s="327" t="str">
        <f t="shared" si="172"/>
        <v/>
      </c>
      <c r="V699" s="327" t="str">
        <f t="shared" si="173"/>
        <v/>
      </c>
      <c r="W699" s="327" t="str">
        <f t="shared" si="174"/>
        <v/>
      </c>
      <c r="X699" s="327" t="str">
        <f t="shared" si="175"/>
        <v/>
      </c>
      <c r="Y699" s="327" t="str">
        <f t="shared" si="176"/>
        <v/>
      </c>
      <c r="Z699" s="428" t="str">
        <f t="shared" si="177"/>
        <v/>
      </c>
    </row>
    <row r="700" spans="1:26" x14ac:dyDescent="0.35">
      <c r="A700" s="265"/>
      <c r="B700" s="266"/>
      <c r="C700" s="262"/>
      <c r="D700" s="262"/>
      <c r="E700" s="262"/>
      <c r="F700" s="262"/>
      <c r="G700" s="320"/>
      <c r="H700" s="262"/>
      <c r="I700" s="320"/>
      <c r="J700" s="320"/>
      <c r="K700" s="262"/>
      <c r="L700" s="262"/>
      <c r="M700" s="327" t="str">
        <f t="shared" si="164"/>
        <v/>
      </c>
      <c r="N700" s="327" t="str">
        <f t="shared" si="165"/>
        <v/>
      </c>
      <c r="O700" s="327" t="str">
        <f t="shared" si="166"/>
        <v/>
      </c>
      <c r="P700" s="327" t="str">
        <f t="shared" si="167"/>
        <v/>
      </c>
      <c r="Q700" s="327" t="str">
        <f t="shared" si="168"/>
        <v/>
      </c>
      <c r="R700" s="327" t="str">
        <f t="shared" si="169"/>
        <v/>
      </c>
      <c r="S700" s="421" t="str">
        <f t="shared" si="170"/>
        <v/>
      </c>
      <c r="T700" s="327" t="str">
        <f t="shared" si="171"/>
        <v/>
      </c>
      <c r="U700" s="327" t="str">
        <f t="shared" si="172"/>
        <v/>
      </c>
      <c r="V700" s="327" t="str">
        <f t="shared" si="173"/>
        <v/>
      </c>
      <c r="W700" s="327" t="str">
        <f t="shared" si="174"/>
        <v/>
      </c>
      <c r="X700" s="327" t="str">
        <f t="shared" si="175"/>
        <v/>
      </c>
      <c r="Y700" s="327" t="str">
        <f t="shared" si="176"/>
        <v/>
      </c>
      <c r="Z700" s="428" t="str">
        <f t="shared" si="177"/>
        <v/>
      </c>
    </row>
    <row r="701" spans="1:26" x14ac:dyDescent="0.35">
      <c r="A701" s="265"/>
      <c r="B701" s="266"/>
      <c r="C701" s="262"/>
      <c r="D701" s="262"/>
      <c r="E701" s="262"/>
      <c r="F701" s="262"/>
      <c r="G701" s="320"/>
      <c r="H701" s="262"/>
      <c r="I701" s="320"/>
      <c r="J701" s="320"/>
      <c r="K701" s="262"/>
      <c r="L701" s="262"/>
      <c r="M701" s="327" t="str">
        <f t="shared" si="164"/>
        <v/>
      </c>
      <c r="N701" s="327" t="str">
        <f t="shared" si="165"/>
        <v/>
      </c>
      <c r="O701" s="327" t="str">
        <f t="shared" si="166"/>
        <v/>
      </c>
      <c r="P701" s="327" t="str">
        <f t="shared" si="167"/>
        <v/>
      </c>
      <c r="Q701" s="327" t="str">
        <f t="shared" si="168"/>
        <v/>
      </c>
      <c r="R701" s="327" t="str">
        <f t="shared" si="169"/>
        <v/>
      </c>
      <c r="S701" s="421" t="str">
        <f t="shared" si="170"/>
        <v/>
      </c>
      <c r="T701" s="327" t="str">
        <f t="shared" si="171"/>
        <v/>
      </c>
      <c r="U701" s="327" t="str">
        <f t="shared" si="172"/>
        <v/>
      </c>
      <c r="V701" s="327" t="str">
        <f t="shared" si="173"/>
        <v/>
      </c>
      <c r="W701" s="327" t="str">
        <f t="shared" si="174"/>
        <v/>
      </c>
      <c r="X701" s="327" t="str">
        <f t="shared" si="175"/>
        <v/>
      </c>
      <c r="Y701" s="327" t="str">
        <f t="shared" si="176"/>
        <v/>
      </c>
      <c r="Z701" s="428" t="str">
        <f t="shared" si="177"/>
        <v/>
      </c>
    </row>
    <row r="702" spans="1:26" x14ac:dyDescent="0.35">
      <c r="A702" s="265"/>
      <c r="B702" s="266"/>
      <c r="C702" s="262"/>
      <c r="D702" s="262"/>
      <c r="E702" s="262"/>
      <c r="F702" s="262"/>
      <c r="G702" s="320"/>
      <c r="H702" s="262"/>
      <c r="I702" s="320"/>
      <c r="J702" s="320"/>
      <c r="K702" s="262"/>
      <c r="L702" s="262"/>
      <c r="M702" s="327" t="str">
        <f t="shared" si="164"/>
        <v/>
      </c>
      <c r="N702" s="327" t="str">
        <f t="shared" si="165"/>
        <v/>
      </c>
      <c r="O702" s="327" t="str">
        <f t="shared" si="166"/>
        <v/>
      </c>
      <c r="P702" s="327" t="str">
        <f t="shared" si="167"/>
        <v/>
      </c>
      <c r="Q702" s="327" t="str">
        <f t="shared" si="168"/>
        <v/>
      </c>
      <c r="R702" s="327" t="str">
        <f t="shared" si="169"/>
        <v/>
      </c>
      <c r="S702" s="421" t="str">
        <f t="shared" si="170"/>
        <v/>
      </c>
      <c r="T702" s="327" t="str">
        <f t="shared" si="171"/>
        <v/>
      </c>
      <c r="U702" s="327" t="str">
        <f t="shared" si="172"/>
        <v/>
      </c>
      <c r="V702" s="327" t="str">
        <f t="shared" si="173"/>
        <v/>
      </c>
      <c r="W702" s="327" t="str">
        <f t="shared" si="174"/>
        <v/>
      </c>
      <c r="X702" s="327" t="str">
        <f t="shared" si="175"/>
        <v/>
      </c>
      <c r="Y702" s="327" t="str">
        <f t="shared" si="176"/>
        <v/>
      </c>
      <c r="Z702" s="428" t="str">
        <f t="shared" si="177"/>
        <v/>
      </c>
    </row>
    <row r="703" spans="1:26" x14ac:dyDescent="0.35">
      <c r="A703" s="265"/>
      <c r="B703" s="266"/>
      <c r="C703" s="262"/>
      <c r="D703" s="262"/>
      <c r="E703" s="262"/>
      <c r="F703" s="262"/>
      <c r="G703" s="320"/>
      <c r="H703" s="262"/>
      <c r="I703" s="320"/>
      <c r="J703" s="320"/>
      <c r="K703" s="262"/>
      <c r="L703" s="262"/>
      <c r="M703" s="327" t="str">
        <f t="shared" si="164"/>
        <v/>
      </c>
      <c r="N703" s="327" t="str">
        <f t="shared" si="165"/>
        <v/>
      </c>
      <c r="O703" s="327" t="str">
        <f t="shared" si="166"/>
        <v/>
      </c>
      <c r="P703" s="327" t="str">
        <f t="shared" si="167"/>
        <v/>
      </c>
      <c r="Q703" s="327" t="str">
        <f t="shared" si="168"/>
        <v/>
      </c>
      <c r="R703" s="327" t="str">
        <f t="shared" si="169"/>
        <v/>
      </c>
      <c r="S703" s="421" t="str">
        <f t="shared" si="170"/>
        <v/>
      </c>
      <c r="T703" s="327" t="str">
        <f t="shared" si="171"/>
        <v/>
      </c>
      <c r="U703" s="327" t="str">
        <f t="shared" si="172"/>
        <v/>
      </c>
      <c r="V703" s="327" t="str">
        <f t="shared" si="173"/>
        <v/>
      </c>
      <c r="W703" s="327" t="str">
        <f t="shared" si="174"/>
        <v/>
      </c>
      <c r="X703" s="327" t="str">
        <f t="shared" si="175"/>
        <v/>
      </c>
      <c r="Y703" s="327" t="str">
        <f t="shared" si="176"/>
        <v/>
      </c>
      <c r="Z703" s="428" t="str">
        <f t="shared" si="177"/>
        <v/>
      </c>
    </row>
    <row r="704" spans="1:26" x14ac:dyDescent="0.35">
      <c r="A704" s="265"/>
      <c r="B704" s="266"/>
      <c r="C704" s="262"/>
      <c r="D704" s="262"/>
      <c r="E704" s="262"/>
      <c r="F704" s="262"/>
      <c r="G704" s="320"/>
      <c r="H704" s="262"/>
      <c r="I704" s="320"/>
      <c r="J704" s="320"/>
      <c r="K704" s="262"/>
      <c r="L704" s="262"/>
      <c r="M704" s="327" t="str">
        <f t="shared" si="164"/>
        <v/>
      </c>
      <c r="N704" s="327" t="str">
        <f t="shared" si="165"/>
        <v/>
      </c>
      <c r="O704" s="327" t="str">
        <f t="shared" si="166"/>
        <v/>
      </c>
      <c r="P704" s="327" t="str">
        <f t="shared" si="167"/>
        <v/>
      </c>
      <c r="Q704" s="327" t="str">
        <f t="shared" si="168"/>
        <v/>
      </c>
      <c r="R704" s="327" t="str">
        <f t="shared" si="169"/>
        <v/>
      </c>
      <c r="S704" s="421" t="str">
        <f t="shared" si="170"/>
        <v/>
      </c>
      <c r="T704" s="327" t="str">
        <f t="shared" si="171"/>
        <v/>
      </c>
      <c r="U704" s="327" t="str">
        <f t="shared" si="172"/>
        <v/>
      </c>
      <c r="V704" s="327" t="str">
        <f t="shared" si="173"/>
        <v/>
      </c>
      <c r="W704" s="327" t="str">
        <f t="shared" si="174"/>
        <v/>
      </c>
      <c r="X704" s="327" t="str">
        <f t="shared" si="175"/>
        <v/>
      </c>
      <c r="Y704" s="327" t="str">
        <f t="shared" si="176"/>
        <v/>
      </c>
      <c r="Z704" s="428" t="str">
        <f t="shared" si="177"/>
        <v/>
      </c>
    </row>
    <row r="705" spans="1:26" x14ac:dyDescent="0.35">
      <c r="A705" s="265"/>
      <c r="B705" s="266"/>
      <c r="C705" s="262"/>
      <c r="D705" s="262"/>
      <c r="E705" s="262"/>
      <c r="F705" s="262"/>
      <c r="G705" s="320"/>
      <c r="H705" s="262"/>
      <c r="I705" s="320"/>
      <c r="J705" s="320"/>
      <c r="K705" s="262"/>
      <c r="L705" s="262"/>
      <c r="M705" s="327" t="str">
        <f t="shared" si="164"/>
        <v/>
      </c>
      <c r="N705" s="327" t="str">
        <f t="shared" si="165"/>
        <v/>
      </c>
      <c r="O705" s="327" t="str">
        <f t="shared" si="166"/>
        <v/>
      </c>
      <c r="P705" s="327" t="str">
        <f t="shared" si="167"/>
        <v/>
      </c>
      <c r="Q705" s="327" t="str">
        <f t="shared" si="168"/>
        <v/>
      </c>
      <c r="R705" s="327" t="str">
        <f t="shared" si="169"/>
        <v/>
      </c>
      <c r="S705" s="421" t="str">
        <f t="shared" si="170"/>
        <v/>
      </c>
      <c r="T705" s="327" t="str">
        <f t="shared" si="171"/>
        <v/>
      </c>
      <c r="U705" s="327" t="str">
        <f t="shared" si="172"/>
        <v/>
      </c>
      <c r="V705" s="327" t="str">
        <f t="shared" si="173"/>
        <v/>
      </c>
      <c r="W705" s="327" t="str">
        <f t="shared" si="174"/>
        <v/>
      </c>
      <c r="X705" s="327" t="str">
        <f t="shared" si="175"/>
        <v/>
      </c>
      <c r="Y705" s="327" t="str">
        <f t="shared" si="176"/>
        <v/>
      </c>
      <c r="Z705" s="428" t="str">
        <f t="shared" si="177"/>
        <v/>
      </c>
    </row>
    <row r="706" spans="1:26" x14ac:dyDescent="0.35">
      <c r="A706" s="265"/>
      <c r="B706" s="266"/>
      <c r="C706" s="262"/>
      <c r="D706" s="262"/>
      <c r="E706" s="262"/>
      <c r="F706" s="262"/>
      <c r="G706" s="320"/>
      <c r="H706" s="262"/>
      <c r="I706" s="320"/>
      <c r="J706" s="320"/>
      <c r="K706" s="262"/>
      <c r="L706" s="262"/>
      <c r="M706" s="327" t="str">
        <f t="shared" si="164"/>
        <v/>
      </c>
      <c r="N706" s="327" t="str">
        <f t="shared" si="165"/>
        <v/>
      </c>
      <c r="O706" s="327" t="str">
        <f t="shared" si="166"/>
        <v/>
      </c>
      <c r="P706" s="327" t="str">
        <f t="shared" si="167"/>
        <v/>
      </c>
      <c r="Q706" s="327" t="str">
        <f t="shared" si="168"/>
        <v/>
      </c>
      <c r="R706" s="327" t="str">
        <f t="shared" si="169"/>
        <v/>
      </c>
      <c r="S706" s="421" t="str">
        <f t="shared" si="170"/>
        <v/>
      </c>
      <c r="T706" s="327" t="str">
        <f t="shared" si="171"/>
        <v/>
      </c>
      <c r="U706" s="327" t="str">
        <f t="shared" si="172"/>
        <v/>
      </c>
      <c r="V706" s="327" t="str">
        <f t="shared" si="173"/>
        <v/>
      </c>
      <c r="W706" s="327" t="str">
        <f t="shared" si="174"/>
        <v/>
      </c>
      <c r="X706" s="327" t="str">
        <f t="shared" si="175"/>
        <v/>
      </c>
      <c r="Y706" s="327" t="str">
        <f t="shared" si="176"/>
        <v/>
      </c>
      <c r="Z706" s="428" t="str">
        <f t="shared" si="177"/>
        <v/>
      </c>
    </row>
    <row r="707" spans="1:26" x14ac:dyDescent="0.35">
      <c r="A707" s="265"/>
      <c r="B707" s="266"/>
      <c r="C707" s="262"/>
      <c r="D707" s="262"/>
      <c r="E707" s="262"/>
      <c r="F707" s="262"/>
      <c r="G707" s="320"/>
      <c r="H707" s="262"/>
      <c r="I707" s="320"/>
      <c r="J707" s="320"/>
      <c r="K707" s="262"/>
      <c r="L707" s="262"/>
      <c r="M707" s="327" t="str">
        <f t="shared" si="164"/>
        <v/>
      </c>
      <c r="N707" s="327" t="str">
        <f t="shared" si="165"/>
        <v/>
      </c>
      <c r="O707" s="327" t="str">
        <f t="shared" si="166"/>
        <v/>
      </c>
      <c r="P707" s="327" t="str">
        <f t="shared" si="167"/>
        <v/>
      </c>
      <c r="Q707" s="327" t="str">
        <f t="shared" si="168"/>
        <v/>
      </c>
      <c r="R707" s="327" t="str">
        <f t="shared" si="169"/>
        <v/>
      </c>
      <c r="S707" s="421" t="str">
        <f t="shared" si="170"/>
        <v/>
      </c>
      <c r="T707" s="327" t="str">
        <f t="shared" si="171"/>
        <v/>
      </c>
      <c r="U707" s="327" t="str">
        <f t="shared" si="172"/>
        <v/>
      </c>
      <c r="V707" s="327" t="str">
        <f t="shared" si="173"/>
        <v/>
      </c>
      <c r="W707" s="327" t="str">
        <f t="shared" si="174"/>
        <v/>
      </c>
      <c r="X707" s="327" t="str">
        <f t="shared" si="175"/>
        <v/>
      </c>
      <c r="Y707" s="327" t="str">
        <f t="shared" si="176"/>
        <v/>
      </c>
      <c r="Z707" s="428" t="str">
        <f t="shared" si="177"/>
        <v/>
      </c>
    </row>
    <row r="708" spans="1:26" x14ac:dyDescent="0.35">
      <c r="A708" s="265"/>
      <c r="B708" s="266"/>
      <c r="C708" s="262"/>
      <c r="D708" s="262"/>
      <c r="E708" s="262"/>
      <c r="F708" s="262"/>
      <c r="G708" s="320"/>
      <c r="H708" s="262"/>
      <c r="I708" s="320"/>
      <c r="J708" s="320"/>
      <c r="K708" s="262"/>
      <c r="L708" s="262"/>
      <c r="M708" s="327" t="str">
        <f t="shared" si="164"/>
        <v/>
      </c>
      <c r="N708" s="327" t="str">
        <f t="shared" si="165"/>
        <v/>
      </c>
      <c r="O708" s="327" t="str">
        <f t="shared" si="166"/>
        <v/>
      </c>
      <c r="P708" s="327" t="str">
        <f t="shared" si="167"/>
        <v/>
      </c>
      <c r="Q708" s="327" t="str">
        <f t="shared" si="168"/>
        <v/>
      </c>
      <c r="R708" s="327" t="str">
        <f t="shared" si="169"/>
        <v/>
      </c>
      <c r="S708" s="421" t="str">
        <f t="shared" si="170"/>
        <v/>
      </c>
      <c r="T708" s="327" t="str">
        <f t="shared" si="171"/>
        <v/>
      </c>
      <c r="U708" s="327" t="str">
        <f t="shared" si="172"/>
        <v/>
      </c>
      <c r="V708" s="327" t="str">
        <f t="shared" si="173"/>
        <v/>
      </c>
      <c r="W708" s="327" t="str">
        <f t="shared" si="174"/>
        <v/>
      </c>
      <c r="X708" s="327" t="str">
        <f t="shared" si="175"/>
        <v/>
      </c>
      <c r="Y708" s="327" t="str">
        <f t="shared" si="176"/>
        <v/>
      </c>
      <c r="Z708" s="428" t="str">
        <f t="shared" si="177"/>
        <v/>
      </c>
    </row>
    <row r="709" spans="1:26" x14ac:dyDescent="0.35">
      <c r="A709" s="265"/>
      <c r="B709" s="266"/>
      <c r="C709" s="262"/>
      <c r="D709" s="262"/>
      <c r="E709" s="262"/>
      <c r="F709" s="262"/>
      <c r="G709" s="320"/>
      <c r="H709" s="262"/>
      <c r="I709" s="320"/>
      <c r="J709" s="320"/>
      <c r="K709" s="262"/>
      <c r="L709" s="262"/>
      <c r="M709" s="327" t="str">
        <f t="shared" si="164"/>
        <v/>
      </c>
      <c r="N709" s="327" t="str">
        <f t="shared" si="165"/>
        <v/>
      </c>
      <c r="O709" s="327" t="str">
        <f t="shared" si="166"/>
        <v/>
      </c>
      <c r="P709" s="327" t="str">
        <f t="shared" si="167"/>
        <v/>
      </c>
      <c r="Q709" s="327" t="str">
        <f t="shared" si="168"/>
        <v/>
      </c>
      <c r="R709" s="327" t="str">
        <f t="shared" si="169"/>
        <v/>
      </c>
      <c r="S709" s="421" t="str">
        <f t="shared" si="170"/>
        <v/>
      </c>
      <c r="T709" s="327" t="str">
        <f t="shared" si="171"/>
        <v/>
      </c>
      <c r="U709" s="327" t="str">
        <f t="shared" si="172"/>
        <v/>
      </c>
      <c r="V709" s="327" t="str">
        <f t="shared" si="173"/>
        <v/>
      </c>
      <c r="W709" s="327" t="str">
        <f t="shared" si="174"/>
        <v/>
      </c>
      <c r="X709" s="327" t="str">
        <f t="shared" si="175"/>
        <v/>
      </c>
      <c r="Y709" s="327" t="str">
        <f t="shared" si="176"/>
        <v/>
      </c>
      <c r="Z709" s="428" t="str">
        <f t="shared" si="177"/>
        <v/>
      </c>
    </row>
    <row r="710" spans="1:26" x14ac:dyDescent="0.35">
      <c r="A710" s="265"/>
      <c r="B710" s="266"/>
      <c r="C710" s="262"/>
      <c r="D710" s="262"/>
      <c r="E710" s="262"/>
      <c r="F710" s="262"/>
      <c r="G710" s="320"/>
      <c r="H710" s="262"/>
      <c r="I710" s="320"/>
      <c r="J710" s="320"/>
      <c r="K710" s="262"/>
      <c r="L710" s="262"/>
      <c r="M710" s="327" t="str">
        <f t="shared" si="164"/>
        <v/>
      </c>
      <c r="N710" s="327" t="str">
        <f t="shared" si="165"/>
        <v/>
      </c>
      <c r="O710" s="327" t="str">
        <f t="shared" si="166"/>
        <v/>
      </c>
      <c r="P710" s="327" t="str">
        <f t="shared" si="167"/>
        <v/>
      </c>
      <c r="Q710" s="327" t="str">
        <f t="shared" si="168"/>
        <v/>
      </c>
      <c r="R710" s="327" t="str">
        <f t="shared" si="169"/>
        <v/>
      </c>
      <c r="S710" s="421" t="str">
        <f t="shared" si="170"/>
        <v/>
      </c>
      <c r="T710" s="327" t="str">
        <f t="shared" si="171"/>
        <v/>
      </c>
      <c r="U710" s="327" t="str">
        <f t="shared" si="172"/>
        <v/>
      </c>
      <c r="V710" s="327" t="str">
        <f t="shared" si="173"/>
        <v/>
      </c>
      <c r="W710" s="327" t="str">
        <f t="shared" si="174"/>
        <v/>
      </c>
      <c r="X710" s="327" t="str">
        <f t="shared" si="175"/>
        <v/>
      </c>
      <c r="Y710" s="327" t="str">
        <f t="shared" si="176"/>
        <v/>
      </c>
      <c r="Z710" s="428" t="str">
        <f t="shared" si="177"/>
        <v/>
      </c>
    </row>
    <row r="711" spans="1:26" x14ac:dyDescent="0.35">
      <c r="A711" s="265"/>
      <c r="B711" s="266"/>
      <c r="C711" s="262"/>
      <c r="D711" s="262"/>
      <c r="E711" s="262"/>
      <c r="F711" s="262"/>
      <c r="G711" s="320"/>
      <c r="H711" s="262"/>
      <c r="I711" s="320"/>
      <c r="J711" s="320"/>
      <c r="K711" s="262"/>
      <c r="L711" s="262"/>
      <c r="M711" s="327" t="str">
        <f t="shared" si="164"/>
        <v/>
      </c>
      <c r="N711" s="327" t="str">
        <f t="shared" si="165"/>
        <v/>
      </c>
      <c r="O711" s="327" t="str">
        <f t="shared" si="166"/>
        <v/>
      </c>
      <c r="P711" s="327" t="str">
        <f t="shared" si="167"/>
        <v/>
      </c>
      <c r="Q711" s="327" t="str">
        <f t="shared" si="168"/>
        <v/>
      </c>
      <c r="R711" s="327" t="str">
        <f t="shared" si="169"/>
        <v/>
      </c>
      <c r="S711" s="421" t="str">
        <f t="shared" si="170"/>
        <v/>
      </c>
      <c r="T711" s="327" t="str">
        <f t="shared" si="171"/>
        <v/>
      </c>
      <c r="U711" s="327" t="str">
        <f t="shared" si="172"/>
        <v/>
      </c>
      <c r="V711" s="327" t="str">
        <f t="shared" si="173"/>
        <v/>
      </c>
      <c r="W711" s="327" t="str">
        <f t="shared" si="174"/>
        <v/>
      </c>
      <c r="X711" s="327" t="str">
        <f t="shared" si="175"/>
        <v/>
      </c>
      <c r="Y711" s="327" t="str">
        <f t="shared" si="176"/>
        <v/>
      </c>
      <c r="Z711" s="428" t="str">
        <f t="shared" si="177"/>
        <v/>
      </c>
    </row>
    <row r="712" spans="1:26" x14ac:dyDescent="0.35">
      <c r="A712" s="265"/>
      <c r="B712" s="266"/>
      <c r="C712" s="262"/>
      <c r="D712" s="262"/>
      <c r="E712" s="262"/>
      <c r="F712" s="262"/>
      <c r="G712" s="320"/>
      <c r="H712" s="262"/>
      <c r="I712" s="320"/>
      <c r="J712" s="320"/>
      <c r="K712" s="262"/>
      <c r="L712" s="262"/>
      <c r="M712" s="327" t="str">
        <f t="shared" si="164"/>
        <v/>
      </c>
      <c r="N712" s="327" t="str">
        <f t="shared" si="165"/>
        <v/>
      </c>
      <c r="O712" s="327" t="str">
        <f t="shared" si="166"/>
        <v/>
      </c>
      <c r="P712" s="327" t="str">
        <f t="shared" si="167"/>
        <v/>
      </c>
      <c r="Q712" s="327" t="str">
        <f t="shared" si="168"/>
        <v/>
      </c>
      <c r="R712" s="327" t="str">
        <f t="shared" si="169"/>
        <v/>
      </c>
      <c r="S712" s="421" t="str">
        <f t="shared" si="170"/>
        <v/>
      </c>
      <c r="T712" s="327" t="str">
        <f t="shared" si="171"/>
        <v/>
      </c>
      <c r="U712" s="327" t="str">
        <f t="shared" si="172"/>
        <v/>
      </c>
      <c r="V712" s="327" t="str">
        <f t="shared" si="173"/>
        <v/>
      </c>
      <c r="W712" s="327" t="str">
        <f t="shared" si="174"/>
        <v/>
      </c>
      <c r="X712" s="327" t="str">
        <f t="shared" si="175"/>
        <v/>
      </c>
      <c r="Y712" s="327" t="str">
        <f t="shared" si="176"/>
        <v/>
      </c>
      <c r="Z712" s="428" t="str">
        <f t="shared" si="177"/>
        <v/>
      </c>
    </row>
    <row r="713" spans="1:26" x14ac:dyDescent="0.35">
      <c r="A713" s="265"/>
      <c r="B713" s="266"/>
      <c r="C713" s="262"/>
      <c r="D713" s="262"/>
      <c r="E713" s="262"/>
      <c r="F713" s="262"/>
      <c r="G713" s="320"/>
      <c r="H713" s="262"/>
      <c r="I713" s="320"/>
      <c r="J713" s="320"/>
      <c r="K713" s="262"/>
      <c r="L713" s="262"/>
      <c r="M713" s="327" t="str">
        <f t="shared" si="164"/>
        <v/>
      </c>
      <c r="N713" s="327" t="str">
        <f t="shared" si="165"/>
        <v/>
      </c>
      <c r="O713" s="327" t="str">
        <f t="shared" si="166"/>
        <v/>
      </c>
      <c r="P713" s="327" t="str">
        <f t="shared" si="167"/>
        <v/>
      </c>
      <c r="Q713" s="327" t="str">
        <f t="shared" si="168"/>
        <v/>
      </c>
      <c r="R713" s="327" t="str">
        <f t="shared" si="169"/>
        <v/>
      </c>
      <c r="S713" s="421" t="str">
        <f t="shared" si="170"/>
        <v/>
      </c>
      <c r="T713" s="327" t="str">
        <f t="shared" si="171"/>
        <v/>
      </c>
      <c r="U713" s="327" t="str">
        <f t="shared" si="172"/>
        <v/>
      </c>
      <c r="V713" s="327" t="str">
        <f t="shared" si="173"/>
        <v/>
      </c>
      <c r="W713" s="327" t="str">
        <f t="shared" si="174"/>
        <v/>
      </c>
      <c r="X713" s="327" t="str">
        <f t="shared" si="175"/>
        <v/>
      </c>
      <c r="Y713" s="327" t="str">
        <f t="shared" si="176"/>
        <v/>
      </c>
      <c r="Z713" s="428" t="str">
        <f t="shared" si="177"/>
        <v/>
      </c>
    </row>
    <row r="714" spans="1:26" x14ac:dyDescent="0.35">
      <c r="A714" s="265"/>
      <c r="B714" s="266"/>
      <c r="C714" s="262"/>
      <c r="D714" s="262"/>
      <c r="E714" s="262"/>
      <c r="F714" s="262"/>
      <c r="G714" s="320"/>
      <c r="H714" s="262"/>
      <c r="I714" s="320"/>
      <c r="J714" s="320"/>
      <c r="K714" s="262"/>
      <c r="L714" s="262"/>
      <c r="M714" s="327" t="str">
        <f t="shared" si="164"/>
        <v/>
      </c>
      <c r="N714" s="327" t="str">
        <f t="shared" si="165"/>
        <v/>
      </c>
      <c r="O714" s="327" t="str">
        <f t="shared" si="166"/>
        <v/>
      </c>
      <c r="P714" s="327" t="str">
        <f t="shared" si="167"/>
        <v/>
      </c>
      <c r="Q714" s="327" t="str">
        <f t="shared" si="168"/>
        <v/>
      </c>
      <c r="R714" s="327" t="str">
        <f t="shared" si="169"/>
        <v/>
      </c>
      <c r="S714" s="421" t="str">
        <f t="shared" si="170"/>
        <v/>
      </c>
      <c r="T714" s="327" t="str">
        <f t="shared" si="171"/>
        <v/>
      </c>
      <c r="U714" s="327" t="str">
        <f t="shared" si="172"/>
        <v/>
      </c>
      <c r="V714" s="327" t="str">
        <f t="shared" si="173"/>
        <v/>
      </c>
      <c r="W714" s="327" t="str">
        <f t="shared" si="174"/>
        <v/>
      </c>
      <c r="X714" s="327" t="str">
        <f t="shared" si="175"/>
        <v/>
      </c>
      <c r="Y714" s="327" t="str">
        <f t="shared" si="176"/>
        <v/>
      </c>
      <c r="Z714" s="428" t="str">
        <f t="shared" si="177"/>
        <v/>
      </c>
    </row>
    <row r="715" spans="1:26" x14ac:dyDescent="0.35">
      <c r="A715" s="265"/>
      <c r="B715" s="266"/>
      <c r="C715" s="262"/>
      <c r="D715" s="262"/>
      <c r="E715" s="262"/>
      <c r="F715" s="262"/>
      <c r="G715" s="320"/>
      <c r="H715" s="262"/>
      <c r="I715" s="320"/>
      <c r="J715" s="320"/>
      <c r="K715" s="262"/>
      <c r="L715" s="262"/>
      <c r="M715" s="327" t="str">
        <f t="shared" si="164"/>
        <v/>
      </c>
      <c r="N715" s="327" t="str">
        <f t="shared" si="165"/>
        <v/>
      </c>
      <c r="O715" s="327" t="str">
        <f t="shared" si="166"/>
        <v/>
      </c>
      <c r="P715" s="327" t="str">
        <f t="shared" si="167"/>
        <v/>
      </c>
      <c r="Q715" s="327" t="str">
        <f t="shared" si="168"/>
        <v/>
      </c>
      <c r="R715" s="327" t="str">
        <f t="shared" si="169"/>
        <v/>
      </c>
      <c r="S715" s="421" t="str">
        <f t="shared" si="170"/>
        <v/>
      </c>
      <c r="T715" s="327" t="str">
        <f t="shared" si="171"/>
        <v/>
      </c>
      <c r="U715" s="327" t="str">
        <f t="shared" si="172"/>
        <v/>
      </c>
      <c r="V715" s="327" t="str">
        <f t="shared" si="173"/>
        <v/>
      </c>
      <c r="W715" s="327" t="str">
        <f t="shared" si="174"/>
        <v/>
      </c>
      <c r="X715" s="327" t="str">
        <f t="shared" si="175"/>
        <v/>
      </c>
      <c r="Y715" s="327" t="str">
        <f t="shared" si="176"/>
        <v/>
      </c>
      <c r="Z715" s="428" t="str">
        <f t="shared" si="177"/>
        <v/>
      </c>
    </row>
    <row r="716" spans="1:26" x14ac:dyDescent="0.35">
      <c r="A716" s="265"/>
      <c r="B716" s="266"/>
      <c r="C716" s="262"/>
      <c r="D716" s="262"/>
      <c r="E716" s="262"/>
      <c r="F716" s="262"/>
      <c r="G716" s="320"/>
      <c r="H716" s="262"/>
      <c r="I716" s="320"/>
      <c r="J716" s="320"/>
      <c r="K716" s="262"/>
      <c r="L716" s="262"/>
      <c r="M716" s="327" t="str">
        <f t="shared" si="164"/>
        <v/>
      </c>
      <c r="N716" s="327" t="str">
        <f t="shared" si="165"/>
        <v/>
      </c>
      <c r="O716" s="327" t="str">
        <f t="shared" si="166"/>
        <v/>
      </c>
      <c r="P716" s="327" t="str">
        <f t="shared" si="167"/>
        <v/>
      </c>
      <c r="Q716" s="327" t="str">
        <f t="shared" si="168"/>
        <v/>
      </c>
      <c r="R716" s="327" t="str">
        <f t="shared" si="169"/>
        <v/>
      </c>
      <c r="S716" s="421" t="str">
        <f t="shared" si="170"/>
        <v/>
      </c>
      <c r="T716" s="327" t="str">
        <f t="shared" si="171"/>
        <v/>
      </c>
      <c r="U716" s="327" t="str">
        <f t="shared" si="172"/>
        <v/>
      </c>
      <c r="V716" s="327" t="str">
        <f t="shared" si="173"/>
        <v/>
      </c>
      <c r="W716" s="327" t="str">
        <f t="shared" si="174"/>
        <v/>
      </c>
      <c r="X716" s="327" t="str">
        <f t="shared" si="175"/>
        <v/>
      </c>
      <c r="Y716" s="327" t="str">
        <f t="shared" si="176"/>
        <v/>
      </c>
      <c r="Z716" s="428" t="str">
        <f t="shared" si="177"/>
        <v/>
      </c>
    </row>
    <row r="717" spans="1:26" x14ac:dyDescent="0.35">
      <c r="A717" s="265"/>
      <c r="B717" s="266"/>
      <c r="C717" s="262"/>
      <c r="D717" s="262"/>
      <c r="E717" s="262"/>
      <c r="F717" s="262"/>
      <c r="G717" s="320"/>
      <c r="H717" s="262"/>
      <c r="I717" s="320"/>
      <c r="J717" s="320"/>
      <c r="K717" s="262"/>
      <c r="L717" s="262"/>
      <c r="M717" s="327" t="str">
        <f t="shared" si="164"/>
        <v/>
      </c>
      <c r="N717" s="327" t="str">
        <f t="shared" si="165"/>
        <v/>
      </c>
      <c r="O717" s="327" t="str">
        <f t="shared" si="166"/>
        <v/>
      </c>
      <c r="P717" s="327" t="str">
        <f t="shared" si="167"/>
        <v/>
      </c>
      <c r="Q717" s="327" t="str">
        <f t="shared" si="168"/>
        <v/>
      </c>
      <c r="R717" s="327" t="str">
        <f t="shared" si="169"/>
        <v/>
      </c>
      <c r="S717" s="421" t="str">
        <f t="shared" si="170"/>
        <v/>
      </c>
      <c r="T717" s="327" t="str">
        <f t="shared" si="171"/>
        <v/>
      </c>
      <c r="U717" s="327" t="str">
        <f t="shared" si="172"/>
        <v/>
      </c>
      <c r="V717" s="327" t="str">
        <f t="shared" si="173"/>
        <v/>
      </c>
      <c r="W717" s="327" t="str">
        <f t="shared" si="174"/>
        <v/>
      </c>
      <c r="X717" s="327" t="str">
        <f t="shared" si="175"/>
        <v/>
      </c>
      <c r="Y717" s="327" t="str">
        <f t="shared" si="176"/>
        <v/>
      </c>
      <c r="Z717" s="428" t="str">
        <f t="shared" si="177"/>
        <v/>
      </c>
    </row>
    <row r="718" spans="1:26" x14ac:dyDescent="0.35">
      <c r="A718" s="265"/>
      <c r="B718" s="266"/>
      <c r="C718" s="262"/>
      <c r="D718" s="262"/>
      <c r="E718" s="262"/>
      <c r="F718" s="262"/>
      <c r="G718" s="320"/>
      <c r="H718" s="262"/>
      <c r="I718" s="320"/>
      <c r="J718" s="320"/>
      <c r="K718" s="262"/>
      <c r="L718" s="262"/>
      <c r="M718" s="327" t="str">
        <f t="shared" si="164"/>
        <v/>
      </c>
      <c r="N718" s="327" t="str">
        <f t="shared" si="165"/>
        <v/>
      </c>
      <c r="O718" s="327" t="str">
        <f t="shared" si="166"/>
        <v/>
      </c>
      <c r="P718" s="327" t="str">
        <f t="shared" si="167"/>
        <v/>
      </c>
      <c r="Q718" s="327" t="str">
        <f t="shared" si="168"/>
        <v/>
      </c>
      <c r="R718" s="327" t="str">
        <f t="shared" si="169"/>
        <v/>
      </c>
      <c r="S718" s="421" t="str">
        <f t="shared" si="170"/>
        <v/>
      </c>
      <c r="T718" s="327" t="str">
        <f t="shared" si="171"/>
        <v/>
      </c>
      <c r="U718" s="327" t="str">
        <f t="shared" si="172"/>
        <v/>
      </c>
      <c r="V718" s="327" t="str">
        <f t="shared" si="173"/>
        <v/>
      </c>
      <c r="W718" s="327" t="str">
        <f t="shared" si="174"/>
        <v/>
      </c>
      <c r="X718" s="327" t="str">
        <f t="shared" si="175"/>
        <v/>
      </c>
      <c r="Y718" s="327" t="str">
        <f t="shared" si="176"/>
        <v/>
      </c>
      <c r="Z718" s="428" t="str">
        <f t="shared" si="177"/>
        <v/>
      </c>
    </row>
    <row r="719" spans="1:26" x14ac:dyDescent="0.35">
      <c r="A719" s="265"/>
      <c r="B719" s="266"/>
      <c r="C719" s="262"/>
      <c r="D719" s="262"/>
      <c r="E719" s="262"/>
      <c r="F719" s="262"/>
      <c r="G719" s="320"/>
      <c r="H719" s="262"/>
      <c r="I719" s="320"/>
      <c r="J719" s="320"/>
      <c r="K719" s="262"/>
      <c r="L719" s="262"/>
      <c r="M719" s="327" t="str">
        <f t="shared" si="164"/>
        <v/>
      </c>
      <c r="N719" s="327" t="str">
        <f t="shared" si="165"/>
        <v/>
      </c>
      <c r="O719" s="327" t="str">
        <f t="shared" si="166"/>
        <v/>
      </c>
      <c r="P719" s="327" t="str">
        <f t="shared" si="167"/>
        <v/>
      </c>
      <c r="Q719" s="327" t="str">
        <f t="shared" si="168"/>
        <v/>
      </c>
      <c r="R719" s="327" t="str">
        <f t="shared" si="169"/>
        <v/>
      </c>
      <c r="S719" s="421" t="str">
        <f t="shared" si="170"/>
        <v/>
      </c>
      <c r="T719" s="327" t="str">
        <f t="shared" si="171"/>
        <v/>
      </c>
      <c r="U719" s="327" t="str">
        <f t="shared" si="172"/>
        <v/>
      </c>
      <c r="V719" s="327" t="str">
        <f t="shared" si="173"/>
        <v/>
      </c>
      <c r="W719" s="327" t="str">
        <f t="shared" si="174"/>
        <v/>
      </c>
      <c r="X719" s="327" t="str">
        <f t="shared" si="175"/>
        <v/>
      </c>
      <c r="Y719" s="327" t="str">
        <f t="shared" si="176"/>
        <v/>
      </c>
      <c r="Z719" s="428" t="str">
        <f t="shared" si="177"/>
        <v/>
      </c>
    </row>
    <row r="720" spans="1:26" x14ac:dyDescent="0.35">
      <c r="A720" s="265"/>
      <c r="B720" s="266"/>
      <c r="C720" s="262"/>
      <c r="D720" s="262"/>
      <c r="E720" s="262"/>
      <c r="F720" s="262"/>
      <c r="G720" s="320"/>
      <c r="H720" s="262"/>
      <c r="I720" s="320"/>
      <c r="J720" s="320"/>
      <c r="K720" s="262"/>
      <c r="L720" s="262"/>
      <c r="M720" s="327" t="str">
        <f t="shared" si="164"/>
        <v/>
      </c>
      <c r="N720" s="327" t="str">
        <f t="shared" si="165"/>
        <v/>
      </c>
      <c r="O720" s="327" t="str">
        <f t="shared" si="166"/>
        <v/>
      </c>
      <c r="P720" s="327" t="str">
        <f t="shared" si="167"/>
        <v/>
      </c>
      <c r="Q720" s="327" t="str">
        <f t="shared" si="168"/>
        <v/>
      </c>
      <c r="R720" s="327" t="str">
        <f t="shared" si="169"/>
        <v/>
      </c>
      <c r="S720" s="421" t="str">
        <f t="shared" si="170"/>
        <v/>
      </c>
      <c r="T720" s="327" t="str">
        <f t="shared" si="171"/>
        <v/>
      </c>
      <c r="U720" s="327" t="str">
        <f t="shared" si="172"/>
        <v/>
      </c>
      <c r="V720" s="327" t="str">
        <f t="shared" si="173"/>
        <v/>
      </c>
      <c r="W720" s="327" t="str">
        <f t="shared" si="174"/>
        <v/>
      </c>
      <c r="X720" s="327" t="str">
        <f t="shared" si="175"/>
        <v/>
      </c>
      <c r="Y720" s="327" t="str">
        <f t="shared" si="176"/>
        <v/>
      </c>
      <c r="Z720" s="428" t="str">
        <f t="shared" si="177"/>
        <v/>
      </c>
    </row>
    <row r="721" spans="1:26" x14ac:dyDescent="0.35">
      <c r="A721" s="265"/>
      <c r="B721" s="266"/>
      <c r="C721" s="262"/>
      <c r="D721" s="262"/>
      <c r="E721" s="262"/>
      <c r="F721" s="262"/>
      <c r="G721" s="320"/>
      <c r="H721" s="262"/>
      <c r="I721" s="320"/>
      <c r="J721" s="320"/>
      <c r="K721" s="262"/>
      <c r="L721" s="262"/>
      <c r="M721" s="327" t="str">
        <f t="shared" si="164"/>
        <v/>
      </c>
      <c r="N721" s="327" t="str">
        <f t="shared" si="165"/>
        <v/>
      </c>
      <c r="O721" s="327" t="str">
        <f t="shared" si="166"/>
        <v/>
      </c>
      <c r="P721" s="327" t="str">
        <f t="shared" si="167"/>
        <v/>
      </c>
      <c r="Q721" s="327" t="str">
        <f t="shared" si="168"/>
        <v/>
      </c>
      <c r="R721" s="327" t="str">
        <f t="shared" si="169"/>
        <v/>
      </c>
      <c r="S721" s="421" t="str">
        <f t="shared" si="170"/>
        <v/>
      </c>
      <c r="T721" s="327" t="str">
        <f t="shared" si="171"/>
        <v/>
      </c>
      <c r="U721" s="327" t="str">
        <f t="shared" si="172"/>
        <v/>
      </c>
      <c r="V721" s="327" t="str">
        <f t="shared" si="173"/>
        <v/>
      </c>
      <c r="W721" s="327" t="str">
        <f t="shared" si="174"/>
        <v/>
      </c>
      <c r="X721" s="327" t="str">
        <f t="shared" si="175"/>
        <v/>
      </c>
      <c r="Y721" s="327" t="str">
        <f t="shared" si="176"/>
        <v/>
      </c>
      <c r="Z721" s="428" t="str">
        <f t="shared" si="177"/>
        <v/>
      </c>
    </row>
    <row r="722" spans="1:26" x14ac:dyDescent="0.35">
      <c r="A722" s="265"/>
      <c r="B722" s="266"/>
      <c r="C722" s="262"/>
      <c r="D722" s="262"/>
      <c r="E722" s="262"/>
      <c r="F722" s="262"/>
      <c r="G722" s="320"/>
      <c r="H722" s="262"/>
      <c r="I722" s="320"/>
      <c r="J722" s="320"/>
      <c r="K722" s="262"/>
      <c r="L722" s="262"/>
      <c r="M722" s="327" t="str">
        <f t="shared" si="164"/>
        <v/>
      </c>
      <c r="N722" s="327" t="str">
        <f t="shared" si="165"/>
        <v/>
      </c>
      <c r="O722" s="327" t="str">
        <f t="shared" si="166"/>
        <v/>
      </c>
      <c r="P722" s="327" t="str">
        <f t="shared" si="167"/>
        <v/>
      </c>
      <c r="Q722" s="327" t="str">
        <f t="shared" si="168"/>
        <v/>
      </c>
      <c r="R722" s="327" t="str">
        <f t="shared" si="169"/>
        <v/>
      </c>
      <c r="S722" s="421" t="str">
        <f t="shared" si="170"/>
        <v/>
      </c>
      <c r="T722" s="327" t="str">
        <f t="shared" si="171"/>
        <v/>
      </c>
      <c r="U722" s="327" t="str">
        <f t="shared" si="172"/>
        <v/>
      </c>
      <c r="V722" s="327" t="str">
        <f t="shared" si="173"/>
        <v/>
      </c>
      <c r="W722" s="327" t="str">
        <f t="shared" si="174"/>
        <v/>
      </c>
      <c r="X722" s="327" t="str">
        <f t="shared" si="175"/>
        <v/>
      </c>
      <c r="Y722" s="327" t="str">
        <f t="shared" si="176"/>
        <v/>
      </c>
      <c r="Z722" s="428" t="str">
        <f t="shared" si="177"/>
        <v/>
      </c>
    </row>
    <row r="723" spans="1:26" x14ac:dyDescent="0.35">
      <c r="A723" s="265"/>
      <c r="B723" s="266"/>
      <c r="C723" s="262"/>
      <c r="D723" s="262"/>
      <c r="E723" s="262"/>
      <c r="F723" s="262"/>
      <c r="G723" s="320"/>
      <c r="H723" s="262"/>
      <c r="I723" s="320"/>
      <c r="J723" s="320"/>
      <c r="K723" s="262"/>
      <c r="L723" s="262"/>
      <c r="M723" s="327" t="str">
        <f t="shared" si="164"/>
        <v/>
      </c>
      <c r="N723" s="327" t="str">
        <f t="shared" si="165"/>
        <v/>
      </c>
      <c r="O723" s="327" t="str">
        <f t="shared" si="166"/>
        <v/>
      </c>
      <c r="P723" s="327" t="str">
        <f t="shared" si="167"/>
        <v/>
      </c>
      <c r="Q723" s="327" t="str">
        <f t="shared" si="168"/>
        <v/>
      </c>
      <c r="R723" s="327" t="str">
        <f t="shared" si="169"/>
        <v/>
      </c>
      <c r="S723" s="421" t="str">
        <f t="shared" si="170"/>
        <v/>
      </c>
      <c r="T723" s="327" t="str">
        <f t="shared" si="171"/>
        <v/>
      </c>
      <c r="U723" s="327" t="str">
        <f t="shared" si="172"/>
        <v/>
      </c>
      <c r="V723" s="327" t="str">
        <f t="shared" si="173"/>
        <v/>
      </c>
      <c r="W723" s="327" t="str">
        <f t="shared" si="174"/>
        <v/>
      </c>
      <c r="X723" s="327" t="str">
        <f t="shared" si="175"/>
        <v/>
      </c>
      <c r="Y723" s="327" t="str">
        <f t="shared" si="176"/>
        <v/>
      </c>
      <c r="Z723" s="428" t="str">
        <f t="shared" si="177"/>
        <v/>
      </c>
    </row>
    <row r="724" spans="1:26" x14ac:dyDescent="0.35">
      <c r="A724" s="265"/>
      <c r="B724" s="266"/>
      <c r="C724" s="262"/>
      <c r="D724" s="262"/>
      <c r="E724" s="262"/>
      <c r="F724" s="262"/>
      <c r="G724" s="320"/>
      <c r="H724" s="262"/>
      <c r="I724" s="320"/>
      <c r="J724" s="320"/>
      <c r="K724" s="262"/>
      <c r="L724" s="262"/>
      <c r="M724" s="327" t="str">
        <f t="shared" si="164"/>
        <v/>
      </c>
      <c r="N724" s="327" t="str">
        <f t="shared" si="165"/>
        <v/>
      </c>
      <c r="O724" s="327" t="str">
        <f t="shared" si="166"/>
        <v/>
      </c>
      <c r="P724" s="327" t="str">
        <f t="shared" si="167"/>
        <v/>
      </c>
      <c r="Q724" s="327" t="str">
        <f t="shared" si="168"/>
        <v/>
      </c>
      <c r="R724" s="327" t="str">
        <f t="shared" si="169"/>
        <v/>
      </c>
      <c r="S724" s="421" t="str">
        <f t="shared" si="170"/>
        <v/>
      </c>
      <c r="T724" s="327" t="str">
        <f t="shared" si="171"/>
        <v/>
      </c>
      <c r="U724" s="327" t="str">
        <f t="shared" si="172"/>
        <v/>
      </c>
      <c r="V724" s="327" t="str">
        <f t="shared" si="173"/>
        <v/>
      </c>
      <c r="W724" s="327" t="str">
        <f t="shared" si="174"/>
        <v/>
      </c>
      <c r="X724" s="327" t="str">
        <f t="shared" si="175"/>
        <v/>
      </c>
      <c r="Y724" s="327" t="str">
        <f t="shared" si="176"/>
        <v/>
      </c>
      <c r="Z724" s="428" t="str">
        <f t="shared" si="177"/>
        <v/>
      </c>
    </row>
    <row r="725" spans="1:26" x14ac:dyDescent="0.35">
      <c r="A725" s="265"/>
      <c r="B725" s="266"/>
      <c r="C725" s="262"/>
      <c r="D725" s="262"/>
      <c r="E725" s="262"/>
      <c r="F725" s="262"/>
      <c r="G725" s="320"/>
      <c r="H725" s="262"/>
      <c r="I725" s="320"/>
      <c r="J725" s="320"/>
      <c r="K725" s="262"/>
      <c r="L725" s="262"/>
      <c r="M725" s="327" t="str">
        <f t="shared" si="164"/>
        <v/>
      </c>
      <c r="N725" s="327" t="str">
        <f t="shared" si="165"/>
        <v/>
      </c>
      <c r="O725" s="327" t="str">
        <f t="shared" si="166"/>
        <v/>
      </c>
      <c r="P725" s="327" t="str">
        <f t="shared" si="167"/>
        <v/>
      </c>
      <c r="Q725" s="327" t="str">
        <f t="shared" si="168"/>
        <v/>
      </c>
      <c r="R725" s="327" t="str">
        <f t="shared" si="169"/>
        <v/>
      </c>
      <c r="S725" s="421" t="str">
        <f t="shared" si="170"/>
        <v/>
      </c>
      <c r="T725" s="327" t="str">
        <f t="shared" si="171"/>
        <v/>
      </c>
      <c r="U725" s="327" t="str">
        <f t="shared" si="172"/>
        <v/>
      </c>
      <c r="V725" s="327" t="str">
        <f t="shared" si="173"/>
        <v/>
      </c>
      <c r="W725" s="327" t="str">
        <f t="shared" si="174"/>
        <v/>
      </c>
      <c r="X725" s="327" t="str">
        <f t="shared" si="175"/>
        <v/>
      </c>
      <c r="Y725" s="327" t="str">
        <f t="shared" si="176"/>
        <v/>
      </c>
      <c r="Z725" s="428" t="str">
        <f t="shared" si="177"/>
        <v/>
      </c>
    </row>
    <row r="726" spans="1:26" x14ac:dyDescent="0.35">
      <c r="A726" s="265"/>
      <c r="B726" s="266"/>
      <c r="C726" s="262"/>
      <c r="D726" s="262"/>
      <c r="E726" s="262"/>
      <c r="F726" s="262"/>
      <c r="G726" s="320"/>
      <c r="H726" s="262"/>
      <c r="I726" s="320"/>
      <c r="J726" s="320"/>
      <c r="K726" s="262"/>
      <c r="L726" s="262"/>
      <c r="M726" s="327" t="str">
        <f t="shared" si="164"/>
        <v/>
      </c>
      <c r="N726" s="327" t="str">
        <f t="shared" si="165"/>
        <v/>
      </c>
      <c r="O726" s="327" t="str">
        <f t="shared" si="166"/>
        <v/>
      </c>
      <c r="P726" s="327" t="str">
        <f t="shared" si="167"/>
        <v/>
      </c>
      <c r="Q726" s="327" t="str">
        <f t="shared" si="168"/>
        <v/>
      </c>
      <c r="R726" s="327" t="str">
        <f t="shared" si="169"/>
        <v/>
      </c>
      <c r="S726" s="421" t="str">
        <f t="shared" si="170"/>
        <v/>
      </c>
      <c r="T726" s="327" t="str">
        <f t="shared" si="171"/>
        <v/>
      </c>
      <c r="U726" s="327" t="str">
        <f t="shared" si="172"/>
        <v/>
      </c>
      <c r="V726" s="327" t="str">
        <f t="shared" si="173"/>
        <v/>
      </c>
      <c r="W726" s="327" t="str">
        <f t="shared" si="174"/>
        <v/>
      </c>
      <c r="X726" s="327" t="str">
        <f t="shared" si="175"/>
        <v/>
      </c>
      <c r="Y726" s="327" t="str">
        <f t="shared" si="176"/>
        <v/>
      </c>
      <c r="Z726" s="428" t="str">
        <f t="shared" si="177"/>
        <v/>
      </c>
    </row>
    <row r="727" spans="1:26" x14ac:dyDescent="0.35">
      <c r="A727" s="265"/>
      <c r="B727" s="266"/>
      <c r="C727" s="262"/>
      <c r="D727" s="262"/>
      <c r="E727" s="262"/>
      <c r="F727" s="262"/>
      <c r="G727" s="320"/>
      <c r="H727" s="262"/>
      <c r="I727" s="320"/>
      <c r="J727" s="320"/>
      <c r="K727" s="262"/>
      <c r="L727" s="262"/>
      <c r="M727" s="327" t="str">
        <f t="shared" si="164"/>
        <v/>
      </c>
      <c r="N727" s="327" t="str">
        <f t="shared" si="165"/>
        <v/>
      </c>
      <c r="O727" s="327" t="str">
        <f t="shared" si="166"/>
        <v/>
      </c>
      <c r="P727" s="327" t="str">
        <f t="shared" si="167"/>
        <v/>
      </c>
      <c r="Q727" s="327" t="str">
        <f t="shared" si="168"/>
        <v/>
      </c>
      <c r="R727" s="327" t="str">
        <f t="shared" si="169"/>
        <v/>
      </c>
      <c r="S727" s="421" t="str">
        <f t="shared" si="170"/>
        <v/>
      </c>
      <c r="T727" s="327" t="str">
        <f t="shared" si="171"/>
        <v/>
      </c>
      <c r="U727" s="327" t="str">
        <f t="shared" si="172"/>
        <v/>
      </c>
      <c r="V727" s="327" t="str">
        <f t="shared" si="173"/>
        <v/>
      </c>
      <c r="W727" s="327" t="str">
        <f t="shared" si="174"/>
        <v/>
      </c>
      <c r="X727" s="327" t="str">
        <f t="shared" si="175"/>
        <v/>
      </c>
      <c r="Y727" s="327" t="str">
        <f t="shared" si="176"/>
        <v/>
      </c>
      <c r="Z727" s="428" t="str">
        <f t="shared" si="177"/>
        <v/>
      </c>
    </row>
    <row r="728" spans="1:26" x14ac:dyDescent="0.35">
      <c r="A728" s="265"/>
      <c r="B728" s="266"/>
      <c r="C728" s="262"/>
      <c r="D728" s="262"/>
      <c r="E728" s="262"/>
      <c r="F728" s="262"/>
      <c r="G728" s="320"/>
      <c r="H728" s="262"/>
      <c r="I728" s="320"/>
      <c r="J728" s="320"/>
      <c r="K728" s="262"/>
      <c r="L728" s="262"/>
      <c r="M728" s="327" t="str">
        <f t="shared" si="164"/>
        <v/>
      </c>
      <c r="N728" s="327" t="str">
        <f t="shared" si="165"/>
        <v/>
      </c>
      <c r="O728" s="327" t="str">
        <f t="shared" si="166"/>
        <v/>
      </c>
      <c r="P728" s="327" t="str">
        <f t="shared" si="167"/>
        <v/>
      </c>
      <c r="Q728" s="327" t="str">
        <f t="shared" si="168"/>
        <v/>
      </c>
      <c r="R728" s="327" t="str">
        <f t="shared" si="169"/>
        <v/>
      </c>
      <c r="S728" s="421" t="str">
        <f t="shared" si="170"/>
        <v/>
      </c>
      <c r="T728" s="327" t="str">
        <f t="shared" si="171"/>
        <v/>
      </c>
      <c r="U728" s="327" t="str">
        <f t="shared" si="172"/>
        <v/>
      </c>
      <c r="V728" s="327" t="str">
        <f t="shared" si="173"/>
        <v/>
      </c>
      <c r="W728" s="327" t="str">
        <f t="shared" si="174"/>
        <v/>
      </c>
      <c r="X728" s="327" t="str">
        <f t="shared" si="175"/>
        <v/>
      </c>
      <c r="Y728" s="327" t="str">
        <f t="shared" si="176"/>
        <v/>
      </c>
      <c r="Z728" s="428" t="str">
        <f t="shared" si="177"/>
        <v/>
      </c>
    </row>
    <row r="729" spans="1:26" x14ac:dyDescent="0.35">
      <c r="A729" s="265"/>
      <c r="B729" s="266"/>
      <c r="C729" s="262"/>
      <c r="D729" s="262"/>
      <c r="E729" s="262"/>
      <c r="F729" s="262"/>
      <c r="G729" s="320"/>
      <c r="H729" s="262"/>
      <c r="I729" s="320"/>
      <c r="J729" s="320"/>
      <c r="K729" s="262"/>
      <c r="L729" s="262"/>
      <c r="M729" s="327" t="str">
        <f t="shared" si="164"/>
        <v/>
      </c>
      <c r="N729" s="327" t="str">
        <f t="shared" si="165"/>
        <v/>
      </c>
      <c r="O729" s="327" t="str">
        <f t="shared" si="166"/>
        <v/>
      </c>
      <c r="P729" s="327" t="str">
        <f t="shared" si="167"/>
        <v/>
      </c>
      <c r="Q729" s="327" t="str">
        <f t="shared" si="168"/>
        <v/>
      </c>
      <c r="R729" s="327" t="str">
        <f t="shared" si="169"/>
        <v/>
      </c>
      <c r="S729" s="421" t="str">
        <f t="shared" si="170"/>
        <v/>
      </c>
      <c r="T729" s="327" t="str">
        <f t="shared" si="171"/>
        <v/>
      </c>
      <c r="U729" s="327" t="str">
        <f t="shared" si="172"/>
        <v/>
      </c>
      <c r="V729" s="327" t="str">
        <f t="shared" si="173"/>
        <v/>
      </c>
      <c r="W729" s="327" t="str">
        <f t="shared" si="174"/>
        <v/>
      </c>
      <c r="X729" s="327" t="str">
        <f t="shared" si="175"/>
        <v/>
      </c>
      <c r="Y729" s="327" t="str">
        <f t="shared" si="176"/>
        <v/>
      </c>
      <c r="Z729" s="428" t="str">
        <f t="shared" si="177"/>
        <v/>
      </c>
    </row>
    <row r="730" spans="1:26" x14ac:dyDescent="0.35">
      <c r="A730" s="265"/>
      <c r="B730" s="266"/>
      <c r="C730" s="262"/>
      <c r="D730" s="262"/>
      <c r="E730" s="262"/>
      <c r="F730" s="262"/>
      <c r="G730" s="320"/>
      <c r="H730" s="262"/>
      <c r="I730" s="320"/>
      <c r="J730" s="320"/>
      <c r="K730" s="262"/>
      <c r="L730" s="262"/>
      <c r="M730" s="327" t="str">
        <f t="shared" si="164"/>
        <v/>
      </c>
      <c r="N730" s="327" t="str">
        <f t="shared" si="165"/>
        <v/>
      </c>
      <c r="O730" s="327" t="str">
        <f t="shared" si="166"/>
        <v/>
      </c>
      <c r="P730" s="327" t="str">
        <f t="shared" si="167"/>
        <v/>
      </c>
      <c r="Q730" s="327" t="str">
        <f t="shared" si="168"/>
        <v/>
      </c>
      <c r="R730" s="327" t="str">
        <f t="shared" si="169"/>
        <v/>
      </c>
      <c r="S730" s="421" t="str">
        <f t="shared" si="170"/>
        <v/>
      </c>
      <c r="T730" s="327" t="str">
        <f t="shared" si="171"/>
        <v/>
      </c>
      <c r="U730" s="327" t="str">
        <f t="shared" si="172"/>
        <v/>
      </c>
      <c r="V730" s="327" t="str">
        <f t="shared" si="173"/>
        <v/>
      </c>
      <c r="W730" s="327" t="str">
        <f t="shared" si="174"/>
        <v/>
      </c>
      <c r="X730" s="327" t="str">
        <f t="shared" si="175"/>
        <v/>
      </c>
      <c r="Y730" s="327" t="str">
        <f t="shared" si="176"/>
        <v/>
      </c>
      <c r="Z730" s="428" t="str">
        <f t="shared" si="177"/>
        <v/>
      </c>
    </row>
    <row r="731" spans="1:26" x14ac:dyDescent="0.35">
      <c r="A731" s="265"/>
      <c r="B731" s="266"/>
      <c r="C731" s="262"/>
      <c r="D731" s="262"/>
      <c r="E731" s="262"/>
      <c r="F731" s="262"/>
      <c r="G731" s="320"/>
      <c r="H731" s="262"/>
      <c r="I731" s="320"/>
      <c r="J731" s="320"/>
      <c r="K731" s="262"/>
      <c r="L731" s="262"/>
      <c r="M731" s="327" t="str">
        <f t="shared" si="164"/>
        <v/>
      </c>
      <c r="N731" s="327" t="str">
        <f t="shared" si="165"/>
        <v/>
      </c>
      <c r="O731" s="327" t="str">
        <f t="shared" si="166"/>
        <v/>
      </c>
      <c r="P731" s="327" t="str">
        <f t="shared" si="167"/>
        <v/>
      </c>
      <c r="Q731" s="327" t="str">
        <f t="shared" si="168"/>
        <v/>
      </c>
      <c r="R731" s="327" t="str">
        <f t="shared" si="169"/>
        <v/>
      </c>
      <c r="S731" s="421" t="str">
        <f t="shared" si="170"/>
        <v/>
      </c>
      <c r="T731" s="327" t="str">
        <f t="shared" si="171"/>
        <v/>
      </c>
      <c r="U731" s="327" t="str">
        <f t="shared" si="172"/>
        <v/>
      </c>
      <c r="V731" s="327" t="str">
        <f t="shared" si="173"/>
        <v/>
      </c>
      <c r="W731" s="327" t="str">
        <f t="shared" si="174"/>
        <v/>
      </c>
      <c r="X731" s="327" t="str">
        <f t="shared" si="175"/>
        <v/>
      </c>
      <c r="Y731" s="327" t="str">
        <f t="shared" si="176"/>
        <v/>
      </c>
      <c r="Z731" s="428" t="str">
        <f t="shared" si="177"/>
        <v/>
      </c>
    </row>
    <row r="732" spans="1:26" x14ac:dyDescent="0.35">
      <c r="A732" s="265"/>
      <c r="B732" s="266"/>
      <c r="C732" s="262"/>
      <c r="D732" s="262"/>
      <c r="E732" s="262"/>
      <c r="F732" s="262"/>
      <c r="G732" s="320"/>
      <c r="H732" s="262"/>
      <c r="I732" s="320"/>
      <c r="J732" s="320"/>
      <c r="K732" s="262"/>
      <c r="L732" s="262"/>
      <c r="M732" s="327" t="str">
        <f t="shared" si="164"/>
        <v/>
      </c>
      <c r="N732" s="327" t="str">
        <f t="shared" si="165"/>
        <v/>
      </c>
      <c r="O732" s="327" t="str">
        <f t="shared" si="166"/>
        <v/>
      </c>
      <c r="P732" s="327" t="str">
        <f t="shared" si="167"/>
        <v/>
      </c>
      <c r="Q732" s="327" t="str">
        <f t="shared" si="168"/>
        <v/>
      </c>
      <c r="R732" s="327" t="str">
        <f t="shared" si="169"/>
        <v/>
      </c>
      <c r="S732" s="421" t="str">
        <f t="shared" si="170"/>
        <v/>
      </c>
      <c r="T732" s="327" t="str">
        <f t="shared" si="171"/>
        <v/>
      </c>
      <c r="U732" s="327" t="str">
        <f t="shared" si="172"/>
        <v/>
      </c>
      <c r="V732" s="327" t="str">
        <f t="shared" si="173"/>
        <v/>
      </c>
      <c r="W732" s="327" t="str">
        <f t="shared" si="174"/>
        <v/>
      </c>
      <c r="X732" s="327" t="str">
        <f t="shared" si="175"/>
        <v/>
      </c>
      <c r="Y732" s="327" t="str">
        <f t="shared" si="176"/>
        <v/>
      </c>
      <c r="Z732" s="428" t="str">
        <f t="shared" si="177"/>
        <v/>
      </c>
    </row>
    <row r="733" spans="1:26" x14ac:dyDescent="0.35">
      <c r="A733" s="265"/>
      <c r="B733" s="266"/>
      <c r="C733" s="262"/>
      <c r="D733" s="262"/>
      <c r="E733" s="262"/>
      <c r="F733" s="262"/>
      <c r="G733" s="320"/>
      <c r="H733" s="262"/>
      <c r="I733" s="320"/>
      <c r="J733" s="320"/>
      <c r="K733" s="262"/>
      <c r="L733" s="262"/>
      <c r="M733" s="327" t="str">
        <f t="shared" si="164"/>
        <v/>
      </c>
      <c r="N733" s="327" t="str">
        <f t="shared" si="165"/>
        <v/>
      </c>
      <c r="O733" s="327" t="str">
        <f t="shared" si="166"/>
        <v/>
      </c>
      <c r="P733" s="327" t="str">
        <f t="shared" si="167"/>
        <v/>
      </c>
      <c r="Q733" s="327" t="str">
        <f t="shared" si="168"/>
        <v/>
      </c>
      <c r="R733" s="327" t="str">
        <f t="shared" si="169"/>
        <v/>
      </c>
      <c r="S733" s="421" t="str">
        <f t="shared" si="170"/>
        <v/>
      </c>
      <c r="T733" s="327" t="str">
        <f t="shared" si="171"/>
        <v/>
      </c>
      <c r="U733" s="327" t="str">
        <f t="shared" si="172"/>
        <v/>
      </c>
      <c r="V733" s="327" t="str">
        <f t="shared" si="173"/>
        <v/>
      </c>
      <c r="W733" s="327" t="str">
        <f t="shared" si="174"/>
        <v/>
      </c>
      <c r="X733" s="327" t="str">
        <f t="shared" si="175"/>
        <v/>
      </c>
      <c r="Y733" s="327" t="str">
        <f t="shared" si="176"/>
        <v/>
      </c>
      <c r="Z733" s="428" t="str">
        <f t="shared" si="177"/>
        <v/>
      </c>
    </row>
    <row r="734" spans="1:26" x14ac:dyDescent="0.35">
      <c r="A734" s="265"/>
      <c r="B734" s="266"/>
      <c r="C734" s="262"/>
      <c r="D734" s="262"/>
      <c r="E734" s="262"/>
      <c r="F734" s="262"/>
      <c r="G734" s="320"/>
      <c r="H734" s="262"/>
      <c r="I734" s="320"/>
      <c r="J734" s="320"/>
      <c r="K734" s="262"/>
      <c r="L734" s="262"/>
      <c r="M734" s="327" t="str">
        <f t="shared" si="164"/>
        <v/>
      </c>
      <c r="N734" s="327" t="str">
        <f t="shared" si="165"/>
        <v/>
      </c>
      <c r="O734" s="327" t="str">
        <f t="shared" si="166"/>
        <v/>
      </c>
      <c r="P734" s="327" t="str">
        <f t="shared" si="167"/>
        <v/>
      </c>
      <c r="Q734" s="327" t="str">
        <f t="shared" si="168"/>
        <v/>
      </c>
      <c r="R734" s="327" t="str">
        <f t="shared" si="169"/>
        <v/>
      </c>
      <c r="S734" s="421" t="str">
        <f t="shared" si="170"/>
        <v/>
      </c>
      <c r="T734" s="327" t="str">
        <f t="shared" si="171"/>
        <v/>
      </c>
      <c r="U734" s="327" t="str">
        <f t="shared" si="172"/>
        <v/>
      </c>
      <c r="V734" s="327" t="str">
        <f t="shared" si="173"/>
        <v/>
      </c>
      <c r="W734" s="327" t="str">
        <f t="shared" si="174"/>
        <v/>
      </c>
      <c r="X734" s="327" t="str">
        <f t="shared" si="175"/>
        <v/>
      </c>
      <c r="Y734" s="327" t="str">
        <f t="shared" si="176"/>
        <v/>
      </c>
      <c r="Z734" s="428" t="str">
        <f t="shared" si="177"/>
        <v/>
      </c>
    </row>
    <row r="735" spans="1:26" x14ac:dyDescent="0.35">
      <c r="A735" s="265"/>
      <c r="B735" s="266"/>
      <c r="C735" s="262"/>
      <c r="D735" s="262"/>
      <c r="E735" s="262"/>
      <c r="F735" s="262"/>
      <c r="G735" s="320"/>
      <c r="H735" s="262"/>
      <c r="I735" s="320"/>
      <c r="J735" s="320"/>
      <c r="K735" s="262"/>
      <c r="L735" s="262"/>
      <c r="M735" s="327" t="str">
        <f t="shared" si="164"/>
        <v/>
      </c>
      <c r="N735" s="327" t="str">
        <f t="shared" si="165"/>
        <v/>
      </c>
      <c r="O735" s="327" t="str">
        <f t="shared" si="166"/>
        <v/>
      </c>
      <c r="P735" s="327" t="str">
        <f t="shared" si="167"/>
        <v/>
      </c>
      <c r="Q735" s="327" t="str">
        <f t="shared" si="168"/>
        <v/>
      </c>
      <c r="R735" s="327" t="str">
        <f t="shared" si="169"/>
        <v/>
      </c>
      <c r="S735" s="421" t="str">
        <f t="shared" si="170"/>
        <v/>
      </c>
      <c r="T735" s="327" t="str">
        <f t="shared" si="171"/>
        <v/>
      </c>
      <c r="U735" s="327" t="str">
        <f t="shared" si="172"/>
        <v/>
      </c>
      <c r="V735" s="327" t="str">
        <f t="shared" si="173"/>
        <v/>
      </c>
      <c r="W735" s="327" t="str">
        <f t="shared" si="174"/>
        <v/>
      </c>
      <c r="X735" s="327" t="str">
        <f t="shared" si="175"/>
        <v/>
      </c>
      <c r="Y735" s="327" t="str">
        <f t="shared" si="176"/>
        <v/>
      </c>
      <c r="Z735" s="428" t="str">
        <f t="shared" si="177"/>
        <v/>
      </c>
    </row>
    <row r="736" spans="1:26" x14ac:dyDescent="0.35">
      <c r="A736" s="265"/>
      <c r="B736" s="266"/>
      <c r="C736" s="262"/>
      <c r="D736" s="262"/>
      <c r="E736" s="262"/>
      <c r="F736" s="262"/>
      <c r="G736" s="320"/>
      <c r="H736" s="262"/>
      <c r="I736" s="320"/>
      <c r="J736" s="320"/>
      <c r="K736" s="262"/>
      <c r="L736" s="262"/>
      <c r="M736" s="327" t="str">
        <f t="shared" si="164"/>
        <v/>
      </c>
      <c r="N736" s="327" t="str">
        <f t="shared" si="165"/>
        <v/>
      </c>
      <c r="O736" s="327" t="str">
        <f t="shared" si="166"/>
        <v/>
      </c>
      <c r="P736" s="327" t="str">
        <f t="shared" si="167"/>
        <v/>
      </c>
      <c r="Q736" s="327" t="str">
        <f t="shared" si="168"/>
        <v/>
      </c>
      <c r="R736" s="327" t="str">
        <f t="shared" si="169"/>
        <v/>
      </c>
      <c r="S736" s="421" t="str">
        <f t="shared" si="170"/>
        <v/>
      </c>
      <c r="T736" s="327" t="str">
        <f t="shared" si="171"/>
        <v/>
      </c>
      <c r="U736" s="327" t="str">
        <f t="shared" si="172"/>
        <v/>
      </c>
      <c r="V736" s="327" t="str">
        <f t="shared" si="173"/>
        <v/>
      </c>
      <c r="W736" s="327" t="str">
        <f t="shared" si="174"/>
        <v/>
      </c>
      <c r="X736" s="327" t="str">
        <f t="shared" si="175"/>
        <v/>
      </c>
      <c r="Y736" s="327" t="str">
        <f t="shared" si="176"/>
        <v/>
      </c>
      <c r="Z736" s="428" t="str">
        <f t="shared" si="177"/>
        <v/>
      </c>
    </row>
    <row r="737" spans="1:26" x14ac:dyDescent="0.35">
      <c r="A737" s="265"/>
      <c r="B737" s="266"/>
      <c r="C737" s="262"/>
      <c r="D737" s="262"/>
      <c r="E737" s="262"/>
      <c r="F737" s="262"/>
      <c r="G737" s="320"/>
      <c r="H737" s="262"/>
      <c r="I737" s="320"/>
      <c r="J737" s="320"/>
      <c r="K737" s="262"/>
      <c r="L737" s="262"/>
      <c r="M737" s="327" t="str">
        <f t="shared" si="164"/>
        <v/>
      </c>
      <c r="N737" s="327" t="str">
        <f t="shared" si="165"/>
        <v/>
      </c>
      <c r="O737" s="327" t="str">
        <f t="shared" si="166"/>
        <v/>
      </c>
      <c r="P737" s="327" t="str">
        <f t="shared" si="167"/>
        <v/>
      </c>
      <c r="Q737" s="327" t="str">
        <f t="shared" si="168"/>
        <v/>
      </c>
      <c r="R737" s="327" t="str">
        <f t="shared" si="169"/>
        <v/>
      </c>
      <c r="S737" s="421" t="str">
        <f t="shared" si="170"/>
        <v/>
      </c>
      <c r="T737" s="327" t="str">
        <f t="shared" si="171"/>
        <v/>
      </c>
      <c r="U737" s="327" t="str">
        <f t="shared" si="172"/>
        <v/>
      </c>
      <c r="V737" s="327" t="str">
        <f t="shared" si="173"/>
        <v/>
      </c>
      <c r="W737" s="327" t="str">
        <f t="shared" si="174"/>
        <v/>
      </c>
      <c r="X737" s="327" t="str">
        <f t="shared" si="175"/>
        <v/>
      </c>
      <c r="Y737" s="327" t="str">
        <f t="shared" si="176"/>
        <v/>
      </c>
      <c r="Z737" s="428" t="str">
        <f t="shared" si="177"/>
        <v/>
      </c>
    </row>
    <row r="738" spans="1:26" x14ac:dyDescent="0.35">
      <c r="A738" s="265"/>
      <c r="B738" s="266"/>
      <c r="C738" s="262"/>
      <c r="D738" s="262"/>
      <c r="E738" s="262"/>
      <c r="F738" s="262"/>
      <c r="G738" s="320"/>
      <c r="H738" s="262"/>
      <c r="I738" s="320"/>
      <c r="J738" s="320"/>
      <c r="K738" s="262"/>
      <c r="L738" s="262"/>
      <c r="M738" s="327" t="str">
        <f t="shared" si="164"/>
        <v/>
      </c>
      <c r="N738" s="327" t="str">
        <f t="shared" si="165"/>
        <v/>
      </c>
      <c r="O738" s="327" t="str">
        <f t="shared" si="166"/>
        <v/>
      </c>
      <c r="P738" s="327" t="str">
        <f t="shared" si="167"/>
        <v/>
      </c>
      <c r="Q738" s="327" t="str">
        <f t="shared" si="168"/>
        <v/>
      </c>
      <c r="R738" s="327" t="str">
        <f t="shared" si="169"/>
        <v/>
      </c>
      <c r="S738" s="421" t="str">
        <f t="shared" si="170"/>
        <v/>
      </c>
      <c r="T738" s="327" t="str">
        <f t="shared" si="171"/>
        <v/>
      </c>
      <c r="U738" s="327" t="str">
        <f t="shared" si="172"/>
        <v/>
      </c>
      <c r="V738" s="327" t="str">
        <f t="shared" si="173"/>
        <v/>
      </c>
      <c r="W738" s="327" t="str">
        <f t="shared" si="174"/>
        <v/>
      </c>
      <c r="X738" s="327" t="str">
        <f t="shared" si="175"/>
        <v/>
      </c>
      <c r="Y738" s="327" t="str">
        <f t="shared" si="176"/>
        <v/>
      </c>
      <c r="Z738" s="428" t="str">
        <f t="shared" si="177"/>
        <v/>
      </c>
    </row>
    <row r="739" spans="1:26" x14ac:dyDescent="0.35">
      <c r="A739" s="265"/>
      <c r="B739" s="266"/>
      <c r="C739" s="262"/>
      <c r="D739" s="262"/>
      <c r="E739" s="262"/>
      <c r="F739" s="262"/>
      <c r="G739" s="320"/>
      <c r="H739" s="262"/>
      <c r="I739" s="320"/>
      <c r="J739" s="320"/>
      <c r="K739" s="262"/>
      <c r="L739" s="262"/>
      <c r="M739" s="327" t="str">
        <f t="shared" si="164"/>
        <v/>
      </c>
      <c r="N739" s="327" t="str">
        <f t="shared" si="165"/>
        <v/>
      </c>
      <c r="O739" s="327" t="str">
        <f t="shared" si="166"/>
        <v/>
      </c>
      <c r="P739" s="327" t="str">
        <f t="shared" si="167"/>
        <v/>
      </c>
      <c r="Q739" s="327" t="str">
        <f t="shared" si="168"/>
        <v/>
      </c>
      <c r="R739" s="327" t="str">
        <f t="shared" si="169"/>
        <v/>
      </c>
      <c r="S739" s="421" t="str">
        <f t="shared" si="170"/>
        <v/>
      </c>
      <c r="T739" s="327" t="str">
        <f t="shared" si="171"/>
        <v/>
      </c>
      <c r="U739" s="327" t="str">
        <f t="shared" si="172"/>
        <v/>
      </c>
      <c r="V739" s="327" t="str">
        <f t="shared" si="173"/>
        <v/>
      </c>
      <c r="W739" s="327" t="str">
        <f t="shared" si="174"/>
        <v/>
      </c>
      <c r="X739" s="327" t="str">
        <f t="shared" si="175"/>
        <v/>
      </c>
      <c r="Y739" s="327" t="str">
        <f t="shared" si="176"/>
        <v/>
      </c>
      <c r="Z739" s="428" t="str">
        <f t="shared" si="177"/>
        <v/>
      </c>
    </row>
    <row r="740" spans="1:26" x14ac:dyDescent="0.35">
      <c r="A740" s="265"/>
      <c r="B740" s="266"/>
      <c r="C740" s="262"/>
      <c r="D740" s="262"/>
      <c r="E740" s="262"/>
      <c r="F740" s="262"/>
      <c r="G740" s="320"/>
      <c r="H740" s="262"/>
      <c r="I740" s="320"/>
      <c r="J740" s="320"/>
      <c r="K740" s="262"/>
      <c r="L740" s="262"/>
      <c r="M740" s="327" t="str">
        <f t="shared" si="164"/>
        <v/>
      </c>
      <c r="N740" s="327" t="str">
        <f t="shared" si="165"/>
        <v/>
      </c>
      <c r="O740" s="327" t="str">
        <f t="shared" si="166"/>
        <v/>
      </c>
      <c r="P740" s="327" t="str">
        <f t="shared" si="167"/>
        <v/>
      </c>
      <c r="Q740" s="327" t="str">
        <f t="shared" si="168"/>
        <v/>
      </c>
      <c r="R740" s="327" t="str">
        <f t="shared" si="169"/>
        <v/>
      </c>
      <c r="S740" s="421" t="str">
        <f t="shared" si="170"/>
        <v/>
      </c>
      <c r="T740" s="327" t="str">
        <f t="shared" si="171"/>
        <v/>
      </c>
      <c r="U740" s="327" t="str">
        <f t="shared" si="172"/>
        <v/>
      </c>
      <c r="V740" s="327" t="str">
        <f t="shared" si="173"/>
        <v/>
      </c>
      <c r="W740" s="327" t="str">
        <f t="shared" si="174"/>
        <v/>
      </c>
      <c r="X740" s="327" t="str">
        <f t="shared" si="175"/>
        <v/>
      </c>
      <c r="Y740" s="327" t="str">
        <f t="shared" si="176"/>
        <v/>
      </c>
      <c r="Z740" s="428" t="str">
        <f t="shared" si="177"/>
        <v/>
      </c>
    </row>
    <row r="741" spans="1:26" x14ac:dyDescent="0.35">
      <c r="A741" s="265"/>
      <c r="B741" s="266"/>
      <c r="C741" s="262"/>
      <c r="D741" s="262"/>
      <c r="E741" s="262"/>
      <c r="F741" s="262"/>
      <c r="G741" s="320"/>
      <c r="H741" s="262"/>
      <c r="I741" s="320"/>
      <c r="J741" s="320"/>
      <c r="K741" s="262"/>
      <c r="L741" s="262"/>
      <c r="M741" s="327" t="str">
        <f t="shared" si="164"/>
        <v/>
      </c>
      <c r="N741" s="327" t="str">
        <f t="shared" si="165"/>
        <v/>
      </c>
      <c r="O741" s="327" t="str">
        <f t="shared" si="166"/>
        <v/>
      </c>
      <c r="P741" s="327" t="str">
        <f t="shared" si="167"/>
        <v/>
      </c>
      <c r="Q741" s="327" t="str">
        <f t="shared" si="168"/>
        <v/>
      </c>
      <c r="R741" s="327" t="str">
        <f t="shared" si="169"/>
        <v/>
      </c>
      <c r="S741" s="421" t="str">
        <f t="shared" si="170"/>
        <v/>
      </c>
      <c r="T741" s="327" t="str">
        <f t="shared" si="171"/>
        <v/>
      </c>
      <c r="U741" s="327" t="str">
        <f t="shared" si="172"/>
        <v/>
      </c>
      <c r="V741" s="327" t="str">
        <f t="shared" si="173"/>
        <v/>
      </c>
      <c r="W741" s="327" t="str">
        <f t="shared" si="174"/>
        <v/>
      </c>
      <c r="X741" s="327" t="str">
        <f t="shared" si="175"/>
        <v/>
      </c>
      <c r="Y741" s="327" t="str">
        <f t="shared" si="176"/>
        <v/>
      </c>
      <c r="Z741" s="428" t="str">
        <f t="shared" si="177"/>
        <v/>
      </c>
    </row>
    <row r="742" spans="1:26" x14ac:dyDescent="0.35">
      <c r="A742" s="265"/>
      <c r="B742" s="266"/>
      <c r="C742" s="262"/>
      <c r="D742" s="262"/>
      <c r="E742" s="262"/>
      <c r="F742" s="262"/>
      <c r="G742" s="320"/>
      <c r="H742" s="262"/>
      <c r="I742" s="320"/>
      <c r="J742" s="320"/>
      <c r="K742" s="262"/>
      <c r="L742" s="262"/>
      <c r="M742" s="327" t="str">
        <f t="shared" si="164"/>
        <v/>
      </c>
      <c r="N742" s="327" t="str">
        <f t="shared" si="165"/>
        <v/>
      </c>
      <c r="O742" s="327" t="str">
        <f t="shared" si="166"/>
        <v/>
      </c>
      <c r="P742" s="327" t="str">
        <f t="shared" si="167"/>
        <v/>
      </c>
      <c r="Q742" s="327" t="str">
        <f t="shared" si="168"/>
        <v/>
      </c>
      <c r="R742" s="327" t="str">
        <f t="shared" si="169"/>
        <v/>
      </c>
      <c r="S742" s="421" t="str">
        <f t="shared" si="170"/>
        <v/>
      </c>
      <c r="T742" s="327" t="str">
        <f t="shared" si="171"/>
        <v/>
      </c>
      <c r="U742" s="327" t="str">
        <f t="shared" si="172"/>
        <v/>
      </c>
      <c r="V742" s="327" t="str">
        <f t="shared" si="173"/>
        <v/>
      </c>
      <c r="W742" s="327" t="str">
        <f t="shared" si="174"/>
        <v/>
      </c>
      <c r="X742" s="327" t="str">
        <f t="shared" si="175"/>
        <v/>
      </c>
      <c r="Y742" s="327" t="str">
        <f t="shared" si="176"/>
        <v/>
      </c>
      <c r="Z742" s="428" t="str">
        <f t="shared" si="177"/>
        <v/>
      </c>
    </row>
    <row r="743" spans="1:26" x14ac:dyDescent="0.35">
      <c r="A743" s="265"/>
      <c r="B743" s="266"/>
      <c r="C743" s="262"/>
      <c r="D743" s="262"/>
      <c r="E743" s="262"/>
      <c r="F743" s="262"/>
      <c r="G743" s="320"/>
      <c r="H743" s="262"/>
      <c r="I743" s="320"/>
      <c r="J743" s="320"/>
      <c r="K743" s="262"/>
      <c r="L743" s="262"/>
      <c r="M743" s="327" t="str">
        <f t="shared" si="164"/>
        <v/>
      </c>
      <c r="N743" s="327" t="str">
        <f t="shared" si="165"/>
        <v/>
      </c>
      <c r="O743" s="327" t="str">
        <f t="shared" si="166"/>
        <v/>
      </c>
      <c r="P743" s="327" t="str">
        <f t="shared" si="167"/>
        <v/>
      </c>
      <c r="Q743" s="327" t="str">
        <f t="shared" si="168"/>
        <v/>
      </c>
      <c r="R743" s="327" t="str">
        <f t="shared" si="169"/>
        <v/>
      </c>
      <c r="S743" s="421" t="str">
        <f t="shared" si="170"/>
        <v/>
      </c>
      <c r="T743" s="327" t="str">
        <f t="shared" si="171"/>
        <v/>
      </c>
      <c r="U743" s="327" t="str">
        <f t="shared" si="172"/>
        <v/>
      </c>
      <c r="V743" s="327" t="str">
        <f t="shared" si="173"/>
        <v/>
      </c>
      <c r="W743" s="327" t="str">
        <f t="shared" si="174"/>
        <v/>
      </c>
      <c r="X743" s="327" t="str">
        <f t="shared" si="175"/>
        <v/>
      </c>
      <c r="Y743" s="327" t="str">
        <f t="shared" si="176"/>
        <v/>
      </c>
      <c r="Z743" s="428" t="str">
        <f t="shared" si="177"/>
        <v/>
      </c>
    </row>
    <row r="744" spans="1:26" x14ac:dyDescent="0.35">
      <c r="A744" s="265"/>
      <c r="B744" s="266"/>
      <c r="C744" s="262"/>
      <c r="D744" s="262"/>
      <c r="E744" s="262"/>
      <c r="F744" s="262"/>
      <c r="G744" s="320"/>
      <c r="H744" s="262"/>
      <c r="I744" s="320"/>
      <c r="J744" s="320"/>
      <c r="K744" s="262"/>
      <c r="L744" s="262"/>
      <c r="M744" s="327" t="str">
        <f t="shared" si="164"/>
        <v/>
      </c>
      <c r="N744" s="327" t="str">
        <f t="shared" si="165"/>
        <v/>
      </c>
      <c r="O744" s="327" t="str">
        <f t="shared" si="166"/>
        <v/>
      </c>
      <c r="P744" s="327" t="str">
        <f t="shared" si="167"/>
        <v/>
      </c>
      <c r="Q744" s="327" t="str">
        <f t="shared" si="168"/>
        <v/>
      </c>
      <c r="R744" s="327" t="str">
        <f t="shared" si="169"/>
        <v/>
      </c>
      <c r="S744" s="421" t="str">
        <f t="shared" si="170"/>
        <v/>
      </c>
      <c r="T744" s="327" t="str">
        <f t="shared" si="171"/>
        <v/>
      </c>
      <c r="U744" s="327" t="str">
        <f t="shared" si="172"/>
        <v/>
      </c>
      <c r="V744" s="327" t="str">
        <f t="shared" si="173"/>
        <v/>
      </c>
      <c r="W744" s="327" t="str">
        <f t="shared" si="174"/>
        <v/>
      </c>
      <c r="X744" s="327" t="str">
        <f t="shared" si="175"/>
        <v/>
      </c>
      <c r="Y744" s="327" t="str">
        <f t="shared" si="176"/>
        <v/>
      </c>
      <c r="Z744" s="428" t="str">
        <f t="shared" si="177"/>
        <v/>
      </c>
    </row>
    <row r="745" spans="1:26" x14ac:dyDescent="0.35">
      <c r="A745" s="265"/>
      <c r="B745" s="266"/>
      <c r="C745" s="262"/>
      <c r="D745" s="262"/>
      <c r="E745" s="262"/>
      <c r="F745" s="262"/>
      <c r="G745" s="320"/>
      <c r="H745" s="262"/>
      <c r="I745" s="320"/>
      <c r="J745" s="320"/>
      <c r="K745" s="262"/>
      <c r="L745" s="262"/>
      <c r="M745" s="327" t="str">
        <f t="shared" si="164"/>
        <v/>
      </c>
      <c r="N745" s="327" t="str">
        <f t="shared" si="165"/>
        <v/>
      </c>
      <c r="O745" s="327" t="str">
        <f t="shared" si="166"/>
        <v/>
      </c>
      <c r="P745" s="327" t="str">
        <f t="shared" si="167"/>
        <v/>
      </c>
      <c r="Q745" s="327" t="str">
        <f t="shared" si="168"/>
        <v/>
      </c>
      <c r="R745" s="327" t="str">
        <f t="shared" si="169"/>
        <v/>
      </c>
      <c r="S745" s="421" t="str">
        <f t="shared" si="170"/>
        <v/>
      </c>
      <c r="T745" s="327" t="str">
        <f t="shared" si="171"/>
        <v/>
      </c>
      <c r="U745" s="327" t="str">
        <f t="shared" si="172"/>
        <v/>
      </c>
      <c r="V745" s="327" t="str">
        <f t="shared" si="173"/>
        <v/>
      </c>
      <c r="W745" s="327" t="str">
        <f t="shared" si="174"/>
        <v/>
      </c>
      <c r="X745" s="327" t="str">
        <f t="shared" si="175"/>
        <v/>
      </c>
      <c r="Y745" s="327" t="str">
        <f t="shared" si="176"/>
        <v/>
      </c>
      <c r="Z745" s="428" t="str">
        <f t="shared" si="177"/>
        <v/>
      </c>
    </row>
    <row r="746" spans="1:26" x14ac:dyDescent="0.35">
      <c r="A746" s="265"/>
      <c r="B746" s="266"/>
      <c r="C746" s="262"/>
      <c r="D746" s="262"/>
      <c r="E746" s="262"/>
      <c r="F746" s="262"/>
      <c r="G746" s="320"/>
      <c r="H746" s="262"/>
      <c r="I746" s="320"/>
      <c r="J746" s="320"/>
      <c r="K746" s="262"/>
      <c r="L746" s="262"/>
      <c r="M746" s="327" t="str">
        <f t="shared" si="164"/>
        <v/>
      </c>
      <c r="N746" s="327" t="str">
        <f t="shared" si="165"/>
        <v/>
      </c>
      <c r="O746" s="327" t="str">
        <f t="shared" si="166"/>
        <v/>
      </c>
      <c r="P746" s="327" t="str">
        <f t="shared" si="167"/>
        <v/>
      </c>
      <c r="Q746" s="327" t="str">
        <f t="shared" si="168"/>
        <v/>
      </c>
      <c r="R746" s="327" t="str">
        <f t="shared" si="169"/>
        <v/>
      </c>
      <c r="S746" s="421" t="str">
        <f t="shared" si="170"/>
        <v/>
      </c>
      <c r="T746" s="327" t="str">
        <f t="shared" si="171"/>
        <v/>
      </c>
      <c r="U746" s="327" t="str">
        <f t="shared" si="172"/>
        <v/>
      </c>
      <c r="V746" s="327" t="str">
        <f t="shared" si="173"/>
        <v/>
      </c>
      <c r="W746" s="327" t="str">
        <f t="shared" si="174"/>
        <v/>
      </c>
      <c r="X746" s="327" t="str">
        <f t="shared" si="175"/>
        <v/>
      </c>
      <c r="Y746" s="327" t="str">
        <f t="shared" si="176"/>
        <v/>
      </c>
      <c r="Z746" s="428" t="str">
        <f t="shared" si="177"/>
        <v/>
      </c>
    </row>
    <row r="747" spans="1:26" x14ac:dyDescent="0.35">
      <c r="A747" s="265"/>
      <c r="B747" s="266"/>
      <c r="C747" s="262"/>
      <c r="D747" s="262"/>
      <c r="E747" s="262"/>
      <c r="F747" s="262"/>
      <c r="G747" s="320"/>
      <c r="H747" s="262"/>
      <c r="I747" s="320"/>
      <c r="J747" s="320"/>
      <c r="K747" s="262"/>
      <c r="L747" s="262"/>
      <c r="M747" s="327" t="str">
        <f t="shared" ref="M747:M810" si="178">IF(OR(A747="", B747=""), "", IF(H747="Mitgliedsbeiträge", ABS(B747), ""))</f>
        <v/>
      </c>
      <c r="N747" s="327" t="str">
        <f t="shared" ref="N747:N810" si="179">IF(OR(A747="", B747=""), "", IF(H747="Spenden", ABS(B747), ""))</f>
        <v/>
      </c>
      <c r="O747" s="327" t="str">
        <f t="shared" ref="O747:O810" si="180">IF(OR(A747="", B747=""), "", IF(H747="Zuschüsse", ABS(B747), ""))</f>
        <v/>
      </c>
      <c r="P747" s="327" t="str">
        <f t="shared" ref="P747:P810" si="181">IF(OR(A747="", B747=""), "", IF(H747="Verwaltung", ABS(B747), ""))</f>
        <v/>
      </c>
      <c r="Q747" s="327" t="str">
        <f t="shared" ref="Q747:Q810" si="182">IF(OR(A747="", B747=""), "", IF(H747="Vermögen", ABS(B747), ""))</f>
        <v/>
      </c>
      <c r="R747" s="327" t="str">
        <f t="shared" ref="R747:R810" si="183">IF(OR(A747="", B747=""), "", IF(H747="Vermögen", ABS(B747), ""))</f>
        <v/>
      </c>
      <c r="S747" s="421" t="str">
        <f t="shared" ref="S747:S810" si="184">IF(OR(A747="", B747=""), "", IF(H747="Sonstige Einnahmen", ABS(B747), ""))</f>
        <v/>
      </c>
      <c r="T747" s="327" t="str">
        <f t="shared" ref="T747:T810" si="185">IF(OR(A747="", B747=""), "", IF(H747="Unterhaltung", ABS(B747), ""))</f>
        <v/>
      </c>
      <c r="U747" s="327" t="str">
        <f t="shared" ref="U747:U810" si="186">IF(OR(A747="", B747=""), "", IF(H747="Fortbildung", ABS(B747), ""))</f>
        <v/>
      </c>
      <c r="V747" s="327" t="str">
        <f t="shared" ref="V747:V810" si="187">IF(OR(A747="", B747=""), "", IF(H747="Veranstaltungen Ausgabe", ABS(B747), ""))</f>
        <v/>
      </c>
      <c r="W747" s="327" t="str">
        <f t="shared" ref="W747:W810" si="188">IF(OR(A747="", B747=""), "", IF(H747="Bürobetrieb", ABS(B747), ""))</f>
        <v/>
      </c>
      <c r="X747" s="327" t="str">
        <f t="shared" ref="X747:X810" si="189">IF(OR(A747="", B747=""), "", IF(H747="Aufwandsentschädigungen", ABS(B747), ""))</f>
        <v/>
      </c>
      <c r="Y747" s="327" t="str">
        <f t="shared" ref="Y747:Y810" si="190">IF(OR(A747="", B747=""), "", IF(H747="Sonstige Ausgaben", ABS(B747), ""))</f>
        <v/>
      </c>
      <c r="Z747" s="428" t="str">
        <f t="shared" ref="Z747:Z810" si="191">IF(OR(A747="", B747=""), "", IF(H747="Kasse-Auszahlung", ABS(B747), ""))</f>
        <v/>
      </c>
    </row>
    <row r="748" spans="1:26" x14ac:dyDescent="0.35">
      <c r="A748" s="265"/>
      <c r="B748" s="266"/>
      <c r="C748" s="262"/>
      <c r="D748" s="262"/>
      <c r="E748" s="262"/>
      <c r="F748" s="262"/>
      <c r="G748" s="320"/>
      <c r="H748" s="262"/>
      <c r="I748" s="320"/>
      <c r="J748" s="320"/>
      <c r="K748" s="262"/>
      <c r="L748" s="262"/>
      <c r="M748" s="327" t="str">
        <f t="shared" si="178"/>
        <v/>
      </c>
      <c r="N748" s="327" t="str">
        <f t="shared" si="179"/>
        <v/>
      </c>
      <c r="O748" s="327" t="str">
        <f t="shared" si="180"/>
        <v/>
      </c>
      <c r="P748" s="327" t="str">
        <f t="shared" si="181"/>
        <v/>
      </c>
      <c r="Q748" s="327" t="str">
        <f t="shared" si="182"/>
        <v/>
      </c>
      <c r="R748" s="327" t="str">
        <f t="shared" si="183"/>
        <v/>
      </c>
      <c r="S748" s="421" t="str">
        <f t="shared" si="184"/>
        <v/>
      </c>
      <c r="T748" s="327" t="str">
        <f t="shared" si="185"/>
        <v/>
      </c>
      <c r="U748" s="327" t="str">
        <f t="shared" si="186"/>
        <v/>
      </c>
      <c r="V748" s="327" t="str">
        <f t="shared" si="187"/>
        <v/>
      </c>
      <c r="W748" s="327" t="str">
        <f t="shared" si="188"/>
        <v/>
      </c>
      <c r="X748" s="327" t="str">
        <f t="shared" si="189"/>
        <v/>
      </c>
      <c r="Y748" s="327" t="str">
        <f t="shared" si="190"/>
        <v/>
      </c>
      <c r="Z748" s="428" t="str">
        <f t="shared" si="191"/>
        <v/>
      </c>
    </row>
    <row r="749" spans="1:26" x14ac:dyDescent="0.35">
      <c r="A749" s="265"/>
      <c r="B749" s="266"/>
      <c r="C749" s="262"/>
      <c r="D749" s="262"/>
      <c r="E749" s="262"/>
      <c r="F749" s="262"/>
      <c r="G749" s="320"/>
      <c r="H749" s="262"/>
      <c r="I749" s="320"/>
      <c r="J749" s="320"/>
      <c r="K749" s="262"/>
      <c r="L749" s="262"/>
      <c r="M749" s="327" t="str">
        <f t="shared" si="178"/>
        <v/>
      </c>
      <c r="N749" s="327" t="str">
        <f t="shared" si="179"/>
        <v/>
      </c>
      <c r="O749" s="327" t="str">
        <f t="shared" si="180"/>
        <v/>
      </c>
      <c r="P749" s="327" t="str">
        <f t="shared" si="181"/>
        <v/>
      </c>
      <c r="Q749" s="327" t="str">
        <f t="shared" si="182"/>
        <v/>
      </c>
      <c r="R749" s="327" t="str">
        <f t="shared" si="183"/>
        <v/>
      </c>
      <c r="S749" s="421" t="str">
        <f t="shared" si="184"/>
        <v/>
      </c>
      <c r="T749" s="327" t="str">
        <f t="shared" si="185"/>
        <v/>
      </c>
      <c r="U749" s="327" t="str">
        <f t="shared" si="186"/>
        <v/>
      </c>
      <c r="V749" s="327" t="str">
        <f t="shared" si="187"/>
        <v/>
      </c>
      <c r="W749" s="327" t="str">
        <f t="shared" si="188"/>
        <v/>
      </c>
      <c r="X749" s="327" t="str">
        <f t="shared" si="189"/>
        <v/>
      </c>
      <c r="Y749" s="327" t="str">
        <f t="shared" si="190"/>
        <v/>
      </c>
      <c r="Z749" s="428" t="str">
        <f t="shared" si="191"/>
        <v/>
      </c>
    </row>
    <row r="750" spans="1:26" x14ac:dyDescent="0.35">
      <c r="A750" s="265"/>
      <c r="B750" s="266"/>
      <c r="C750" s="262"/>
      <c r="D750" s="262"/>
      <c r="E750" s="262"/>
      <c r="F750" s="262"/>
      <c r="G750" s="320"/>
      <c r="H750" s="262"/>
      <c r="I750" s="320"/>
      <c r="J750" s="320"/>
      <c r="K750" s="262"/>
      <c r="L750" s="262"/>
      <c r="M750" s="327" t="str">
        <f t="shared" si="178"/>
        <v/>
      </c>
      <c r="N750" s="327" t="str">
        <f t="shared" si="179"/>
        <v/>
      </c>
      <c r="O750" s="327" t="str">
        <f t="shared" si="180"/>
        <v/>
      </c>
      <c r="P750" s="327" t="str">
        <f t="shared" si="181"/>
        <v/>
      </c>
      <c r="Q750" s="327" t="str">
        <f t="shared" si="182"/>
        <v/>
      </c>
      <c r="R750" s="327" t="str">
        <f t="shared" si="183"/>
        <v/>
      </c>
      <c r="S750" s="421" t="str">
        <f t="shared" si="184"/>
        <v/>
      </c>
      <c r="T750" s="327" t="str">
        <f t="shared" si="185"/>
        <v/>
      </c>
      <c r="U750" s="327" t="str">
        <f t="shared" si="186"/>
        <v/>
      </c>
      <c r="V750" s="327" t="str">
        <f t="shared" si="187"/>
        <v/>
      </c>
      <c r="W750" s="327" t="str">
        <f t="shared" si="188"/>
        <v/>
      </c>
      <c r="X750" s="327" t="str">
        <f t="shared" si="189"/>
        <v/>
      </c>
      <c r="Y750" s="327" t="str">
        <f t="shared" si="190"/>
        <v/>
      </c>
      <c r="Z750" s="428" t="str">
        <f t="shared" si="191"/>
        <v/>
      </c>
    </row>
    <row r="751" spans="1:26" x14ac:dyDescent="0.35">
      <c r="A751" s="265"/>
      <c r="B751" s="266"/>
      <c r="C751" s="262"/>
      <c r="D751" s="262"/>
      <c r="E751" s="262"/>
      <c r="F751" s="262"/>
      <c r="G751" s="320"/>
      <c r="H751" s="262"/>
      <c r="I751" s="320"/>
      <c r="J751" s="320"/>
      <c r="K751" s="262"/>
      <c r="L751" s="262"/>
      <c r="M751" s="327" t="str">
        <f t="shared" si="178"/>
        <v/>
      </c>
      <c r="N751" s="327" t="str">
        <f t="shared" si="179"/>
        <v/>
      </c>
      <c r="O751" s="327" t="str">
        <f t="shared" si="180"/>
        <v/>
      </c>
      <c r="P751" s="327" t="str">
        <f t="shared" si="181"/>
        <v/>
      </c>
      <c r="Q751" s="327" t="str">
        <f t="shared" si="182"/>
        <v/>
      </c>
      <c r="R751" s="327" t="str">
        <f t="shared" si="183"/>
        <v/>
      </c>
      <c r="S751" s="421" t="str">
        <f t="shared" si="184"/>
        <v/>
      </c>
      <c r="T751" s="327" t="str">
        <f t="shared" si="185"/>
        <v/>
      </c>
      <c r="U751" s="327" t="str">
        <f t="shared" si="186"/>
        <v/>
      </c>
      <c r="V751" s="327" t="str">
        <f t="shared" si="187"/>
        <v/>
      </c>
      <c r="W751" s="327" t="str">
        <f t="shared" si="188"/>
        <v/>
      </c>
      <c r="X751" s="327" t="str">
        <f t="shared" si="189"/>
        <v/>
      </c>
      <c r="Y751" s="327" t="str">
        <f t="shared" si="190"/>
        <v/>
      </c>
      <c r="Z751" s="428" t="str">
        <f t="shared" si="191"/>
        <v/>
      </c>
    </row>
    <row r="752" spans="1:26" x14ac:dyDescent="0.35">
      <c r="A752" s="265"/>
      <c r="B752" s="266"/>
      <c r="C752" s="262"/>
      <c r="D752" s="262"/>
      <c r="E752" s="262"/>
      <c r="F752" s="262"/>
      <c r="G752" s="320"/>
      <c r="H752" s="262"/>
      <c r="I752" s="320"/>
      <c r="J752" s="320"/>
      <c r="K752" s="262"/>
      <c r="L752" s="262"/>
      <c r="M752" s="327" t="str">
        <f t="shared" si="178"/>
        <v/>
      </c>
      <c r="N752" s="327" t="str">
        <f t="shared" si="179"/>
        <v/>
      </c>
      <c r="O752" s="327" t="str">
        <f t="shared" si="180"/>
        <v/>
      </c>
      <c r="P752" s="327" t="str">
        <f t="shared" si="181"/>
        <v/>
      </c>
      <c r="Q752" s="327" t="str">
        <f t="shared" si="182"/>
        <v/>
      </c>
      <c r="R752" s="327" t="str">
        <f t="shared" si="183"/>
        <v/>
      </c>
      <c r="S752" s="421" t="str">
        <f t="shared" si="184"/>
        <v/>
      </c>
      <c r="T752" s="327" t="str">
        <f t="shared" si="185"/>
        <v/>
      </c>
      <c r="U752" s="327" t="str">
        <f t="shared" si="186"/>
        <v/>
      </c>
      <c r="V752" s="327" t="str">
        <f t="shared" si="187"/>
        <v/>
      </c>
      <c r="W752" s="327" t="str">
        <f t="shared" si="188"/>
        <v/>
      </c>
      <c r="X752" s="327" t="str">
        <f t="shared" si="189"/>
        <v/>
      </c>
      <c r="Y752" s="327" t="str">
        <f t="shared" si="190"/>
        <v/>
      </c>
      <c r="Z752" s="428" t="str">
        <f t="shared" si="191"/>
        <v/>
      </c>
    </row>
    <row r="753" spans="1:26" x14ac:dyDescent="0.35">
      <c r="A753" s="265"/>
      <c r="B753" s="266"/>
      <c r="C753" s="262"/>
      <c r="D753" s="262"/>
      <c r="E753" s="262"/>
      <c r="F753" s="262"/>
      <c r="G753" s="320"/>
      <c r="H753" s="262"/>
      <c r="I753" s="320"/>
      <c r="J753" s="320"/>
      <c r="K753" s="262"/>
      <c r="L753" s="262"/>
      <c r="M753" s="327" t="str">
        <f t="shared" si="178"/>
        <v/>
      </c>
      <c r="N753" s="327" t="str">
        <f t="shared" si="179"/>
        <v/>
      </c>
      <c r="O753" s="327" t="str">
        <f t="shared" si="180"/>
        <v/>
      </c>
      <c r="P753" s="327" t="str">
        <f t="shared" si="181"/>
        <v/>
      </c>
      <c r="Q753" s="327" t="str">
        <f t="shared" si="182"/>
        <v/>
      </c>
      <c r="R753" s="327" t="str">
        <f t="shared" si="183"/>
        <v/>
      </c>
      <c r="S753" s="421" t="str">
        <f t="shared" si="184"/>
        <v/>
      </c>
      <c r="T753" s="327" t="str">
        <f t="shared" si="185"/>
        <v/>
      </c>
      <c r="U753" s="327" t="str">
        <f t="shared" si="186"/>
        <v/>
      </c>
      <c r="V753" s="327" t="str">
        <f t="shared" si="187"/>
        <v/>
      </c>
      <c r="W753" s="327" t="str">
        <f t="shared" si="188"/>
        <v/>
      </c>
      <c r="X753" s="327" t="str">
        <f t="shared" si="189"/>
        <v/>
      </c>
      <c r="Y753" s="327" t="str">
        <f t="shared" si="190"/>
        <v/>
      </c>
      <c r="Z753" s="428" t="str">
        <f t="shared" si="191"/>
        <v/>
      </c>
    </row>
    <row r="754" spans="1:26" x14ac:dyDescent="0.35">
      <c r="A754" s="265"/>
      <c r="B754" s="266"/>
      <c r="C754" s="262"/>
      <c r="D754" s="262"/>
      <c r="E754" s="262"/>
      <c r="F754" s="262"/>
      <c r="G754" s="320"/>
      <c r="H754" s="262"/>
      <c r="I754" s="320"/>
      <c r="J754" s="320"/>
      <c r="K754" s="262"/>
      <c r="L754" s="262"/>
      <c r="M754" s="327" t="str">
        <f t="shared" si="178"/>
        <v/>
      </c>
      <c r="N754" s="327" t="str">
        <f t="shared" si="179"/>
        <v/>
      </c>
      <c r="O754" s="327" t="str">
        <f t="shared" si="180"/>
        <v/>
      </c>
      <c r="P754" s="327" t="str">
        <f t="shared" si="181"/>
        <v/>
      </c>
      <c r="Q754" s="327" t="str">
        <f t="shared" si="182"/>
        <v/>
      </c>
      <c r="R754" s="327" t="str">
        <f t="shared" si="183"/>
        <v/>
      </c>
      <c r="S754" s="421" t="str">
        <f t="shared" si="184"/>
        <v/>
      </c>
      <c r="T754" s="327" t="str">
        <f t="shared" si="185"/>
        <v/>
      </c>
      <c r="U754" s="327" t="str">
        <f t="shared" si="186"/>
        <v/>
      </c>
      <c r="V754" s="327" t="str">
        <f t="shared" si="187"/>
        <v/>
      </c>
      <c r="W754" s="327" t="str">
        <f t="shared" si="188"/>
        <v/>
      </c>
      <c r="X754" s="327" t="str">
        <f t="shared" si="189"/>
        <v/>
      </c>
      <c r="Y754" s="327" t="str">
        <f t="shared" si="190"/>
        <v/>
      </c>
      <c r="Z754" s="428" t="str">
        <f t="shared" si="191"/>
        <v/>
      </c>
    </row>
    <row r="755" spans="1:26" x14ac:dyDescent="0.35">
      <c r="A755" s="265"/>
      <c r="B755" s="266"/>
      <c r="C755" s="262"/>
      <c r="D755" s="262"/>
      <c r="E755" s="262"/>
      <c r="F755" s="262"/>
      <c r="G755" s="320"/>
      <c r="H755" s="262"/>
      <c r="I755" s="320"/>
      <c r="J755" s="320"/>
      <c r="K755" s="262"/>
      <c r="L755" s="262"/>
      <c r="M755" s="327" t="str">
        <f t="shared" si="178"/>
        <v/>
      </c>
      <c r="N755" s="327" t="str">
        <f t="shared" si="179"/>
        <v/>
      </c>
      <c r="O755" s="327" t="str">
        <f t="shared" si="180"/>
        <v/>
      </c>
      <c r="P755" s="327" t="str">
        <f t="shared" si="181"/>
        <v/>
      </c>
      <c r="Q755" s="327" t="str">
        <f t="shared" si="182"/>
        <v/>
      </c>
      <c r="R755" s="327" t="str">
        <f t="shared" si="183"/>
        <v/>
      </c>
      <c r="S755" s="421" t="str">
        <f t="shared" si="184"/>
        <v/>
      </c>
      <c r="T755" s="327" t="str">
        <f t="shared" si="185"/>
        <v/>
      </c>
      <c r="U755" s="327" t="str">
        <f t="shared" si="186"/>
        <v/>
      </c>
      <c r="V755" s="327" t="str">
        <f t="shared" si="187"/>
        <v/>
      </c>
      <c r="W755" s="327" t="str">
        <f t="shared" si="188"/>
        <v/>
      </c>
      <c r="X755" s="327" t="str">
        <f t="shared" si="189"/>
        <v/>
      </c>
      <c r="Y755" s="327" t="str">
        <f t="shared" si="190"/>
        <v/>
      </c>
      <c r="Z755" s="428" t="str">
        <f t="shared" si="191"/>
        <v/>
      </c>
    </row>
    <row r="756" spans="1:26" x14ac:dyDescent="0.35">
      <c r="A756" s="265"/>
      <c r="B756" s="266"/>
      <c r="C756" s="262"/>
      <c r="D756" s="262"/>
      <c r="E756" s="262"/>
      <c r="F756" s="262"/>
      <c r="G756" s="320"/>
      <c r="H756" s="262"/>
      <c r="I756" s="320"/>
      <c r="J756" s="320"/>
      <c r="K756" s="262"/>
      <c r="L756" s="262"/>
      <c r="M756" s="327" t="str">
        <f t="shared" si="178"/>
        <v/>
      </c>
      <c r="N756" s="327" t="str">
        <f t="shared" si="179"/>
        <v/>
      </c>
      <c r="O756" s="327" t="str">
        <f t="shared" si="180"/>
        <v/>
      </c>
      <c r="P756" s="327" t="str">
        <f t="shared" si="181"/>
        <v/>
      </c>
      <c r="Q756" s="327" t="str">
        <f t="shared" si="182"/>
        <v/>
      </c>
      <c r="R756" s="327" t="str">
        <f t="shared" si="183"/>
        <v/>
      </c>
      <c r="S756" s="421" t="str">
        <f t="shared" si="184"/>
        <v/>
      </c>
      <c r="T756" s="327" t="str">
        <f t="shared" si="185"/>
        <v/>
      </c>
      <c r="U756" s="327" t="str">
        <f t="shared" si="186"/>
        <v/>
      </c>
      <c r="V756" s="327" t="str">
        <f t="shared" si="187"/>
        <v/>
      </c>
      <c r="W756" s="327" t="str">
        <f t="shared" si="188"/>
        <v/>
      </c>
      <c r="X756" s="327" t="str">
        <f t="shared" si="189"/>
        <v/>
      </c>
      <c r="Y756" s="327" t="str">
        <f t="shared" si="190"/>
        <v/>
      </c>
      <c r="Z756" s="428" t="str">
        <f t="shared" si="191"/>
        <v/>
      </c>
    </row>
    <row r="757" spans="1:26" x14ac:dyDescent="0.35">
      <c r="A757" s="265"/>
      <c r="B757" s="266"/>
      <c r="C757" s="262"/>
      <c r="D757" s="262"/>
      <c r="E757" s="262"/>
      <c r="F757" s="262"/>
      <c r="G757" s="320"/>
      <c r="H757" s="262"/>
      <c r="I757" s="320"/>
      <c r="J757" s="320"/>
      <c r="K757" s="262"/>
      <c r="L757" s="262"/>
      <c r="M757" s="327" t="str">
        <f t="shared" si="178"/>
        <v/>
      </c>
      <c r="N757" s="327" t="str">
        <f t="shared" si="179"/>
        <v/>
      </c>
      <c r="O757" s="327" t="str">
        <f t="shared" si="180"/>
        <v/>
      </c>
      <c r="P757" s="327" t="str">
        <f t="shared" si="181"/>
        <v/>
      </c>
      <c r="Q757" s="327" t="str">
        <f t="shared" si="182"/>
        <v/>
      </c>
      <c r="R757" s="327" t="str">
        <f t="shared" si="183"/>
        <v/>
      </c>
      <c r="S757" s="421" t="str">
        <f t="shared" si="184"/>
        <v/>
      </c>
      <c r="T757" s="327" t="str">
        <f t="shared" si="185"/>
        <v/>
      </c>
      <c r="U757" s="327" t="str">
        <f t="shared" si="186"/>
        <v/>
      </c>
      <c r="V757" s="327" t="str">
        <f t="shared" si="187"/>
        <v/>
      </c>
      <c r="W757" s="327" t="str">
        <f t="shared" si="188"/>
        <v/>
      </c>
      <c r="X757" s="327" t="str">
        <f t="shared" si="189"/>
        <v/>
      </c>
      <c r="Y757" s="327" t="str">
        <f t="shared" si="190"/>
        <v/>
      </c>
      <c r="Z757" s="428" t="str">
        <f t="shared" si="191"/>
        <v/>
      </c>
    </row>
    <row r="758" spans="1:26" x14ac:dyDescent="0.35">
      <c r="A758" s="265"/>
      <c r="B758" s="266"/>
      <c r="C758" s="262"/>
      <c r="D758" s="262"/>
      <c r="E758" s="262"/>
      <c r="F758" s="262"/>
      <c r="G758" s="320"/>
      <c r="H758" s="262"/>
      <c r="I758" s="320"/>
      <c r="J758" s="320"/>
      <c r="K758" s="262"/>
      <c r="L758" s="262"/>
      <c r="M758" s="327" t="str">
        <f t="shared" si="178"/>
        <v/>
      </c>
      <c r="N758" s="327" t="str">
        <f t="shared" si="179"/>
        <v/>
      </c>
      <c r="O758" s="327" t="str">
        <f t="shared" si="180"/>
        <v/>
      </c>
      <c r="P758" s="327" t="str">
        <f t="shared" si="181"/>
        <v/>
      </c>
      <c r="Q758" s="327" t="str">
        <f t="shared" si="182"/>
        <v/>
      </c>
      <c r="R758" s="327" t="str">
        <f t="shared" si="183"/>
        <v/>
      </c>
      <c r="S758" s="421" t="str">
        <f t="shared" si="184"/>
        <v/>
      </c>
      <c r="T758" s="327" t="str">
        <f t="shared" si="185"/>
        <v/>
      </c>
      <c r="U758" s="327" t="str">
        <f t="shared" si="186"/>
        <v/>
      </c>
      <c r="V758" s="327" t="str">
        <f t="shared" si="187"/>
        <v/>
      </c>
      <c r="W758" s="327" t="str">
        <f t="shared" si="188"/>
        <v/>
      </c>
      <c r="X758" s="327" t="str">
        <f t="shared" si="189"/>
        <v/>
      </c>
      <c r="Y758" s="327" t="str">
        <f t="shared" si="190"/>
        <v/>
      </c>
      <c r="Z758" s="428" t="str">
        <f t="shared" si="191"/>
        <v/>
      </c>
    </row>
    <row r="759" spans="1:26" x14ac:dyDescent="0.35">
      <c r="A759" s="265"/>
      <c r="B759" s="266"/>
      <c r="C759" s="262"/>
      <c r="D759" s="262"/>
      <c r="E759" s="262"/>
      <c r="F759" s="262"/>
      <c r="G759" s="320"/>
      <c r="H759" s="262"/>
      <c r="I759" s="320"/>
      <c r="J759" s="320"/>
      <c r="K759" s="262"/>
      <c r="L759" s="262"/>
      <c r="M759" s="327" t="str">
        <f t="shared" si="178"/>
        <v/>
      </c>
      <c r="N759" s="327" t="str">
        <f t="shared" si="179"/>
        <v/>
      </c>
      <c r="O759" s="327" t="str">
        <f t="shared" si="180"/>
        <v/>
      </c>
      <c r="P759" s="327" t="str">
        <f t="shared" si="181"/>
        <v/>
      </c>
      <c r="Q759" s="327" t="str">
        <f t="shared" si="182"/>
        <v/>
      </c>
      <c r="R759" s="327" t="str">
        <f t="shared" si="183"/>
        <v/>
      </c>
      <c r="S759" s="421" t="str">
        <f t="shared" si="184"/>
        <v/>
      </c>
      <c r="T759" s="327" t="str">
        <f t="shared" si="185"/>
        <v/>
      </c>
      <c r="U759" s="327" t="str">
        <f t="shared" si="186"/>
        <v/>
      </c>
      <c r="V759" s="327" t="str">
        <f t="shared" si="187"/>
        <v/>
      </c>
      <c r="W759" s="327" t="str">
        <f t="shared" si="188"/>
        <v/>
      </c>
      <c r="X759" s="327" t="str">
        <f t="shared" si="189"/>
        <v/>
      </c>
      <c r="Y759" s="327" t="str">
        <f t="shared" si="190"/>
        <v/>
      </c>
      <c r="Z759" s="428" t="str">
        <f t="shared" si="191"/>
        <v/>
      </c>
    </row>
    <row r="760" spans="1:26" x14ac:dyDescent="0.35">
      <c r="A760" s="265"/>
      <c r="B760" s="266"/>
      <c r="C760" s="262"/>
      <c r="D760" s="262"/>
      <c r="E760" s="262"/>
      <c r="F760" s="262"/>
      <c r="G760" s="320"/>
      <c r="H760" s="262"/>
      <c r="I760" s="320"/>
      <c r="J760" s="320"/>
      <c r="K760" s="262"/>
      <c r="L760" s="262"/>
      <c r="M760" s="327" t="str">
        <f t="shared" si="178"/>
        <v/>
      </c>
      <c r="N760" s="327" t="str">
        <f t="shared" si="179"/>
        <v/>
      </c>
      <c r="O760" s="327" t="str">
        <f t="shared" si="180"/>
        <v/>
      </c>
      <c r="P760" s="327" t="str">
        <f t="shared" si="181"/>
        <v/>
      </c>
      <c r="Q760" s="327" t="str">
        <f t="shared" si="182"/>
        <v/>
      </c>
      <c r="R760" s="327" t="str">
        <f t="shared" si="183"/>
        <v/>
      </c>
      <c r="S760" s="421" t="str">
        <f t="shared" si="184"/>
        <v/>
      </c>
      <c r="T760" s="327" t="str">
        <f t="shared" si="185"/>
        <v/>
      </c>
      <c r="U760" s="327" t="str">
        <f t="shared" si="186"/>
        <v/>
      </c>
      <c r="V760" s="327" t="str">
        <f t="shared" si="187"/>
        <v/>
      </c>
      <c r="W760" s="327" t="str">
        <f t="shared" si="188"/>
        <v/>
      </c>
      <c r="X760" s="327" t="str">
        <f t="shared" si="189"/>
        <v/>
      </c>
      <c r="Y760" s="327" t="str">
        <f t="shared" si="190"/>
        <v/>
      </c>
      <c r="Z760" s="428" t="str">
        <f t="shared" si="191"/>
        <v/>
      </c>
    </row>
    <row r="761" spans="1:26" x14ac:dyDescent="0.35">
      <c r="A761" s="265"/>
      <c r="B761" s="266"/>
      <c r="C761" s="262"/>
      <c r="D761" s="262"/>
      <c r="E761" s="262"/>
      <c r="F761" s="262"/>
      <c r="G761" s="320"/>
      <c r="H761" s="262"/>
      <c r="I761" s="320"/>
      <c r="J761" s="320"/>
      <c r="K761" s="262"/>
      <c r="L761" s="262"/>
      <c r="M761" s="327" t="str">
        <f t="shared" si="178"/>
        <v/>
      </c>
      <c r="N761" s="327" t="str">
        <f t="shared" si="179"/>
        <v/>
      </c>
      <c r="O761" s="327" t="str">
        <f t="shared" si="180"/>
        <v/>
      </c>
      <c r="P761" s="327" t="str">
        <f t="shared" si="181"/>
        <v/>
      </c>
      <c r="Q761" s="327" t="str">
        <f t="shared" si="182"/>
        <v/>
      </c>
      <c r="R761" s="327" t="str">
        <f t="shared" si="183"/>
        <v/>
      </c>
      <c r="S761" s="421" t="str">
        <f t="shared" si="184"/>
        <v/>
      </c>
      <c r="T761" s="327" t="str">
        <f t="shared" si="185"/>
        <v/>
      </c>
      <c r="U761" s="327" t="str">
        <f t="shared" si="186"/>
        <v/>
      </c>
      <c r="V761" s="327" t="str">
        <f t="shared" si="187"/>
        <v/>
      </c>
      <c r="W761" s="327" t="str">
        <f t="shared" si="188"/>
        <v/>
      </c>
      <c r="X761" s="327" t="str">
        <f t="shared" si="189"/>
        <v/>
      </c>
      <c r="Y761" s="327" t="str">
        <f t="shared" si="190"/>
        <v/>
      </c>
      <c r="Z761" s="428" t="str">
        <f t="shared" si="191"/>
        <v/>
      </c>
    </row>
    <row r="762" spans="1:26" x14ac:dyDescent="0.35">
      <c r="A762" s="265"/>
      <c r="B762" s="266"/>
      <c r="C762" s="262"/>
      <c r="D762" s="262"/>
      <c r="E762" s="262"/>
      <c r="F762" s="262"/>
      <c r="G762" s="320"/>
      <c r="H762" s="262"/>
      <c r="I762" s="320"/>
      <c r="J762" s="320"/>
      <c r="K762" s="262"/>
      <c r="L762" s="262"/>
      <c r="M762" s="327" t="str">
        <f t="shared" si="178"/>
        <v/>
      </c>
      <c r="N762" s="327" t="str">
        <f t="shared" si="179"/>
        <v/>
      </c>
      <c r="O762" s="327" t="str">
        <f t="shared" si="180"/>
        <v/>
      </c>
      <c r="P762" s="327" t="str">
        <f t="shared" si="181"/>
        <v/>
      </c>
      <c r="Q762" s="327" t="str">
        <f t="shared" si="182"/>
        <v/>
      </c>
      <c r="R762" s="327" t="str">
        <f t="shared" si="183"/>
        <v/>
      </c>
      <c r="S762" s="421" t="str">
        <f t="shared" si="184"/>
        <v/>
      </c>
      <c r="T762" s="327" t="str">
        <f t="shared" si="185"/>
        <v/>
      </c>
      <c r="U762" s="327" t="str">
        <f t="shared" si="186"/>
        <v/>
      </c>
      <c r="V762" s="327" t="str">
        <f t="shared" si="187"/>
        <v/>
      </c>
      <c r="W762" s="327" t="str">
        <f t="shared" si="188"/>
        <v/>
      </c>
      <c r="X762" s="327" t="str">
        <f t="shared" si="189"/>
        <v/>
      </c>
      <c r="Y762" s="327" t="str">
        <f t="shared" si="190"/>
        <v/>
      </c>
      <c r="Z762" s="428" t="str">
        <f t="shared" si="191"/>
        <v/>
      </c>
    </row>
    <row r="763" spans="1:26" x14ac:dyDescent="0.35">
      <c r="A763" s="265"/>
      <c r="B763" s="266"/>
      <c r="C763" s="262"/>
      <c r="D763" s="262"/>
      <c r="E763" s="262"/>
      <c r="F763" s="262"/>
      <c r="G763" s="320"/>
      <c r="H763" s="262"/>
      <c r="I763" s="320"/>
      <c r="J763" s="320"/>
      <c r="K763" s="262"/>
      <c r="L763" s="262"/>
      <c r="M763" s="327" t="str">
        <f t="shared" si="178"/>
        <v/>
      </c>
      <c r="N763" s="327" t="str">
        <f t="shared" si="179"/>
        <v/>
      </c>
      <c r="O763" s="327" t="str">
        <f t="shared" si="180"/>
        <v/>
      </c>
      <c r="P763" s="327" t="str">
        <f t="shared" si="181"/>
        <v/>
      </c>
      <c r="Q763" s="327" t="str">
        <f t="shared" si="182"/>
        <v/>
      </c>
      <c r="R763" s="327" t="str">
        <f t="shared" si="183"/>
        <v/>
      </c>
      <c r="S763" s="421" t="str">
        <f t="shared" si="184"/>
        <v/>
      </c>
      <c r="T763" s="327" t="str">
        <f t="shared" si="185"/>
        <v/>
      </c>
      <c r="U763" s="327" t="str">
        <f t="shared" si="186"/>
        <v/>
      </c>
      <c r="V763" s="327" t="str">
        <f t="shared" si="187"/>
        <v/>
      </c>
      <c r="W763" s="327" t="str">
        <f t="shared" si="188"/>
        <v/>
      </c>
      <c r="X763" s="327" t="str">
        <f t="shared" si="189"/>
        <v/>
      </c>
      <c r="Y763" s="327" t="str">
        <f t="shared" si="190"/>
        <v/>
      </c>
      <c r="Z763" s="428" t="str">
        <f t="shared" si="191"/>
        <v/>
      </c>
    </row>
    <row r="764" spans="1:26" x14ac:dyDescent="0.35">
      <c r="A764" s="265"/>
      <c r="B764" s="266"/>
      <c r="C764" s="262"/>
      <c r="D764" s="262"/>
      <c r="E764" s="262"/>
      <c r="F764" s="262"/>
      <c r="G764" s="320"/>
      <c r="H764" s="262"/>
      <c r="I764" s="320"/>
      <c r="J764" s="320"/>
      <c r="K764" s="262"/>
      <c r="L764" s="262"/>
      <c r="M764" s="327" t="str">
        <f t="shared" si="178"/>
        <v/>
      </c>
      <c r="N764" s="327" t="str">
        <f t="shared" si="179"/>
        <v/>
      </c>
      <c r="O764" s="327" t="str">
        <f t="shared" si="180"/>
        <v/>
      </c>
      <c r="P764" s="327" t="str">
        <f t="shared" si="181"/>
        <v/>
      </c>
      <c r="Q764" s="327" t="str">
        <f t="shared" si="182"/>
        <v/>
      </c>
      <c r="R764" s="327" t="str">
        <f t="shared" si="183"/>
        <v/>
      </c>
      <c r="S764" s="421" t="str">
        <f t="shared" si="184"/>
        <v/>
      </c>
      <c r="T764" s="327" t="str">
        <f t="shared" si="185"/>
        <v/>
      </c>
      <c r="U764" s="327" t="str">
        <f t="shared" si="186"/>
        <v/>
      </c>
      <c r="V764" s="327" t="str">
        <f t="shared" si="187"/>
        <v/>
      </c>
      <c r="W764" s="327" t="str">
        <f t="shared" si="188"/>
        <v/>
      </c>
      <c r="X764" s="327" t="str">
        <f t="shared" si="189"/>
        <v/>
      </c>
      <c r="Y764" s="327" t="str">
        <f t="shared" si="190"/>
        <v/>
      </c>
      <c r="Z764" s="428" t="str">
        <f t="shared" si="191"/>
        <v/>
      </c>
    </row>
    <row r="765" spans="1:26" x14ac:dyDescent="0.35">
      <c r="A765" s="265"/>
      <c r="B765" s="266"/>
      <c r="C765" s="262"/>
      <c r="D765" s="262"/>
      <c r="E765" s="262"/>
      <c r="F765" s="262"/>
      <c r="G765" s="320"/>
      <c r="H765" s="262"/>
      <c r="I765" s="320"/>
      <c r="J765" s="320"/>
      <c r="K765" s="262"/>
      <c r="L765" s="262"/>
      <c r="M765" s="327" t="str">
        <f t="shared" si="178"/>
        <v/>
      </c>
      <c r="N765" s="327" t="str">
        <f t="shared" si="179"/>
        <v/>
      </c>
      <c r="O765" s="327" t="str">
        <f t="shared" si="180"/>
        <v/>
      </c>
      <c r="P765" s="327" t="str">
        <f t="shared" si="181"/>
        <v/>
      </c>
      <c r="Q765" s="327" t="str">
        <f t="shared" si="182"/>
        <v/>
      </c>
      <c r="R765" s="327" t="str">
        <f t="shared" si="183"/>
        <v/>
      </c>
      <c r="S765" s="421" t="str">
        <f t="shared" si="184"/>
        <v/>
      </c>
      <c r="T765" s="327" t="str">
        <f t="shared" si="185"/>
        <v/>
      </c>
      <c r="U765" s="327" t="str">
        <f t="shared" si="186"/>
        <v/>
      </c>
      <c r="V765" s="327" t="str">
        <f t="shared" si="187"/>
        <v/>
      </c>
      <c r="W765" s="327" t="str">
        <f t="shared" si="188"/>
        <v/>
      </c>
      <c r="X765" s="327" t="str">
        <f t="shared" si="189"/>
        <v/>
      </c>
      <c r="Y765" s="327" t="str">
        <f t="shared" si="190"/>
        <v/>
      </c>
      <c r="Z765" s="428" t="str">
        <f t="shared" si="191"/>
        <v/>
      </c>
    </row>
    <row r="766" spans="1:26" x14ac:dyDescent="0.35">
      <c r="A766" s="265"/>
      <c r="B766" s="266"/>
      <c r="C766" s="262"/>
      <c r="D766" s="262"/>
      <c r="E766" s="262"/>
      <c r="F766" s="262"/>
      <c r="G766" s="320"/>
      <c r="H766" s="262"/>
      <c r="I766" s="320"/>
      <c r="J766" s="320"/>
      <c r="K766" s="262"/>
      <c r="L766" s="262"/>
      <c r="M766" s="327" t="str">
        <f t="shared" si="178"/>
        <v/>
      </c>
      <c r="N766" s="327" t="str">
        <f t="shared" si="179"/>
        <v/>
      </c>
      <c r="O766" s="327" t="str">
        <f t="shared" si="180"/>
        <v/>
      </c>
      <c r="P766" s="327" t="str">
        <f t="shared" si="181"/>
        <v/>
      </c>
      <c r="Q766" s="327" t="str">
        <f t="shared" si="182"/>
        <v/>
      </c>
      <c r="R766" s="327" t="str">
        <f t="shared" si="183"/>
        <v/>
      </c>
      <c r="S766" s="421" t="str">
        <f t="shared" si="184"/>
        <v/>
      </c>
      <c r="T766" s="327" t="str">
        <f t="shared" si="185"/>
        <v/>
      </c>
      <c r="U766" s="327" t="str">
        <f t="shared" si="186"/>
        <v/>
      </c>
      <c r="V766" s="327" t="str">
        <f t="shared" si="187"/>
        <v/>
      </c>
      <c r="W766" s="327" t="str">
        <f t="shared" si="188"/>
        <v/>
      </c>
      <c r="X766" s="327" t="str">
        <f t="shared" si="189"/>
        <v/>
      </c>
      <c r="Y766" s="327" t="str">
        <f t="shared" si="190"/>
        <v/>
      </c>
      <c r="Z766" s="428" t="str">
        <f t="shared" si="191"/>
        <v/>
      </c>
    </row>
    <row r="767" spans="1:26" x14ac:dyDescent="0.35">
      <c r="A767" s="265"/>
      <c r="B767" s="266"/>
      <c r="C767" s="262"/>
      <c r="D767" s="262"/>
      <c r="E767" s="262"/>
      <c r="F767" s="262"/>
      <c r="G767" s="320"/>
      <c r="H767" s="262"/>
      <c r="I767" s="320"/>
      <c r="J767" s="320"/>
      <c r="K767" s="262"/>
      <c r="L767" s="262"/>
      <c r="M767" s="327" t="str">
        <f t="shared" si="178"/>
        <v/>
      </c>
      <c r="N767" s="327" t="str">
        <f t="shared" si="179"/>
        <v/>
      </c>
      <c r="O767" s="327" t="str">
        <f t="shared" si="180"/>
        <v/>
      </c>
      <c r="P767" s="327" t="str">
        <f t="shared" si="181"/>
        <v/>
      </c>
      <c r="Q767" s="327" t="str">
        <f t="shared" si="182"/>
        <v/>
      </c>
      <c r="R767" s="327" t="str">
        <f t="shared" si="183"/>
        <v/>
      </c>
      <c r="S767" s="421" t="str">
        <f t="shared" si="184"/>
        <v/>
      </c>
      <c r="T767" s="327" t="str">
        <f t="shared" si="185"/>
        <v/>
      </c>
      <c r="U767" s="327" t="str">
        <f t="shared" si="186"/>
        <v/>
      </c>
      <c r="V767" s="327" t="str">
        <f t="shared" si="187"/>
        <v/>
      </c>
      <c r="W767" s="327" t="str">
        <f t="shared" si="188"/>
        <v/>
      </c>
      <c r="X767" s="327" t="str">
        <f t="shared" si="189"/>
        <v/>
      </c>
      <c r="Y767" s="327" t="str">
        <f t="shared" si="190"/>
        <v/>
      </c>
      <c r="Z767" s="428" t="str">
        <f t="shared" si="191"/>
        <v/>
      </c>
    </row>
    <row r="768" spans="1:26" x14ac:dyDescent="0.35">
      <c r="A768" s="265"/>
      <c r="B768" s="266"/>
      <c r="C768" s="262"/>
      <c r="D768" s="262"/>
      <c r="E768" s="262"/>
      <c r="F768" s="262"/>
      <c r="G768" s="320"/>
      <c r="H768" s="262"/>
      <c r="I768" s="320"/>
      <c r="J768" s="320"/>
      <c r="K768" s="262"/>
      <c r="L768" s="262"/>
      <c r="M768" s="327" t="str">
        <f t="shared" si="178"/>
        <v/>
      </c>
      <c r="N768" s="327" t="str">
        <f t="shared" si="179"/>
        <v/>
      </c>
      <c r="O768" s="327" t="str">
        <f t="shared" si="180"/>
        <v/>
      </c>
      <c r="P768" s="327" t="str">
        <f t="shared" si="181"/>
        <v/>
      </c>
      <c r="Q768" s="327" t="str">
        <f t="shared" si="182"/>
        <v/>
      </c>
      <c r="R768" s="327" t="str">
        <f t="shared" si="183"/>
        <v/>
      </c>
      <c r="S768" s="421" t="str">
        <f t="shared" si="184"/>
        <v/>
      </c>
      <c r="T768" s="327" t="str">
        <f t="shared" si="185"/>
        <v/>
      </c>
      <c r="U768" s="327" t="str">
        <f t="shared" si="186"/>
        <v/>
      </c>
      <c r="V768" s="327" t="str">
        <f t="shared" si="187"/>
        <v/>
      </c>
      <c r="W768" s="327" t="str">
        <f t="shared" si="188"/>
        <v/>
      </c>
      <c r="X768" s="327" t="str">
        <f t="shared" si="189"/>
        <v/>
      </c>
      <c r="Y768" s="327" t="str">
        <f t="shared" si="190"/>
        <v/>
      </c>
      <c r="Z768" s="428" t="str">
        <f t="shared" si="191"/>
        <v/>
      </c>
    </row>
    <row r="769" spans="1:26" x14ac:dyDescent="0.35">
      <c r="A769" s="265"/>
      <c r="B769" s="266"/>
      <c r="C769" s="262"/>
      <c r="D769" s="262"/>
      <c r="E769" s="262"/>
      <c r="F769" s="262"/>
      <c r="G769" s="320"/>
      <c r="H769" s="262"/>
      <c r="I769" s="320"/>
      <c r="J769" s="320"/>
      <c r="K769" s="262"/>
      <c r="L769" s="262"/>
      <c r="M769" s="327" t="str">
        <f t="shared" si="178"/>
        <v/>
      </c>
      <c r="N769" s="327" t="str">
        <f t="shared" si="179"/>
        <v/>
      </c>
      <c r="O769" s="327" t="str">
        <f t="shared" si="180"/>
        <v/>
      </c>
      <c r="P769" s="327" t="str">
        <f t="shared" si="181"/>
        <v/>
      </c>
      <c r="Q769" s="327" t="str">
        <f t="shared" si="182"/>
        <v/>
      </c>
      <c r="R769" s="327" t="str">
        <f t="shared" si="183"/>
        <v/>
      </c>
      <c r="S769" s="421" t="str">
        <f t="shared" si="184"/>
        <v/>
      </c>
      <c r="T769" s="327" t="str">
        <f t="shared" si="185"/>
        <v/>
      </c>
      <c r="U769" s="327" t="str">
        <f t="shared" si="186"/>
        <v/>
      </c>
      <c r="V769" s="327" t="str">
        <f t="shared" si="187"/>
        <v/>
      </c>
      <c r="W769" s="327" t="str">
        <f t="shared" si="188"/>
        <v/>
      </c>
      <c r="X769" s="327" t="str">
        <f t="shared" si="189"/>
        <v/>
      </c>
      <c r="Y769" s="327" t="str">
        <f t="shared" si="190"/>
        <v/>
      </c>
      <c r="Z769" s="428" t="str">
        <f t="shared" si="191"/>
        <v/>
      </c>
    </row>
    <row r="770" spans="1:26" x14ac:dyDescent="0.35">
      <c r="A770" s="265"/>
      <c r="B770" s="266"/>
      <c r="C770" s="262"/>
      <c r="D770" s="262"/>
      <c r="E770" s="262"/>
      <c r="F770" s="262"/>
      <c r="G770" s="320"/>
      <c r="H770" s="262"/>
      <c r="I770" s="320"/>
      <c r="J770" s="320"/>
      <c r="K770" s="262"/>
      <c r="L770" s="262"/>
      <c r="M770" s="327" t="str">
        <f t="shared" si="178"/>
        <v/>
      </c>
      <c r="N770" s="327" t="str">
        <f t="shared" si="179"/>
        <v/>
      </c>
      <c r="O770" s="327" t="str">
        <f t="shared" si="180"/>
        <v/>
      </c>
      <c r="P770" s="327" t="str">
        <f t="shared" si="181"/>
        <v/>
      </c>
      <c r="Q770" s="327" t="str">
        <f t="shared" si="182"/>
        <v/>
      </c>
      <c r="R770" s="327" t="str">
        <f t="shared" si="183"/>
        <v/>
      </c>
      <c r="S770" s="421" t="str">
        <f t="shared" si="184"/>
        <v/>
      </c>
      <c r="T770" s="327" t="str">
        <f t="shared" si="185"/>
        <v/>
      </c>
      <c r="U770" s="327" t="str">
        <f t="shared" si="186"/>
        <v/>
      </c>
      <c r="V770" s="327" t="str">
        <f t="shared" si="187"/>
        <v/>
      </c>
      <c r="W770" s="327" t="str">
        <f t="shared" si="188"/>
        <v/>
      </c>
      <c r="X770" s="327" t="str">
        <f t="shared" si="189"/>
        <v/>
      </c>
      <c r="Y770" s="327" t="str">
        <f t="shared" si="190"/>
        <v/>
      </c>
      <c r="Z770" s="428" t="str">
        <f t="shared" si="191"/>
        <v/>
      </c>
    </row>
    <row r="771" spans="1:26" x14ac:dyDescent="0.35">
      <c r="A771" s="265"/>
      <c r="B771" s="266"/>
      <c r="C771" s="262"/>
      <c r="D771" s="262"/>
      <c r="E771" s="262"/>
      <c r="F771" s="262"/>
      <c r="G771" s="320"/>
      <c r="H771" s="262"/>
      <c r="I771" s="320"/>
      <c r="J771" s="320"/>
      <c r="K771" s="262"/>
      <c r="L771" s="262"/>
      <c r="M771" s="327" t="str">
        <f t="shared" si="178"/>
        <v/>
      </c>
      <c r="N771" s="327" t="str">
        <f t="shared" si="179"/>
        <v/>
      </c>
      <c r="O771" s="327" t="str">
        <f t="shared" si="180"/>
        <v/>
      </c>
      <c r="P771" s="327" t="str">
        <f t="shared" si="181"/>
        <v/>
      </c>
      <c r="Q771" s="327" t="str">
        <f t="shared" si="182"/>
        <v/>
      </c>
      <c r="R771" s="327" t="str">
        <f t="shared" si="183"/>
        <v/>
      </c>
      <c r="S771" s="421" t="str">
        <f t="shared" si="184"/>
        <v/>
      </c>
      <c r="T771" s="327" t="str">
        <f t="shared" si="185"/>
        <v/>
      </c>
      <c r="U771" s="327" t="str">
        <f t="shared" si="186"/>
        <v/>
      </c>
      <c r="V771" s="327" t="str">
        <f t="shared" si="187"/>
        <v/>
      </c>
      <c r="W771" s="327" t="str">
        <f t="shared" si="188"/>
        <v/>
      </c>
      <c r="X771" s="327" t="str">
        <f t="shared" si="189"/>
        <v/>
      </c>
      <c r="Y771" s="327" t="str">
        <f t="shared" si="190"/>
        <v/>
      </c>
      <c r="Z771" s="428" t="str">
        <f t="shared" si="191"/>
        <v/>
      </c>
    </row>
    <row r="772" spans="1:26" x14ac:dyDescent="0.35">
      <c r="A772" s="265"/>
      <c r="B772" s="266"/>
      <c r="C772" s="262"/>
      <c r="D772" s="262"/>
      <c r="E772" s="262"/>
      <c r="F772" s="262"/>
      <c r="G772" s="320"/>
      <c r="H772" s="262"/>
      <c r="I772" s="320"/>
      <c r="J772" s="320"/>
      <c r="K772" s="262"/>
      <c r="L772" s="262"/>
      <c r="M772" s="327" t="str">
        <f t="shared" si="178"/>
        <v/>
      </c>
      <c r="N772" s="327" t="str">
        <f t="shared" si="179"/>
        <v/>
      </c>
      <c r="O772" s="327" t="str">
        <f t="shared" si="180"/>
        <v/>
      </c>
      <c r="P772" s="327" t="str">
        <f t="shared" si="181"/>
        <v/>
      </c>
      <c r="Q772" s="327" t="str">
        <f t="shared" si="182"/>
        <v/>
      </c>
      <c r="R772" s="327" t="str">
        <f t="shared" si="183"/>
        <v/>
      </c>
      <c r="S772" s="421" t="str">
        <f t="shared" si="184"/>
        <v/>
      </c>
      <c r="T772" s="327" t="str">
        <f t="shared" si="185"/>
        <v/>
      </c>
      <c r="U772" s="327" t="str">
        <f t="shared" si="186"/>
        <v/>
      </c>
      <c r="V772" s="327" t="str">
        <f t="shared" si="187"/>
        <v/>
      </c>
      <c r="W772" s="327" t="str">
        <f t="shared" si="188"/>
        <v/>
      </c>
      <c r="X772" s="327" t="str">
        <f t="shared" si="189"/>
        <v/>
      </c>
      <c r="Y772" s="327" t="str">
        <f t="shared" si="190"/>
        <v/>
      </c>
      <c r="Z772" s="428" t="str">
        <f t="shared" si="191"/>
        <v/>
      </c>
    </row>
    <row r="773" spans="1:26" x14ac:dyDescent="0.35">
      <c r="A773" s="265"/>
      <c r="B773" s="266"/>
      <c r="C773" s="262"/>
      <c r="D773" s="262"/>
      <c r="E773" s="262"/>
      <c r="F773" s="262"/>
      <c r="G773" s="320"/>
      <c r="H773" s="262"/>
      <c r="I773" s="320"/>
      <c r="J773" s="320"/>
      <c r="K773" s="262"/>
      <c r="L773" s="262"/>
      <c r="M773" s="327" t="str">
        <f t="shared" si="178"/>
        <v/>
      </c>
      <c r="N773" s="327" t="str">
        <f t="shared" si="179"/>
        <v/>
      </c>
      <c r="O773" s="327" t="str">
        <f t="shared" si="180"/>
        <v/>
      </c>
      <c r="P773" s="327" t="str">
        <f t="shared" si="181"/>
        <v/>
      </c>
      <c r="Q773" s="327" t="str">
        <f t="shared" si="182"/>
        <v/>
      </c>
      <c r="R773" s="327" t="str">
        <f t="shared" si="183"/>
        <v/>
      </c>
      <c r="S773" s="421" t="str">
        <f t="shared" si="184"/>
        <v/>
      </c>
      <c r="T773" s="327" t="str">
        <f t="shared" si="185"/>
        <v/>
      </c>
      <c r="U773" s="327" t="str">
        <f t="shared" si="186"/>
        <v/>
      </c>
      <c r="V773" s="327" t="str">
        <f t="shared" si="187"/>
        <v/>
      </c>
      <c r="W773" s="327" t="str">
        <f t="shared" si="188"/>
        <v/>
      </c>
      <c r="X773" s="327" t="str">
        <f t="shared" si="189"/>
        <v/>
      </c>
      <c r="Y773" s="327" t="str">
        <f t="shared" si="190"/>
        <v/>
      </c>
      <c r="Z773" s="428" t="str">
        <f t="shared" si="191"/>
        <v/>
      </c>
    </row>
    <row r="774" spans="1:26" x14ac:dyDescent="0.35">
      <c r="A774" s="265"/>
      <c r="B774" s="266"/>
      <c r="C774" s="262"/>
      <c r="D774" s="262"/>
      <c r="E774" s="262"/>
      <c r="F774" s="262"/>
      <c r="G774" s="320"/>
      <c r="H774" s="262"/>
      <c r="I774" s="320"/>
      <c r="J774" s="320"/>
      <c r="K774" s="262"/>
      <c r="L774" s="262"/>
      <c r="M774" s="327" t="str">
        <f t="shared" si="178"/>
        <v/>
      </c>
      <c r="N774" s="327" t="str">
        <f t="shared" si="179"/>
        <v/>
      </c>
      <c r="O774" s="327" t="str">
        <f t="shared" si="180"/>
        <v/>
      </c>
      <c r="P774" s="327" t="str">
        <f t="shared" si="181"/>
        <v/>
      </c>
      <c r="Q774" s="327" t="str">
        <f t="shared" si="182"/>
        <v/>
      </c>
      <c r="R774" s="327" t="str">
        <f t="shared" si="183"/>
        <v/>
      </c>
      <c r="S774" s="421" t="str">
        <f t="shared" si="184"/>
        <v/>
      </c>
      <c r="T774" s="327" t="str">
        <f t="shared" si="185"/>
        <v/>
      </c>
      <c r="U774" s="327" t="str">
        <f t="shared" si="186"/>
        <v/>
      </c>
      <c r="V774" s="327" t="str">
        <f t="shared" si="187"/>
        <v/>
      </c>
      <c r="W774" s="327" t="str">
        <f t="shared" si="188"/>
        <v/>
      </c>
      <c r="X774" s="327" t="str">
        <f t="shared" si="189"/>
        <v/>
      </c>
      <c r="Y774" s="327" t="str">
        <f t="shared" si="190"/>
        <v/>
      </c>
      <c r="Z774" s="428" t="str">
        <f t="shared" si="191"/>
        <v/>
      </c>
    </row>
    <row r="775" spans="1:26" x14ac:dyDescent="0.35">
      <c r="A775" s="265"/>
      <c r="B775" s="266"/>
      <c r="C775" s="262"/>
      <c r="D775" s="262"/>
      <c r="E775" s="262"/>
      <c r="F775" s="262"/>
      <c r="G775" s="320"/>
      <c r="H775" s="262"/>
      <c r="I775" s="320"/>
      <c r="J775" s="320"/>
      <c r="K775" s="262"/>
      <c r="L775" s="262"/>
      <c r="M775" s="327" t="str">
        <f t="shared" si="178"/>
        <v/>
      </c>
      <c r="N775" s="327" t="str">
        <f t="shared" si="179"/>
        <v/>
      </c>
      <c r="O775" s="327" t="str">
        <f t="shared" si="180"/>
        <v/>
      </c>
      <c r="P775" s="327" t="str">
        <f t="shared" si="181"/>
        <v/>
      </c>
      <c r="Q775" s="327" t="str">
        <f t="shared" si="182"/>
        <v/>
      </c>
      <c r="R775" s="327" t="str">
        <f t="shared" si="183"/>
        <v/>
      </c>
      <c r="S775" s="421" t="str">
        <f t="shared" si="184"/>
        <v/>
      </c>
      <c r="T775" s="327" t="str">
        <f t="shared" si="185"/>
        <v/>
      </c>
      <c r="U775" s="327" t="str">
        <f t="shared" si="186"/>
        <v/>
      </c>
      <c r="V775" s="327" t="str">
        <f t="shared" si="187"/>
        <v/>
      </c>
      <c r="W775" s="327" t="str">
        <f t="shared" si="188"/>
        <v/>
      </c>
      <c r="X775" s="327" t="str">
        <f t="shared" si="189"/>
        <v/>
      </c>
      <c r="Y775" s="327" t="str">
        <f t="shared" si="190"/>
        <v/>
      </c>
      <c r="Z775" s="428" t="str">
        <f t="shared" si="191"/>
        <v/>
      </c>
    </row>
    <row r="776" spans="1:26" x14ac:dyDescent="0.35">
      <c r="A776" s="265"/>
      <c r="B776" s="266"/>
      <c r="C776" s="262"/>
      <c r="D776" s="262"/>
      <c r="E776" s="262"/>
      <c r="F776" s="262"/>
      <c r="G776" s="320"/>
      <c r="H776" s="262"/>
      <c r="I776" s="320"/>
      <c r="J776" s="320"/>
      <c r="K776" s="262"/>
      <c r="L776" s="262"/>
      <c r="M776" s="327" t="str">
        <f t="shared" si="178"/>
        <v/>
      </c>
      <c r="N776" s="327" t="str">
        <f t="shared" si="179"/>
        <v/>
      </c>
      <c r="O776" s="327" t="str">
        <f t="shared" si="180"/>
        <v/>
      </c>
      <c r="P776" s="327" t="str">
        <f t="shared" si="181"/>
        <v/>
      </c>
      <c r="Q776" s="327" t="str">
        <f t="shared" si="182"/>
        <v/>
      </c>
      <c r="R776" s="327" t="str">
        <f t="shared" si="183"/>
        <v/>
      </c>
      <c r="S776" s="421" t="str">
        <f t="shared" si="184"/>
        <v/>
      </c>
      <c r="T776" s="327" t="str">
        <f t="shared" si="185"/>
        <v/>
      </c>
      <c r="U776" s="327" t="str">
        <f t="shared" si="186"/>
        <v/>
      </c>
      <c r="V776" s="327" t="str">
        <f t="shared" si="187"/>
        <v/>
      </c>
      <c r="W776" s="327" t="str">
        <f t="shared" si="188"/>
        <v/>
      </c>
      <c r="X776" s="327" t="str">
        <f t="shared" si="189"/>
        <v/>
      </c>
      <c r="Y776" s="327" t="str">
        <f t="shared" si="190"/>
        <v/>
      </c>
      <c r="Z776" s="428" t="str">
        <f t="shared" si="191"/>
        <v/>
      </c>
    </row>
    <row r="777" spans="1:26" x14ac:dyDescent="0.35">
      <c r="A777" s="265"/>
      <c r="B777" s="266"/>
      <c r="C777" s="262"/>
      <c r="D777" s="262"/>
      <c r="E777" s="262"/>
      <c r="F777" s="262"/>
      <c r="G777" s="320"/>
      <c r="H777" s="262"/>
      <c r="I777" s="320"/>
      <c r="J777" s="320"/>
      <c r="K777" s="262"/>
      <c r="L777" s="262"/>
      <c r="M777" s="327" t="str">
        <f t="shared" si="178"/>
        <v/>
      </c>
      <c r="N777" s="327" t="str">
        <f t="shared" si="179"/>
        <v/>
      </c>
      <c r="O777" s="327" t="str">
        <f t="shared" si="180"/>
        <v/>
      </c>
      <c r="P777" s="327" t="str">
        <f t="shared" si="181"/>
        <v/>
      </c>
      <c r="Q777" s="327" t="str">
        <f t="shared" si="182"/>
        <v/>
      </c>
      <c r="R777" s="327" t="str">
        <f t="shared" si="183"/>
        <v/>
      </c>
      <c r="S777" s="421" t="str">
        <f t="shared" si="184"/>
        <v/>
      </c>
      <c r="T777" s="327" t="str">
        <f t="shared" si="185"/>
        <v/>
      </c>
      <c r="U777" s="327" t="str">
        <f t="shared" si="186"/>
        <v/>
      </c>
      <c r="V777" s="327" t="str">
        <f t="shared" si="187"/>
        <v/>
      </c>
      <c r="W777" s="327" t="str">
        <f t="shared" si="188"/>
        <v/>
      </c>
      <c r="X777" s="327" t="str">
        <f t="shared" si="189"/>
        <v/>
      </c>
      <c r="Y777" s="327" t="str">
        <f t="shared" si="190"/>
        <v/>
      </c>
      <c r="Z777" s="428" t="str">
        <f t="shared" si="191"/>
        <v/>
      </c>
    </row>
    <row r="778" spans="1:26" x14ac:dyDescent="0.35">
      <c r="A778" s="265"/>
      <c r="B778" s="266"/>
      <c r="C778" s="262"/>
      <c r="D778" s="262"/>
      <c r="E778" s="262"/>
      <c r="F778" s="262"/>
      <c r="G778" s="320"/>
      <c r="H778" s="262"/>
      <c r="I778" s="320"/>
      <c r="J778" s="320"/>
      <c r="K778" s="262"/>
      <c r="L778" s="262"/>
      <c r="M778" s="327" t="str">
        <f t="shared" si="178"/>
        <v/>
      </c>
      <c r="N778" s="327" t="str">
        <f t="shared" si="179"/>
        <v/>
      </c>
      <c r="O778" s="327" t="str">
        <f t="shared" si="180"/>
        <v/>
      </c>
      <c r="P778" s="327" t="str">
        <f t="shared" si="181"/>
        <v/>
      </c>
      <c r="Q778" s="327" t="str">
        <f t="shared" si="182"/>
        <v/>
      </c>
      <c r="R778" s="327" t="str">
        <f t="shared" si="183"/>
        <v/>
      </c>
      <c r="S778" s="421" t="str">
        <f t="shared" si="184"/>
        <v/>
      </c>
      <c r="T778" s="327" t="str">
        <f t="shared" si="185"/>
        <v/>
      </c>
      <c r="U778" s="327" t="str">
        <f t="shared" si="186"/>
        <v/>
      </c>
      <c r="V778" s="327" t="str">
        <f t="shared" si="187"/>
        <v/>
      </c>
      <c r="W778" s="327" t="str">
        <f t="shared" si="188"/>
        <v/>
      </c>
      <c r="X778" s="327" t="str">
        <f t="shared" si="189"/>
        <v/>
      </c>
      <c r="Y778" s="327" t="str">
        <f t="shared" si="190"/>
        <v/>
      </c>
      <c r="Z778" s="428" t="str">
        <f t="shared" si="191"/>
        <v/>
      </c>
    </row>
    <row r="779" spans="1:26" x14ac:dyDescent="0.35">
      <c r="A779" s="265"/>
      <c r="B779" s="266"/>
      <c r="C779" s="262"/>
      <c r="D779" s="262"/>
      <c r="E779" s="262"/>
      <c r="F779" s="262"/>
      <c r="G779" s="320"/>
      <c r="H779" s="262"/>
      <c r="I779" s="320"/>
      <c r="J779" s="320"/>
      <c r="K779" s="262"/>
      <c r="L779" s="262"/>
      <c r="M779" s="327" t="str">
        <f t="shared" si="178"/>
        <v/>
      </c>
      <c r="N779" s="327" t="str">
        <f t="shared" si="179"/>
        <v/>
      </c>
      <c r="O779" s="327" t="str">
        <f t="shared" si="180"/>
        <v/>
      </c>
      <c r="P779" s="327" t="str">
        <f t="shared" si="181"/>
        <v/>
      </c>
      <c r="Q779" s="327" t="str">
        <f t="shared" si="182"/>
        <v/>
      </c>
      <c r="R779" s="327" t="str">
        <f t="shared" si="183"/>
        <v/>
      </c>
      <c r="S779" s="421" t="str">
        <f t="shared" si="184"/>
        <v/>
      </c>
      <c r="T779" s="327" t="str">
        <f t="shared" si="185"/>
        <v/>
      </c>
      <c r="U779" s="327" t="str">
        <f t="shared" si="186"/>
        <v/>
      </c>
      <c r="V779" s="327" t="str">
        <f t="shared" si="187"/>
        <v/>
      </c>
      <c r="W779" s="327" t="str">
        <f t="shared" si="188"/>
        <v/>
      </c>
      <c r="X779" s="327" t="str">
        <f t="shared" si="189"/>
        <v/>
      </c>
      <c r="Y779" s="327" t="str">
        <f t="shared" si="190"/>
        <v/>
      </c>
      <c r="Z779" s="428" t="str">
        <f t="shared" si="191"/>
        <v/>
      </c>
    </row>
    <row r="780" spans="1:26" x14ac:dyDescent="0.35">
      <c r="A780" s="265"/>
      <c r="B780" s="266"/>
      <c r="C780" s="262"/>
      <c r="D780" s="262"/>
      <c r="E780" s="262"/>
      <c r="F780" s="262"/>
      <c r="G780" s="320"/>
      <c r="H780" s="262"/>
      <c r="I780" s="320"/>
      <c r="J780" s="320"/>
      <c r="K780" s="262"/>
      <c r="L780" s="262"/>
      <c r="M780" s="327" t="str">
        <f t="shared" si="178"/>
        <v/>
      </c>
      <c r="N780" s="327" t="str">
        <f t="shared" si="179"/>
        <v/>
      </c>
      <c r="O780" s="327" t="str">
        <f t="shared" si="180"/>
        <v/>
      </c>
      <c r="P780" s="327" t="str">
        <f t="shared" si="181"/>
        <v/>
      </c>
      <c r="Q780" s="327" t="str">
        <f t="shared" si="182"/>
        <v/>
      </c>
      <c r="R780" s="327" t="str">
        <f t="shared" si="183"/>
        <v/>
      </c>
      <c r="S780" s="421" t="str">
        <f t="shared" si="184"/>
        <v/>
      </c>
      <c r="T780" s="327" t="str">
        <f t="shared" si="185"/>
        <v/>
      </c>
      <c r="U780" s="327" t="str">
        <f t="shared" si="186"/>
        <v/>
      </c>
      <c r="V780" s="327" t="str">
        <f t="shared" si="187"/>
        <v/>
      </c>
      <c r="W780" s="327" t="str">
        <f t="shared" si="188"/>
        <v/>
      </c>
      <c r="X780" s="327" t="str">
        <f t="shared" si="189"/>
        <v/>
      </c>
      <c r="Y780" s="327" t="str">
        <f t="shared" si="190"/>
        <v/>
      </c>
      <c r="Z780" s="428" t="str">
        <f t="shared" si="191"/>
        <v/>
      </c>
    </row>
    <row r="781" spans="1:26" x14ac:dyDescent="0.35">
      <c r="A781" s="265"/>
      <c r="B781" s="266"/>
      <c r="C781" s="262"/>
      <c r="D781" s="262"/>
      <c r="E781" s="262"/>
      <c r="F781" s="262"/>
      <c r="G781" s="320"/>
      <c r="H781" s="262"/>
      <c r="I781" s="320"/>
      <c r="J781" s="320"/>
      <c r="K781" s="262"/>
      <c r="L781" s="262"/>
      <c r="M781" s="327" t="str">
        <f t="shared" si="178"/>
        <v/>
      </c>
      <c r="N781" s="327" t="str">
        <f t="shared" si="179"/>
        <v/>
      </c>
      <c r="O781" s="327" t="str">
        <f t="shared" si="180"/>
        <v/>
      </c>
      <c r="P781" s="327" t="str">
        <f t="shared" si="181"/>
        <v/>
      </c>
      <c r="Q781" s="327" t="str">
        <f t="shared" si="182"/>
        <v/>
      </c>
      <c r="R781" s="327" t="str">
        <f t="shared" si="183"/>
        <v/>
      </c>
      <c r="S781" s="421" t="str">
        <f t="shared" si="184"/>
        <v/>
      </c>
      <c r="T781" s="327" t="str">
        <f t="shared" si="185"/>
        <v/>
      </c>
      <c r="U781" s="327" t="str">
        <f t="shared" si="186"/>
        <v/>
      </c>
      <c r="V781" s="327" t="str">
        <f t="shared" si="187"/>
        <v/>
      </c>
      <c r="W781" s="327" t="str">
        <f t="shared" si="188"/>
        <v/>
      </c>
      <c r="X781" s="327" t="str">
        <f t="shared" si="189"/>
        <v/>
      </c>
      <c r="Y781" s="327" t="str">
        <f t="shared" si="190"/>
        <v/>
      </c>
      <c r="Z781" s="428" t="str">
        <f t="shared" si="191"/>
        <v/>
      </c>
    </row>
    <row r="782" spans="1:26" x14ac:dyDescent="0.35">
      <c r="A782" s="265"/>
      <c r="B782" s="266"/>
      <c r="C782" s="262"/>
      <c r="D782" s="262"/>
      <c r="E782" s="262"/>
      <c r="F782" s="262"/>
      <c r="G782" s="320"/>
      <c r="H782" s="262"/>
      <c r="I782" s="320"/>
      <c r="J782" s="320"/>
      <c r="K782" s="262"/>
      <c r="L782" s="262"/>
      <c r="M782" s="327" t="str">
        <f t="shared" si="178"/>
        <v/>
      </c>
      <c r="N782" s="327" t="str">
        <f t="shared" si="179"/>
        <v/>
      </c>
      <c r="O782" s="327" t="str">
        <f t="shared" si="180"/>
        <v/>
      </c>
      <c r="P782" s="327" t="str">
        <f t="shared" si="181"/>
        <v/>
      </c>
      <c r="Q782" s="327" t="str">
        <f t="shared" si="182"/>
        <v/>
      </c>
      <c r="R782" s="327" t="str">
        <f t="shared" si="183"/>
        <v/>
      </c>
      <c r="S782" s="421" t="str">
        <f t="shared" si="184"/>
        <v/>
      </c>
      <c r="T782" s="327" t="str">
        <f t="shared" si="185"/>
        <v/>
      </c>
      <c r="U782" s="327" t="str">
        <f t="shared" si="186"/>
        <v/>
      </c>
      <c r="V782" s="327" t="str">
        <f t="shared" si="187"/>
        <v/>
      </c>
      <c r="W782" s="327" t="str">
        <f t="shared" si="188"/>
        <v/>
      </c>
      <c r="X782" s="327" t="str">
        <f t="shared" si="189"/>
        <v/>
      </c>
      <c r="Y782" s="327" t="str">
        <f t="shared" si="190"/>
        <v/>
      </c>
      <c r="Z782" s="428" t="str">
        <f t="shared" si="191"/>
        <v/>
      </c>
    </row>
    <row r="783" spans="1:26" x14ac:dyDescent="0.35">
      <c r="A783" s="265"/>
      <c r="B783" s="266"/>
      <c r="C783" s="262"/>
      <c r="D783" s="262"/>
      <c r="E783" s="262"/>
      <c r="F783" s="262"/>
      <c r="G783" s="320"/>
      <c r="H783" s="262"/>
      <c r="I783" s="320"/>
      <c r="J783" s="320"/>
      <c r="K783" s="262"/>
      <c r="L783" s="262"/>
      <c r="M783" s="327" t="str">
        <f t="shared" si="178"/>
        <v/>
      </c>
      <c r="N783" s="327" t="str">
        <f t="shared" si="179"/>
        <v/>
      </c>
      <c r="O783" s="327" t="str">
        <f t="shared" si="180"/>
        <v/>
      </c>
      <c r="P783" s="327" t="str">
        <f t="shared" si="181"/>
        <v/>
      </c>
      <c r="Q783" s="327" t="str">
        <f t="shared" si="182"/>
        <v/>
      </c>
      <c r="R783" s="327" t="str">
        <f t="shared" si="183"/>
        <v/>
      </c>
      <c r="S783" s="421" t="str">
        <f t="shared" si="184"/>
        <v/>
      </c>
      <c r="T783" s="327" t="str">
        <f t="shared" si="185"/>
        <v/>
      </c>
      <c r="U783" s="327" t="str">
        <f t="shared" si="186"/>
        <v/>
      </c>
      <c r="V783" s="327" t="str">
        <f t="shared" si="187"/>
        <v/>
      </c>
      <c r="W783" s="327" t="str">
        <f t="shared" si="188"/>
        <v/>
      </c>
      <c r="X783" s="327" t="str">
        <f t="shared" si="189"/>
        <v/>
      </c>
      <c r="Y783" s="327" t="str">
        <f t="shared" si="190"/>
        <v/>
      </c>
      <c r="Z783" s="428" t="str">
        <f t="shared" si="191"/>
        <v/>
      </c>
    </row>
    <row r="784" spans="1:26" x14ac:dyDescent="0.35">
      <c r="A784" s="265"/>
      <c r="B784" s="266"/>
      <c r="C784" s="262"/>
      <c r="D784" s="262"/>
      <c r="E784" s="262"/>
      <c r="F784" s="262"/>
      <c r="G784" s="320"/>
      <c r="H784" s="262"/>
      <c r="I784" s="320"/>
      <c r="J784" s="320"/>
      <c r="K784" s="262"/>
      <c r="L784" s="262"/>
      <c r="M784" s="327" t="str">
        <f t="shared" si="178"/>
        <v/>
      </c>
      <c r="N784" s="327" t="str">
        <f t="shared" si="179"/>
        <v/>
      </c>
      <c r="O784" s="327" t="str">
        <f t="shared" si="180"/>
        <v/>
      </c>
      <c r="P784" s="327" t="str">
        <f t="shared" si="181"/>
        <v/>
      </c>
      <c r="Q784" s="327" t="str">
        <f t="shared" si="182"/>
        <v/>
      </c>
      <c r="R784" s="327" t="str">
        <f t="shared" si="183"/>
        <v/>
      </c>
      <c r="S784" s="421" t="str">
        <f t="shared" si="184"/>
        <v/>
      </c>
      <c r="T784" s="327" t="str">
        <f t="shared" si="185"/>
        <v/>
      </c>
      <c r="U784" s="327" t="str">
        <f t="shared" si="186"/>
        <v/>
      </c>
      <c r="V784" s="327" t="str">
        <f t="shared" si="187"/>
        <v/>
      </c>
      <c r="W784" s="327" t="str">
        <f t="shared" si="188"/>
        <v/>
      </c>
      <c r="X784" s="327" t="str">
        <f t="shared" si="189"/>
        <v/>
      </c>
      <c r="Y784" s="327" t="str">
        <f t="shared" si="190"/>
        <v/>
      </c>
      <c r="Z784" s="428" t="str">
        <f t="shared" si="191"/>
        <v/>
      </c>
    </row>
    <row r="785" spans="1:26" x14ac:dyDescent="0.35">
      <c r="A785" s="265"/>
      <c r="B785" s="266"/>
      <c r="C785" s="262"/>
      <c r="D785" s="262"/>
      <c r="E785" s="262"/>
      <c r="F785" s="262"/>
      <c r="G785" s="320"/>
      <c r="H785" s="262"/>
      <c r="I785" s="320"/>
      <c r="J785" s="320"/>
      <c r="K785" s="262"/>
      <c r="L785" s="262"/>
      <c r="M785" s="327" t="str">
        <f t="shared" si="178"/>
        <v/>
      </c>
      <c r="N785" s="327" t="str">
        <f t="shared" si="179"/>
        <v/>
      </c>
      <c r="O785" s="327" t="str">
        <f t="shared" si="180"/>
        <v/>
      </c>
      <c r="P785" s="327" t="str">
        <f t="shared" si="181"/>
        <v/>
      </c>
      <c r="Q785" s="327" t="str">
        <f t="shared" si="182"/>
        <v/>
      </c>
      <c r="R785" s="327" t="str">
        <f t="shared" si="183"/>
        <v/>
      </c>
      <c r="S785" s="421" t="str">
        <f t="shared" si="184"/>
        <v/>
      </c>
      <c r="T785" s="327" t="str">
        <f t="shared" si="185"/>
        <v/>
      </c>
      <c r="U785" s="327" t="str">
        <f t="shared" si="186"/>
        <v/>
      </c>
      <c r="V785" s="327" t="str">
        <f t="shared" si="187"/>
        <v/>
      </c>
      <c r="W785" s="327" t="str">
        <f t="shared" si="188"/>
        <v/>
      </c>
      <c r="X785" s="327" t="str">
        <f t="shared" si="189"/>
        <v/>
      </c>
      <c r="Y785" s="327" t="str">
        <f t="shared" si="190"/>
        <v/>
      </c>
      <c r="Z785" s="428" t="str">
        <f t="shared" si="191"/>
        <v/>
      </c>
    </row>
    <row r="786" spans="1:26" x14ac:dyDescent="0.35">
      <c r="A786" s="265"/>
      <c r="B786" s="266"/>
      <c r="C786" s="262"/>
      <c r="D786" s="262"/>
      <c r="E786" s="262"/>
      <c r="F786" s="262"/>
      <c r="G786" s="320"/>
      <c r="H786" s="262"/>
      <c r="I786" s="320"/>
      <c r="J786" s="320"/>
      <c r="K786" s="262"/>
      <c r="L786" s="262"/>
      <c r="M786" s="327" t="str">
        <f t="shared" si="178"/>
        <v/>
      </c>
      <c r="N786" s="327" t="str">
        <f t="shared" si="179"/>
        <v/>
      </c>
      <c r="O786" s="327" t="str">
        <f t="shared" si="180"/>
        <v/>
      </c>
      <c r="P786" s="327" t="str">
        <f t="shared" si="181"/>
        <v/>
      </c>
      <c r="Q786" s="327" t="str">
        <f t="shared" si="182"/>
        <v/>
      </c>
      <c r="R786" s="327" t="str">
        <f t="shared" si="183"/>
        <v/>
      </c>
      <c r="S786" s="421" t="str">
        <f t="shared" si="184"/>
        <v/>
      </c>
      <c r="T786" s="327" t="str">
        <f t="shared" si="185"/>
        <v/>
      </c>
      <c r="U786" s="327" t="str">
        <f t="shared" si="186"/>
        <v/>
      </c>
      <c r="V786" s="327" t="str">
        <f t="shared" si="187"/>
        <v/>
      </c>
      <c r="W786" s="327" t="str">
        <f t="shared" si="188"/>
        <v/>
      </c>
      <c r="X786" s="327" t="str">
        <f t="shared" si="189"/>
        <v/>
      </c>
      <c r="Y786" s="327" t="str">
        <f t="shared" si="190"/>
        <v/>
      </c>
      <c r="Z786" s="428" t="str">
        <f t="shared" si="191"/>
        <v/>
      </c>
    </row>
    <row r="787" spans="1:26" x14ac:dyDescent="0.35">
      <c r="A787" s="265"/>
      <c r="B787" s="266"/>
      <c r="C787" s="262"/>
      <c r="D787" s="262"/>
      <c r="E787" s="262"/>
      <c r="F787" s="262"/>
      <c r="G787" s="320"/>
      <c r="H787" s="262"/>
      <c r="I787" s="320"/>
      <c r="J787" s="320"/>
      <c r="K787" s="262"/>
      <c r="L787" s="262"/>
      <c r="M787" s="327" t="str">
        <f t="shared" si="178"/>
        <v/>
      </c>
      <c r="N787" s="327" t="str">
        <f t="shared" si="179"/>
        <v/>
      </c>
      <c r="O787" s="327" t="str">
        <f t="shared" si="180"/>
        <v/>
      </c>
      <c r="P787" s="327" t="str">
        <f t="shared" si="181"/>
        <v/>
      </c>
      <c r="Q787" s="327" t="str">
        <f t="shared" si="182"/>
        <v/>
      </c>
      <c r="R787" s="327" t="str">
        <f t="shared" si="183"/>
        <v/>
      </c>
      <c r="S787" s="421" t="str">
        <f t="shared" si="184"/>
        <v/>
      </c>
      <c r="T787" s="327" t="str">
        <f t="shared" si="185"/>
        <v/>
      </c>
      <c r="U787" s="327" t="str">
        <f t="shared" si="186"/>
        <v/>
      </c>
      <c r="V787" s="327" t="str">
        <f t="shared" si="187"/>
        <v/>
      </c>
      <c r="W787" s="327" t="str">
        <f t="shared" si="188"/>
        <v/>
      </c>
      <c r="X787" s="327" t="str">
        <f t="shared" si="189"/>
        <v/>
      </c>
      <c r="Y787" s="327" t="str">
        <f t="shared" si="190"/>
        <v/>
      </c>
      <c r="Z787" s="428" t="str">
        <f t="shared" si="191"/>
        <v/>
      </c>
    </row>
    <row r="788" spans="1:26" x14ac:dyDescent="0.35">
      <c r="A788" s="265"/>
      <c r="B788" s="266"/>
      <c r="C788" s="262"/>
      <c r="D788" s="262"/>
      <c r="E788" s="262"/>
      <c r="F788" s="262"/>
      <c r="G788" s="320"/>
      <c r="H788" s="262"/>
      <c r="I788" s="320"/>
      <c r="J788" s="320"/>
      <c r="K788" s="262"/>
      <c r="L788" s="262"/>
      <c r="M788" s="327" t="str">
        <f t="shared" si="178"/>
        <v/>
      </c>
      <c r="N788" s="327" t="str">
        <f t="shared" si="179"/>
        <v/>
      </c>
      <c r="O788" s="327" t="str">
        <f t="shared" si="180"/>
        <v/>
      </c>
      <c r="P788" s="327" t="str">
        <f t="shared" si="181"/>
        <v/>
      </c>
      <c r="Q788" s="327" t="str">
        <f t="shared" si="182"/>
        <v/>
      </c>
      <c r="R788" s="327" t="str">
        <f t="shared" si="183"/>
        <v/>
      </c>
      <c r="S788" s="421" t="str">
        <f t="shared" si="184"/>
        <v/>
      </c>
      <c r="T788" s="327" t="str">
        <f t="shared" si="185"/>
        <v/>
      </c>
      <c r="U788" s="327" t="str">
        <f t="shared" si="186"/>
        <v/>
      </c>
      <c r="V788" s="327" t="str">
        <f t="shared" si="187"/>
        <v/>
      </c>
      <c r="W788" s="327" t="str">
        <f t="shared" si="188"/>
        <v/>
      </c>
      <c r="X788" s="327" t="str">
        <f t="shared" si="189"/>
        <v/>
      </c>
      <c r="Y788" s="327" t="str">
        <f t="shared" si="190"/>
        <v/>
      </c>
      <c r="Z788" s="428" t="str">
        <f t="shared" si="191"/>
        <v/>
      </c>
    </row>
    <row r="789" spans="1:26" x14ac:dyDescent="0.35">
      <c r="A789" s="265"/>
      <c r="B789" s="266"/>
      <c r="C789" s="262"/>
      <c r="D789" s="262"/>
      <c r="E789" s="262"/>
      <c r="F789" s="262"/>
      <c r="G789" s="320"/>
      <c r="H789" s="262"/>
      <c r="I789" s="320"/>
      <c r="J789" s="320"/>
      <c r="K789" s="262"/>
      <c r="L789" s="262"/>
      <c r="M789" s="327" t="str">
        <f t="shared" si="178"/>
        <v/>
      </c>
      <c r="N789" s="327" t="str">
        <f t="shared" si="179"/>
        <v/>
      </c>
      <c r="O789" s="327" t="str">
        <f t="shared" si="180"/>
        <v/>
      </c>
      <c r="P789" s="327" t="str">
        <f t="shared" si="181"/>
        <v/>
      </c>
      <c r="Q789" s="327" t="str">
        <f t="shared" si="182"/>
        <v/>
      </c>
      <c r="R789" s="327" t="str">
        <f t="shared" si="183"/>
        <v/>
      </c>
      <c r="S789" s="421" t="str">
        <f t="shared" si="184"/>
        <v/>
      </c>
      <c r="T789" s="327" t="str">
        <f t="shared" si="185"/>
        <v/>
      </c>
      <c r="U789" s="327" t="str">
        <f t="shared" si="186"/>
        <v/>
      </c>
      <c r="V789" s="327" t="str">
        <f t="shared" si="187"/>
        <v/>
      </c>
      <c r="W789" s="327" t="str">
        <f t="shared" si="188"/>
        <v/>
      </c>
      <c r="X789" s="327" t="str">
        <f t="shared" si="189"/>
        <v/>
      </c>
      <c r="Y789" s="327" t="str">
        <f t="shared" si="190"/>
        <v/>
      </c>
      <c r="Z789" s="428" t="str">
        <f t="shared" si="191"/>
        <v/>
      </c>
    </row>
    <row r="790" spans="1:26" x14ac:dyDescent="0.35">
      <c r="A790" s="265"/>
      <c r="B790" s="266"/>
      <c r="C790" s="262"/>
      <c r="D790" s="262"/>
      <c r="E790" s="262"/>
      <c r="F790" s="262"/>
      <c r="G790" s="320"/>
      <c r="H790" s="262"/>
      <c r="I790" s="320"/>
      <c r="J790" s="320"/>
      <c r="K790" s="262"/>
      <c r="L790" s="262"/>
      <c r="M790" s="327" t="str">
        <f t="shared" si="178"/>
        <v/>
      </c>
      <c r="N790" s="327" t="str">
        <f t="shared" si="179"/>
        <v/>
      </c>
      <c r="O790" s="327" t="str">
        <f t="shared" si="180"/>
        <v/>
      </c>
      <c r="P790" s="327" t="str">
        <f t="shared" si="181"/>
        <v/>
      </c>
      <c r="Q790" s="327" t="str">
        <f t="shared" si="182"/>
        <v/>
      </c>
      <c r="R790" s="327" t="str">
        <f t="shared" si="183"/>
        <v/>
      </c>
      <c r="S790" s="421" t="str">
        <f t="shared" si="184"/>
        <v/>
      </c>
      <c r="T790" s="327" t="str">
        <f t="shared" si="185"/>
        <v/>
      </c>
      <c r="U790" s="327" t="str">
        <f t="shared" si="186"/>
        <v/>
      </c>
      <c r="V790" s="327" t="str">
        <f t="shared" si="187"/>
        <v/>
      </c>
      <c r="W790" s="327" t="str">
        <f t="shared" si="188"/>
        <v/>
      </c>
      <c r="X790" s="327" t="str">
        <f t="shared" si="189"/>
        <v/>
      </c>
      <c r="Y790" s="327" t="str">
        <f t="shared" si="190"/>
        <v/>
      </c>
      <c r="Z790" s="428" t="str">
        <f t="shared" si="191"/>
        <v/>
      </c>
    </row>
    <row r="791" spans="1:26" x14ac:dyDescent="0.35">
      <c r="A791" s="265"/>
      <c r="B791" s="266"/>
      <c r="C791" s="262"/>
      <c r="D791" s="262"/>
      <c r="E791" s="262"/>
      <c r="F791" s="262"/>
      <c r="G791" s="320"/>
      <c r="H791" s="262"/>
      <c r="I791" s="320"/>
      <c r="J791" s="320"/>
      <c r="K791" s="262"/>
      <c r="L791" s="262"/>
      <c r="M791" s="327" t="str">
        <f t="shared" si="178"/>
        <v/>
      </c>
      <c r="N791" s="327" t="str">
        <f t="shared" si="179"/>
        <v/>
      </c>
      <c r="O791" s="327" t="str">
        <f t="shared" si="180"/>
        <v/>
      </c>
      <c r="P791" s="327" t="str">
        <f t="shared" si="181"/>
        <v/>
      </c>
      <c r="Q791" s="327" t="str">
        <f t="shared" si="182"/>
        <v/>
      </c>
      <c r="R791" s="327" t="str">
        <f t="shared" si="183"/>
        <v/>
      </c>
      <c r="S791" s="421" t="str">
        <f t="shared" si="184"/>
        <v/>
      </c>
      <c r="T791" s="327" t="str">
        <f t="shared" si="185"/>
        <v/>
      </c>
      <c r="U791" s="327" t="str">
        <f t="shared" si="186"/>
        <v/>
      </c>
      <c r="V791" s="327" t="str">
        <f t="shared" si="187"/>
        <v/>
      </c>
      <c r="W791" s="327" t="str">
        <f t="shared" si="188"/>
        <v/>
      </c>
      <c r="X791" s="327" t="str">
        <f t="shared" si="189"/>
        <v/>
      </c>
      <c r="Y791" s="327" t="str">
        <f t="shared" si="190"/>
        <v/>
      </c>
      <c r="Z791" s="428" t="str">
        <f t="shared" si="191"/>
        <v/>
      </c>
    </row>
    <row r="792" spans="1:26" x14ac:dyDescent="0.35">
      <c r="A792" s="265"/>
      <c r="B792" s="266"/>
      <c r="C792" s="262"/>
      <c r="D792" s="262"/>
      <c r="E792" s="262"/>
      <c r="F792" s="262"/>
      <c r="G792" s="320"/>
      <c r="H792" s="262"/>
      <c r="I792" s="320"/>
      <c r="J792" s="320"/>
      <c r="K792" s="262"/>
      <c r="L792" s="262"/>
      <c r="M792" s="327" t="str">
        <f t="shared" si="178"/>
        <v/>
      </c>
      <c r="N792" s="327" t="str">
        <f t="shared" si="179"/>
        <v/>
      </c>
      <c r="O792" s="327" t="str">
        <f t="shared" si="180"/>
        <v/>
      </c>
      <c r="P792" s="327" t="str">
        <f t="shared" si="181"/>
        <v/>
      </c>
      <c r="Q792" s="327" t="str">
        <f t="shared" si="182"/>
        <v/>
      </c>
      <c r="R792" s="327" t="str">
        <f t="shared" si="183"/>
        <v/>
      </c>
      <c r="S792" s="421" t="str">
        <f t="shared" si="184"/>
        <v/>
      </c>
      <c r="T792" s="327" t="str">
        <f t="shared" si="185"/>
        <v/>
      </c>
      <c r="U792" s="327" t="str">
        <f t="shared" si="186"/>
        <v/>
      </c>
      <c r="V792" s="327" t="str">
        <f t="shared" si="187"/>
        <v/>
      </c>
      <c r="W792" s="327" t="str">
        <f t="shared" si="188"/>
        <v/>
      </c>
      <c r="X792" s="327" t="str">
        <f t="shared" si="189"/>
        <v/>
      </c>
      <c r="Y792" s="327" t="str">
        <f t="shared" si="190"/>
        <v/>
      </c>
      <c r="Z792" s="428" t="str">
        <f t="shared" si="191"/>
        <v/>
      </c>
    </row>
    <row r="793" spans="1:26" x14ac:dyDescent="0.35">
      <c r="A793" s="265"/>
      <c r="B793" s="266"/>
      <c r="C793" s="262"/>
      <c r="D793" s="262"/>
      <c r="E793" s="262"/>
      <c r="F793" s="262"/>
      <c r="G793" s="320"/>
      <c r="H793" s="262"/>
      <c r="I793" s="320"/>
      <c r="J793" s="320"/>
      <c r="K793" s="262"/>
      <c r="L793" s="262"/>
      <c r="M793" s="327" t="str">
        <f t="shared" si="178"/>
        <v/>
      </c>
      <c r="N793" s="327" t="str">
        <f t="shared" si="179"/>
        <v/>
      </c>
      <c r="O793" s="327" t="str">
        <f t="shared" si="180"/>
        <v/>
      </c>
      <c r="P793" s="327" t="str">
        <f t="shared" si="181"/>
        <v/>
      </c>
      <c r="Q793" s="327" t="str">
        <f t="shared" si="182"/>
        <v/>
      </c>
      <c r="R793" s="327" t="str">
        <f t="shared" si="183"/>
        <v/>
      </c>
      <c r="S793" s="421" t="str">
        <f t="shared" si="184"/>
        <v/>
      </c>
      <c r="T793" s="327" t="str">
        <f t="shared" si="185"/>
        <v/>
      </c>
      <c r="U793" s="327" t="str">
        <f t="shared" si="186"/>
        <v/>
      </c>
      <c r="V793" s="327" t="str">
        <f t="shared" si="187"/>
        <v/>
      </c>
      <c r="W793" s="327" t="str">
        <f t="shared" si="188"/>
        <v/>
      </c>
      <c r="X793" s="327" t="str">
        <f t="shared" si="189"/>
        <v/>
      </c>
      <c r="Y793" s="327" t="str">
        <f t="shared" si="190"/>
        <v/>
      </c>
      <c r="Z793" s="428" t="str">
        <f t="shared" si="191"/>
        <v/>
      </c>
    </row>
    <row r="794" spans="1:26" x14ac:dyDescent="0.35">
      <c r="A794" s="265"/>
      <c r="B794" s="266"/>
      <c r="C794" s="262"/>
      <c r="D794" s="262"/>
      <c r="E794" s="262"/>
      <c r="F794" s="262"/>
      <c r="G794" s="320"/>
      <c r="H794" s="262"/>
      <c r="I794" s="320"/>
      <c r="J794" s="320"/>
      <c r="K794" s="262"/>
      <c r="L794" s="262"/>
      <c r="M794" s="327" t="str">
        <f t="shared" si="178"/>
        <v/>
      </c>
      <c r="N794" s="327" t="str">
        <f t="shared" si="179"/>
        <v/>
      </c>
      <c r="O794" s="327" t="str">
        <f t="shared" si="180"/>
        <v/>
      </c>
      <c r="P794" s="327" t="str">
        <f t="shared" si="181"/>
        <v/>
      </c>
      <c r="Q794" s="327" t="str">
        <f t="shared" si="182"/>
        <v/>
      </c>
      <c r="R794" s="327" t="str">
        <f t="shared" si="183"/>
        <v/>
      </c>
      <c r="S794" s="421" t="str">
        <f t="shared" si="184"/>
        <v/>
      </c>
      <c r="T794" s="327" t="str">
        <f t="shared" si="185"/>
        <v/>
      </c>
      <c r="U794" s="327" t="str">
        <f t="shared" si="186"/>
        <v/>
      </c>
      <c r="V794" s="327" t="str">
        <f t="shared" si="187"/>
        <v/>
      </c>
      <c r="W794" s="327" t="str">
        <f t="shared" si="188"/>
        <v/>
      </c>
      <c r="X794" s="327" t="str">
        <f t="shared" si="189"/>
        <v/>
      </c>
      <c r="Y794" s="327" t="str">
        <f t="shared" si="190"/>
        <v/>
      </c>
      <c r="Z794" s="428" t="str">
        <f t="shared" si="191"/>
        <v/>
      </c>
    </row>
    <row r="795" spans="1:26" x14ac:dyDescent="0.35">
      <c r="A795" s="265"/>
      <c r="B795" s="266"/>
      <c r="C795" s="262"/>
      <c r="D795" s="262"/>
      <c r="E795" s="262"/>
      <c r="F795" s="262"/>
      <c r="G795" s="320"/>
      <c r="H795" s="262"/>
      <c r="I795" s="320"/>
      <c r="J795" s="320"/>
      <c r="K795" s="262"/>
      <c r="L795" s="262"/>
      <c r="M795" s="327" t="str">
        <f t="shared" si="178"/>
        <v/>
      </c>
      <c r="N795" s="327" t="str">
        <f t="shared" si="179"/>
        <v/>
      </c>
      <c r="O795" s="327" t="str">
        <f t="shared" si="180"/>
        <v/>
      </c>
      <c r="P795" s="327" t="str">
        <f t="shared" si="181"/>
        <v/>
      </c>
      <c r="Q795" s="327" t="str">
        <f t="shared" si="182"/>
        <v/>
      </c>
      <c r="R795" s="327" t="str">
        <f t="shared" si="183"/>
        <v/>
      </c>
      <c r="S795" s="421" t="str">
        <f t="shared" si="184"/>
        <v/>
      </c>
      <c r="T795" s="327" t="str">
        <f t="shared" si="185"/>
        <v/>
      </c>
      <c r="U795" s="327" t="str">
        <f t="shared" si="186"/>
        <v/>
      </c>
      <c r="V795" s="327" t="str">
        <f t="shared" si="187"/>
        <v/>
      </c>
      <c r="W795" s="327" t="str">
        <f t="shared" si="188"/>
        <v/>
      </c>
      <c r="X795" s="327" t="str">
        <f t="shared" si="189"/>
        <v/>
      </c>
      <c r="Y795" s="327" t="str">
        <f t="shared" si="190"/>
        <v/>
      </c>
      <c r="Z795" s="428" t="str">
        <f t="shared" si="191"/>
        <v/>
      </c>
    </row>
    <row r="796" spans="1:26" x14ac:dyDescent="0.35">
      <c r="A796" s="265"/>
      <c r="B796" s="266"/>
      <c r="C796" s="262"/>
      <c r="D796" s="262"/>
      <c r="E796" s="262"/>
      <c r="F796" s="262"/>
      <c r="G796" s="320"/>
      <c r="H796" s="262"/>
      <c r="I796" s="320"/>
      <c r="J796" s="320"/>
      <c r="K796" s="262"/>
      <c r="L796" s="262"/>
      <c r="M796" s="327" t="str">
        <f t="shared" si="178"/>
        <v/>
      </c>
      <c r="N796" s="327" t="str">
        <f t="shared" si="179"/>
        <v/>
      </c>
      <c r="O796" s="327" t="str">
        <f t="shared" si="180"/>
        <v/>
      </c>
      <c r="P796" s="327" t="str">
        <f t="shared" si="181"/>
        <v/>
      </c>
      <c r="Q796" s="327" t="str">
        <f t="shared" si="182"/>
        <v/>
      </c>
      <c r="R796" s="327" t="str">
        <f t="shared" si="183"/>
        <v/>
      </c>
      <c r="S796" s="421" t="str">
        <f t="shared" si="184"/>
        <v/>
      </c>
      <c r="T796" s="327" t="str">
        <f t="shared" si="185"/>
        <v/>
      </c>
      <c r="U796" s="327" t="str">
        <f t="shared" si="186"/>
        <v/>
      </c>
      <c r="V796" s="327" t="str">
        <f t="shared" si="187"/>
        <v/>
      </c>
      <c r="W796" s="327" t="str">
        <f t="shared" si="188"/>
        <v/>
      </c>
      <c r="X796" s="327" t="str">
        <f t="shared" si="189"/>
        <v/>
      </c>
      <c r="Y796" s="327" t="str">
        <f t="shared" si="190"/>
        <v/>
      </c>
      <c r="Z796" s="428" t="str">
        <f t="shared" si="191"/>
        <v/>
      </c>
    </row>
    <row r="797" spans="1:26" x14ac:dyDescent="0.35">
      <c r="A797" s="265"/>
      <c r="B797" s="266"/>
      <c r="C797" s="262"/>
      <c r="D797" s="262"/>
      <c r="E797" s="262"/>
      <c r="F797" s="262"/>
      <c r="G797" s="320"/>
      <c r="H797" s="262"/>
      <c r="I797" s="320"/>
      <c r="J797" s="320"/>
      <c r="K797" s="262"/>
      <c r="L797" s="262"/>
      <c r="M797" s="327" t="str">
        <f t="shared" si="178"/>
        <v/>
      </c>
      <c r="N797" s="327" t="str">
        <f t="shared" si="179"/>
        <v/>
      </c>
      <c r="O797" s="327" t="str">
        <f t="shared" si="180"/>
        <v/>
      </c>
      <c r="P797" s="327" t="str">
        <f t="shared" si="181"/>
        <v/>
      </c>
      <c r="Q797" s="327" t="str">
        <f t="shared" si="182"/>
        <v/>
      </c>
      <c r="R797" s="327" t="str">
        <f t="shared" si="183"/>
        <v/>
      </c>
      <c r="S797" s="421" t="str">
        <f t="shared" si="184"/>
        <v/>
      </c>
      <c r="T797" s="327" t="str">
        <f t="shared" si="185"/>
        <v/>
      </c>
      <c r="U797" s="327" t="str">
        <f t="shared" si="186"/>
        <v/>
      </c>
      <c r="V797" s="327" t="str">
        <f t="shared" si="187"/>
        <v/>
      </c>
      <c r="W797" s="327" t="str">
        <f t="shared" si="188"/>
        <v/>
      </c>
      <c r="X797" s="327" t="str">
        <f t="shared" si="189"/>
        <v/>
      </c>
      <c r="Y797" s="327" t="str">
        <f t="shared" si="190"/>
        <v/>
      </c>
      <c r="Z797" s="428" t="str">
        <f t="shared" si="191"/>
        <v/>
      </c>
    </row>
    <row r="798" spans="1:26" x14ac:dyDescent="0.35">
      <c r="A798" s="265"/>
      <c r="B798" s="266"/>
      <c r="C798" s="262"/>
      <c r="D798" s="262"/>
      <c r="E798" s="262"/>
      <c r="F798" s="262"/>
      <c r="G798" s="320"/>
      <c r="H798" s="262"/>
      <c r="I798" s="320"/>
      <c r="J798" s="320"/>
      <c r="K798" s="262"/>
      <c r="L798" s="262"/>
      <c r="M798" s="327" t="str">
        <f t="shared" si="178"/>
        <v/>
      </c>
      <c r="N798" s="327" t="str">
        <f t="shared" si="179"/>
        <v/>
      </c>
      <c r="O798" s="327" t="str">
        <f t="shared" si="180"/>
        <v/>
      </c>
      <c r="P798" s="327" t="str">
        <f t="shared" si="181"/>
        <v/>
      </c>
      <c r="Q798" s="327" t="str">
        <f t="shared" si="182"/>
        <v/>
      </c>
      <c r="R798" s="327" t="str">
        <f t="shared" si="183"/>
        <v/>
      </c>
      <c r="S798" s="421" t="str">
        <f t="shared" si="184"/>
        <v/>
      </c>
      <c r="T798" s="327" t="str">
        <f t="shared" si="185"/>
        <v/>
      </c>
      <c r="U798" s="327" t="str">
        <f t="shared" si="186"/>
        <v/>
      </c>
      <c r="V798" s="327" t="str">
        <f t="shared" si="187"/>
        <v/>
      </c>
      <c r="W798" s="327" t="str">
        <f t="shared" si="188"/>
        <v/>
      </c>
      <c r="X798" s="327" t="str">
        <f t="shared" si="189"/>
        <v/>
      </c>
      <c r="Y798" s="327" t="str">
        <f t="shared" si="190"/>
        <v/>
      </c>
      <c r="Z798" s="428" t="str">
        <f t="shared" si="191"/>
        <v/>
      </c>
    </row>
    <row r="799" spans="1:26" x14ac:dyDescent="0.35">
      <c r="A799" s="265"/>
      <c r="B799" s="266"/>
      <c r="C799" s="262"/>
      <c r="D799" s="262"/>
      <c r="E799" s="262"/>
      <c r="F799" s="262"/>
      <c r="G799" s="320"/>
      <c r="H799" s="262"/>
      <c r="I799" s="320"/>
      <c r="J799" s="320"/>
      <c r="K799" s="262"/>
      <c r="L799" s="262"/>
      <c r="M799" s="327" t="str">
        <f t="shared" si="178"/>
        <v/>
      </c>
      <c r="N799" s="327" t="str">
        <f t="shared" si="179"/>
        <v/>
      </c>
      <c r="O799" s="327" t="str">
        <f t="shared" si="180"/>
        <v/>
      </c>
      <c r="P799" s="327" t="str">
        <f t="shared" si="181"/>
        <v/>
      </c>
      <c r="Q799" s="327" t="str">
        <f t="shared" si="182"/>
        <v/>
      </c>
      <c r="R799" s="327" t="str">
        <f t="shared" si="183"/>
        <v/>
      </c>
      <c r="S799" s="421" t="str">
        <f t="shared" si="184"/>
        <v/>
      </c>
      <c r="T799" s="327" t="str">
        <f t="shared" si="185"/>
        <v/>
      </c>
      <c r="U799" s="327" t="str">
        <f t="shared" si="186"/>
        <v/>
      </c>
      <c r="V799" s="327" t="str">
        <f t="shared" si="187"/>
        <v/>
      </c>
      <c r="W799" s="327" t="str">
        <f t="shared" si="188"/>
        <v/>
      </c>
      <c r="X799" s="327" t="str">
        <f t="shared" si="189"/>
        <v/>
      </c>
      <c r="Y799" s="327" t="str">
        <f t="shared" si="190"/>
        <v/>
      </c>
      <c r="Z799" s="428" t="str">
        <f t="shared" si="191"/>
        <v/>
      </c>
    </row>
    <row r="800" spans="1:26" x14ac:dyDescent="0.35">
      <c r="A800" s="265"/>
      <c r="B800" s="266"/>
      <c r="C800" s="262"/>
      <c r="D800" s="262"/>
      <c r="E800" s="262"/>
      <c r="F800" s="262"/>
      <c r="G800" s="320"/>
      <c r="H800" s="262"/>
      <c r="I800" s="320"/>
      <c r="J800" s="320"/>
      <c r="K800" s="262"/>
      <c r="L800" s="262"/>
      <c r="M800" s="327" t="str">
        <f t="shared" si="178"/>
        <v/>
      </c>
      <c r="N800" s="327" t="str">
        <f t="shared" si="179"/>
        <v/>
      </c>
      <c r="O800" s="327" t="str">
        <f t="shared" si="180"/>
        <v/>
      </c>
      <c r="P800" s="327" t="str">
        <f t="shared" si="181"/>
        <v/>
      </c>
      <c r="Q800" s="327" t="str">
        <f t="shared" si="182"/>
        <v/>
      </c>
      <c r="R800" s="327" t="str">
        <f t="shared" si="183"/>
        <v/>
      </c>
      <c r="S800" s="421" t="str">
        <f t="shared" si="184"/>
        <v/>
      </c>
      <c r="T800" s="327" t="str">
        <f t="shared" si="185"/>
        <v/>
      </c>
      <c r="U800" s="327" t="str">
        <f t="shared" si="186"/>
        <v/>
      </c>
      <c r="V800" s="327" t="str">
        <f t="shared" si="187"/>
        <v/>
      </c>
      <c r="W800" s="327" t="str">
        <f t="shared" si="188"/>
        <v/>
      </c>
      <c r="X800" s="327" t="str">
        <f t="shared" si="189"/>
        <v/>
      </c>
      <c r="Y800" s="327" t="str">
        <f t="shared" si="190"/>
        <v/>
      </c>
      <c r="Z800" s="428" t="str">
        <f t="shared" si="191"/>
        <v/>
      </c>
    </row>
    <row r="801" spans="1:26" x14ac:dyDescent="0.35">
      <c r="A801" s="265"/>
      <c r="B801" s="266"/>
      <c r="C801" s="262"/>
      <c r="D801" s="262"/>
      <c r="E801" s="262"/>
      <c r="F801" s="262"/>
      <c r="G801" s="320"/>
      <c r="H801" s="262"/>
      <c r="I801" s="320"/>
      <c r="J801" s="320"/>
      <c r="K801" s="262"/>
      <c r="L801" s="262"/>
      <c r="M801" s="327" t="str">
        <f t="shared" si="178"/>
        <v/>
      </c>
      <c r="N801" s="327" t="str">
        <f t="shared" si="179"/>
        <v/>
      </c>
      <c r="O801" s="327" t="str">
        <f t="shared" si="180"/>
        <v/>
      </c>
      <c r="P801" s="327" t="str">
        <f t="shared" si="181"/>
        <v/>
      </c>
      <c r="Q801" s="327" t="str">
        <f t="shared" si="182"/>
        <v/>
      </c>
      <c r="R801" s="327" t="str">
        <f t="shared" si="183"/>
        <v/>
      </c>
      <c r="S801" s="421" t="str">
        <f t="shared" si="184"/>
        <v/>
      </c>
      <c r="T801" s="327" t="str">
        <f t="shared" si="185"/>
        <v/>
      </c>
      <c r="U801" s="327" t="str">
        <f t="shared" si="186"/>
        <v/>
      </c>
      <c r="V801" s="327" t="str">
        <f t="shared" si="187"/>
        <v/>
      </c>
      <c r="W801" s="327" t="str">
        <f t="shared" si="188"/>
        <v/>
      </c>
      <c r="X801" s="327" t="str">
        <f t="shared" si="189"/>
        <v/>
      </c>
      <c r="Y801" s="327" t="str">
        <f t="shared" si="190"/>
        <v/>
      </c>
      <c r="Z801" s="428" t="str">
        <f t="shared" si="191"/>
        <v/>
      </c>
    </row>
    <row r="802" spans="1:26" x14ac:dyDescent="0.35">
      <c r="A802" s="265"/>
      <c r="B802" s="266"/>
      <c r="C802" s="262"/>
      <c r="D802" s="262"/>
      <c r="E802" s="262"/>
      <c r="F802" s="262"/>
      <c r="G802" s="320"/>
      <c r="H802" s="262"/>
      <c r="I802" s="320"/>
      <c r="J802" s="320"/>
      <c r="K802" s="262"/>
      <c r="L802" s="262"/>
      <c r="M802" s="327" t="str">
        <f t="shared" si="178"/>
        <v/>
      </c>
      <c r="N802" s="327" t="str">
        <f t="shared" si="179"/>
        <v/>
      </c>
      <c r="O802" s="327" t="str">
        <f t="shared" si="180"/>
        <v/>
      </c>
      <c r="P802" s="327" t="str">
        <f t="shared" si="181"/>
        <v/>
      </c>
      <c r="Q802" s="327" t="str">
        <f t="shared" si="182"/>
        <v/>
      </c>
      <c r="R802" s="327" t="str">
        <f t="shared" si="183"/>
        <v/>
      </c>
      <c r="S802" s="421" t="str">
        <f t="shared" si="184"/>
        <v/>
      </c>
      <c r="T802" s="327" t="str">
        <f t="shared" si="185"/>
        <v/>
      </c>
      <c r="U802" s="327" t="str">
        <f t="shared" si="186"/>
        <v/>
      </c>
      <c r="V802" s="327" t="str">
        <f t="shared" si="187"/>
        <v/>
      </c>
      <c r="W802" s="327" t="str">
        <f t="shared" si="188"/>
        <v/>
      </c>
      <c r="X802" s="327" t="str">
        <f t="shared" si="189"/>
        <v/>
      </c>
      <c r="Y802" s="327" t="str">
        <f t="shared" si="190"/>
        <v/>
      </c>
      <c r="Z802" s="428" t="str">
        <f t="shared" si="191"/>
        <v/>
      </c>
    </row>
    <row r="803" spans="1:26" x14ac:dyDescent="0.35">
      <c r="A803" s="265"/>
      <c r="B803" s="266"/>
      <c r="C803" s="262"/>
      <c r="D803" s="262"/>
      <c r="E803" s="262"/>
      <c r="F803" s="262"/>
      <c r="G803" s="320"/>
      <c r="H803" s="262"/>
      <c r="I803" s="320"/>
      <c r="J803" s="320"/>
      <c r="K803" s="262"/>
      <c r="L803" s="262"/>
      <c r="M803" s="327" t="str">
        <f t="shared" si="178"/>
        <v/>
      </c>
      <c r="N803" s="327" t="str">
        <f t="shared" si="179"/>
        <v/>
      </c>
      <c r="O803" s="327" t="str">
        <f t="shared" si="180"/>
        <v/>
      </c>
      <c r="P803" s="327" t="str">
        <f t="shared" si="181"/>
        <v/>
      </c>
      <c r="Q803" s="327" t="str">
        <f t="shared" si="182"/>
        <v/>
      </c>
      <c r="R803" s="327" t="str">
        <f t="shared" si="183"/>
        <v/>
      </c>
      <c r="S803" s="421" t="str">
        <f t="shared" si="184"/>
        <v/>
      </c>
      <c r="T803" s="327" t="str">
        <f t="shared" si="185"/>
        <v/>
      </c>
      <c r="U803" s="327" t="str">
        <f t="shared" si="186"/>
        <v/>
      </c>
      <c r="V803" s="327" t="str">
        <f t="shared" si="187"/>
        <v/>
      </c>
      <c r="W803" s="327" t="str">
        <f t="shared" si="188"/>
        <v/>
      </c>
      <c r="X803" s="327" t="str">
        <f t="shared" si="189"/>
        <v/>
      </c>
      <c r="Y803" s="327" t="str">
        <f t="shared" si="190"/>
        <v/>
      </c>
      <c r="Z803" s="428" t="str">
        <f t="shared" si="191"/>
        <v/>
      </c>
    </row>
    <row r="804" spans="1:26" x14ac:dyDescent="0.35">
      <c r="A804" s="265"/>
      <c r="B804" s="266"/>
      <c r="C804" s="262"/>
      <c r="D804" s="262"/>
      <c r="E804" s="262"/>
      <c r="F804" s="262"/>
      <c r="G804" s="320"/>
      <c r="H804" s="262"/>
      <c r="I804" s="320"/>
      <c r="J804" s="320"/>
      <c r="K804" s="262"/>
      <c r="L804" s="262"/>
      <c r="M804" s="327" t="str">
        <f t="shared" si="178"/>
        <v/>
      </c>
      <c r="N804" s="327" t="str">
        <f t="shared" si="179"/>
        <v/>
      </c>
      <c r="O804" s="327" t="str">
        <f t="shared" si="180"/>
        <v/>
      </c>
      <c r="P804" s="327" t="str">
        <f t="shared" si="181"/>
        <v/>
      </c>
      <c r="Q804" s="327" t="str">
        <f t="shared" si="182"/>
        <v/>
      </c>
      <c r="R804" s="327" t="str">
        <f t="shared" si="183"/>
        <v/>
      </c>
      <c r="S804" s="421" t="str">
        <f t="shared" si="184"/>
        <v/>
      </c>
      <c r="T804" s="327" t="str">
        <f t="shared" si="185"/>
        <v/>
      </c>
      <c r="U804" s="327" t="str">
        <f t="shared" si="186"/>
        <v/>
      </c>
      <c r="V804" s="327" t="str">
        <f t="shared" si="187"/>
        <v/>
      </c>
      <c r="W804" s="327" t="str">
        <f t="shared" si="188"/>
        <v/>
      </c>
      <c r="X804" s="327" t="str">
        <f t="shared" si="189"/>
        <v/>
      </c>
      <c r="Y804" s="327" t="str">
        <f t="shared" si="190"/>
        <v/>
      </c>
      <c r="Z804" s="428" t="str">
        <f t="shared" si="191"/>
        <v/>
      </c>
    </row>
    <row r="805" spans="1:26" x14ac:dyDescent="0.35">
      <c r="A805" s="265"/>
      <c r="B805" s="266"/>
      <c r="C805" s="262"/>
      <c r="D805" s="262"/>
      <c r="E805" s="262"/>
      <c r="F805" s="262"/>
      <c r="G805" s="320"/>
      <c r="H805" s="262"/>
      <c r="I805" s="320"/>
      <c r="J805" s="320"/>
      <c r="K805" s="262"/>
      <c r="L805" s="262"/>
      <c r="M805" s="327" t="str">
        <f t="shared" si="178"/>
        <v/>
      </c>
      <c r="N805" s="327" t="str">
        <f t="shared" si="179"/>
        <v/>
      </c>
      <c r="O805" s="327" t="str">
        <f t="shared" si="180"/>
        <v/>
      </c>
      <c r="P805" s="327" t="str">
        <f t="shared" si="181"/>
        <v/>
      </c>
      <c r="Q805" s="327" t="str">
        <f t="shared" si="182"/>
        <v/>
      </c>
      <c r="R805" s="327" t="str">
        <f t="shared" si="183"/>
        <v/>
      </c>
      <c r="S805" s="421" t="str">
        <f t="shared" si="184"/>
        <v/>
      </c>
      <c r="T805" s="327" t="str">
        <f t="shared" si="185"/>
        <v/>
      </c>
      <c r="U805" s="327" t="str">
        <f t="shared" si="186"/>
        <v/>
      </c>
      <c r="V805" s="327" t="str">
        <f t="shared" si="187"/>
        <v/>
      </c>
      <c r="W805" s="327" t="str">
        <f t="shared" si="188"/>
        <v/>
      </c>
      <c r="X805" s="327" t="str">
        <f t="shared" si="189"/>
        <v/>
      </c>
      <c r="Y805" s="327" t="str">
        <f t="shared" si="190"/>
        <v/>
      </c>
      <c r="Z805" s="428" t="str">
        <f t="shared" si="191"/>
        <v/>
      </c>
    </row>
    <row r="806" spans="1:26" x14ac:dyDescent="0.35">
      <c r="A806" s="265"/>
      <c r="B806" s="266"/>
      <c r="C806" s="262"/>
      <c r="D806" s="262"/>
      <c r="E806" s="262"/>
      <c r="F806" s="262"/>
      <c r="G806" s="320"/>
      <c r="H806" s="262"/>
      <c r="I806" s="320"/>
      <c r="J806" s="320"/>
      <c r="K806" s="262"/>
      <c r="L806" s="262"/>
      <c r="M806" s="327" t="str">
        <f t="shared" si="178"/>
        <v/>
      </c>
      <c r="N806" s="327" t="str">
        <f t="shared" si="179"/>
        <v/>
      </c>
      <c r="O806" s="327" t="str">
        <f t="shared" si="180"/>
        <v/>
      </c>
      <c r="P806" s="327" t="str">
        <f t="shared" si="181"/>
        <v/>
      </c>
      <c r="Q806" s="327" t="str">
        <f t="shared" si="182"/>
        <v/>
      </c>
      <c r="R806" s="327" t="str">
        <f t="shared" si="183"/>
        <v/>
      </c>
      <c r="S806" s="421" t="str">
        <f t="shared" si="184"/>
        <v/>
      </c>
      <c r="T806" s="327" t="str">
        <f t="shared" si="185"/>
        <v/>
      </c>
      <c r="U806" s="327" t="str">
        <f t="shared" si="186"/>
        <v/>
      </c>
      <c r="V806" s="327" t="str">
        <f t="shared" si="187"/>
        <v/>
      </c>
      <c r="W806" s="327" t="str">
        <f t="shared" si="188"/>
        <v/>
      </c>
      <c r="X806" s="327" t="str">
        <f t="shared" si="189"/>
        <v/>
      </c>
      <c r="Y806" s="327" t="str">
        <f t="shared" si="190"/>
        <v/>
      </c>
      <c r="Z806" s="428" t="str">
        <f t="shared" si="191"/>
        <v/>
      </c>
    </row>
    <row r="807" spans="1:26" x14ac:dyDescent="0.35">
      <c r="A807" s="265"/>
      <c r="B807" s="266"/>
      <c r="C807" s="262"/>
      <c r="D807" s="262"/>
      <c r="E807" s="262"/>
      <c r="F807" s="262"/>
      <c r="G807" s="320"/>
      <c r="H807" s="262"/>
      <c r="I807" s="320"/>
      <c r="J807" s="320"/>
      <c r="K807" s="262"/>
      <c r="L807" s="262"/>
      <c r="M807" s="327" t="str">
        <f t="shared" si="178"/>
        <v/>
      </c>
      <c r="N807" s="327" t="str">
        <f t="shared" si="179"/>
        <v/>
      </c>
      <c r="O807" s="327" t="str">
        <f t="shared" si="180"/>
        <v/>
      </c>
      <c r="P807" s="327" t="str">
        <f t="shared" si="181"/>
        <v/>
      </c>
      <c r="Q807" s="327" t="str">
        <f t="shared" si="182"/>
        <v/>
      </c>
      <c r="R807" s="327" t="str">
        <f t="shared" si="183"/>
        <v/>
      </c>
      <c r="S807" s="421" t="str">
        <f t="shared" si="184"/>
        <v/>
      </c>
      <c r="T807" s="327" t="str">
        <f t="shared" si="185"/>
        <v/>
      </c>
      <c r="U807" s="327" t="str">
        <f t="shared" si="186"/>
        <v/>
      </c>
      <c r="V807" s="327" t="str">
        <f t="shared" si="187"/>
        <v/>
      </c>
      <c r="W807" s="327" t="str">
        <f t="shared" si="188"/>
        <v/>
      </c>
      <c r="X807" s="327" t="str">
        <f t="shared" si="189"/>
        <v/>
      </c>
      <c r="Y807" s="327" t="str">
        <f t="shared" si="190"/>
        <v/>
      </c>
      <c r="Z807" s="428" t="str">
        <f t="shared" si="191"/>
        <v/>
      </c>
    </row>
    <row r="808" spans="1:26" x14ac:dyDescent="0.35">
      <c r="A808" s="265"/>
      <c r="B808" s="266"/>
      <c r="C808" s="262"/>
      <c r="D808" s="262"/>
      <c r="E808" s="262"/>
      <c r="F808" s="262"/>
      <c r="G808" s="320"/>
      <c r="H808" s="262"/>
      <c r="I808" s="320"/>
      <c r="J808" s="320"/>
      <c r="K808" s="262"/>
      <c r="L808" s="262"/>
      <c r="M808" s="327" t="str">
        <f t="shared" si="178"/>
        <v/>
      </c>
      <c r="N808" s="327" t="str">
        <f t="shared" si="179"/>
        <v/>
      </c>
      <c r="O808" s="327" t="str">
        <f t="shared" si="180"/>
        <v/>
      </c>
      <c r="P808" s="327" t="str">
        <f t="shared" si="181"/>
        <v/>
      </c>
      <c r="Q808" s="327" t="str">
        <f t="shared" si="182"/>
        <v/>
      </c>
      <c r="R808" s="327" t="str">
        <f t="shared" si="183"/>
        <v/>
      </c>
      <c r="S808" s="421" t="str">
        <f t="shared" si="184"/>
        <v/>
      </c>
      <c r="T808" s="327" t="str">
        <f t="shared" si="185"/>
        <v/>
      </c>
      <c r="U808" s="327" t="str">
        <f t="shared" si="186"/>
        <v/>
      </c>
      <c r="V808" s="327" t="str">
        <f t="shared" si="187"/>
        <v/>
      </c>
      <c r="W808" s="327" t="str">
        <f t="shared" si="188"/>
        <v/>
      </c>
      <c r="X808" s="327" t="str">
        <f t="shared" si="189"/>
        <v/>
      </c>
      <c r="Y808" s="327" t="str">
        <f t="shared" si="190"/>
        <v/>
      </c>
      <c r="Z808" s="428" t="str">
        <f t="shared" si="191"/>
        <v/>
      </c>
    </row>
    <row r="809" spans="1:26" x14ac:dyDescent="0.35">
      <c r="A809" s="265"/>
      <c r="B809" s="266"/>
      <c r="C809" s="262"/>
      <c r="D809" s="262"/>
      <c r="E809" s="262"/>
      <c r="F809" s="262"/>
      <c r="G809" s="320"/>
      <c r="H809" s="262"/>
      <c r="I809" s="320"/>
      <c r="J809" s="320"/>
      <c r="K809" s="262"/>
      <c r="L809" s="262"/>
      <c r="M809" s="327" t="str">
        <f t="shared" si="178"/>
        <v/>
      </c>
      <c r="N809" s="327" t="str">
        <f t="shared" si="179"/>
        <v/>
      </c>
      <c r="O809" s="327" t="str">
        <f t="shared" si="180"/>
        <v/>
      </c>
      <c r="P809" s="327" t="str">
        <f t="shared" si="181"/>
        <v/>
      </c>
      <c r="Q809" s="327" t="str">
        <f t="shared" si="182"/>
        <v/>
      </c>
      <c r="R809" s="327" t="str">
        <f t="shared" si="183"/>
        <v/>
      </c>
      <c r="S809" s="421" t="str">
        <f t="shared" si="184"/>
        <v/>
      </c>
      <c r="T809" s="327" t="str">
        <f t="shared" si="185"/>
        <v/>
      </c>
      <c r="U809" s="327" t="str">
        <f t="shared" si="186"/>
        <v/>
      </c>
      <c r="V809" s="327" t="str">
        <f t="shared" si="187"/>
        <v/>
      </c>
      <c r="W809" s="327" t="str">
        <f t="shared" si="188"/>
        <v/>
      </c>
      <c r="X809" s="327" t="str">
        <f t="shared" si="189"/>
        <v/>
      </c>
      <c r="Y809" s="327" t="str">
        <f t="shared" si="190"/>
        <v/>
      </c>
      <c r="Z809" s="428" t="str">
        <f t="shared" si="191"/>
        <v/>
      </c>
    </row>
    <row r="810" spans="1:26" x14ac:dyDescent="0.35">
      <c r="A810" s="265"/>
      <c r="B810" s="266"/>
      <c r="C810" s="262"/>
      <c r="D810" s="262"/>
      <c r="E810" s="262"/>
      <c r="F810" s="262"/>
      <c r="G810" s="320"/>
      <c r="H810" s="262"/>
      <c r="I810" s="320"/>
      <c r="J810" s="320"/>
      <c r="K810" s="262"/>
      <c r="L810" s="262"/>
      <c r="M810" s="327" t="str">
        <f t="shared" si="178"/>
        <v/>
      </c>
      <c r="N810" s="327" t="str">
        <f t="shared" si="179"/>
        <v/>
      </c>
      <c r="O810" s="327" t="str">
        <f t="shared" si="180"/>
        <v/>
      </c>
      <c r="P810" s="327" t="str">
        <f t="shared" si="181"/>
        <v/>
      </c>
      <c r="Q810" s="327" t="str">
        <f t="shared" si="182"/>
        <v/>
      </c>
      <c r="R810" s="327" t="str">
        <f t="shared" si="183"/>
        <v/>
      </c>
      <c r="S810" s="421" t="str">
        <f t="shared" si="184"/>
        <v/>
      </c>
      <c r="T810" s="327" t="str">
        <f t="shared" si="185"/>
        <v/>
      </c>
      <c r="U810" s="327" t="str">
        <f t="shared" si="186"/>
        <v/>
      </c>
      <c r="V810" s="327" t="str">
        <f t="shared" si="187"/>
        <v/>
      </c>
      <c r="W810" s="327" t="str">
        <f t="shared" si="188"/>
        <v/>
      </c>
      <c r="X810" s="327" t="str">
        <f t="shared" si="189"/>
        <v/>
      </c>
      <c r="Y810" s="327" t="str">
        <f t="shared" si="190"/>
        <v/>
      </c>
      <c r="Z810" s="428" t="str">
        <f t="shared" si="191"/>
        <v/>
      </c>
    </row>
    <row r="811" spans="1:26" x14ac:dyDescent="0.35">
      <c r="A811" s="265"/>
      <c r="B811" s="266"/>
      <c r="C811" s="262"/>
      <c r="D811" s="262"/>
      <c r="E811" s="262"/>
      <c r="F811" s="262"/>
      <c r="G811" s="320"/>
      <c r="H811" s="262"/>
      <c r="I811" s="320"/>
      <c r="J811" s="320"/>
      <c r="K811" s="262"/>
      <c r="L811" s="262"/>
      <c r="M811" s="327" t="str">
        <f t="shared" ref="M811:M874" si="192">IF(OR(A811="", B811=""), "", IF(H811="Mitgliedsbeiträge", ABS(B811), ""))</f>
        <v/>
      </c>
      <c r="N811" s="327" t="str">
        <f t="shared" ref="N811:N874" si="193">IF(OR(A811="", B811=""), "", IF(H811="Spenden", ABS(B811), ""))</f>
        <v/>
      </c>
      <c r="O811" s="327" t="str">
        <f t="shared" ref="O811:O874" si="194">IF(OR(A811="", B811=""), "", IF(H811="Zuschüsse", ABS(B811), ""))</f>
        <v/>
      </c>
      <c r="P811" s="327" t="str">
        <f t="shared" ref="P811:P874" si="195">IF(OR(A811="", B811=""), "", IF(H811="Verwaltung", ABS(B811), ""))</f>
        <v/>
      </c>
      <c r="Q811" s="327" t="str">
        <f t="shared" ref="Q811:Q874" si="196">IF(OR(A811="", B811=""), "", IF(H811="Vermögen", ABS(B811), ""))</f>
        <v/>
      </c>
      <c r="R811" s="327" t="str">
        <f t="shared" ref="R811:R874" si="197">IF(OR(A811="", B811=""), "", IF(H811="Vermögen", ABS(B811), ""))</f>
        <v/>
      </c>
      <c r="S811" s="421" t="str">
        <f t="shared" ref="S811:S874" si="198">IF(OR(A811="", B811=""), "", IF(H811="Sonstige Einnahmen", ABS(B811), ""))</f>
        <v/>
      </c>
      <c r="T811" s="327" t="str">
        <f t="shared" ref="T811:T874" si="199">IF(OR(A811="", B811=""), "", IF(H811="Unterhaltung", ABS(B811), ""))</f>
        <v/>
      </c>
      <c r="U811" s="327" t="str">
        <f t="shared" ref="U811:U874" si="200">IF(OR(A811="", B811=""), "", IF(H811="Fortbildung", ABS(B811), ""))</f>
        <v/>
      </c>
      <c r="V811" s="327" t="str">
        <f t="shared" ref="V811:V874" si="201">IF(OR(A811="", B811=""), "", IF(H811="Veranstaltungen Ausgabe", ABS(B811), ""))</f>
        <v/>
      </c>
      <c r="W811" s="327" t="str">
        <f t="shared" ref="W811:W874" si="202">IF(OR(A811="", B811=""), "", IF(H811="Bürobetrieb", ABS(B811), ""))</f>
        <v/>
      </c>
      <c r="X811" s="327" t="str">
        <f t="shared" ref="X811:X874" si="203">IF(OR(A811="", B811=""), "", IF(H811="Aufwandsentschädigungen", ABS(B811), ""))</f>
        <v/>
      </c>
      <c r="Y811" s="327" t="str">
        <f t="shared" ref="Y811:Y874" si="204">IF(OR(A811="", B811=""), "", IF(H811="Sonstige Ausgaben", ABS(B811), ""))</f>
        <v/>
      </c>
      <c r="Z811" s="428" t="str">
        <f t="shared" ref="Z811:Z874" si="205">IF(OR(A811="", B811=""), "", IF(H811="Kasse-Auszahlung", ABS(B811), ""))</f>
        <v/>
      </c>
    </row>
    <row r="812" spans="1:26" x14ac:dyDescent="0.35">
      <c r="A812" s="265"/>
      <c r="B812" s="266"/>
      <c r="C812" s="262"/>
      <c r="D812" s="262"/>
      <c r="E812" s="262"/>
      <c r="F812" s="262"/>
      <c r="G812" s="320"/>
      <c r="H812" s="262"/>
      <c r="I812" s="320"/>
      <c r="J812" s="320"/>
      <c r="K812" s="262"/>
      <c r="L812" s="262"/>
      <c r="M812" s="327" t="str">
        <f t="shared" si="192"/>
        <v/>
      </c>
      <c r="N812" s="327" t="str">
        <f t="shared" si="193"/>
        <v/>
      </c>
      <c r="O812" s="327" t="str">
        <f t="shared" si="194"/>
        <v/>
      </c>
      <c r="P812" s="327" t="str">
        <f t="shared" si="195"/>
        <v/>
      </c>
      <c r="Q812" s="327" t="str">
        <f t="shared" si="196"/>
        <v/>
      </c>
      <c r="R812" s="327" t="str">
        <f t="shared" si="197"/>
        <v/>
      </c>
      <c r="S812" s="421" t="str">
        <f t="shared" si="198"/>
        <v/>
      </c>
      <c r="T812" s="327" t="str">
        <f t="shared" si="199"/>
        <v/>
      </c>
      <c r="U812" s="327" t="str">
        <f t="shared" si="200"/>
        <v/>
      </c>
      <c r="V812" s="327" t="str">
        <f t="shared" si="201"/>
        <v/>
      </c>
      <c r="W812" s="327" t="str">
        <f t="shared" si="202"/>
        <v/>
      </c>
      <c r="X812" s="327" t="str">
        <f t="shared" si="203"/>
        <v/>
      </c>
      <c r="Y812" s="327" t="str">
        <f t="shared" si="204"/>
        <v/>
      </c>
      <c r="Z812" s="428" t="str">
        <f t="shared" si="205"/>
        <v/>
      </c>
    </row>
    <row r="813" spans="1:26" x14ac:dyDescent="0.35">
      <c r="A813" s="265"/>
      <c r="B813" s="266"/>
      <c r="C813" s="262"/>
      <c r="D813" s="262"/>
      <c r="E813" s="262"/>
      <c r="F813" s="262"/>
      <c r="G813" s="320"/>
      <c r="H813" s="262"/>
      <c r="I813" s="320"/>
      <c r="J813" s="320"/>
      <c r="K813" s="262"/>
      <c r="L813" s="262"/>
      <c r="M813" s="327" t="str">
        <f t="shared" si="192"/>
        <v/>
      </c>
      <c r="N813" s="327" t="str">
        <f t="shared" si="193"/>
        <v/>
      </c>
      <c r="O813" s="327" t="str">
        <f t="shared" si="194"/>
        <v/>
      </c>
      <c r="P813" s="327" t="str">
        <f t="shared" si="195"/>
        <v/>
      </c>
      <c r="Q813" s="327" t="str">
        <f t="shared" si="196"/>
        <v/>
      </c>
      <c r="R813" s="327" t="str">
        <f t="shared" si="197"/>
        <v/>
      </c>
      <c r="S813" s="421" t="str">
        <f t="shared" si="198"/>
        <v/>
      </c>
      <c r="T813" s="327" t="str">
        <f t="shared" si="199"/>
        <v/>
      </c>
      <c r="U813" s="327" t="str">
        <f t="shared" si="200"/>
        <v/>
      </c>
      <c r="V813" s="327" t="str">
        <f t="shared" si="201"/>
        <v/>
      </c>
      <c r="W813" s="327" t="str">
        <f t="shared" si="202"/>
        <v/>
      </c>
      <c r="X813" s="327" t="str">
        <f t="shared" si="203"/>
        <v/>
      </c>
      <c r="Y813" s="327" t="str">
        <f t="shared" si="204"/>
        <v/>
      </c>
      <c r="Z813" s="428" t="str">
        <f t="shared" si="205"/>
        <v/>
      </c>
    </row>
    <row r="814" spans="1:26" x14ac:dyDescent="0.35">
      <c r="A814" s="265"/>
      <c r="B814" s="266"/>
      <c r="C814" s="262"/>
      <c r="D814" s="262"/>
      <c r="E814" s="262"/>
      <c r="F814" s="262"/>
      <c r="G814" s="320"/>
      <c r="H814" s="262"/>
      <c r="I814" s="320"/>
      <c r="J814" s="320"/>
      <c r="K814" s="262"/>
      <c r="L814" s="262"/>
      <c r="M814" s="327" t="str">
        <f t="shared" si="192"/>
        <v/>
      </c>
      <c r="N814" s="327" t="str">
        <f t="shared" si="193"/>
        <v/>
      </c>
      <c r="O814" s="327" t="str">
        <f t="shared" si="194"/>
        <v/>
      </c>
      <c r="P814" s="327" t="str">
        <f t="shared" si="195"/>
        <v/>
      </c>
      <c r="Q814" s="327" t="str">
        <f t="shared" si="196"/>
        <v/>
      </c>
      <c r="R814" s="327" t="str">
        <f t="shared" si="197"/>
        <v/>
      </c>
      <c r="S814" s="421" t="str">
        <f t="shared" si="198"/>
        <v/>
      </c>
      <c r="T814" s="327" t="str">
        <f t="shared" si="199"/>
        <v/>
      </c>
      <c r="U814" s="327" t="str">
        <f t="shared" si="200"/>
        <v/>
      </c>
      <c r="V814" s="327" t="str">
        <f t="shared" si="201"/>
        <v/>
      </c>
      <c r="W814" s="327" t="str">
        <f t="shared" si="202"/>
        <v/>
      </c>
      <c r="X814" s="327" t="str">
        <f t="shared" si="203"/>
        <v/>
      </c>
      <c r="Y814" s="327" t="str">
        <f t="shared" si="204"/>
        <v/>
      </c>
      <c r="Z814" s="428" t="str">
        <f t="shared" si="205"/>
        <v/>
      </c>
    </row>
    <row r="815" spans="1:26" x14ac:dyDescent="0.35">
      <c r="A815" s="265"/>
      <c r="B815" s="266"/>
      <c r="C815" s="262"/>
      <c r="D815" s="262"/>
      <c r="E815" s="262"/>
      <c r="F815" s="262"/>
      <c r="G815" s="320"/>
      <c r="H815" s="262"/>
      <c r="I815" s="320"/>
      <c r="J815" s="320"/>
      <c r="K815" s="262"/>
      <c r="L815" s="262"/>
      <c r="M815" s="327" t="str">
        <f t="shared" si="192"/>
        <v/>
      </c>
      <c r="N815" s="327" t="str">
        <f t="shared" si="193"/>
        <v/>
      </c>
      <c r="O815" s="327" t="str">
        <f t="shared" si="194"/>
        <v/>
      </c>
      <c r="P815" s="327" t="str">
        <f t="shared" si="195"/>
        <v/>
      </c>
      <c r="Q815" s="327" t="str">
        <f t="shared" si="196"/>
        <v/>
      </c>
      <c r="R815" s="327" t="str">
        <f t="shared" si="197"/>
        <v/>
      </c>
      <c r="S815" s="421" t="str">
        <f t="shared" si="198"/>
        <v/>
      </c>
      <c r="T815" s="327" t="str">
        <f t="shared" si="199"/>
        <v/>
      </c>
      <c r="U815" s="327" t="str">
        <f t="shared" si="200"/>
        <v/>
      </c>
      <c r="V815" s="327" t="str">
        <f t="shared" si="201"/>
        <v/>
      </c>
      <c r="W815" s="327" t="str">
        <f t="shared" si="202"/>
        <v/>
      </c>
      <c r="X815" s="327" t="str">
        <f t="shared" si="203"/>
        <v/>
      </c>
      <c r="Y815" s="327" t="str">
        <f t="shared" si="204"/>
        <v/>
      </c>
      <c r="Z815" s="428" t="str">
        <f t="shared" si="205"/>
        <v/>
      </c>
    </row>
    <row r="816" spans="1:26" x14ac:dyDescent="0.35">
      <c r="A816" s="265"/>
      <c r="B816" s="266"/>
      <c r="C816" s="262"/>
      <c r="D816" s="262"/>
      <c r="E816" s="262"/>
      <c r="F816" s="262"/>
      <c r="G816" s="320"/>
      <c r="H816" s="262"/>
      <c r="I816" s="320"/>
      <c r="J816" s="320"/>
      <c r="K816" s="262"/>
      <c r="L816" s="262"/>
      <c r="M816" s="327" t="str">
        <f t="shared" si="192"/>
        <v/>
      </c>
      <c r="N816" s="327" t="str">
        <f t="shared" si="193"/>
        <v/>
      </c>
      <c r="O816" s="327" t="str">
        <f t="shared" si="194"/>
        <v/>
      </c>
      <c r="P816" s="327" t="str">
        <f t="shared" si="195"/>
        <v/>
      </c>
      <c r="Q816" s="327" t="str">
        <f t="shared" si="196"/>
        <v/>
      </c>
      <c r="R816" s="327" t="str">
        <f t="shared" si="197"/>
        <v/>
      </c>
      <c r="S816" s="421" t="str">
        <f t="shared" si="198"/>
        <v/>
      </c>
      <c r="T816" s="327" t="str">
        <f t="shared" si="199"/>
        <v/>
      </c>
      <c r="U816" s="327" t="str">
        <f t="shared" si="200"/>
        <v/>
      </c>
      <c r="V816" s="327" t="str">
        <f t="shared" si="201"/>
        <v/>
      </c>
      <c r="W816" s="327" t="str">
        <f t="shared" si="202"/>
        <v/>
      </c>
      <c r="X816" s="327" t="str">
        <f t="shared" si="203"/>
        <v/>
      </c>
      <c r="Y816" s="327" t="str">
        <f t="shared" si="204"/>
        <v/>
      </c>
      <c r="Z816" s="428" t="str">
        <f t="shared" si="205"/>
        <v/>
      </c>
    </row>
    <row r="817" spans="1:26" x14ac:dyDescent="0.35">
      <c r="A817" s="265"/>
      <c r="B817" s="266"/>
      <c r="C817" s="262"/>
      <c r="D817" s="262"/>
      <c r="E817" s="262"/>
      <c r="F817" s="262"/>
      <c r="G817" s="320"/>
      <c r="H817" s="262"/>
      <c r="I817" s="320"/>
      <c r="J817" s="320"/>
      <c r="K817" s="262"/>
      <c r="L817" s="262"/>
      <c r="M817" s="327" t="str">
        <f t="shared" si="192"/>
        <v/>
      </c>
      <c r="N817" s="327" t="str">
        <f t="shared" si="193"/>
        <v/>
      </c>
      <c r="O817" s="327" t="str">
        <f t="shared" si="194"/>
        <v/>
      </c>
      <c r="P817" s="327" t="str">
        <f t="shared" si="195"/>
        <v/>
      </c>
      <c r="Q817" s="327" t="str">
        <f t="shared" si="196"/>
        <v/>
      </c>
      <c r="R817" s="327" t="str">
        <f t="shared" si="197"/>
        <v/>
      </c>
      <c r="S817" s="421" t="str">
        <f t="shared" si="198"/>
        <v/>
      </c>
      <c r="T817" s="327" t="str">
        <f t="shared" si="199"/>
        <v/>
      </c>
      <c r="U817" s="327" t="str">
        <f t="shared" si="200"/>
        <v/>
      </c>
      <c r="V817" s="327" t="str">
        <f t="shared" si="201"/>
        <v/>
      </c>
      <c r="W817" s="327" t="str">
        <f t="shared" si="202"/>
        <v/>
      </c>
      <c r="X817" s="327" t="str">
        <f t="shared" si="203"/>
        <v/>
      </c>
      <c r="Y817" s="327" t="str">
        <f t="shared" si="204"/>
        <v/>
      </c>
      <c r="Z817" s="428" t="str">
        <f t="shared" si="205"/>
        <v/>
      </c>
    </row>
    <row r="818" spans="1:26" x14ac:dyDescent="0.35">
      <c r="A818" s="265"/>
      <c r="B818" s="266"/>
      <c r="C818" s="262"/>
      <c r="D818" s="262"/>
      <c r="E818" s="262"/>
      <c r="F818" s="262"/>
      <c r="G818" s="320"/>
      <c r="H818" s="262"/>
      <c r="I818" s="320"/>
      <c r="J818" s="320"/>
      <c r="K818" s="262"/>
      <c r="L818" s="262"/>
      <c r="M818" s="327" t="str">
        <f t="shared" si="192"/>
        <v/>
      </c>
      <c r="N818" s="327" t="str">
        <f t="shared" si="193"/>
        <v/>
      </c>
      <c r="O818" s="327" t="str">
        <f t="shared" si="194"/>
        <v/>
      </c>
      <c r="P818" s="327" t="str">
        <f t="shared" si="195"/>
        <v/>
      </c>
      <c r="Q818" s="327" t="str">
        <f t="shared" si="196"/>
        <v/>
      </c>
      <c r="R818" s="327" t="str">
        <f t="shared" si="197"/>
        <v/>
      </c>
      <c r="S818" s="421" t="str">
        <f t="shared" si="198"/>
        <v/>
      </c>
      <c r="T818" s="327" t="str">
        <f t="shared" si="199"/>
        <v/>
      </c>
      <c r="U818" s="327" t="str">
        <f t="shared" si="200"/>
        <v/>
      </c>
      <c r="V818" s="327" t="str">
        <f t="shared" si="201"/>
        <v/>
      </c>
      <c r="W818" s="327" t="str">
        <f t="shared" si="202"/>
        <v/>
      </c>
      <c r="X818" s="327" t="str">
        <f t="shared" si="203"/>
        <v/>
      </c>
      <c r="Y818" s="327" t="str">
        <f t="shared" si="204"/>
        <v/>
      </c>
      <c r="Z818" s="428" t="str">
        <f t="shared" si="205"/>
        <v/>
      </c>
    </row>
    <row r="819" spans="1:26" x14ac:dyDescent="0.35">
      <c r="A819" s="265"/>
      <c r="B819" s="266"/>
      <c r="C819" s="262"/>
      <c r="D819" s="262"/>
      <c r="E819" s="262"/>
      <c r="F819" s="262"/>
      <c r="G819" s="320"/>
      <c r="H819" s="262"/>
      <c r="I819" s="320"/>
      <c r="J819" s="320"/>
      <c r="K819" s="262"/>
      <c r="L819" s="262"/>
      <c r="M819" s="327" t="str">
        <f t="shared" si="192"/>
        <v/>
      </c>
      <c r="N819" s="327" t="str">
        <f t="shared" si="193"/>
        <v/>
      </c>
      <c r="O819" s="327" t="str">
        <f t="shared" si="194"/>
        <v/>
      </c>
      <c r="P819" s="327" t="str">
        <f t="shared" si="195"/>
        <v/>
      </c>
      <c r="Q819" s="327" t="str">
        <f t="shared" si="196"/>
        <v/>
      </c>
      <c r="R819" s="327" t="str">
        <f t="shared" si="197"/>
        <v/>
      </c>
      <c r="S819" s="421" t="str">
        <f t="shared" si="198"/>
        <v/>
      </c>
      <c r="T819" s="327" t="str">
        <f t="shared" si="199"/>
        <v/>
      </c>
      <c r="U819" s="327" t="str">
        <f t="shared" si="200"/>
        <v/>
      </c>
      <c r="V819" s="327" t="str">
        <f t="shared" si="201"/>
        <v/>
      </c>
      <c r="W819" s="327" t="str">
        <f t="shared" si="202"/>
        <v/>
      </c>
      <c r="X819" s="327" t="str">
        <f t="shared" si="203"/>
        <v/>
      </c>
      <c r="Y819" s="327" t="str">
        <f t="shared" si="204"/>
        <v/>
      </c>
      <c r="Z819" s="428" t="str">
        <f t="shared" si="205"/>
        <v/>
      </c>
    </row>
    <row r="820" spans="1:26" x14ac:dyDescent="0.35">
      <c r="A820" s="265"/>
      <c r="B820" s="266"/>
      <c r="C820" s="262"/>
      <c r="D820" s="262"/>
      <c r="E820" s="262"/>
      <c r="F820" s="262"/>
      <c r="G820" s="320"/>
      <c r="H820" s="262"/>
      <c r="I820" s="320"/>
      <c r="J820" s="320"/>
      <c r="K820" s="262"/>
      <c r="L820" s="262"/>
      <c r="M820" s="327" t="str">
        <f t="shared" si="192"/>
        <v/>
      </c>
      <c r="N820" s="327" t="str">
        <f t="shared" si="193"/>
        <v/>
      </c>
      <c r="O820" s="327" t="str">
        <f t="shared" si="194"/>
        <v/>
      </c>
      <c r="P820" s="327" t="str">
        <f t="shared" si="195"/>
        <v/>
      </c>
      <c r="Q820" s="327" t="str">
        <f t="shared" si="196"/>
        <v/>
      </c>
      <c r="R820" s="327" t="str">
        <f t="shared" si="197"/>
        <v/>
      </c>
      <c r="S820" s="421" t="str">
        <f t="shared" si="198"/>
        <v/>
      </c>
      <c r="T820" s="327" t="str">
        <f t="shared" si="199"/>
        <v/>
      </c>
      <c r="U820" s="327" t="str">
        <f t="shared" si="200"/>
        <v/>
      </c>
      <c r="V820" s="327" t="str">
        <f t="shared" si="201"/>
        <v/>
      </c>
      <c r="W820" s="327" t="str">
        <f t="shared" si="202"/>
        <v/>
      </c>
      <c r="X820" s="327" t="str">
        <f t="shared" si="203"/>
        <v/>
      </c>
      <c r="Y820" s="327" t="str">
        <f t="shared" si="204"/>
        <v/>
      </c>
      <c r="Z820" s="428" t="str">
        <f t="shared" si="205"/>
        <v/>
      </c>
    </row>
    <row r="821" spans="1:26" x14ac:dyDescent="0.35">
      <c r="A821" s="265"/>
      <c r="B821" s="266"/>
      <c r="C821" s="262"/>
      <c r="D821" s="262"/>
      <c r="E821" s="262"/>
      <c r="F821" s="262"/>
      <c r="G821" s="320"/>
      <c r="H821" s="262"/>
      <c r="I821" s="320"/>
      <c r="J821" s="320"/>
      <c r="K821" s="262"/>
      <c r="L821" s="262"/>
      <c r="M821" s="327" t="str">
        <f t="shared" si="192"/>
        <v/>
      </c>
      <c r="N821" s="327" t="str">
        <f t="shared" si="193"/>
        <v/>
      </c>
      <c r="O821" s="327" t="str">
        <f t="shared" si="194"/>
        <v/>
      </c>
      <c r="P821" s="327" t="str">
        <f t="shared" si="195"/>
        <v/>
      </c>
      <c r="Q821" s="327" t="str">
        <f t="shared" si="196"/>
        <v/>
      </c>
      <c r="R821" s="327" t="str">
        <f t="shared" si="197"/>
        <v/>
      </c>
      <c r="S821" s="421" t="str">
        <f t="shared" si="198"/>
        <v/>
      </c>
      <c r="T821" s="327" t="str">
        <f t="shared" si="199"/>
        <v/>
      </c>
      <c r="U821" s="327" t="str">
        <f t="shared" si="200"/>
        <v/>
      </c>
      <c r="V821" s="327" t="str">
        <f t="shared" si="201"/>
        <v/>
      </c>
      <c r="W821" s="327" t="str">
        <f t="shared" si="202"/>
        <v/>
      </c>
      <c r="X821" s="327" t="str">
        <f t="shared" si="203"/>
        <v/>
      </c>
      <c r="Y821" s="327" t="str">
        <f t="shared" si="204"/>
        <v/>
      </c>
      <c r="Z821" s="428" t="str">
        <f t="shared" si="205"/>
        <v/>
      </c>
    </row>
    <row r="822" spans="1:26" x14ac:dyDescent="0.35">
      <c r="A822" s="265"/>
      <c r="B822" s="266"/>
      <c r="C822" s="262"/>
      <c r="D822" s="262"/>
      <c r="E822" s="262"/>
      <c r="F822" s="262"/>
      <c r="G822" s="320"/>
      <c r="H822" s="262"/>
      <c r="I822" s="320"/>
      <c r="J822" s="320"/>
      <c r="K822" s="262"/>
      <c r="L822" s="262"/>
      <c r="M822" s="327" t="str">
        <f t="shared" si="192"/>
        <v/>
      </c>
      <c r="N822" s="327" t="str">
        <f t="shared" si="193"/>
        <v/>
      </c>
      <c r="O822" s="327" t="str">
        <f t="shared" si="194"/>
        <v/>
      </c>
      <c r="P822" s="327" t="str">
        <f t="shared" si="195"/>
        <v/>
      </c>
      <c r="Q822" s="327" t="str">
        <f t="shared" si="196"/>
        <v/>
      </c>
      <c r="R822" s="327" t="str">
        <f t="shared" si="197"/>
        <v/>
      </c>
      <c r="S822" s="421" t="str">
        <f t="shared" si="198"/>
        <v/>
      </c>
      <c r="T822" s="327" t="str">
        <f t="shared" si="199"/>
        <v/>
      </c>
      <c r="U822" s="327" t="str">
        <f t="shared" si="200"/>
        <v/>
      </c>
      <c r="V822" s="327" t="str">
        <f t="shared" si="201"/>
        <v/>
      </c>
      <c r="W822" s="327" t="str">
        <f t="shared" si="202"/>
        <v/>
      </c>
      <c r="X822" s="327" t="str">
        <f t="shared" si="203"/>
        <v/>
      </c>
      <c r="Y822" s="327" t="str">
        <f t="shared" si="204"/>
        <v/>
      </c>
      <c r="Z822" s="428" t="str">
        <f t="shared" si="205"/>
        <v/>
      </c>
    </row>
    <row r="823" spans="1:26" x14ac:dyDescent="0.35">
      <c r="A823" s="265"/>
      <c r="B823" s="266"/>
      <c r="C823" s="262"/>
      <c r="D823" s="262"/>
      <c r="E823" s="262"/>
      <c r="F823" s="262"/>
      <c r="G823" s="320"/>
      <c r="H823" s="262"/>
      <c r="I823" s="320"/>
      <c r="J823" s="320"/>
      <c r="K823" s="262"/>
      <c r="L823" s="262"/>
      <c r="M823" s="327" t="str">
        <f t="shared" si="192"/>
        <v/>
      </c>
      <c r="N823" s="327" t="str">
        <f t="shared" si="193"/>
        <v/>
      </c>
      <c r="O823" s="327" t="str">
        <f t="shared" si="194"/>
        <v/>
      </c>
      <c r="P823" s="327" t="str">
        <f t="shared" si="195"/>
        <v/>
      </c>
      <c r="Q823" s="327" t="str">
        <f t="shared" si="196"/>
        <v/>
      </c>
      <c r="R823" s="327" t="str">
        <f t="shared" si="197"/>
        <v/>
      </c>
      <c r="S823" s="421" t="str">
        <f t="shared" si="198"/>
        <v/>
      </c>
      <c r="T823" s="327" t="str">
        <f t="shared" si="199"/>
        <v/>
      </c>
      <c r="U823" s="327" t="str">
        <f t="shared" si="200"/>
        <v/>
      </c>
      <c r="V823" s="327" t="str">
        <f t="shared" si="201"/>
        <v/>
      </c>
      <c r="W823" s="327" t="str">
        <f t="shared" si="202"/>
        <v/>
      </c>
      <c r="X823" s="327" t="str">
        <f t="shared" si="203"/>
        <v/>
      </c>
      <c r="Y823" s="327" t="str">
        <f t="shared" si="204"/>
        <v/>
      </c>
      <c r="Z823" s="428" t="str">
        <f t="shared" si="205"/>
        <v/>
      </c>
    </row>
    <row r="824" spans="1:26" x14ac:dyDescent="0.35">
      <c r="A824" s="265"/>
      <c r="B824" s="266"/>
      <c r="C824" s="262"/>
      <c r="D824" s="262"/>
      <c r="E824" s="262"/>
      <c r="F824" s="262"/>
      <c r="G824" s="320"/>
      <c r="H824" s="262"/>
      <c r="I824" s="320"/>
      <c r="J824" s="320"/>
      <c r="K824" s="262"/>
      <c r="L824" s="262"/>
      <c r="M824" s="327" t="str">
        <f t="shared" si="192"/>
        <v/>
      </c>
      <c r="N824" s="327" t="str">
        <f t="shared" si="193"/>
        <v/>
      </c>
      <c r="O824" s="327" t="str">
        <f t="shared" si="194"/>
        <v/>
      </c>
      <c r="P824" s="327" t="str">
        <f t="shared" si="195"/>
        <v/>
      </c>
      <c r="Q824" s="327" t="str">
        <f t="shared" si="196"/>
        <v/>
      </c>
      <c r="R824" s="327" t="str">
        <f t="shared" si="197"/>
        <v/>
      </c>
      <c r="S824" s="421" t="str">
        <f t="shared" si="198"/>
        <v/>
      </c>
      <c r="T824" s="327" t="str">
        <f t="shared" si="199"/>
        <v/>
      </c>
      <c r="U824" s="327" t="str">
        <f t="shared" si="200"/>
        <v/>
      </c>
      <c r="V824" s="327" t="str">
        <f t="shared" si="201"/>
        <v/>
      </c>
      <c r="W824" s="327" t="str">
        <f t="shared" si="202"/>
        <v/>
      </c>
      <c r="X824" s="327" t="str">
        <f t="shared" si="203"/>
        <v/>
      </c>
      <c r="Y824" s="327" t="str">
        <f t="shared" si="204"/>
        <v/>
      </c>
      <c r="Z824" s="428" t="str">
        <f t="shared" si="205"/>
        <v/>
      </c>
    </row>
    <row r="825" spans="1:26" x14ac:dyDescent="0.35">
      <c r="A825" s="265"/>
      <c r="B825" s="266"/>
      <c r="C825" s="262"/>
      <c r="D825" s="262"/>
      <c r="E825" s="262"/>
      <c r="F825" s="262"/>
      <c r="G825" s="320"/>
      <c r="H825" s="262"/>
      <c r="I825" s="320"/>
      <c r="J825" s="320"/>
      <c r="K825" s="262"/>
      <c r="L825" s="262"/>
      <c r="M825" s="327" t="str">
        <f t="shared" si="192"/>
        <v/>
      </c>
      <c r="N825" s="327" t="str">
        <f t="shared" si="193"/>
        <v/>
      </c>
      <c r="O825" s="327" t="str">
        <f t="shared" si="194"/>
        <v/>
      </c>
      <c r="P825" s="327" t="str">
        <f t="shared" si="195"/>
        <v/>
      </c>
      <c r="Q825" s="327" t="str">
        <f t="shared" si="196"/>
        <v/>
      </c>
      <c r="R825" s="327" t="str">
        <f t="shared" si="197"/>
        <v/>
      </c>
      <c r="S825" s="421" t="str">
        <f t="shared" si="198"/>
        <v/>
      </c>
      <c r="T825" s="327" t="str">
        <f t="shared" si="199"/>
        <v/>
      </c>
      <c r="U825" s="327" t="str">
        <f t="shared" si="200"/>
        <v/>
      </c>
      <c r="V825" s="327" t="str">
        <f t="shared" si="201"/>
        <v/>
      </c>
      <c r="W825" s="327" t="str">
        <f t="shared" si="202"/>
        <v/>
      </c>
      <c r="X825" s="327" t="str">
        <f t="shared" si="203"/>
        <v/>
      </c>
      <c r="Y825" s="327" t="str">
        <f t="shared" si="204"/>
        <v/>
      </c>
      <c r="Z825" s="428" t="str">
        <f t="shared" si="205"/>
        <v/>
      </c>
    </row>
    <row r="826" spans="1:26" x14ac:dyDescent="0.35">
      <c r="A826" s="265"/>
      <c r="B826" s="266"/>
      <c r="C826" s="262"/>
      <c r="D826" s="262"/>
      <c r="E826" s="262"/>
      <c r="F826" s="262"/>
      <c r="G826" s="320"/>
      <c r="H826" s="262"/>
      <c r="I826" s="320"/>
      <c r="J826" s="320"/>
      <c r="K826" s="262"/>
      <c r="L826" s="262"/>
      <c r="M826" s="327" t="str">
        <f t="shared" si="192"/>
        <v/>
      </c>
      <c r="N826" s="327" t="str">
        <f t="shared" si="193"/>
        <v/>
      </c>
      <c r="O826" s="327" t="str">
        <f t="shared" si="194"/>
        <v/>
      </c>
      <c r="P826" s="327" t="str">
        <f t="shared" si="195"/>
        <v/>
      </c>
      <c r="Q826" s="327" t="str">
        <f t="shared" si="196"/>
        <v/>
      </c>
      <c r="R826" s="327" t="str">
        <f t="shared" si="197"/>
        <v/>
      </c>
      <c r="S826" s="421" t="str">
        <f t="shared" si="198"/>
        <v/>
      </c>
      <c r="T826" s="327" t="str">
        <f t="shared" si="199"/>
        <v/>
      </c>
      <c r="U826" s="327" t="str">
        <f t="shared" si="200"/>
        <v/>
      </c>
      <c r="V826" s="327" t="str">
        <f t="shared" si="201"/>
        <v/>
      </c>
      <c r="W826" s="327" t="str">
        <f t="shared" si="202"/>
        <v/>
      </c>
      <c r="X826" s="327" t="str">
        <f t="shared" si="203"/>
        <v/>
      </c>
      <c r="Y826" s="327" t="str">
        <f t="shared" si="204"/>
        <v/>
      </c>
      <c r="Z826" s="428" t="str">
        <f t="shared" si="205"/>
        <v/>
      </c>
    </row>
    <row r="827" spans="1:26" x14ac:dyDescent="0.35">
      <c r="A827" s="265"/>
      <c r="B827" s="266"/>
      <c r="C827" s="262"/>
      <c r="D827" s="262"/>
      <c r="E827" s="262"/>
      <c r="F827" s="262"/>
      <c r="G827" s="320"/>
      <c r="H827" s="262"/>
      <c r="I827" s="320"/>
      <c r="J827" s="320"/>
      <c r="K827" s="262"/>
      <c r="L827" s="262"/>
      <c r="M827" s="327" t="str">
        <f t="shared" si="192"/>
        <v/>
      </c>
      <c r="N827" s="327" t="str">
        <f t="shared" si="193"/>
        <v/>
      </c>
      <c r="O827" s="327" t="str">
        <f t="shared" si="194"/>
        <v/>
      </c>
      <c r="P827" s="327" t="str">
        <f t="shared" si="195"/>
        <v/>
      </c>
      <c r="Q827" s="327" t="str">
        <f t="shared" si="196"/>
        <v/>
      </c>
      <c r="R827" s="327" t="str">
        <f t="shared" si="197"/>
        <v/>
      </c>
      <c r="S827" s="421" t="str">
        <f t="shared" si="198"/>
        <v/>
      </c>
      <c r="T827" s="327" t="str">
        <f t="shared" si="199"/>
        <v/>
      </c>
      <c r="U827" s="327" t="str">
        <f t="shared" si="200"/>
        <v/>
      </c>
      <c r="V827" s="327" t="str">
        <f t="shared" si="201"/>
        <v/>
      </c>
      <c r="W827" s="327" t="str">
        <f t="shared" si="202"/>
        <v/>
      </c>
      <c r="X827" s="327" t="str">
        <f t="shared" si="203"/>
        <v/>
      </c>
      <c r="Y827" s="327" t="str">
        <f t="shared" si="204"/>
        <v/>
      </c>
      <c r="Z827" s="428" t="str">
        <f t="shared" si="205"/>
        <v/>
      </c>
    </row>
    <row r="828" spans="1:26" x14ac:dyDescent="0.35">
      <c r="A828" s="265"/>
      <c r="B828" s="266"/>
      <c r="C828" s="262"/>
      <c r="D828" s="262"/>
      <c r="E828" s="262"/>
      <c r="F828" s="262"/>
      <c r="G828" s="320"/>
      <c r="H828" s="262"/>
      <c r="I828" s="320"/>
      <c r="J828" s="320"/>
      <c r="K828" s="262"/>
      <c r="L828" s="262"/>
      <c r="M828" s="327" t="str">
        <f t="shared" si="192"/>
        <v/>
      </c>
      <c r="N828" s="327" t="str">
        <f t="shared" si="193"/>
        <v/>
      </c>
      <c r="O828" s="327" t="str">
        <f t="shared" si="194"/>
        <v/>
      </c>
      <c r="P828" s="327" t="str">
        <f t="shared" si="195"/>
        <v/>
      </c>
      <c r="Q828" s="327" t="str">
        <f t="shared" si="196"/>
        <v/>
      </c>
      <c r="R828" s="327" t="str">
        <f t="shared" si="197"/>
        <v/>
      </c>
      <c r="S828" s="421" t="str">
        <f t="shared" si="198"/>
        <v/>
      </c>
      <c r="T828" s="327" t="str">
        <f t="shared" si="199"/>
        <v/>
      </c>
      <c r="U828" s="327" t="str">
        <f t="shared" si="200"/>
        <v/>
      </c>
      <c r="V828" s="327" t="str">
        <f t="shared" si="201"/>
        <v/>
      </c>
      <c r="W828" s="327" t="str">
        <f t="shared" si="202"/>
        <v/>
      </c>
      <c r="X828" s="327" t="str">
        <f t="shared" si="203"/>
        <v/>
      </c>
      <c r="Y828" s="327" t="str">
        <f t="shared" si="204"/>
        <v/>
      </c>
      <c r="Z828" s="428" t="str">
        <f t="shared" si="205"/>
        <v/>
      </c>
    </row>
    <row r="829" spans="1:26" x14ac:dyDescent="0.35">
      <c r="A829" s="265"/>
      <c r="B829" s="266"/>
      <c r="C829" s="262"/>
      <c r="D829" s="262"/>
      <c r="E829" s="262"/>
      <c r="F829" s="262"/>
      <c r="G829" s="320"/>
      <c r="H829" s="262"/>
      <c r="I829" s="320"/>
      <c r="J829" s="320"/>
      <c r="K829" s="262"/>
      <c r="L829" s="262"/>
      <c r="M829" s="327" t="str">
        <f t="shared" si="192"/>
        <v/>
      </c>
      <c r="N829" s="327" t="str">
        <f t="shared" si="193"/>
        <v/>
      </c>
      <c r="O829" s="327" t="str">
        <f t="shared" si="194"/>
        <v/>
      </c>
      <c r="P829" s="327" t="str">
        <f t="shared" si="195"/>
        <v/>
      </c>
      <c r="Q829" s="327" t="str">
        <f t="shared" si="196"/>
        <v/>
      </c>
      <c r="R829" s="327" t="str">
        <f t="shared" si="197"/>
        <v/>
      </c>
      <c r="S829" s="421" t="str">
        <f t="shared" si="198"/>
        <v/>
      </c>
      <c r="T829" s="327" t="str">
        <f t="shared" si="199"/>
        <v/>
      </c>
      <c r="U829" s="327" t="str">
        <f t="shared" si="200"/>
        <v/>
      </c>
      <c r="V829" s="327" t="str">
        <f t="shared" si="201"/>
        <v/>
      </c>
      <c r="W829" s="327" t="str">
        <f t="shared" si="202"/>
        <v/>
      </c>
      <c r="X829" s="327" t="str">
        <f t="shared" si="203"/>
        <v/>
      </c>
      <c r="Y829" s="327" t="str">
        <f t="shared" si="204"/>
        <v/>
      </c>
      <c r="Z829" s="428" t="str">
        <f t="shared" si="205"/>
        <v/>
      </c>
    </row>
    <row r="830" spans="1:26" x14ac:dyDescent="0.35">
      <c r="A830" s="265"/>
      <c r="B830" s="266"/>
      <c r="C830" s="262"/>
      <c r="D830" s="262"/>
      <c r="E830" s="262"/>
      <c r="F830" s="262"/>
      <c r="G830" s="320"/>
      <c r="H830" s="262"/>
      <c r="I830" s="320"/>
      <c r="J830" s="320"/>
      <c r="K830" s="262"/>
      <c r="L830" s="262"/>
      <c r="M830" s="327" t="str">
        <f t="shared" si="192"/>
        <v/>
      </c>
      <c r="N830" s="327" t="str">
        <f t="shared" si="193"/>
        <v/>
      </c>
      <c r="O830" s="327" t="str">
        <f t="shared" si="194"/>
        <v/>
      </c>
      <c r="P830" s="327" t="str">
        <f t="shared" si="195"/>
        <v/>
      </c>
      <c r="Q830" s="327" t="str">
        <f t="shared" si="196"/>
        <v/>
      </c>
      <c r="R830" s="327" t="str">
        <f t="shared" si="197"/>
        <v/>
      </c>
      <c r="S830" s="421" t="str">
        <f t="shared" si="198"/>
        <v/>
      </c>
      <c r="T830" s="327" t="str">
        <f t="shared" si="199"/>
        <v/>
      </c>
      <c r="U830" s="327" t="str">
        <f t="shared" si="200"/>
        <v/>
      </c>
      <c r="V830" s="327" t="str">
        <f t="shared" si="201"/>
        <v/>
      </c>
      <c r="W830" s="327" t="str">
        <f t="shared" si="202"/>
        <v/>
      </c>
      <c r="X830" s="327" t="str">
        <f t="shared" si="203"/>
        <v/>
      </c>
      <c r="Y830" s="327" t="str">
        <f t="shared" si="204"/>
        <v/>
      </c>
      <c r="Z830" s="428" t="str">
        <f t="shared" si="205"/>
        <v/>
      </c>
    </row>
    <row r="831" spans="1:26" x14ac:dyDescent="0.35">
      <c r="A831" s="265"/>
      <c r="B831" s="266"/>
      <c r="C831" s="262"/>
      <c r="D831" s="262"/>
      <c r="E831" s="262"/>
      <c r="F831" s="262"/>
      <c r="G831" s="320"/>
      <c r="H831" s="262"/>
      <c r="I831" s="320"/>
      <c r="J831" s="320"/>
      <c r="K831" s="262"/>
      <c r="L831" s="262"/>
      <c r="M831" s="327" t="str">
        <f t="shared" si="192"/>
        <v/>
      </c>
      <c r="N831" s="327" t="str">
        <f t="shared" si="193"/>
        <v/>
      </c>
      <c r="O831" s="327" t="str">
        <f t="shared" si="194"/>
        <v/>
      </c>
      <c r="P831" s="327" t="str">
        <f t="shared" si="195"/>
        <v/>
      </c>
      <c r="Q831" s="327" t="str">
        <f t="shared" si="196"/>
        <v/>
      </c>
      <c r="R831" s="327" t="str">
        <f t="shared" si="197"/>
        <v/>
      </c>
      <c r="S831" s="421" t="str">
        <f t="shared" si="198"/>
        <v/>
      </c>
      <c r="T831" s="327" t="str">
        <f t="shared" si="199"/>
        <v/>
      </c>
      <c r="U831" s="327" t="str">
        <f t="shared" si="200"/>
        <v/>
      </c>
      <c r="V831" s="327" t="str">
        <f t="shared" si="201"/>
        <v/>
      </c>
      <c r="W831" s="327" t="str">
        <f t="shared" si="202"/>
        <v/>
      </c>
      <c r="X831" s="327" t="str">
        <f t="shared" si="203"/>
        <v/>
      </c>
      <c r="Y831" s="327" t="str">
        <f t="shared" si="204"/>
        <v/>
      </c>
      <c r="Z831" s="428" t="str">
        <f t="shared" si="205"/>
        <v/>
      </c>
    </row>
    <row r="832" spans="1:26" x14ac:dyDescent="0.35">
      <c r="A832" s="265"/>
      <c r="B832" s="266"/>
      <c r="C832" s="262"/>
      <c r="D832" s="262"/>
      <c r="E832" s="262"/>
      <c r="F832" s="262"/>
      <c r="G832" s="320"/>
      <c r="H832" s="262"/>
      <c r="I832" s="320"/>
      <c r="J832" s="320"/>
      <c r="K832" s="262"/>
      <c r="L832" s="262"/>
      <c r="M832" s="327" t="str">
        <f t="shared" si="192"/>
        <v/>
      </c>
      <c r="N832" s="327" t="str">
        <f t="shared" si="193"/>
        <v/>
      </c>
      <c r="O832" s="327" t="str">
        <f t="shared" si="194"/>
        <v/>
      </c>
      <c r="P832" s="327" t="str">
        <f t="shared" si="195"/>
        <v/>
      </c>
      <c r="Q832" s="327" t="str">
        <f t="shared" si="196"/>
        <v/>
      </c>
      <c r="R832" s="327" t="str">
        <f t="shared" si="197"/>
        <v/>
      </c>
      <c r="S832" s="421" t="str">
        <f t="shared" si="198"/>
        <v/>
      </c>
      <c r="T832" s="327" t="str">
        <f t="shared" si="199"/>
        <v/>
      </c>
      <c r="U832" s="327" t="str">
        <f t="shared" si="200"/>
        <v/>
      </c>
      <c r="V832" s="327" t="str">
        <f t="shared" si="201"/>
        <v/>
      </c>
      <c r="W832" s="327" t="str">
        <f t="shared" si="202"/>
        <v/>
      </c>
      <c r="X832" s="327" t="str">
        <f t="shared" si="203"/>
        <v/>
      </c>
      <c r="Y832" s="327" t="str">
        <f t="shared" si="204"/>
        <v/>
      </c>
      <c r="Z832" s="428" t="str">
        <f t="shared" si="205"/>
        <v/>
      </c>
    </row>
    <row r="833" spans="1:26" x14ac:dyDescent="0.35">
      <c r="A833" s="265"/>
      <c r="B833" s="266"/>
      <c r="C833" s="262"/>
      <c r="D833" s="262"/>
      <c r="E833" s="262"/>
      <c r="F833" s="262"/>
      <c r="G833" s="320"/>
      <c r="H833" s="262"/>
      <c r="I833" s="320"/>
      <c r="J833" s="320"/>
      <c r="K833" s="262"/>
      <c r="L833" s="262"/>
      <c r="M833" s="327" t="str">
        <f t="shared" si="192"/>
        <v/>
      </c>
      <c r="N833" s="327" t="str">
        <f t="shared" si="193"/>
        <v/>
      </c>
      <c r="O833" s="327" t="str">
        <f t="shared" si="194"/>
        <v/>
      </c>
      <c r="P833" s="327" t="str">
        <f t="shared" si="195"/>
        <v/>
      </c>
      <c r="Q833" s="327" t="str">
        <f t="shared" si="196"/>
        <v/>
      </c>
      <c r="R833" s="327" t="str">
        <f t="shared" si="197"/>
        <v/>
      </c>
      <c r="S833" s="421" t="str">
        <f t="shared" si="198"/>
        <v/>
      </c>
      <c r="T833" s="327" t="str">
        <f t="shared" si="199"/>
        <v/>
      </c>
      <c r="U833" s="327" t="str">
        <f t="shared" si="200"/>
        <v/>
      </c>
      <c r="V833" s="327" t="str">
        <f t="shared" si="201"/>
        <v/>
      </c>
      <c r="W833" s="327" t="str">
        <f t="shared" si="202"/>
        <v/>
      </c>
      <c r="X833" s="327" t="str">
        <f t="shared" si="203"/>
        <v/>
      </c>
      <c r="Y833" s="327" t="str">
        <f t="shared" si="204"/>
        <v/>
      </c>
      <c r="Z833" s="428" t="str">
        <f t="shared" si="205"/>
        <v/>
      </c>
    </row>
    <row r="834" spans="1:26" x14ac:dyDescent="0.35">
      <c r="A834" s="265"/>
      <c r="B834" s="266"/>
      <c r="C834" s="262"/>
      <c r="D834" s="262"/>
      <c r="E834" s="262"/>
      <c r="F834" s="262"/>
      <c r="G834" s="320"/>
      <c r="H834" s="262"/>
      <c r="I834" s="320"/>
      <c r="J834" s="320"/>
      <c r="K834" s="262"/>
      <c r="L834" s="262"/>
      <c r="M834" s="327" t="str">
        <f t="shared" si="192"/>
        <v/>
      </c>
      <c r="N834" s="327" t="str">
        <f t="shared" si="193"/>
        <v/>
      </c>
      <c r="O834" s="327" t="str">
        <f t="shared" si="194"/>
        <v/>
      </c>
      <c r="P834" s="327" t="str">
        <f t="shared" si="195"/>
        <v/>
      </c>
      <c r="Q834" s="327" t="str">
        <f t="shared" si="196"/>
        <v/>
      </c>
      <c r="R834" s="327" t="str">
        <f t="shared" si="197"/>
        <v/>
      </c>
      <c r="S834" s="421" t="str">
        <f t="shared" si="198"/>
        <v/>
      </c>
      <c r="T834" s="327" t="str">
        <f t="shared" si="199"/>
        <v/>
      </c>
      <c r="U834" s="327" t="str">
        <f t="shared" si="200"/>
        <v/>
      </c>
      <c r="V834" s="327" t="str">
        <f t="shared" si="201"/>
        <v/>
      </c>
      <c r="W834" s="327" t="str">
        <f t="shared" si="202"/>
        <v/>
      </c>
      <c r="X834" s="327" t="str">
        <f t="shared" si="203"/>
        <v/>
      </c>
      <c r="Y834" s="327" t="str">
        <f t="shared" si="204"/>
        <v/>
      </c>
      <c r="Z834" s="428" t="str">
        <f t="shared" si="205"/>
        <v/>
      </c>
    </row>
    <row r="835" spans="1:26" x14ac:dyDescent="0.35">
      <c r="A835" s="265"/>
      <c r="B835" s="266"/>
      <c r="C835" s="262"/>
      <c r="D835" s="262"/>
      <c r="E835" s="262"/>
      <c r="F835" s="262"/>
      <c r="G835" s="320"/>
      <c r="H835" s="262"/>
      <c r="I835" s="320"/>
      <c r="J835" s="320"/>
      <c r="K835" s="262"/>
      <c r="L835" s="262"/>
      <c r="M835" s="327" t="str">
        <f t="shared" si="192"/>
        <v/>
      </c>
      <c r="N835" s="327" t="str">
        <f t="shared" si="193"/>
        <v/>
      </c>
      <c r="O835" s="327" t="str">
        <f t="shared" si="194"/>
        <v/>
      </c>
      <c r="P835" s="327" t="str">
        <f t="shared" si="195"/>
        <v/>
      </c>
      <c r="Q835" s="327" t="str">
        <f t="shared" si="196"/>
        <v/>
      </c>
      <c r="R835" s="327" t="str">
        <f t="shared" si="197"/>
        <v/>
      </c>
      <c r="S835" s="421" t="str">
        <f t="shared" si="198"/>
        <v/>
      </c>
      <c r="T835" s="327" t="str">
        <f t="shared" si="199"/>
        <v/>
      </c>
      <c r="U835" s="327" t="str">
        <f t="shared" si="200"/>
        <v/>
      </c>
      <c r="V835" s="327" t="str">
        <f t="shared" si="201"/>
        <v/>
      </c>
      <c r="W835" s="327" t="str">
        <f t="shared" si="202"/>
        <v/>
      </c>
      <c r="X835" s="327" t="str">
        <f t="shared" si="203"/>
        <v/>
      </c>
      <c r="Y835" s="327" t="str">
        <f t="shared" si="204"/>
        <v/>
      </c>
      <c r="Z835" s="428" t="str">
        <f t="shared" si="205"/>
        <v/>
      </c>
    </row>
    <row r="836" spans="1:26" x14ac:dyDescent="0.35">
      <c r="A836" s="265"/>
      <c r="B836" s="266"/>
      <c r="C836" s="262"/>
      <c r="D836" s="262"/>
      <c r="E836" s="262"/>
      <c r="F836" s="262"/>
      <c r="G836" s="320"/>
      <c r="H836" s="262"/>
      <c r="I836" s="320"/>
      <c r="J836" s="320"/>
      <c r="K836" s="262"/>
      <c r="L836" s="262"/>
      <c r="M836" s="327" t="str">
        <f t="shared" si="192"/>
        <v/>
      </c>
      <c r="N836" s="327" t="str">
        <f t="shared" si="193"/>
        <v/>
      </c>
      <c r="O836" s="327" t="str">
        <f t="shared" si="194"/>
        <v/>
      </c>
      <c r="P836" s="327" t="str">
        <f t="shared" si="195"/>
        <v/>
      </c>
      <c r="Q836" s="327" t="str">
        <f t="shared" si="196"/>
        <v/>
      </c>
      <c r="R836" s="327" t="str">
        <f t="shared" si="197"/>
        <v/>
      </c>
      <c r="S836" s="421" t="str">
        <f t="shared" si="198"/>
        <v/>
      </c>
      <c r="T836" s="327" t="str">
        <f t="shared" si="199"/>
        <v/>
      </c>
      <c r="U836" s="327" t="str">
        <f t="shared" si="200"/>
        <v/>
      </c>
      <c r="V836" s="327" t="str">
        <f t="shared" si="201"/>
        <v/>
      </c>
      <c r="W836" s="327" t="str">
        <f t="shared" si="202"/>
        <v/>
      </c>
      <c r="X836" s="327" t="str">
        <f t="shared" si="203"/>
        <v/>
      </c>
      <c r="Y836" s="327" t="str">
        <f t="shared" si="204"/>
        <v/>
      </c>
      <c r="Z836" s="428" t="str">
        <f t="shared" si="205"/>
        <v/>
      </c>
    </row>
    <row r="837" spans="1:26" x14ac:dyDescent="0.35">
      <c r="A837" s="265"/>
      <c r="B837" s="266"/>
      <c r="C837" s="262"/>
      <c r="D837" s="262"/>
      <c r="E837" s="262"/>
      <c r="F837" s="262"/>
      <c r="G837" s="320"/>
      <c r="H837" s="262"/>
      <c r="I837" s="320"/>
      <c r="J837" s="320"/>
      <c r="K837" s="262"/>
      <c r="L837" s="262"/>
      <c r="M837" s="327" t="str">
        <f t="shared" si="192"/>
        <v/>
      </c>
      <c r="N837" s="327" t="str">
        <f t="shared" si="193"/>
        <v/>
      </c>
      <c r="O837" s="327" t="str">
        <f t="shared" si="194"/>
        <v/>
      </c>
      <c r="P837" s="327" t="str">
        <f t="shared" si="195"/>
        <v/>
      </c>
      <c r="Q837" s="327" t="str">
        <f t="shared" si="196"/>
        <v/>
      </c>
      <c r="R837" s="327" t="str">
        <f t="shared" si="197"/>
        <v/>
      </c>
      <c r="S837" s="421" t="str">
        <f t="shared" si="198"/>
        <v/>
      </c>
      <c r="T837" s="327" t="str">
        <f t="shared" si="199"/>
        <v/>
      </c>
      <c r="U837" s="327" t="str">
        <f t="shared" si="200"/>
        <v/>
      </c>
      <c r="V837" s="327" t="str">
        <f t="shared" si="201"/>
        <v/>
      </c>
      <c r="W837" s="327" t="str">
        <f t="shared" si="202"/>
        <v/>
      </c>
      <c r="X837" s="327" t="str">
        <f t="shared" si="203"/>
        <v/>
      </c>
      <c r="Y837" s="327" t="str">
        <f t="shared" si="204"/>
        <v/>
      </c>
      <c r="Z837" s="428" t="str">
        <f t="shared" si="205"/>
        <v/>
      </c>
    </row>
    <row r="838" spans="1:26" x14ac:dyDescent="0.35">
      <c r="A838" s="265"/>
      <c r="B838" s="266"/>
      <c r="C838" s="262"/>
      <c r="D838" s="262"/>
      <c r="E838" s="262"/>
      <c r="F838" s="262"/>
      <c r="G838" s="320"/>
      <c r="H838" s="262"/>
      <c r="I838" s="320"/>
      <c r="J838" s="320"/>
      <c r="K838" s="262"/>
      <c r="L838" s="262"/>
      <c r="M838" s="327" t="str">
        <f t="shared" si="192"/>
        <v/>
      </c>
      <c r="N838" s="327" t="str">
        <f t="shared" si="193"/>
        <v/>
      </c>
      <c r="O838" s="327" t="str">
        <f t="shared" si="194"/>
        <v/>
      </c>
      <c r="P838" s="327" t="str">
        <f t="shared" si="195"/>
        <v/>
      </c>
      <c r="Q838" s="327" t="str">
        <f t="shared" si="196"/>
        <v/>
      </c>
      <c r="R838" s="327" t="str">
        <f t="shared" si="197"/>
        <v/>
      </c>
      <c r="S838" s="421" t="str">
        <f t="shared" si="198"/>
        <v/>
      </c>
      <c r="T838" s="327" t="str">
        <f t="shared" si="199"/>
        <v/>
      </c>
      <c r="U838" s="327" t="str">
        <f t="shared" si="200"/>
        <v/>
      </c>
      <c r="V838" s="327" t="str">
        <f t="shared" si="201"/>
        <v/>
      </c>
      <c r="W838" s="327" t="str">
        <f t="shared" si="202"/>
        <v/>
      </c>
      <c r="X838" s="327" t="str">
        <f t="shared" si="203"/>
        <v/>
      </c>
      <c r="Y838" s="327" t="str">
        <f t="shared" si="204"/>
        <v/>
      </c>
      <c r="Z838" s="428" t="str">
        <f t="shared" si="205"/>
        <v/>
      </c>
    </row>
    <row r="839" spans="1:26" x14ac:dyDescent="0.35">
      <c r="A839" s="265"/>
      <c r="B839" s="266"/>
      <c r="C839" s="262"/>
      <c r="D839" s="262"/>
      <c r="E839" s="262"/>
      <c r="F839" s="262"/>
      <c r="G839" s="320"/>
      <c r="H839" s="262"/>
      <c r="I839" s="320"/>
      <c r="J839" s="320"/>
      <c r="K839" s="262"/>
      <c r="L839" s="262"/>
      <c r="M839" s="327" t="str">
        <f t="shared" si="192"/>
        <v/>
      </c>
      <c r="N839" s="327" t="str">
        <f t="shared" si="193"/>
        <v/>
      </c>
      <c r="O839" s="327" t="str">
        <f t="shared" si="194"/>
        <v/>
      </c>
      <c r="P839" s="327" t="str">
        <f t="shared" si="195"/>
        <v/>
      </c>
      <c r="Q839" s="327" t="str">
        <f t="shared" si="196"/>
        <v/>
      </c>
      <c r="R839" s="327" t="str">
        <f t="shared" si="197"/>
        <v/>
      </c>
      <c r="S839" s="421" t="str">
        <f t="shared" si="198"/>
        <v/>
      </c>
      <c r="T839" s="327" t="str">
        <f t="shared" si="199"/>
        <v/>
      </c>
      <c r="U839" s="327" t="str">
        <f t="shared" si="200"/>
        <v/>
      </c>
      <c r="V839" s="327" t="str">
        <f t="shared" si="201"/>
        <v/>
      </c>
      <c r="W839" s="327" t="str">
        <f t="shared" si="202"/>
        <v/>
      </c>
      <c r="X839" s="327" t="str">
        <f t="shared" si="203"/>
        <v/>
      </c>
      <c r="Y839" s="327" t="str">
        <f t="shared" si="204"/>
        <v/>
      </c>
      <c r="Z839" s="428" t="str">
        <f t="shared" si="205"/>
        <v/>
      </c>
    </row>
    <row r="840" spans="1:26" x14ac:dyDescent="0.35">
      <c r="A840" s="265"/>
      <c r="B840" s="266"/>
      <c r="C840" s="262"/>
      <c r="D840" s="262"/>
      <c r="E840" s="262"/>
      <c r="F840" s="262"/>
      <c r="G840" s="320"/>
      <c r="H840" s="262"/>
      <c r="I840" s="320"/>
      <c r="J840" s="320"/>
      <c r="K840" s="262"/>
      <c r="L840" s="262"/>
      <c r="M840" s="327" t="str">
        <f t="shared" si="192"/>
        <v/>
      </c>
      <c r="N840" s="327" t="str">
        <f t="shared" si="193"/>
        <v/>
      </c>
      <c r="O840" s="327" t="str">
        <f t="shared" si="194"/>
        <v/>
      </c>
      <c r="P840" s="327" t="str">
        <f t="shared" si="195"/>
        <v/>
      </c>
      <c r="Q840" s="327" t="str">
        <f t="shared" si="196"/>
        <v/>
      </c>
      <c r="R840" s="327" t="str">
        <f t="shared" si="197"/>
        <v/>
      </c>
      <c r="S840" s="421" t="str">
        <f t="shared" si="198"/>
        <v/>
      </c>
      <c r="T840" s="327" t="str">
        <f t="shared" si="199"/>
        <v/>
      </c>
      <c r="U840" s="327" t="str">
        <f t="shared" si="200"/>
        <v/>
      </c>
      <c r="V840" s="327" t="str">
        <f t="shared" si="201"/>
        <v/>
      </c>
      <c r="W840" s="327" t="str">
        <f t="shared" si="202"/>
        <v/>
      </c>
      <c r="X840" s="327" t="str">
        <f t="shared" si="203"/>
        <v/>
      </c>
      <c r="Y840" s="327" t="str">
        <f t="shared" si="204"/>
        <v/>
      </c>
      <c r="Z840" s="428" t="str">
        <f t="shared" si="205"/>
        <v/>
      </c>
    </row>
    <row r="841" spans="1:26" x14ac:dyDescent="0.35">
      <c r="A841" s="265"/>
      <c r="B841" s="266"/>
      <c r="C841" s="262"/>
      <c r="D841" s="262"/>
      <c r="E841" s="262"/>
      <c r="F841" s="262"/>
      <c r="G841" s="320"/>
      <c r="H841" s="262"/>
      <c r="I841" s="320"/>
      <c r="J841" s="320"/>
      <c r="K841" s="262"/>
      <c r="L841" s="262"/>
      <c r="M841" s="327" t="str">
        <f t="shared" si="192"/>
        <v/>
      </c>
      <c r="N841" s="327" t="str">
        <f t="shared" si="193"/>
        <v/>
      </c>
      <c r="O841" s="327" t="str">
        <f t="shared" si="194"/>
        <v/>
      </c>
      <c r="P841" s="327" t="str">
        <f t="shared" si="195"/>
        <v/>
      </c>
      <c r="Q841" s="327" t="str">
        <f t="shared" si="196"/>
        <v/>
      </c>
      <c r="R841" s="327" t="str">
        <f t="shared" si="197"/>
        <v/>
      </c>
      <c r="S841" s="421" t="str">
        <f t="shared" si="198"/>
        <v/>
      </c>
      <c r="T841" s="327" t="str">
        <f t="shared" si="199"/>
        <v/>
      </c>
      <c r="U841" s="327" t="str">
        <f t="shared" si="200"/>
        <v/>
      </c>
      <c r="V841" s="327" t="str">
        <f t="shared" si="201"/>
        <v/>
      </c>
      <c r="W841" s="327" t="str">
        <f t="shared" si="202"/>
        <v/>
      </c>
      <c r="X841" s="327" t="str">
        <f t="shared" si="203"/>
        <v/>
      </c>
      <c r="Y841" s="327" t="str">
        <f t="shared" si="204"/>
        <v/>
      </c>
      <c r="Z841" s="428" t="str">
        <f t="shared" si="205"/>
        <v/>
      </c>
    </row>
    <row r="842" spans="1:26" x14ac:dyDescent="0.35">
      <c r="A842" s="265"/>
      <c r="B842" s="266"/>
      <c r="C842" s="262"/>
      <c r="D842" s="262"/>
      <c r="E842" s="262"/>
      <c r="F842" s="262"/>
      <c r="G842" s="320"/>
      <c r="H842" s="262"/>
      <c r="I842" s="320"/>
      <c r="J842" s="320"/>
      <c r="K842" s="262"/>
      <c r="L842" s="262"/>
      <c r="M842" s="327" t="str">
        <f t="shared" si="192"/>
        <v/>
      </c>
      <c r="N842" s="327" t="str">
        <f t="shared" si="193"/>
        <v/>
      </c>
      <c r="O842" s="327" t="str">
        <f t="shared" si="194"/>
        <v/>
      </c>
      <c r="P842" s="327" t="str">
        <f t="shared" si="195"/>
        <v/>
      </c>
      <c r="Q842" s="327" t="str">
        <f t="shared" si="196"/>
        <v/>
      </c>
      <c r="R842" s="327" t="str">
        <f t="shared" si="197"/>
        <v/>
      </c>
      <c r="S842" s="421" t="str">
        <f t="shared" si="198"/>
        <v/>
      </c>
      <c r="T842" s="327" t="str">
        <f t="shared" si="199"/>
        <v/>
      </c>
      <c r="U842" s="327" t="str">
        <f t="shared" si="200"/>
        <v/>
      </c>
      <c r="V842" s="327" t="str">
        <f t="shared" si="201"/>
        <v/>
      </c>
      <c r="W842" s="327" t="str">
        <f t="shared" si="202"/>
        <v/>
      </c>
      <c r="X842" s="327" t="str">
        <f t="shared" si="203"/>
        <v/>
      </c>
      <c r="Y842" s="327" t="str">
        <f t="shared" si="204"/>
        <v/>
      </c>
      <c r="Z842" s="428" t="str">
        <f t="shared" si="205"/>
        <v/>
      </c>
    </row>
    <row r="843" spans="1:26" x14ac:dyDescent="0.35">
      <c r="A843" s="265"/>
      <c r="B843" s="266"/>
      <c r="C843" s="262"/>
      <c r="D843" s="262"/>
      <c r="E843" s="262"/>
      <c r="F843" s="262"/>
      <c r="G843" s="320"/>
      <c r="H843" s="262"/>
      <c r="I843" s="320"/>
      <c r="J843" s="320"/>
      <c r="K843" s="262"/>
      <c r="L843" s="262"/>
      <c r="M843" s="327" t="str">
        <f t="shared" si="192"/>
        <v/>
      </c>
      <c r="N843" s="327" t="str">
        <f t="shared" si="193"/>
        <v/>
      </c>
      <c r="O843" s="327" t="str">
        <f t="shared" si="194"/>
        <v/>
      </c>
      <c r="P843" s="327" t="str">
        <f t="shared" si="195"/>
        <v/>
      </c>
      <c r="Q843" s="327" t="str">
        <f t="shared" si="196"/>
        <v/>
      </c>
      <c r="R843" s="327" t="str">
        <f t="shared" si="197"/>
        <v/>
      </c>
      <c r="S843" s="421" t="str">
        <f t="shared" si="198"/>
        <v/>
      </c>
      <c r="T843" s="327" t="str">
        <f t="shared" si="199"/>
        <v/>
      </c>
      <c r="U843" s="327" t="str">
        <f t="shared" si="200"/>
        <v/>
      </c>
      <c r="V843" s="327" t="str">
        <f t="shared" si="201"/>
        <v/>
      </c>
      <c r="W843" s="327" t="str">
        <f t="shared" si="202"/>
        <v/>
      </c>
      <c r="X843" s="327" t="str">
        <f t="shared" si="203"/>
        <v/>
      </c>
      <c r="Y843" s="327" t="str">
        <f t="shared" si="204"/>
        <v/>
      </c>
      <c r="Z843" s="428" t="str">
        <f t="shared" si="205"/>
        <v/>
      </c>
    </row>
    <row r="844" spans="1:26" x14ac:dyDescent="0.35">
      <c r="A844" s="265"/>
      <c r="B844" s="266"/>
      <c r="C844" s="262"/>
      <c r="D844" s="262"/>
      <c r="E844" s="262"/>
      <c r="F844" s="262"/>
      <c r="G844" s="320"/>
      <c r="H844" s="262"/>
      <c r="I844" s="320"/>
      <c r="J844" s="320"/>
      <c r="K844" s="262"/>
      <c r="L844" s="262"/>
      <c r="M844" s="327" t="str">
        <f t="shared" si="192"/>
        <v/>
      </c>
      <c r="N844" s="327" t="str">
        <f t="shared" si="193"/>
        <v/>
      </c>
      <c r="O844" s="327" t="str">
        <f t="shared" si="194"/>
        <v/>
      </c>
      <c r="P844" s="327" t="str">
        <f t="shared" si="195"/>
        <v/>
      </c>
      <c r="Q844" s="327" t="str">
        <f t="shared" si="196"/>
        <v/>
      </c>
      <c r="R844" s="327" t="str">
        <f t="shared" si="197"/>
        <v/>
      </c>
      <c r="S844" s="421" t="str">
        <f t="shared" si="198"/>
        <v/>
      </c>
      <c r="T844" s="327" t="str">
        <f t="shared" si="199"/>
        <v/>
      </c>
      <c r="U844" s="327" t="str">
        <f t="shared" si="200"/>
        <v/>
      </c>
      <c r="V844" s="327" t="str">
        <f t="shared" si="201"/>
        <v/>
      </c>
      <c r="W844" s="327" t="str">
        <f t="shared" si="202"/>
        <v/>
      </c>
      <c r="X844" s="327" t="str">
        <f t="shared" si="203"/>
        <v/>
      </c>
      <c r="Y844" s="327" t="str">
        <f t="shared" si="204"/>
        <v/>
      </c>
      <c r="Z844" s="428" t="str">
        <f t="shared" si="205"/>
        <v/>
      </c>
    </row>
    <row r="845" spans="1:26" x14ac:dyDescent="0.35">
      <c r="A845" s="265"/>
      <c r="B845" s="266"/>
      <c r="C845" s="262"/>
      <c r="D845" s="262"/>
      <c r="E845" s="262"/>
      <c r="F845" s="262"/>
      <c r="G845" s="320"/>
      <c r="H845" s="262"/>
      <c r="I845" s="320"/>
      <c r="J845" s="320"/>
      <c r="K845" s="262"/>
      <c r="L845" s="262"/>
      <c r="M845" s="327" t="str">
        <f t="shared" si="192"/>
        <v/>
      </c>
      <c r="N845" s="327" t="str">
        <f t="shared" si="193"/>
        <v/>
      </c>
      <c r="O845" s="327" t="str">
        <f t="shared" si="194"/>
        <v/>
      </c>
      <c r="P845" s="327" t="str">
        <f t="shared" si="195"/>
        <v/>
      </c>
      <c r="Q845" s="327" t="str">
        <f t="shared" si="196"/>
        <v/>
      </c>
      <c r="R845" s="327" t="str">
        <f t="shared" si="197"/>
        <v/>
      </c>
      <c r="S845" s="421" t="str">
        <f t="shared" si="198"/>
        <v/>
      </c>
      <c r="T845" s="327" t="str">
        <f t="shared" si="199"/>
        <v/>
      </c>
      <c r="U845" s="327" t="str">
        <f t="shared" si="200"/>
        <v/>
      </c>
      <c r="V845" s="327" t="str">
        <f t="shared" si="201"/>
        <v/>
      </c>
      <c r="W845" s="327" t="str">
        <f t="shared" si="202"/>
        <v/>
      </c>
      <c r="X845" s="327" t="str">
        <f t="shared" si="203"/>
        <v/>
      </c>
      <c r="Y845" s="327" t="str">
        <f t="shared" si="204"/>
        <v/>
      </c>
      <c r="Z845" s="428" t="str">
        <f t="shared" si="205"/>
        <v/>
      </c>
    </row>
    <row r="846" spans="1:26" x14ac:dyDescent="0.35">
      <c r="A846" s="265"/>
      <c r="B846" s="266"/>
      <c r="C846" s="262"/>
      <c r="D846" s="262"/>
      <c r="E846" s="262"/>
      <c r="F846" s="262"/>
      <c r="G846" s="320"/>
      <c r="H846" s="262"/>
      <c r="I846" s="320"/>
      <c r="J846" s="320"/>
      <c r="K846" s="262"/>
      <c r="L846" s="262"/>
      <c r="M846" s="327" t="str">
        <f t="shared" si="192"/>
        <v/>
      </c>
      <c r="N846" s="327" t="str">
        <f t="shared" si="193"/>
        <v/>
      </c>
      <c r="O846" s="327" t="str">
        <f t="shared" si="194"/>
        <v/>
      </c>
      <c r="P846" s="327" t="str">
        <f t="shared" si="195"/>
        <v/>
      </c>
      <c r="Q846" s="327" t="str">
        <f t="shared" si="196"/>
        <v/>
      </c>
      <c r="R846" s="327" t="str">
        <f t="shared" si="197"/>
        <v/>
      </c>
      <c r="S846" s="421" t="str">
        <f t="shared" si="198"/>
        <v/>
      </c>
      <c r="T846" s="327" t="str">
        <f t="shared" si="199"/>
        <v/>
      </c>
      <c r="U846" s="327" t="str">
        <f t="shared" si="200"/>
        <v/>
      </c>
      <c r="V846" s="327" t="str">
        <f t="shared" si="201"/>
        <v/>
      </c>
      <c r="W846" s="327" t="str">
        <f t="shared" si="202"/>
        <v/>
      </c>
      <c r="X846" s="327" t="str">
        <f t="shared" si="203"/>
        <v/>
      </c>
      <c r="Y846" s="327" t="str">
        <f t="shared" si="204"/>
        <v/>
      </c>
      <c r="Z846" s="428" t="str">
        <f t="shared" si="205"/>
        <v/>
      </c>
    </row>
    <row r="847" spans="1:26" x14ac:dyDescent="0.35">
      <c r="A847" s="265"/>
      <c r="B847" s="266"/>
      <c r="C847" s="262"/>
      <c r="D847" s="262"/>
      <c r="E847" s="262"/>
      <c r="F847" s="262"/>
      <c r="G847" s="320"/>
      <c r="H847" s="262"/>
      <c r="I847" s="320"/>
      <c r="J847" s="320"/>
      <c r="K847" s="262"/>
      <c r="L847" s="262"/>
      <c r="M847" s="327" t="str">
        <f t="shared" si="192"/>
        <v/>
      </c>
      <c r="N847" s="327" t="str">
        <f t="shared" si="193"/>
        <v/>
      </c>
      <c r="O847" s="327" t="str">
        <f t="shared" si="194"/>
        <v/>
      </c>
      <c r="P847" s="327" t="str">
        <f t="shared" si="195"/>
        <v/>
      </c>
      <c r="Q847" s="327" t="str">
        <f t="shared" si="196"/>
        <v/>
      </c>
      <c r="R847" s="327" t="str">
        <f t="shared" si="197"/>
        <v/>
      </c>
      <c r="S847" s="421" t="str">
        <f t="shared" si="198"/>
        <v/>
      </c>
      <c r="T847" s="327" t="str">
        <f t="shared" si="199"/>
        <v/>
      </c>
      <c r="U847" s="327" t="str">
        <f t="shared" si="200"/>
        <v/>
      </c>
      <c r="V847" s="327" t="str">
        <f t="shared" si="201"/>
        <v/>
      </c>
      <c r="W847" s="327" t="str">
        <f t="shared" si="202"/>
        <v/>
      </c>
      <c r="X847" s="327" t="str">
        <f t="shared" si="203"/>
        <v/>
      </c>
      <c r="Y847" s="327" t="str">
        <f t="shared" si="204"/>
        <v/>
      </c>
      <c r="Z847" s="428" t="str">
        <f t="shared" si="205"/>
        <v/>
      </c>
    </row>
    <row r="848" spans="1:26" x14ac:dyDescent="0.35">
      <c r="A848" s="265"/>
      <c r="B848" s="266"/>
      <c r="C848" s="262"/>
      <c r="D848" s="262"/>
      <c r="E848" s="262"/>
      <c r="F848" s="262"/>
      <c r="G848" s="320"/>
      <c r="H848" s="262"/>
      <c r="I848" s="320"/>
      <c r="J848" s="320"/>
      <c r="K848" s="262"/>
      <c r="L848" s="262"/>
      <c r="M848" s="327" t="str">
        <f t="shared" si="192"/>
        <v/>
      </c>
      <c r="N848" s="327" t="str">
        <f t="shared" si="193"/>
        <v/>
      </c>
      <c r="O848" s="327" t="str">
        <f t="shared" si="194"/>
        <v/>
      </c>
      <c r="P848" s="327" t="str">
        <f t="shared" si="195"/>
        <v/>
      </c>
      <c r="Q848" s="327" t="str">
        <f t="shared" si="196"/>
        <v/>
      </c>
      <c r="R848" s="327" t="str">
        <f t="shared" si="197"/>
        <v/>
      </c>
      <c r="S848" s="421" t="str">
        <f t="shared" si="198"/>
        <v/>
      </c>
      <c r="T848" s="327" t="str">
        <f t="shared" si="199"/>
        <v/>
      </c>
      <c r="U848" s="327" t="str">
        <f t="shared" si="200"/>
        <v/>
      </c>
      <c r="V848" s="327" t="str">
        <f t="shared" si="201"/>
        <v/>
      </c>
      <c r="W848" s="327" t="str">
        <f t="shared" si="202"/>
        <v/>
      </c>
      <c r="X848" s="327" t="str">
        <f t="shared" si="203"/>
        <v/>
      </c>
      <c r="Y848" s="327" t="str">
        <f t="shared" si="204"/>
        <v/>
      </c>
      <c r="Z848" s="428" t="str">
        <f t="shared" si="205"/>
        <v/>
      </c>
    </row>
    <row r="849" spans="1:26" x14ac:dyDescent="0.35">
      <c r="A849" s="265"/>
      <c r="B849" s="266"/>
      <c r="C849" s="262"/>
      <c r="D849" s="262"/>
      <c r="E849" s="262"/>
      <c r="F849" s="262"/>
      <c r="G849" s="320"/>
      <c r="H849" s="262"/>
      <c r="I849" s="320"/>
      <c r="J849" s="320"/>
      <c r="K849" s="262"/>
      <c r="L849" s="262"/>
      <c r="M849" s="327" t="str">
        <f t="shared" si="192"/>
        <v/>
      </c>
      <c r="N849" s="327" t="str">
        <f t="shared" si="193"/>
        <v/>
      </c>
      <c r="O849" s="327" t="str">
        <f t="shared" si="194"/>
        <v/>
      </c>
      <c r="P849" s="327" t="str">
        <f t="shared" si="195"/>
        <v/>
      </c>
      <c r="Q849" s="327" t="str">
        <f t="shared" si="196"/>
        <v/>
      </c>
      <c r="R849" s="327" t="str">
        <f t="shared" si="197"/>
        <v/>
      </c>
      <c r="S849" s="421" t="str">
        <f t="shared" si="198"/>
        <v/>
      </c>
      <c r="T849" s="327" t="str">
        <f t="shared" si="199"/>
        <v/>
      </c>
      <c r="U849" s="327" t="str">
        <f t="shared" si="200"/>
        <v/>
      </c>
      <c r="V849" s="327" t="str">
        <f t="shared" si="201"/>
        <v/>
      </c>
      <c r="W849" s="327" t="str">
        <f t="shared" si="202"/>
        <v/>
      </c>
      <c r="X849" s="327" t="str">
        <f t="shared" si="203"/>
        <v/>
      </c>
      <c r="Y849" s="327" t="str">
        <f t="shared" si="204"/>
        <v/>
      </c>
      <c r="Z849" s="428" t="str">
        <f t="shared" si="205"/>
        <v/>
      </c>
    </row>
    <row r="850" spans="1:26" x14ac:dyDescent="0.35">
      <c r="A850" s="265"/>
      <c r="B850" s="266"/>
      <c r="C850" s="262"/>
      <c r="D850" s="262"/>
      <c r="E850" s="262"/>
      <c r="F850" s="262"/>
      <c r="G850" s="320"/>
      <c r="H850" s="262"/>
      <c r="I850" s="320"/>
      <c r="J850" s="320"/>
      <c r="K850" s="262"/>
      <c r="L850" s="262"/>
      <c r="M850" s="327" t="str">
        <f t="shared" si="192"/>
        <v/>
      </c>
      <c r="N850" s="327" t="str">
        <f t="shared" si="193"/>
        <v/>
      </c>
      <c r="O850" s="327" t="str">
        <f t="shared" si="194"/>
        <v/>
      </c>
      <c r="P850" s="327" t="str">
        <f t="shared" si="195"/>
        <v/>
      </c>
      <c r="Q850" s="327" t="str">
        <f t="shared" si="196"/>
        <v/>
      </c>
      <c r="R850" s="327" t="str">
        <f t="shared" si="197"/>
        <v/>
      </c>
      <c r="S850" s="421" t="str">
        <f t="shared" si="198"/>
        <v/>
      </c>
      <c r="T850" s="327" t="str">
        <f t="shared" si="199"/>
        <v/>
      </c>
      <c r="U850" s="327" t="str">
        <f t="shared" si="200"/>
        <v/>
      </c>
      <c r="V850" s="327" t="str">
        <f t="shared" si="201"/>
        <v/>
      </c>
      <c r="W850" s="327" t="str">
        <f t="shared" si="202"/>
        <v/>
      </c>
      <c r="X850" s="327" t="str">
        <f t="shared" si="203"/>
        <v/>
      </c>
      <c r="Y850" s="327" t="str">
        <f t="shared" si="204"/>
        <v/>
      </c>
      <c r="Z850" s="428" t="str">
        <f t="shared" si="205"/>
        <v/>
      </c>
    </row>
    <row r="851" spans="1:26" x14ac:dyDescent="0.35">
      <c r="A851" s="265"/>
      <c r="B851" s="266"/>
      <c r="C851" s="262"/>
      <c r="D851" s="262"/>
      <c r="E851" s="262"/>
      <c r="F851" s="262"/>
      <c r="G851" s="320"/>
      <c r="H851" s="262"/>
      <c r="I851" s="320"/>
      <c r="J851" s="320"/>
      <c r="K851" s="262"/>
      <c r="L851" s="262"/>
      <c r="M851" s="327" t="str">
        <f t="shared" si="192"/>
        <v/>
      </c>
      <c r="N851" s="327" t="str">
        <f t="shared" si="193"/>
        <v/>
      </c>
      <c r="O851" s="327" t="str">
        <f t="shared" si="194"/>
        <v/>
      </c>
      <c r="P851" s="327" t="str">
        <f t="shared" si="195"/>
        <v/>
      </c>
      <c r="Q851" s="327" t="str">
        <f t="shared" si="196"/>
        <v/>
      </c>
      <c r="R851" s="327" t="str">
        <f t="shared" si="197"/>
        <v/>
      </c>
      <c r="S851" s="421" t="str">
        <f t="shared" si="198"/>
        <v/>
      </c>
      <c r="T851" s="327" t="str">
        <f t="shared" si="199"/>
        <v/>
      </c>
      <c r="U851" s="327" t="str">
        <f t="shared" si="200"/>
        <v/>
      </c>
      <c r="V851" s="327" t="str">
        <f t="shared" si="201"/>
        <v/>
      </c>
      <c r="W851" s="327" t="str">
        <f t="shared" si="202"/>
        <v/>
      </c>
      <c r="X851" s="327" t="str">
        <f t="shared" si="203"/>
        <v/>
      </c>
      <c r="Y851" s="327" t="str">
        <f t="shared" si="204"/>
        <v/>
      </c>
      <c r="Z851" s="428" t="str">
        <f t="shared" si="205"/>
        <v/>
      </c>
    </row>
    <row r="852" spans="1:26" x14ac:dyDescent="0.35">
      <c r="A852" s="265"/>
      <c r="B852" s="266"/>
      <c r="C852" s="262"/>
      <c r="D852" s="262"/>
      <c r="E852" s="262"/>
      <c r="F852" s="262"/>
      <c r="G852" s="320"/>
      <c r="H852" s="262"/>
      <c r="I852" s="320"/>
      <c r="J852" s="320"/>
      <c r="K852" s="262"/>
      <c r="L852" s="262"/>
      <c r="M852" s="327" t="str">
        <f t="shared" si="192"/>
        <v/>
      </c>
      <c r="N852" s="327" t="str">
        <f t="shared" si="193"/>
        <v/>
      </c>
      <c r="O852" s="327" t="str">
        <f t="shared" si="194"/>
        <v/>
      </c>
      <c r="P852" s="327" t="str">
        <f t="shared" si="195"/>
        <v/>
      </c>
      <c r="Q852" s="327" t="str">
        <f t="shared" si="196"/>
        <v/>
      </c>
      <c r="R852" s="327" t="str">
        <f t="shared" si="197"/>
        <v/>
      </c>
      <c r="S852" s="421" t="str">
        <f t="shared" si="198"/>
        <v/>
      </c>
      <c r="T852" s="327" t="str">
        <f t="shared" si="199"/>
        <v/>
      </c>
      <c r="U852" s="327" t="str">
        <f t="shared" si="200"/>
        <v/>
      </c>
      <c r="V852" s="327" t="str">
        <f t="shared" si="201"/>
        <v/>
      </c>
      <c r="W852" s="327" t="str">
        <f t="shared" si="202"/>
        <v/>
      </c>
      <c r="X852" s="327" t="str">
        <f t="shared" si="203"/>
        <v/>
      </c>
      <c r="Y852" s="327" t="str">
        <f t="shared" si="204"/>
        <v/>
      </c>
      <c r="Z852" s="428" t="str">
        <f t="shared" si="205"/>
        <v/>
      </c>
    </row>
    <row r="853" spans="1:26" x14ac:dyDescent="0.35">
      <c r="A853" s="265"/>
      <c r="B853" s="266"/>
      <c r="C853" s="262"/>
      <c r="D853" s="262"/>
      <c r="E853" s="262"/>
      <c r="F853" s="262"/>
      <c r="G853" s="320"/>
      <c r="H853" s="262"/>
      <c r="I853" s="320"/>
      <c r="J853" s="320"/>
      <c r="K853" s="262"/>
      <c r="L853" s="262"/>
      <c r="M853" s="327" t="str">
        <f t="shared" si="192"/>
        <v/>
      </c>
      <c r="N853" s="327" t="str">
        <f t="shared" si="193"/>
        <v/>
      </c>
      <c r="O853" s="327" t="str">
        <f t="shared" si="194"/>
        <v/>
      </c>
      <c r="P853" s="327" t="str">
        <f t="shared" si="195"/>
        <v/>
      </c>
      <c r="Q853" s="327" t="str">
        <f t="shared" si="196"/>
        <v/>
      </c>
      <c r="R853" s="327" t="str">
        <f t="shared" si="197"/>
        <v/>
      </c>
      <c r="S853" s="421" t="str">
        <f t="shared" si="198"/>
        <v/>
      </c>
      <c r="T853" s="327" t="str">
        <f t="shared" si="199"/>
        <v/>
      </c>
      <c r="U853" s="327" t="str">
        <f t="shared" si="200"/>
        <v/>
      </c>
      <c r="V853" s="327" t="str">
        <f t="shared" si="201"/>
        <v/>
      </c>
      <c r="W853" s="327" t="str">
        <f t="shared" si="202"/>
        <v/>
      </c>
      <c r="X853" s="327" t="str">
        <f t="shared" si="203"/>
        <v/>
      </c>
      <c r="Y853" s="327" t="str">
        <f t="shared" si="204"/>
        <v/>
      </c>
      <c r="Z853" s="428" t="str">
        <f t="shared" si="205"/>
        <v/>
      </c>
    </row>
    <row r="854" spans="1:26" x14ac:dyDescent="0.35">
      <c r="A854" s="265"/>
      <c r="B854" s="266"/>
      <c r="C854" s="262"/>
      <c r="D854" s="262"/>
      <c r="E854" s="262"/>
      <c r="F854" s="262"/>
      <c r="G854" s="320"/>
      <c r="H854" s="262"/>
      <c r="I854" s="320"/>
      <c r="J854" s="320"/>
      <c r="K854" s="262"/>
      <c r="L854" s="262"/>
      <c r="M854" s="327" t="str">
        <f t="shared" si="192"/>
        <v/>
      </c>
      <c r="N854" s="327" t="str">
        <f t="shared" si="193"/>
        <v/>
      </c>
      <c r="O854" s="327" t="str">
        <f t="shared" si="194"/>
        <v/>
      </c>
      <c r="P854" s="327" t="str">
        <f t="shared" si="195"/>
        <v/>
      </c>
      <c r="Q854" s="327" t="str">
        <f t="shared" si="196"/>
        <v/>
      </c>
      <c r="R854" s="327" t="str">
        <f t="shared" si="197"/>
        <v/>
      </c>
      <c r="S854" s="421" t="str">
        <f t="shared" si="198"/>
        <v/>
      </c>
      <c r="T854" s="327" t="str">
        <f t="shared" si="199"/>
        <v/>
      </c>
      <c r="U854" s="327" t="str">
        <f t="shared" si="200"/>
        <v/>
      </c>
      <c r="V854" s="327" t="str">
        <f t="shared" si="201"/>
        <v/>
      </c>
      <c r="W854" s="327" t="str">
        <f t="shared" si="202"/>
        <v/>
      </c>
      <c r="X854" s="327" t="str">
        <f t="shared" si="203"/>
        <v/>
      </c>
      <c r="Y854" s="327" t="str">
        <f t="shared" si="204"/>
        <v/>
      </c>
      <c r="Z854" s="428" t="str">
        <f t="shared" si="205"/>
        <v/>
      </c>
    </row>
    <row r="855" spans="1:26" x14ac:dyDescent="0.35">
      <c r="A855" s="265"/>
      <c r="B855" s="266"/>
      <c r="C855" s="262"/>
      <c r="D855" s="262"/>
      <c r="E855" s="262"/>
      <c r="F855" s="262"/>
      <c r="G855" s="320"/>
      <c r="H855" s="262"/>
      <c r="I855" s="320"/>
      <c r="J855" s="320"/>
      <c r="K855" s="262"/>
      <c r="L855" s="262"/>
      <c r="M855" s="327" t="str">
        <f t="shared" si="192"/>
        <v/>
      </c>
      <c r="N855" s="327" t="str">
        <f t="shared" si="193"/>
        <v/>
      </c>
      <c r="O855" s="327" t="str">
        <f t="shared" si="194"/>
        <v/>
      </c>
      <c r="P855" s="327" t="str">
        <f t="shared" si="195"/>
        <v/>
      </c>
      <c r="Q855" s="327" t="str">
        <f t="shared" si="196"/>
        <v/>
      </c>
      <c r="R855" s="327" t="str">
        <f t="shared" si="197"/>
        <v/>
      </c>
      <c r="S855" s="421" t="str">
        <f t="shared" si="198"/>
        <v/>
      </c>
      <c r="T855" s="327" t="str">
        <f t="shared" si="199"/>
        <v/>
      </c>
      <c r="U855" s="327" t="str">
        <f t="shared" si="200"/>
        <v/>
      </c>
      <c r="V855" s="327" t="str">
        <f t="shared" si="201"/>
        <v/>
      </c>
      <c r="W855" s="327" t="str">
        <f t="shared" si="202"/>
        <v/>
      </c>
      <c r="X855" s="327" t="str">
        <f t="shared" si="203"/>
        <v/>
      </c>
      <c r="Y855" s="327" t="str">
        <f t="shared" si="204"/>
        <v/>
      </c>
      <c r="Z855" s="428" t="str">
        <f t="shared" si="205"/>
        <v/>
      </c>
    </row>
    <row r="856" spans="1:26" x14ac:dyDescent="0.35">
      <c r="A856" s="265"/>
      <c r="B856" s="266"/>
      <c r="C856" s="262"/>
      <c r="D856" s="262"/>
      <c r="E856" s="262"/>
      <c r="F856" s="262"/>
      <c r="G856" s="320"/>
      <c r="H856" s="262"/>
      <c r="I856" s="320"/>
      <c r="J856" s="320"/>
      <c r="K856" s="262"/>
      <c r="L856" s="262"/>
      <c r="M856" s="327" t="str">
        <f t="shared" si="192"/>
        <v/>
      </c>
      <c r="N856" s="327" t="str">
        <f t="shared" si="193"/>
        <v/>
      </c>
      <c r="O856" s="327" t="str">
        <f t="shared" si="194"/>
        <v/>
      </c>
      <c r="P856" s="327" t="str">
        <f t="shared" si="195"/>
        <v/>
      </c>
      <c r="Q856" s="327" t="str">
        <f t="shared" si="196"/>
        <v/>
      </c>
      <c r="R856" s="327" t="str">
        <f t="shared" si="197"/>
        <v/>
      </c>
      <c r="S856" s="421" t="str">
        <f t="shared" si="198"/>
        <v/>
      </c>
      <c r="T856" s="327" t="str">
        <f t="shared" si="199"/>
        <v/>
      </c>
      <c r="U856" s="327" t="str">
        <f t="shared" si="200"/>
        <v/>
      </c>
      <c r="V856" s="327" t="str">
        <f t="shared" si="201"/>
        <v/>
      </c>
      <c r="W856" s="327" t="str">
        <f t="shared" si="202"/>
        <v/>
      </c>
      <c r="X856" s="327" t="str">
        <f t="shared" si="203"/>
        <v/>
      </c>
      <c r="Y856" s="327" t="str">
        <f t="shared" si="204"/>
        <v/>
      </c>
      <c r="Z856" s="428" t="str">
        <f t="shared" si="205"/>
        <v/>
      </c>
    </row>
    <row r="857" spans="1:26" x14ac:dyDescent="0.35">
      <c r="A857" s="265"/>
      <c r="B857" s="266"/>
      <c r="C857" s="262"/>
      <c r="D857" s="262"/>
      <c r="E857" s="262"/>
      <c r="F857" s="262"/>
      <c r="G857" s="320"/>
      <c r="H857" s="262"/>
      <c r="I857" s="320"/>
      <c r="J857" s="320"/>
      <c r="K857" s="262"/>
      <c r="L857" s="262"/>
      <c r="M857" s="327" t="str">
        <f t="shared" si="192"/>
        <v/>
      </c>
      <c r="N857" s="327" t="str">
        <f t="shared" si="193"/>
        <v/>
      </c>
      <c r="O857" s="327" t="str">
        <f t="shared" si="194"/>
        <v/>
      </c>
      <c r="P857" s="327" t="str">
        <f t="shared" si="195"/>
        <v/>
      </c>
      <c r="Q857" s="327" t="str">
        <f t="shared" si="196"/>
        <v/>
      </c>
      <c r="R857" s="327" t="str">
        <f t="shared" si="197"/>
        <v/>
      </c>
      <c r="S857" s="421" t="str">
        <f t="shared" si="198"/>
        <v/>
      </c>
      <c r="T857" s="327" t="str">
        <f t="shared" si="199"/>
        <v/>
      </c>
      <c r="U857" s="327" t="str">
        <f t="shared" si="200"/>
        <v/>
      </c>
      <c r="V857" s="327" t="str">
        <f t="shared" si="201"/>
        <v/>
      </c>
      <c r="W857" s="327" t="str">
        <f t="shared" si="202"/>
        <v/>
      </c>
      <c r="X857" s="327" t="str">
        <f t="shared" si="203"/>
        <v/>
      </c>
      <c r="Y857" s="327" t="str">
        <f t="shared" si="204"/>
        <v/>
      </c>
      <c r="Z857" s="428" t="str">
        <f t="shared" si="205"/>
        <v/>
      </c>
    </row>
    <row r="858" spans="1:26" x14ac:dyDescent="0.35">
      <c r="A858" s="265"/>
      <c r="B858" s="266"/>
      <c r="C858" s="262"/>
      <c r="D858" s="262"/>
      <c r="E858" s="262"/>
      <c r="F858" s="262"/>
      <c r="G858" s="320"/>
      <c r="H858" s="262"/>
      <c r="I858" s="320"/>
      <c r="J858" s="320"/>
      <c r="K858" s="262"/>
      <c r="L858" s="262"/>
      <c r="M858" s="327" t="str">
        <f t="shared" si="192"/>
        <v/>
      </c>
      <c r="N858" s="327" t="str">
        <f t="shared" si="193"/>
        <v/>
      </c>
      <c r="O858" s="327" t="str">
        <f t="shared" si="194"/>
        <v/>
      </c>
      <c r="P858" s="327" t="str">
        <f t="shared" si="195"/>
        <v/>
      </c>
      <c r="Q858" s="327" t="str">
        <f t="shared" si="196"/>
        <v/>
      </c>
      <c r="R858" s="327" t="str">
        <f t="shared" si="197"/>
        <v/>
      </c>
      <c r="S858" s="421" t="str">
        <f t="shared" si="198"/>
        <v/>
      </c>
      <c r="T858" s="327" t="str">
        <f t="shared" si="199"/>
        <v/>
      </c>
      <c r="U858" s="327" t="str">
        <f t="shared" si="200"/>
        <v/>
      </c>
      <c r="V858" s="327" t="str">
        <f t="shared" si="201"/>
        <v/>
      </c>
      <c r="W858" s="327" t="str">
        <f t="shared" si="202"/>
        <v/>
      </c>
      <c r="X858" s="327" t="str">
        <f t="shared" si="203"/>
        <v/>
      </c>
      <c r="Y858" s="327" t="str">
        <f t="shared" si="204"/>
        <v/>
      </c>
      <c r="Z858" s="428" t="str">
        <f t="shared" si="205"/>
        <v/>
      </c>
    </row>
    <row r="859" spans="1:26" x14ac:dyDescent="0.35">
      <c r="A859" s="265"/>
      <c r="B859" s="266"/>
      <c r="C859" s="262"/>
      <c r="D859" s="262"/>
      <c r="E859" s="262"/>
      <c r="F859" s="262"/>
      <c r="G859" s="320"/>
      <c r="H859" s="262"/>
      <c r="I859" s="320"/>
      <c r="J859" s="320"/>
      <c r="K859" s="262"/>
      <c r="L859" s="262"/>
      <c r="M859" s="327" t="str">
        <f t="shared" si="192"/>
        <v/>
      </c>
      <c r="N859" s="327" t="str">
        <f t="shared" si="193"/>
        <v/>
      </c>
      <c r="O859" s="327" t="str">
        <f t="shared" si="194"/>
        <v/>
      </c>
      <c r="P859" s="327" t="str">
        <f t="shared" si="195"/>
        <v/>
      </c>
      <c r="Q859" s="327" t="str">
        <f t="shared" si="196"/>
        <v/>
      </c>
      <c r="R859" s="327" t="str">
        <f t="shared" si="197"/>
        <v/>
      </c>
      <c r="S859" s="421" t="str">
        <f t="shared" si="198"/>
        <v/>
      </c>
      <c r="T859" s="327" t="str">
        <f t="shared" si="199"/>
        <v/>
      </c>
      <c r="U859" s="327" t="str">
        <f t="shared" si="200"/>
        <v/>
      </c>
      <c r="V859" s="327" t="str">
        <f t="shared" si="201"/>
        <v/>
      </c>
      <c r="W859" s="327" t="str">
        <f t="shared" si="202"/>
        <v/>
      </c>
      <c r="X859" s="327" t="str">
        <f t="shared" si="203"/>
        <v/>
      </c>
      <c r="Y859" s="327" t="str">
        <f t="shared" si="204"/>
        <v/>
      </c>
      <c r="Z859" s="428" t="str">
        <f t="shared" si="205"/>
        <v/>
      </c>
    </row>
    <row r="860" spans="1:26" x14ac:dyDescent="0.35">
      <c r="A860" s="265"/>
      <c r="B860" s="266"/>
      <c r="C860" s="262"/>
      <c r="D860" s="262"/>
      <c r="E860" s="262"/>
      <c r="F860" s="262"/>
      <c r="G860" s="320"/>
      <c r="H860" s="262"/>
      <c r="I860" s="320"/>
      <c r="J860" s="320"/>
      <c r="K860" s="262"/>
      <c r="L860" s="262"/>
      <c r="M860" s="327" t="str">
        <f t="shared" si="192"/>
        <v/>
      </c>
      <c r="N860" s="327" t="str">
        <f t="shared" si="193"/>
        <v/>
      </c>
      <c r="O860" s="327" t="str">
        <f t="shared" si="194"/>
        <v/>
      </c>
      <c r="P860" s="327" t="str">
        <f t="shared" si="195"/>
        <v/>
      </c>
      <c r="Q860" s="327" t="str">
        <f t="shared" si="196"/>
        <v/>
      </c>
      <c r="R860" s="327" t="str">
        <f t="shared" si="197"/>
        <v/>
      </c>
      <c r="S860" s="421" t="str">
        <f t="shared" si="198"/>
        <v/>
      </c>
      <c r="T860" s="327" t="str">
        <f t="shared" si="199"/>
        <v/>
      </c>
      <c r="U860" s="327" t="str">
        <f t="shared" si="200"/>
        <v/>
      </c>
      <c r="V860" s="327" t="str">
        <f t="shared" si="201"/>
        <v/>
      </c>
      <c r="W860" s="327" t="str">
        <f t="shared" si="202"/>
        <v/>
      </c>
      <c r="X860" s="327" t="str">
        <f t="shared" si="203"/>
        <v/>
      </c>
      <c r="Y860" s="327" t="str">
        <f t="shared" si="204"/>
        <v/>
      </c>
      <c r="Z860" s="428" t="str">
        <f t="shared" si="205"/>
        <v/>
      </c>
    </row>
    <row r="861" spans="1:26" x14ac:dyDescent="0.35">
      <c r="A861" s="265"/>
      <c r="B861" s="266"/>
      <c r="C861" s="262"/>
      <c r="D861" s="262"/>
      <c r="E861" s="262"/>
      <c r="F861" s="262"/>
      <c r="G861" s="320"/>
      <c r="H861" s="262"/>
      <c r="I861" s="320"/>
      <c r="J861" s="320"/>
      <c r="K861" s="262"/>
      <c r="L861" s="262"/>
      <c r="M861" s="327" t="str">
        <f t="shared" si="192"/>
        <v/>
      </c>
      <c r="N861" s="327" t="str">
        <f t="shared" si="193"/>
        <v/>
      </c>
      <c r="O861" s="327" t="str">
        <f t="shared" si="194"/>
        <v/>
      </c>
      <c r="P861" s="327" t="str">
        <f t="shared" si="195"/>
        <v/>
      </c>
      <c r="Q861" s="327" t="str">
        <f t="shared" si="196"/>
        <v/>
      </c>
      <c r="R861" s="327" t="str">
        <f t="shared" si="197"/>
        <v/>
      </c>
      <c r="S861" s="421" t="str">
        <f t="shared" si="198"/>
        <v/>
      </c>
      <c r="T861" s="327" t="str">
        <f t="shared" si="199"/>
        <v/>
      </c>
      <c r="U861" s="327" t="str">
        <f t="shared" si="200"/>
        <v/>
      </c>
      <c r="V861" s="327" t="str">
        <f t="shared" si="201"/>
        <v/>
      </c>
      <c r="W861" s="327" t="str">
        <f t="shared" si="202"/>
        <v/>
      </c>
      <c r="X861" s="327" t="str">
        <f t="shared" si="203"/>
        <v/>
      </c>
      <c r="Y861" s="327" t="str">
        <f t="shared" si="204"/>
        <v/>
      </c>
      <c r="Z861" s="428" t="str">
        <f t="shared" si="205"/>
        <v/>
      </c>
    </row>
    <row r="862" spans="1:26" x14ac:dyDescent="0.35">
      <c r="A862" s="265"/>
      <c r="B862" s="266"/>
      <c r="C862" s="262"/>
      <c r="D862" s="262"/>
      <c r="E862" s="262"/>
      <c r="F862" s="262"/>
      <c r="G862" s="320"/>
      <c r="H862" s="262"/>
      <c r="I862" s="320"/>
      <c r="J862" s="320"/>
      <c r="K862" s="262"/>
      <c r="L862" s="262"/>
      <c r="M862" s="327" t="str">
        <f t="shared" si="192"/>
        <v/>
      </c>
      <c r="N862" s="327" t="str">
        <f t="shared" si="193"/>
        <v/>
      </c>
      <c r="O862" s="327" t="str">
        <f t="shared" si="194"/>
        <v/>
      </c>
      <c r="P862" s="327" t="str">
        <f t="shared" si="195"/>
        <v/>
      </c>
      <c r="Q862" s="327" t="str">
        <f t="shared" si="196"/>
        <v/>
      </c>
      <c r="R862" s="327" t="str">
        <f t="shared" si="197"/>
        <v/>
      </c>
      <c r="S862" s="421" t="str">
        <f t="shared" si="198"/>
        <v/>
      </c>
      <c r="T862" s="327" t="str">
        <f t="shared" si="199"/>
        <v/>
      </c>
      <c r="U862" s="327" t="str">
        <f t="shared" si="200"/>
        <v/>
      </c>
      <c r="V862" s="327" t="str">
        <f t="shared" si="201"/>
        <v/>
      </c>
      <c r="W862" s="327" t="str">
        <f t="shared" si="202"/>
        <v/>
      </c>
      <c r="X862" s="327" t="str">
        <f t="shared" si="203"/>
        <v/>
      </c>
      <c r="Y862" s="327" t="str">
        <f t="shared" si="204"/>
        <v/>
      </c>
      <c r="Z862" s="428" t="str">
        <f t="shared" si="205"/>
        <v/>
      </c>
    </row>
    <row r="863" spans="1:26" x14ac:dyDescent="0.35">
      <c r="A863" s="265"/>
      <c r="B863" s="266"/>
      <c r="C863" s="262"/>
      <c r="D863" s="262"/>
      <c r="E863" s="262"/>
      <c r="F863" s="262"/>
      <c r="G863" s="320"/>
      <c r="H863" s="262"/>
      <c r="I863" s="320"/>
      <c r="J863" s="320"/>
      <c r="K863" s="262"/>
      <c r="L863" s="262"/>
      <c r="M863" s="327" t="str">
        <f t="shared" si="192"/>
        <v/>
      </c>
      <c r="N863" s="327" t="str">
        <f t="shared" si="193"/>
        <v/>
      </c>
      <c r="O863" s="327" t="str">
        <f t="shared" si="194"/>
        <v/>
      </c>
      <c r="P863" s="327" t="str">
        <f t="shared" si="195"/>
        <v/>
      </c>
      <c r="Q863" s="327" t="str">
        <f t="shared" si="196"/>
        <v/>
      </c>
      <c r="R863" s="327" t="str">
        <f t="shared" si="197"/>
        <v/>
      </c>
      <c r="S863" s="421" t="str">
        <f t="shared" si="198"/>
        <v/>
      </c>
      <c r="T863" s="327" t="str">
        <f t="shared" si="199"/>
        <v/>
      </c>
      <c r="U863" s="327" t="str">
        <f t="shared" si="200"/>
        <v/>
      </c>
      <c r="V863" s="327" t="str">
        <f t="shared" si="201"/>
        <v/>
      </c>
      <c r="W863" s="327" t="str">
        <f t="shared" si="202"/>
        <v/>
      </c>
      <c r="X863" s="327" t="str">
        <f t="shared" si="203"/>
        <v/>
      </c>
      <c r="Y863" s="327" t="str">
        <f t="shared" si="204"/>
        <v/>
      </c>
      <c r="Z863" s="428" t="str">
        <f t="shared" si="205"/>
        <v/>
      </c>
    </row>
    <row r="864" spans="1:26" x14ac:dyDescent="0.35">
      <c r="A864" s="265"/>
      <c r="B864" s="266"/>
      <c r="C864" s="262"/>
      <c r="D864" s="262"/>
      <c r="E864" s="262"/>
      <c r="F864" s="262"/>
      <c r="G864" s="320"/>
      <c r="H864" s="262"/>
      <c r="I864" s="320"/>
      <c r="J864" s="320"/>
      <c r="K864" s="262"/>
      <c r="L864" s="262"/>
      <c r="M864" s="327" t="str">
        <f t="shared" si="192"/>
        <v/>
      </c>
      <c r="N864" s="327" t="str">
        <f t="shared" si="193"/>
        <v/>
      </c>
      <c r="O864" s="327" t="str">
        <f t="shared" si="194"/>
        <v/>
      </c>
      <c r="P864" s="327" t="str">
        <f t="shared" si="195"/>
        <v/>
      </c>
      <c r="Q864" s="327" t="str">
        <f t="shared" si="196"/>
        <v/>
      </c>
      <c r="R864" s="327" t="str">
        <f t="shared" si="197"/>
        <v/>
      </c>
      <c r="S864" s="421" t="str">
        <f t="shared" si="198"/>
        <v/>
      </c>
      <c r="T864" s="327" t="str">
        <f t="shared" si="199"/>
        <v/>
      </c>
      <c r="U864" s="327" t="str">
        <f t="shared" si="200"/>
        <v/>
      </c>
      <c r="V864" s="327" t="str">
        <f t="shared" si="201"/>
        <v/>
      </c>
      <c r="W864" s="327" t="str">
        <f t="shared" si="202"/>
        <v/>
      </c>
      <c r="X864" s="327" t="str">
        <f t="shared" si="203"/>
        <v/>
      </c>
      <c r="Y864" s="327" t="str">
        <f t="shared" si="204"/>
        <v/>
      </c>
      <c r="Z864" s="428" t="str">
        <f t="shared" si="205"/>
        <v/>
      </c>
    </row>
    <row r="865" spans="1:26" x14ac:dyDescent="0.35">
      <c r="A865" s="265"/>
      <c r="B865" s="266"/>
      <c r="C865" s="262"/>
      <c r="D865" s="262"/>
      <c r="E865" s="262"/>
      <c r="F865" s="262"/>
      <c r="G865" s="320"/>
      <c r="H865" s="262"/>
      <c r="I865" s="320"/>
      <c r="J865" s="320"/>
      <c r="K865" s="262"/>
      <c r="L865" s="262"/>
      <c r="M865" s="327" t="str">
        <f t="shared" si="192"/>
        <v/>
      </c>
      <c r="N865" s="327" t="str">
        <f t="shared" si="193"/>
        <v/>
      </c>
      <c r="O865" s="327" t="str">
        <f t="shared" si="194"/>
        <v/>
      </c>
      <c r="P865" s="327" t="str">
        <f t="shared" si="195"/>
        <v/>
      </c>
      <c r="Q865" s="327" t="str">
        <f t="shared" si="196"/>
        <v/>
      </c>
      <c r="R865" s="327" t="str">
        <f t="shared" si="197"/>
        <v/>
      </c>
      <c r="S865" s="421" t="str">
        <f t="shared" si="198"/>
        <v/>
      </c>
      <c r="T865" s="327" t="str">
        <f t="shared" si="199"/>
        <v/>
      </c>
      <c r="U865" s="327" t="str">
        <f t="shared" si="200"/>
        <v/>
      </c>
      <c r="V865" s="327" t="str">
        <f t="shared" si="201"/>
        <v/>
      </c>
      <c r="W865" s="327" t="str">
        <f t="shared" si="202"/>
        <v/>
      </c>
      <c r="X865" s="327" t="str">
        <f t="shared" si="203"/>
        <v/>
      </c>
      <c r="Y865" s="327" t="str">
        <f t="shared" si="204"/>
        <v/>
      </c>
      <c r="Z865" s="428" t="str">
        <f t="shared" si="205"/>
        <v/>
      </c>
    </row>
    <row r="866" spans="1:26" x14ac:dyDescent="0.35">
      <c r="A866" s="265"/>
      <c r="B866" s="266"/>
      <c r="C866" s="262"/>
      <c r="D866" s="262"/>
      <c r="E866" s="262"/>
      <c r="F866" s="262"/>
      <c r="G866" s="320"/>
      <c r="H866" s="262"/>
      <c r="I866" s="320"/>
      <c r="J866" s="320"/>
      <c r="K866" s="262"/>
      <c r="L866" s="262"/>
      <c r="M866" s="327" t="str">
        <f t="shared" si="192"/>
        <v/>
      </c>
      <c r="N866" s="327" t="str">
        <f t="shared" si="193"/>
        <v/>
      </c>
      <c r="O866" s="327" t="str">
        <f t="shared" si="194"/>
        <v/>
      </c>
      <c r="P866" s="327" t="str">
        <f t="shared" si="195"/>
        <v/>
      </c>
      <c r="Q866" s="327" t="str">
        <f t="shared" si="196"/>
        <v/>
      </c>
      <c r="R866" s="327" t="str">
        <f t="shared" si="197"/>
        <v/>
      </c>
      <c r="S866" s="421" t="str">
        <f t="shared" si="198"/>
        <v/>
      </c>
      <c r="T866" s="327" t="str">
        <f t="shared" si="199"/>
        <v/>
      </c>
      <c r="U866" s="327" t="str">
        <f t="shared" si="200"/>
        <v/>
      </c>
      <c r="V866" s="327" t="str">
        <f t="shared" si="201"/>
        <v/>
      </c>
      <c r="W866" s="327" t="str">
        <f t="shared" si="202"/>
        <v/>
      </c>
      <c r="X866" s="327" t="str">
        <f t="shared" si="203"/>
        <v/>
      </c>
      <c r="Y866" s="327" t="str">
        <f t="shared" si="204"/>
        <v/>
      </c>
      <c r="Z866" s="428" t="str">
        <f t="shared" si="205"/>
        <v/>
      </c>
    </row>
    <row r="867" spans="1:26" x14ac:dyDescent="0.35">
      <c r="A867" s="265"/>
      <c r="B867" s="266"/>
      <c r="C867" s="262"/>
      <c r="D867" s="262"/>
      <c r="E867" s="262"/>
      <c r="F867" s="262"/>
      <c r="G867" s="320"/>
      <c r="H867" s="262"/>
      <c r="I867" s="320"/>
      <c r="J867" s="320"/>
      <c r="K867" s="262"/>
      <c r="L867" s="262"/>
      <c r="M867" s="327" t="str">
        <f t="shared" si="192"/>
        <v/>
      </c>
      <c r="N867" s="327" t="str">
        <f t="shared" si="193"/>
        <v/>
      </c>
      <c r="O867" s="327" t="str">
        <f t="shared" si="194"/>
        <v/>
      </c>
      <c r="P867" s="327" t="str">
        <f t="shared" si="195"/>
        <v/>
      </c>
      <c r="Q867" s="327" t="str">
        <f t="shared" si="196"/>
        <v/>
      </c>
      <c r="R867" s="327" t="str">
        <f t="shared" si="197"/>
        <v/>
      </c>
      <c r="S867" s="421" t="str">
        <f t="shared" si="198"/>
        <v/>
      </c>
      <c r="T867" s="327" t="str">
        <f t="shared" si="199"/>
        <v/>
      </c>
      <c r="U867" s="327" t="str">
        <f t="shared" si="200"/>
        <v/>
      </c>
      <c r="V867" s="327" t="str">
        <f t="shared" si="201"/>
        <v/>
      </c>
      <c r="W867" s="327" t="str">
        <f t="shared" si="202"/>
        <v/>
      </c>
      <c r="X867" s="327" t="str">
        <f t="shared" si="203"/>
        <v/>
      </c>
      <c r="Y867" s="327" t="str">
        <f t="shared" si="204"/>
        <v/>
      </c>
      <c r="Z867" s="428" t="str">
        <f t="shared" si="205"/>
        <v/>
      </c>
    </row>
    <row r="868" spans="1:26" x14ac:dyDescent="0.35">
      <c r="A868" s="265"/>
      <c r="B868" s="266"/>
      <c r="C868" s="262"/>
      <c r="D868" s="262"/>
      <c r="E868" s="262"/>
      <c r="F868" s="262"/>
      <c r="G868" s="320"/>
      <c r="H868" s="262"/>
      <c r="I868" s="320"/>
      <c r="J868" s="320"/>
      <c r="K868" s="262"/>
      <c r="L868" s="262"/>
      <c r="M868" s="327" t="str">
        <f t="shared" si="192"/>
        <v/>
      </c>
      <c r="N868" s="327" t="str">
        <f t="shared" si="193"/>
        <v/>
      </c>
      <c r="O868" s="327" t="str">
        <f t="shared" si="194"/>
        <v/>
      </c>
      <c r="P868" s="327" t="str">
        <f t="shared" si="195"/>
        <v/>
      </c>
      <c r="Q868" s="327" t="str">
        <f t="shared" si="196"/>
        <v/>
      </c>
      <c r="R868" s="327" t="str">
        <f t="shared" si="197"/>
        <v/>
      </c>
      <c r="S868" s="421" t="str">
        <f t="shared" si="198"/>
        <v/>
      </c>
      <c r="T868" s="327" t="str">
        <f t="shared" si="199"/>
        <v/>
      </c>
      <c r="U868" s="327" t="str">
        <f t="shared" si="200"/>
        <v/>
      </c>
      <c r="V868" s="327" t="str">
        <f t="shared" si="201"/>
        <v/>
      </c>
      <c r="W868" s="327" t="str">
        <f t="shared" si="202"/>
        <v/>
      </c>
      <c r="X868" s="327" t="str">
        <f t="shared" si="203"/>
        <v/>
      </c>
      <c r="Y868" s="327" t="str">
        <f t="shared" si="204"/>
        <v/>
      </c>
      <c r="Z868" s="428" t="str">
        <f t="shared" si="205"/>
        <v/>
      </c>
    </row>
    <row r="869" spans="1:26" x14ac:dyDescent="0.35">
      <c r="A869" s="265"/>
      <c r="B869" s="266"/>
      <c r="C869" s="262"/>
      <c r="D869" s="262"/>
      <c r="E869" s="262"/>
      <c r="F869" s="262"/>
      <c r="G869" s="320"/>
      <c r="H869" s="262"/>
      <c r="I869" s="320"/>
      <c r="J869" s="320"/>
      <c r="K869" s="262"/>
      <c r="L869" s="262"/>
      <c r="M869" s="327" t="str">
        <f t="shared" si="192"/>
        <v/>
      </c>
      <c r="N869" s="327" t="str">
        <f t="shared" si="193"/>
        <v/>
      </c>
      <c r="O869" s="327" t="str">
        <f t="shared" si="194"/>
        <v/>
      </c>
      <c r="P869" s="327" t="str">
        <f t="shared" si="195"/>
        <v/>
      </c>
      <c r="Q869" s="327" t="str">
        <f t="shared" si="196"/>
        <v/>
      </c>
      <c r="R869" s="327" t="str">
        <f t="shared" si="197"/>
        <v/>
      </c>
      <c r="S869" s="421" t="str">
        <f t="shared" si="198"/>
        <v/>
      </c>
      <c r="T869" s="327" t="str">
        <f t="shared" si="199"/>
        <v/>
      </c>
      <c r="U869" s="327" t="str">
        <f t="shared" si="200"/>
        <v/>
      </c>
      <c r="V869" s="327" t="str">
        <f t="shared" si="201"/>
        <v/>
      </c>
      <c r="W869" s="327" t="str">
        <f t="shared" si="202"/>
        <v/>
      </c>
      <c r="X869" s="327" t="str">
        <f t="shared" si="203"/>
        <v/>
      </c>
      <c r="Y869" s="327" t="str">
        <f t="shared" si="204"/>
        <v/>
      </c>
      <c r="Z869" s="428" t="str">
        <f t="shared" si="205"/>
        <v/>
      </c>
    </row>
    <row r="870" spans="1:26" x14ac:dyDescent="0.35">
      <c r="A870" s="265"/>
      <c r="B870" s="266"/>
      <c r="C870" s="262"/>
      <c r="D870" s="262"/>
      <c r="E870" s="262"/>
      <c r="F870" s="262"/>
      <c r="G870" s="320"/>
      <c r="H870" s="262"/>
      <c r="I870" s="320"/>
      <c r="J870" s="320"/>
      <c r="K870" s="262"/>
      <c r="L870" s="262"/>
      <c r="M870" s="327" t="str">
        <f t="shared" si="192"/>
        <v/>
      </c>
      <c r="N870" s="327" t="str">
        <f t="shared" si="193"/>
        <v/>
      </c>
      <c r="O870" s="327" t="str">
        <f t="shared" si="194"/>
        <v/>
      </c>
      <c r="P870" s="327" t="str">
        <f t="shared" si="195"/>
        <v/>
      </c>
      <c r="Q870" s="327" t="str">
        <f t="shared" si="196"/>
        <v/>
      </c>
      <c r="R870" s="327" t="str">
        <f t="shared" si="197"/>
        <v/>
      </c>
      <c r="S870" s="421" t="str">
        <f t="shared" si="198"/>
        <v/>
      </c>
      <c r="T870" s="327" t="str">
        <f t="shared" si="199"/>
        <v/>
      </c>
      <c r="U870" s="327" t="str">
        <f t="shared" si="200"/>
        <v/>
      </c>
      <c r="V870" s="327" t="str">
        <f t="shared" si="201"/>
        <v/>
      </c>
      <c r="W870" s="327" t="str">
        <f t="shared" si="202"/>
        <v/>
      </c>
      <c r="X870" s="327" t="str">
        <f t="shared" si="203"/>
        <v/>
      </c>
      <c r="Y870" s="327" t="str">
        <f t="shared" si="204"/>
        <v/>
      </c>
      <c r="Z870" s="428" t="str">
        <f t="shared" si="205"/>
        <v/>
      </c>
    </row>
    <row r="871" spans="1:26" x14ac:dyDescent="0.35">
      <c r="A871" s="265"/>
      <c r="B871" s="266"/>
      <c r="C871" s="262"/>
      <c r="D871" s="262"/>
      <c r="E871" s="262"/>
      <c r="F871" s="262"/>
      <c r="G871" s="320"/>
      <c r="H871" s="262"/>
      <c r="I871" s="320"/>
      <c r="J871" s="320"/>
      <c r="K871" s="262"/>
      <c r="L871" s="262"/>
      <c r="M871" s="327" t="str">
        <f t="shared" si="192"/>
        <v/>
      </c>
      <c r="N871" s="327" t="str">
        <f t="shared" si="193"/>
        <v/>
      </c>
      <c r="O871" s="327" t="str">
        <f t="shared" si="194"/>
        <v/>
      </c>
      <c r="P871" s="327" t="str">
        <f t="shared" si="195"/>
        <v/>
      </c>
      <c r="Q871" s="327" t="str">
        <f t="shared" si="196"/>
        <v/>
      </c>
      <c r="R871" s="327" t="str">
        <f t="shared" si="197"/>
        <v/>
      </c>
      <c r="S871" s="421" t="str">
        <f t="shared" si="198"/>
        <v/>
      </c>
      <c r="T871" s="327" t="str">
        <f t="shared" si="199"/>
        <v/>
      </c>
      <c r="U871" s="327" t="str">
        <f t="shared" si="200"/>
        <v/>
      </c>
      <c r="V871" s="327" t="str">
        <f t="shared" si="201"/>
        <v/>
      </c>
      <c r="W871" s="327" t="str">
        <f t="shared" si="202"/>
        <v/>
      </c>
      <c r="X871" s="327" t="str">
        <f t="shared" si="203"/>
        <v/>
      </c>
      <c r="Y871" s="327" t="str">
        <f t="shared" si="204"/>
        <v/>
      </c>
      <c r="Z871" s="428" t="str">
        <f t="shared" si="205"/>
        <v/>
      </c>
    </row>
    <row r="872" spans="1:26" x14ac:dyDescent="0.35">
      <c r="A872" s="265"/>
      <c r="B872" s="266"/>
      <c r="C872" s="262"/>
      <c r="D872" s="262"/>
      <c r="E872" s="262"/>
      <c r="F872" s="262"/>
      <c r="G872" s="320"/>
      <c r="H872" s="262"/>
      <c r="I872" s="320"/>
      <c r="J872" s="320"/>
      <c r="K872" s="262"/>
      <c r="L872" s="262"/>
      <c r="M872" s="327" t="str">
        <f t="shared" si="192"/>
        <v/>
      </c>
      <c r="N872" s="327" t="str">
        <f t="shared" si="193"/>
        <v/>
      </c>
      <c r="O872" s="327" t="str">
        <f t="shared" si="194"/>
        <v/>
      </c>
      <c r="P872" s="327" t="str">
        <f t="shared" si="195"/>
        <v/>
      </c>
      <c r="Q872" s="327" t="str">
        <f t="shared" si="196"/>
        <v/>
      </c>
      <c r="R872" s="327" t="str">
        <f t="shared" si="197"/>
        <v/>
      </c>
      <c r="S872" s="421" t="str">
        <f t="shared" si="198"/>
        <v/>
      </c>
      <c r="T872" s="327" t="str">
        <f t="shared" si="199"/>
        <v/>
      </c>
      <c r="U872" s="327" t="str">
        <f t="shared" si="200"/>
        <v/>
      </c>
      <c r="V872" s="327" t="str">
        <f t="shared" si="201"/>
        <v/>
      </c>
      <c r="W872" s="327" t="str">
        <f t="shared" si="202"/>
        <v/>
      </c>
      <c r="X872" s="327" t="str">
        <f t="shared" si="203"/>
        <v/>
      </c>
      <c r="Y872" s="327" t="str">
        <f t="shared" si="204"/>
        <v/>
      </c>
      <c r="Z872" s="428" t="str">
        <f t="shared" si="205"/>
        <v/>
      </c>
    </row>
    <row r="873" spans="1:26" x14ac:dyDescent="0.35">
      <c r="A873" s="265"/>
      <c r="B873" s="266"/>
      <c r="C873" s="262"/>
      <c r="D873" s="262"/>
      <c r="E873" s="262"/>
      <c r="F873" s="262"/>
      <c r="G873" s="320"/>
      <c r="H873" s="262"/>
      <c r="I873" s="320"/>
      <c r="J873" s="320"/>
      <c r="K873" s="262"/>
      <c r="L873" s="262"/>
      <c r="M873" s="327" t="str">
        <f t="shared" si="192"/>
        <v/>
      </c>
      <c r="N873" s="327" t="str">
        <f t="shared" si="193"/>
        <v/>
      </c>
      <c r="O873" s="327" t="str">
        <f t="shared" si="194"/>
        <v/>
      </c>
      <c r="P873" s="327" t="str">
        <f t="shared" si="195"/>
        <v/>
      </c>
      <c r="Q873" s="327" t="str">
        <f t="shared" si="196"/>
        <v/>
      </c>
      <c r="R873" s="327" t="str">
        <f t="shared" si="197"/>
        <v/>
      </c>
      <c r="S873" s="421" t="str">
        <f t="shared" si="198"/>
        <v/>
      </c>
      <c r="T873" s="327" t="str">
        <f t="shared" si="199"/>
        <v/>
      </c>
      <c r="U873" s="327" t="str">
        <f t="shared" si="200"/>
        <v/>
      </c>
      <c r="V873" s="327" t="str">
        <f t="shared" si="201"/>
        <v/>
      </c>
      <c r="W873" s="327" t="str">
        <f t="shared" si="202"/>
        <v/>
      </c>
      <c r="X873" s="327" t="str">
        <f t="shared" si="203"/>
        <v/>
      </c>
      <c r="Y873" s="327" t="str">
        <f t="shared" si="204"/>
        <v/>
      </c>
      <c r="Z873" s="428" t="str">
        <f t="shared" si="205"/>
        <v/>
      </c>
    </row>
    <row r="874" spans="1:26" x14ac:dyDescent="0.35">
      <c r="A874" s="265"/>
      <c r="B874" s="266"/>
      <c r="C874" s="262"/>
      <c r="D874" s="262"/>
      <c r="E874" s="262"/>
      <c r="F874" s="262"/>
      <c r="G874" s="320"/>
      <c r="H874" s="262"/>
      <c r="I874" s="320"/>
      <c r="J874" s="320"/>
      <c r="K874" s="262"/>
      <c r="L874" s="262"/>
      <c r="M874" s="327" t="str">
        <f t="shared" si="192"/>
        <v/>
      </c>
      <c r="N874" s="327" t="str">
        <f t="shared" si="193"/>
        <v/>
      </c>
      <c r="O874" s="327" t="str">
        <f t="shared" si="194"/>
        <v/>
      </c>
      <c r="P874" s="327" t="str">
        <f t="shared" si="195"/>
        <v/>
      </c>
      <c r="Q874" s="327" t="str">
        <f t="shared" si="196"/>
        <v/>
      </c>
      <c r="R874" s="327" t="str">
        <f t="shared" si="197"/>
        <v/>
      </c>
      <c r="S874" s="421" t="str">
        <f t="shared" si="198"/>
        <v/>
      </c>
      <c r="T874" s="327" t="str">
        <f t="shared" si="199"/>
        <v/>
      </c>
      <c r="U874" s="327" t="str">
        <f t="shared" si="200"/>
        <v/>
      </c>
      <c r="V874" s="327" t="str">
        <f t="shared" si="201"/>
        <v/>
      </c>
      <c r="W874" s="327" t="str">
        <f t="shared" si="202"/>
        <v/>
      </c>
      <c r="X874" s="327" t="str">
        <f t="shared" si="203"/>
        <v/>
      </c>
      <c r="Y874" s="327" t="str">
        <f t="shared" si="204"/>
        <v/>
      </c>
      <c r="Z874" s="428" t="str">
        <f t="shared" si="205"/>
        <v/>
      </c>
    </row>
    <row r="875" spans="1:26" x14ac:dyDescent="0.35">
      <c r="A875" s="265"/>
      <c r="B875" s="266"/>
      <c r="C875" s="262"/>
      <c r="D875" s="262"/>
      <c r="E875" s="262"/>
      <c r="F875" s="262"/>
      <c r="G875" s="320"/>
      <c r="H875" s="262"/>
      <c r="I875" s="320"/>
      <c r="J875" s="320"/>
      <c r="K875" s="262"/>
      <c r="L875" s="262"/>
      <c r="M875" s="327" t="str">
        <f t="shared" ref="M875:M938" si="206">IF(OR(A875="", B875=""), "", IF(H875="Mitgliedsbeiträge", ABS(B875), ""))</f>
        <v/>
      </c>
      <c r="N875" s="327" t="str">
        <f t="shared" ref="N875:N938" si="207">IF(OR(A875="", B875=""), "", IF(H875="Spenden", ABS(B875), ""))</f>
        <v/>
      </c>
      <c r="O875" s="327" t="str">
        <f t="shared" ref="O875:O938" si="208">IF(OR(A875="", B875=""), "", IF(H875="Zuschüsse", ABS(B875), ""))</f>
        <v/>
      </c>
      <c r="P875" s="327" t="str">
        <f t="shared" ref="P875:P938" si="209">IF(OR(A875="", B875=""), "", IF(H875="Verwaltung", ABS(B875), ""))</f>
        <v/>
      </c>
      <c r="Q875" s="327" t="str">
        <f t="shared" ref="Q875:Q938" si="210">IF(OR(A875="", B875=""), "", IF(H875="Vermögen", ABS(B875), ""))</f>
        <v/>
      </c>
      <c r="R875" s="327" t="str">
        <f t="shared" ref="R875:R938" si="211">IF(OR(A875="", B875=""), "", IF(H875="Vermögen", ABS(B875), ""))</f>
        <v/>
      </c>
      <c r="S875" s="421" t="str">
        <f t="shared" ref="S875:S938" si="212">IF(OR(A875="", B875=""), "", IF(H875="Sonstige Einnahmen", ABS(B875), ""))</f>
        <v/>
      </c>
      <c r="T875" s="327" t="str">
        <f t="shared" ref="T875:T938" si="213">IF(OR(A875="", B875=""), "", IF(H875="Unterhaltung", ABS(B875), ""))</f>
        <v/>
      </c>
      <c r="U875" s="327" t="str">
        <f t="shared" ref="U875:U938" si="214">IF(OR(A875="", B875=""), "", IF(H875="Fortbildung", ABS(B875), ""))</f>
        <v/>
      </c>
      <c r="V875" s="327" t="str">
        <f t="shared" ref="V875:V938" si="215">IF(OR(A875="", B875=""), "", IF(H875="Veranstaltungen Ausgabe", ABS(B875), ""))</f>
        <v/>
      </c>
      <c r="W875" s="327" t="str">
        <f t="shared" ref="W875:W938" si="216">IF(OR(A875="", B875=""), "", IF(H875="Bürobetrieb", ABS(B875), ""))</f>
        <v/>
      </c>
      <c r="X875" s="327" t="str">
        <f t="shared" ref="X875:X938" si="217">IF(OR(A875="", B875=""), "", IF(H875="Aufwandsentschädigungen", ABS(B875), ""))</f>
        <v/>
      </c>
      <c r="Y875" s="327" t="str">
        <f t="shared" ref="Y875:Y938" si="218">IF(OR(A875="", B875=""), "", IF(H875="Sonstige Ausgaben", ABS(B875), ""))</f>
        <v/>
      </c>
      <c r="Z875" s="428" t="str">
        <f t="shared" ref="Z875:Z938" si="219">IF(OR(A875="", B875=""), "", IF(H875="Kasse-Auszahlung", ABS(B875), ""))</f>
        <v/>
      </c>
    </row>
    <row r="876" spans="1:26" x14ac:dyDescent="0.35">
      <c r="A876" s="265"/>
      <c r="B876" s="266"/>
      <c r="C876" s="262"/>
      <c r="D876" s="262"/>
      <c r="E876" s="262"/>
      <c r="F876" s="262"/>
      <c r="G876" s="320"/>
      <c r="H876" s="262"/>
      <c r="I876" s="320"/>
      <c r="J876" s="320"/>
      <c r="K876" s="262"/>
      <c r="L876" s="262"/>
      <c r="M876" s="327" t="str">
        <f t="shared" si="206"/>
        <v/>
      </c>
      <c r="N876" s="327" t="str">
        <f t="shared" si="207"/>
        <v/>
      </c>
      <c r="O876" s="327" t="str">
        <f t="shared" si="208"/>
        <v/>
      </c>
      <c r="P876" s="327" t="str">
        <f t="shared" si="209"/>
        <v/>
      </c>
      <c r="Q876" s="327" t="str">
        <f t="shared" si="210"/>
        <v/>
      </c>
      <c r="R876" s="327" t="str">
        <f t="shared" si="211"/>
        <v/>
      </c>
      <c r="S876" s="421" t="str">
        <f t="shared" si="212"/>
        <v/>
      </c>
      <c r="T876" s="327" t="str">
        <f t="shared" si="213"/>
        <v/>
      </c>
      <c r="U876" s="327" t="str">
        <f t="shared" si="214"/>
        <v/>
      </c>
      <c r="V876" s="327" t="str">
        <f t="shared" si="215"/>
        <v/>
      </c>
      <c r="W876" s="327" t="str">
        <f t="shared" si="216"/>
        <v/>
      </c>
      <c r="X876" s="327" t="str">
        <f t="shared" si="217"/>
        <v/>
      </c>
      <c r="Y876" s="327" t="str">
        <f t="shared" si="218"/>
        <v/>
      </c>
      <c r="Z876" s="428" t="str">
        <f t="shared" si="219"/>
        <v/>
      </c>
    </row>
    <row r="877" spans="1:26" x14ac:dyDescent="0.35">
      <c r="A877" s="265"/>
      <c r="B877" s="266"/>
      <c r="C877" s="262"/>
      <c r="D877" s="262"/>
      <c r="E877" s="262"/>
      <c r="F877" s="262"/>
      <c r="G877" s="320"/>
      <c r="H877" s="262"/>
      <c r="I877" s="320"/>
      <c r="J877" s="320"/>
      <c r="K877" s="262"/>
      <c r="L877" s="262"/>
      <c r="M877" s="327" t="str">
        <f t="shared" si="206"/>
        <v/>
      </c>
      <c r="N877" s="327" t="str">
        <f t="shared" si="207"/>
        <v/>
      </c>
      <c r="O877" s="327" t="str">
        <f t="shared" si="208"/>
        <v/>
      </c>
      <c r="P877" s="327" t="str">
        <f t="shared" si="209"/>
        <v/>
      </c>
      <c r="Q877" s="327" t="str">
        <f t="shared" si="210"/>
        <v/>
      </c>
      <c r="R877" s="327" t="str">
        <f t="shared" si="211"/>
        <v/>
      </c>
      <c r="S877" s="421" t="str">
        <f t="shared" si="212"/>
        <v/>
      </c>
      <c r="T877" s="327" t="str">
        <f t="shared" si="213"/>
        <v/>
      </c>
      <c r="U877" s="327" t="str">
        <f t="shared" si="214"/>
        <v/>
      </c>
      <c r="V877" s="327" t="str">
        <f t="shared" si="215"/>
        <v/>
      </c>
      <c r="W877" s="327" t="str">
        <f t="shared" si="216"/>
        <v/>
      </c>
      <c r="X877" s="327" t="str">
        <f t="shared" si="217"/>
        <v/>
      </c>
      <c r="Y877" s="327" t="str">
        <f t="shared" si="218"/>
        <v/>
      </c>
      <c r="Z877" s="428" t="str">
        <f t="shared" si="219"/>
        <v/>
      </c>
    </row>
    <row r="878" spans="1:26" x14ac:dyDescent="0.35">
      <c r="A878" s="265"/>
      <c r="B878" s="266"/>
      <c r="C878" s="262"/>
      <c r="D878" s="262"/>
      <c r="E878" s="262"/>
      <c r="F878" s="262"/>
      <c r="G878" s="320"/>
      <c r="H878" s="262"/>
      <c r="I878" s="320"/>
      <c r="J878" s="320"/>
      <c r="K878" s="262"/>
      <c r="L878" s="262"/>
      <c r="M878" s="327" t="str">
        <f t="shared" si="206"/>
        <v/>
      </c>
      <c r="N878" s="327" t="str">
        <f t="shared" si="207"/>
        <v/>
      </c>
      <c r="O878" s="327" t="str">
        <f t="shared" si="208"/>
        <v/>
      </c>
      <c r="P878" s="327" t="str">
        <f t="shared" si="209"/>
        <v/>
      </c>
      <c r="Q878" s="327" t="str">
        <f t="shared" si="210"/>
        <v/>
      </c>
      <c r="R878" s="327" t="str">
        <f t="shared" si="211"/>
        <v/>
      </c>
      <c r="S878" s="421" t="str">
        <f t="shared" si="212"/>
        <v/>
      </c>
      <c r="T878" s="327" t="str">
        <f t="shared" si="213"/>
        <v/>
      </c>
      <c r="U878" s="327" t="str">
        <f t="shared" si="214"/>
        <v/>
      </c>
      <c r="V878" s="327" t="str">
        <f t="shared" si="215"/>
        <v/>
      </c>
      <c r="W878" s="327" t="str">
        <f t="shared" si="216"/>
        <v/>
      </c>
      <c r="X878" s="327" t="str">
        <f t="shared" si="217"/>
        <v/>
      </c>
      <c r="Y878" s="327" t="str">
        <f t="shared" si="218"/>
        <v/>
      </c>
      <c r="Z878" s="428" t="str">
        <f t="shared" si="219"/>
        <v/>
      </c>
    </row>
    <row r="879" spans="1:26" x14ac:dyDescent="0.35">
      <c r="A879" s="265"/>
      <c r="B879" s="266"/>
      <c r="C879" s="262"/>
      <c r="D879" s="262"/>
      <c r="E879" s="262"/>
      <c r="F879" s="262"/>
      <c r="G879" s="320"/>
      <c r="H879" s="262"/>
      <c r="I879" s="320"/>
      <c r="J879" s="320"/>
      <c r="K879" s="262"/>
      <c r="L879" s="262"/>
      <c r="M879" s="327" t="str">
        <f t="shared" si="206"/>
        <v/>
      </c>
      <c r="N879" s="327" t="str">
        <f t="shared" si="207"/>
        <v/>
      </c>
      <c r="O879" s="327" t="str">
        <f t="shared" si="208"/>
        <v/>
      </c>
      <c r="P879" s="327" t="str">
        <f t="shared" si="209"/>
        <v/>
      </c>
      <c r="Q879" s="327" t="str">
        <f t="shared" si="210"/>
        <v/>
      </c>
      <c r="R879" s="327" t="str">
        <f t="shared" si="211"/>
        <v/>
      </c>
      <c r="S879" s="421" t="str">
        <f t="shared" si="212"/>
        <v/>
      </c>
      <c r="T879" s="327" t="str">
        <f t="shared" si="213"/>
        <v/>
      </c>
      <c r="U879" s="327" t="str">
        <f t="shared" si="214"/>
        <v/>
      </c>
      <c r="V879" s="327" t="str">
        <f t="shared" si="215"/>
        <v/>
      </c>
      <c r="W879" s="327" t="str">
        <f t="shared" si="216"/>
        <v/>
      </c>
      <c r="X879" s="327" t="str">
        <f t="shared" si="217"/>
        <v/>
      </c>
      <c r="Y879" s="327" t="str">
        <f t="shared" si="218"/>
        <v/>
      </c>
      <c r="Z879" s="428" t="str">
        <f t="shared" si="219"/>
        <v/>
      </c>
    </row>
    <row r="880" spans="1:26" x14ac:dyDescent="0.35">
      <c r="A880" s="265"/>
      <c r="B880" s="266"/>
      <c r="C880" s="262"/>
      <c r="D880" s="262"/>
      <c r="E880" s="262"/>
      <c r="F880" s="262"/>
      <c r="G880" s="320"/>
      <c r="H880" s="262"/>
      <c r="I880" s="320"/>
      <c r="J880" s="320"/>
      <c r="K880" s="262"/>
      <c r="L880" s="262"/>
      <c r="M880" s="327" t="str">
        <f t="shared" si="206"/>
        <v/>
      </c>
      <c r="N880" s="327" t="str">
        <f t="shared" si="207"/>
        <v/>
      </c>
      <c r="O880" s="327" t="str">
        <f t="shared" si="208"/>
        <v/>
      </c>
      <c r="P880" s="327" t="str">
        <f t="shared" si="209"/>
        <v/>
      </c>
      <c r="Q880" s="327" t="str">
        <f t="shared" si="210"/>
        <v/>
      </c>
      <c r="R880" s="327" t="str">
        <f t="shared" si="211"/>
        <v/>
      </c>
      <c r="S880" s="421" t="str">
        <f t="shared" si="212"/>
        <v/>
      </c>
      <c r="T880" s="327" t="str">
        <f t="shared" si="213"/>
        <v/>
      </c>
      <c r="U880" s="327" t="str">
        <f t="shared" si="214"/>
        <v/>
      </c>
      <c r="V880" s="327" t="str">
        <f t="shared" si="215"/>
        <v/>
      </c>
      <c r="W880" s="327" t="str">
        <f t="shared" si="216"/>
        <v/>
      </c>
      <c r="X880" s="327" t="str">
        <f t="shared" si="217"/>
        <v/>
      </c>
      <c r="Y880" s="327" t="str">
        <f t="shared" si="218"/>
        <v/>
      </c>
      <c r="Z880" s="428" t="str">
        <f t="shared" si="219"/>
        <v/>
      </c>
    </row>
    <row r="881" spans="1:26" x14ac:dyDescent="0.35">
      <c r="A881" s="265"/>
      <c r="B881" s="266"/>
      <c r="C881" s="262"/>
      <c r="D881" s="262"/>
      <c r="E881" s="262"/>
      <c r="F881" s="262"/>
      <c r="G881" s="320"/>
      <c r="H881" s="262"/>
      <c r="I881" s="320"/>
      <c r="J881" s="320"/>
      <c r="K881" s="262"/>
      <c r="L881" s="262"/>
      <c r="M881" s="327" t="str">
        <f t="shared" si="206"/>
        <v/>
      </c>
      <c r="N881" s="327" t="str">
        <f t="shared" si="207"/>
        <v/>
      </c>
      <c r="O881" s="327" t="str">
        <f t="shared" si="208"/>
        <v/>
      </c>
      <c r="P881" s="327" t="str">
        <f t="shared" si="209"/>
        <v/>
      </c>
      <c r="Q881" s="327" t="str">
        <f t="shared" si="210"/>
        <v/>
      </c>
      <c r="R881" s="327" t="str">
        <f t="shared" si="211"/>
        <v/>
      </c>
      <c r="S881" s="421" t="str">
        <f t="shared" si="212"/>
        <v/>
      </c>
      <c r="T881" s="327" t="str">
        <f t="shared" si="213"/>
        <v/>
      </c>
      <c r="U881" s="327" t="str">
        <f t="shared" si="214"/>
        <v/>
      </c>
      <c r="V881" s="327" t="str">
        <f t="shared" si="215"/>
        <v/>
      </c>
      <c r="W881" s="327" t="str">
        <f t="shared" si="216"/>
        <v/>
      </c>
      <c r="X881" s="327" t="str">
        <f t="shared" si="217"/>
        <v/>
      </c>
      <c r="Y881" s="327" t="str">
        <f t="shared" si="218"/>
        <v/>
      </c>
      <c r="Z881" s="428" t="str">
        <f t="shared" si="219"/>
        <v/>
      </c>
    </row>
    <row r="882" spans="1:26" x14ac:dyDescent="0.35">
      <c r="A882" s="265"/>
      <c r="B882" s="266"/>
      <c r="C882" s="262"/>
      <c r="D882" s="262"/>
      <c r="E882" s="262"/>
      <c r="F882" s="262"/>
      <c r="G882" s="320"/>
      <c r="H882" s="262"/>
      <c r="I882" s="320"/>
      <c r="J882" s="320"/>
      <c r="K882" s="262"/>
      <c r="L882" s="262"/>
      <c r="M882" s="327" t="str">
        <f t="shared" si="206"/>
        <v/>
      </c>
      <c r="N882" s="327" t="str">
        <f t="shared" si="207"/>
        <v/>
      </c>
      <c r="O882" s="327" t="str">
        <f t="shared" si="208"/>
        <v/>
      </c>
      <c r="P882" s="327" t="str">
        <f t="shared" si="209"/>
        <v/>
      </c>
      <c r="Q882" s="327" t="str">
        <f t="shared" si="210"/>
        <v/>
      </c>
      <c r="R882" s="327" t="str">
        <f t="shared" si="211"/>
        <v/>
      </c>
      <c r="S882" s="421" t="str">
        <f t="shared" si="212"/>
        <v/>
      </c>
      <c r="T882" s="327" t="str">
        <f t="shared" si="213"/>
        <v/>
      </c>
      <c r="U882" s="327" t="str">
        <f t="shared" si="214"/>
        <v/>
      </c>
      <c r="V882" s="327" t="str">
        <f t="shared" si="215"/>
        <v/>
      </c>
      <c r="W882" s="327" t="str">
        <f t="shared" si="216"/>
        <v/>
      </c>
      <c r="X882" s="327" t="str">
        <f t="shared" si="217"/>
        <v/>
      </c>
      <c r="Y882" s="327" t="str">
        <f t="shared" si="218"/>
        <v/>
      </c>
      <c r="Z882" s="428" t="str">
        <f t="shared" si="219"/>
        <v/>
      </c>
    </row>
    <row r="883" spans="1:26" x14ac:dyDescent="0.35">
      <c r="A883" s="265"/>
      <c r="B883" s="266"/>
      <c r="C883" s="262"/>
      <c r="D883" s="262"/>
      <c r="E883" s="262"/>
      <c r="F883" s="262"/>
      <c r="G883" s="320"/>
      <c r="H883" s="262"/>
      <c r="I883" s="320"/>
      <c r="J883" s="320"/>
      <c r="K883" s="262"/>
      <c r="L883" s="262"/>
      <c r="M883" s="327" t="str">
        <f t="shared" si="206"/>
        <v/>
      </c>
      <c r="N883" s="327" t="str">
        <f t="shared" si="207"/>
        <v/>
      </c>
      <c r="O883" s="327" t="str">
        <f t="shared" si="208"/>
        <v/>
      </c>
      <c r="P883" s="327" t="str">
        <f t="shared" si="209"/>
        <v/>
      </c>
      <c r="Q883" s="327" t="str">
        <f t="shared" si="210"/>
        <v/>
      </c>
      <c r="R883" s="327" t="str">
        <f t="shared" si="211"/>
        <v/>
      </c>
      <c r="S883" s="421" t="str">
        <f t="shared" si="212"/>
        <v/>
      </c>
      <c r="T883" s="327" t="str">
        <f t="shared" si="213"/>
        <v/>
      </c>
      <c r="U883" s="327" t="str">
        <f t="shared" si="214"/>
        <v/>
      </c>
      <c r="V883" s="327" t="str">
        <f t="shared" si="215"/>
        <v/>
      </c>
      <c r="W883" s="327" t="str">
        <f t="shared" si="216"/>
        <v/>
      </c>
      <c r="X883" s="327" t="str">
        <f t="shared" si="217"/>
        <v/>
      </c>
      <c r="Y883" s="327" t="str">
        <f t="shared" si="218"/>
        <v/>
      </c>
      <c r="Z883" s="428" t="str">
        <f t="shared" si="219"/>
        <v/>
      </c>
    </row>
    <row r="884" spans="1:26" x14ac:dyDescent="0.35">
      <c r="A884" s="265"/>
      <c r="B884" s="266"/>
      <c r="C884" s="262"/>
      <c r="D884" s="262"/>
      <c r="E884" s="262"/>
      <c r="F884" s="262"/>
      <c r="G884" s="320"/>
      <c r="H884" s="262"/>
      <c r="I884" s="320"/>
      <c r="J884" s="320"/>
      <c r="K884" s="262"/>
      <c r="L884" s="262"/>
      <c r="M884" s="327" t="str">
        <f t="shared" si="206"/>
        <v/>
      </c>
      <c r="N884" s="327" t="str">
        <f t="shared" si="207"/>
        <v/>
      </c>
      <c r="O884" s="327" t="str">
        <f t="shared" si="208"/>
        <v/>
      </c>
      <c r="P884" s="327" t="str">
        <f t="shared" si="209"/>
        <v/>
      </c>
      <c r="Q884" s="327" t="str">
        <f t="shared" si="210"/>
        <v/>
      </c>
      <c r="R884" s="327" t="str">
        <f t="shared" si="211"/>
        <v/>
      </c>
      <c r="S884" s="421" t="str">
        <f t="shared" si="212"/>
        <v/>
      </c>
      <c r="T884" s="327" t="str">
        <f t="shared" si="213"/>
        <v/>
      </c>
      <c r="U884" s="327" t="str">
        <f t="shared" si="214"/>
        <v/>
      </c>
      <c r="V884" s="327" t="str">
        <f t="shared" si="215"/>
        <v/>
      </c>
      <c r="W884" s="327" t="str">
        <f t="shared" si="216"/>
        <v/>
      </c>
      <c r="X884" s="327" t="str">
        <f t="shared" si="217"/>
        <v/>
      </c>
      <c r="Y884" s="327" t="str">
        <f t="shared" si="218"/>
        <v/>
      </c>
      <c r="Z884" s="428" t="str">
        <f t="shared" si="219"/>
        <v/>
      </c>
    </row>
    <row r="885" spans="1:26" x14ac:dyDescent="0.35">
      <c r="A885" s="265"/>
      <c r="B885" s="266"/>
      <c r="C885" s="262"/>
      <c r="D885" s="262"/>
      <c r="E885" s="262"/>
      <c r="F885" s="262"/>
      <c r="G885" s="320"/>
      <c r="H885" s="262"/>
      <c r="I885" s="320"/>
      <c r="J885" s="320"/>
      <c r="K885" s="262"/>
      <c r="L885" s="262"/>
      <c r="M885" s="327" t="str">
        <f t="shared" si="206"/>
        <v/>
      </c>
      <c r="N885" s="327" t="str">
        <f t="shared" si="207"/>
        <v/>
      </c>
      <c r="O885" s="327" t="str">
        <f t="shared" si="208"/>
        <v/>
      </c>
      <c r="P885" s="327" t="str">
        <f t="shared" si="209"/>
        <v/>
      </c>
      <c r="Q885" s="327" t="str">
        <f t="shared" si="210"/>
        <v/>
      </c>
      <c r="R885" s="327" t="str">
        <f t="shared" si="211"/>
        <v/>
      </c>
      <c r="S885" s="421" t="str">
        <f t="shared" si="212"/>
        <v/>
      </c>
      <c r="T885" s="327" t="str">
        <f t="shared" si="213"/>
        <v/>
      </c>
      <c r="U885" s="327" t="str">
        <f t="shared" si="214"/>
        <v/>
      </c>
      <c r="V885" s="327" t="str">
        <f t="shared" si="215"/>
        <v/>
      </c>
      <c r="W885" s="327" t="str">
        <f t="shared" si="216"/>
        <v/>
      </c>
      <c r="X885" s="327" t="str">
        <f t="shared" si="217"/>
        <v/>
      </c>
      <c r="Y885" s="327" t="str">
        <f t="shared" si="218"/>
        <v/>
      </c>
      <c r="Z885" s="428" t="str">
        <f t="shared" si="219"/>
        <v/>
      </c>
    </row>
    <row r="886" spans="1:26" x14ac:dyDescent="0.35">
      <c r="A886" s="265"/>
      <c r="B886" s="266"/>
      <c r="C886" s="262"/>
      <c r="D886" s="262"/>
      <c r="E886" s="262"/>
      <c r="F886" s="262"/>
      <c r="G886" s="320"/>
      <c r="H886" s="262"/>
      <c r="I886" s="320"/>
      <c r="J886" s="320"/>
      <c r="K886" s="262"/>
      <c r="L886" s="262"/>
      <c r="M886" s="327" t="str">
        <f t="shared" si="206"/>
        <v/>
      </c>
      <c r="N886" s="327" t="str">
        <f t="shared" si="207"/>
        <v/>
      </c>
      <c r="O886" s="327" t="str">
        <f t="shared" si="208"/>
        <v/>
      </c>
      <c r="P886" s="327" t="str">
        <f t="shared" si="209"/>
        <v/>
      </c>
      <c r="Q886" s="327" t="str">
        <f t="shared" si="210"/>
        <v/>
      </c>
      <c r="R886" s="327" t="str">
        <f t="shared" si="211"/>
        <v/>
      </c>
      <c r="S886" s="421" t="str">
        <f t="shared" si="212"/>
        <v/>
      </c>
      <c r="T886" s="327" t="str">
        <f t="shared" si="213"/>
        <v/>
      </c>
      <c r="U886" s="327" t="str">
        <f t="shared" si="214"/>
        <v/>
      </c>
      <c r="V886" s="327" t="str">
        <f t="shared" si="215"/>
        <v/>
      </c>
      <c r="W886" s="327" t="str">
        <f t="shared" si="216"/>
        <v/>
      </c>
      <c r="X886" s="327" t="str">
        <f t="shared" si="217"/>
        <v/>
      </c>
      <c r="Y886" s="327" t="str">
        <f t="shared" si="218"/>
        <v/>
      </c>
      <c r="Z886" s="428" t="str">
        <f t="shared" si="219"/>
        <v/>
      </c>
    </row>
    <row r="887" spans="1:26" x14ac:dyDescent="0.35">
      <c r="A887" s="265"/>
      <c r="B887" s="266"/>
      <c r="C887" s="262"/>
      <c r="D887" s="262"/>
      <c r="E887" s="262"/>
      <c r="F887" s="262"/>
      <c r="G887" s="320"/>
      <c r="H887" s="262"/>
      <c r="I887" s="320"/>
      <c r="J887" s="320"/>
      <c r="K887" s="262"/>
      <c r="L887" s="262"/>
      <c r="M887" s="327" t="str">
        <f t="shared" si="206"/>
        <v/>
      </c>
      <c r="N887" s="327" t="str">
        <f t="shared" si="207"/>
        <v/>
      </c>
      <c r="O887" s="327" t="str">
        <f t="shared" si="208"/>
        <v/>
      </c>
      <c r="P887" s="327" t="str">
        <f t="shared" si="209"/>
        <v/>
      </c>
      <c r="Q887" s="327" t="str">
        <f t="shared" si="210"/>
        <v/>
      </c>
      <c r="R887" s="327" t="str">
        <f t="shared" si="211"/>
        <v/>
      </c>
      <c r="S887" s="421" t="str">
        <f t="shared" si="212"/>
        <v/>
      </c>
      <c r="T887" s="327" t="str">
        <f t="shared" si="213"/>
        <v/>
      </c>
      <c r="U887" s="327" t="str">
        <f t="shared" si="214"/>
        <v/>
      </c>
      <c r="V887" s="327" t="str">
        <f t="shared" si="215"/>
        <v/>
      </c>
      <c r="W887" s="327" t="str">
        <f t="shared" si="216"/>
        <v/>
      </c>
      <c r="X887" s="327" t="str">
        <f t="shared" si="217"/>
        <v/>
      </c>
      <c r="Y887" s="327" t="str">
        <f t="shared" si="218"/>
        <v/>
      </c>
      <c r="Z887" s="428" t="str">
        <f t="shared" si="219"/>
        <v/>
      </c>
    </row>
    <row r="888" spans="1:26" x14ac:dyDescent="0.35">
      <c r="A888" s="265"/>
      <c r="B888" s="266"/>
      <c r="C888" s="262"/>
      <c r="D888" s="262"/>
      <c r="E888" s="262"/>
      <c r="F888" s="262"/>
      <c r="G888" s="320"/>
      <c r="H888" s="262"/>
      <c r="I888" s="320"/>
      <c r="J888" s="320"/>
      <c r="K888" s="262"/>
      <c r="L888" s="262"/>
      <c r="M888" s="327" t="str">
        <f t="shared" si="206"/>
        <v/>
      </c>
      <c r="N888" s="327" t="str">
        <f t="shared" si="207"/>
        <v/>
      </c>
      <c r="O888" s="327" t="str">
        <f t="shared" si="208"/>
        <v/>
      </c>
      <c r="P888" s="327" t="str">
        <f t="shared" si="209"/>
        <v/>
      </c>
      <c r="Q888" s="327" t="str">
        <f t="shared" si="210"/>
        <v/>
      </c>
      <c r="R888" s="327" t="str">
        <f t="shared" si="211"/>
        <v/>
      </c>
      <c r="S888" s="421" t="str">
        <f t="shared" si="212"/>
        <v/>
      </c>
      <c r="T888" s="327" t="str">
        <f t="shared" si="213"/>
        <v/>
      </c>
      <c r="U888" s="327" t="str">
        <f t="shared" si="214"/>
        <v/>
      </c>
      <c r="V888" s="327" t="str">
        <f t="shared" si="215"/>
        <v/>
      </c>
      <c r="W888" s="327" t="str">
        <f t="shared" si="216"/>
        <v/>
      </c>
      <c r="X888" s="327" t="str">
        <f t="shared" si="217"/>
        <v/>
      </c>
      <c r="Y888" s="327" t="str">
        <f t="shared" si="218"/>
        <v/>
      </c>
      <c r="Z888" s="428" t="str">
        <f t="shared" si="219"/>
        <v/>
      </c>
    </row>
    <row r="889" spans="1:26" x14ac:dyDescent="0.35">
      <c r="A889" s="265"/>
      <c r="B889" s="266"/>
      <c r="C889" s="262"/>
      <c r="D889" s="262"/>
      <c r="E889" s="262"/>
      <c r="F889" s="262"/>
      <c r="G889" s="320"/>
      <c r="H889" s="262"/>
      <c r="I889" s="320"/>
      <c r="J889" s="320"/>
      <c r="K889" s="262"/>
      <c r="L889" s="262"/>
      <c r="M889" s="327" t="str">
        <f t="shared" si="206"/>
        <v/>
      </c>
      <c r="N889" s="327" t="str">
        <f t="shared" si="207"/>
        <v/>
      </c>
      <c r="O889" s="327" t="str">
        <f t="shared" si="208"/>
        <v/>
      </c>
      <c r="P889" s="327" t="str">
        <f t="shared" si="209"/>
        <v/>
      </c>
      <c r="Q889" s="327" t="str">
        <f t="shared" si="210"/>
        <v/>
      </c>
      <c r="R889" s="327" t="str">
        <f t="shared" si="211"/>
        <v/>
      </c>
      <c r="S889" s="421" t="str">
        <f t="shared" si="212"/>
        <v/>
      </c>
      <c r="T889" s="327" t="str">
        <f t="shared" si="213"/>
        <v/>
      </c>
      <c r="U889" s="327" t="str">
        <f t="shared" si="214"/>
        <v/>
      </c>
      <c r="V889" s="327" t="str">
        <f t="shared" si="215"/>
        <v/>
      </c>
      <c r="W889" s="327" t="str">
        <f t="shared" si="216"/>
        <v/>
      </c>
      <c r="X889" s="327" t="str">
        <f t="shared" si="217"/>
        <v/>
      </c>
      <c r="Y889" s="327" t="str">
        <f t="shared" si="218"/>
        <v/>
      </c>
      <c r="Z889" s="428" t="str">
        <f t="shared" si="219"/>
        <v/>
      </c>
    </row>
    <row r="890" spans="1:26" x14ac:dyDescent="0.35">
      <c r="A890" s="265"/>
      <c r="B890" s="266"/>
      <c r="C890" s="262"/>
      <c r="D890" s="262"/>
      <c r="E890" s="262"/>
      <c r="F890" s="262"/>
      <c r="G890" s="320"/>
      <c r="H890" s="262"/>
      <c r="I890" s="320"/>
      <c r="J890" s="320"/>
      <c r="K890" s="262"/>
      <c r="L890" s="262"/>
      <c r="M890" s="327" t="str">
        <f t="shared" si="206"/>
        <v/>
      </c>
      <c r="N890" s="327" t="str">
        <f t="shared" si="207"/>
        <v/>
      </c>
      <c r="O890" s="327" t="str">
        <f t="shared" si="208"/>
        <v/>
      </c>
      <c r="P890" s="327" t="str">
        <f t="shared" si="209"/>
        <v/>
      </c>
      <c r="Q890" s="327" t="str">
        <f t="shared" si="210"/>
        <v/>
      </c>
      <c r="R890" s="327" t="str">
        <f t="shared" si="211"/>
        <v/>
      </c>
      <c r="S890" s="421" t="str">
        <f t="shared" si="212"/>
        <v/>
      </c>
      <c r="T890" s="327" t="str">
        <f t="shared" si="213"/>
        <v/>
      </c>
      <c r="U890" s="327" t="str">
        <f t="shared" si="214"/>
        <v/>
      </c>
      <c r="V890" s="327" t="str">
        <f t="shared" si="215"/>
        <v/>
      </c>
      <c r="W890" s="327" t="str">
        <f t="shared" si="216"/>
        <v/>
      </c>
      <c r="X890" s="327" t="str">
        <f t="shared" si="217"/>
        <v/>
      </c>
      <c r="Y890" s="327" t="str">
        <f t="shared" si="218"/>
        <v/>
      </c>
      <c r="Z890" s="428" t="str">
        <f t="shared" si="219"/>
        <v/>
      </c>
    </row>
    <row r="891" spans="1:26" x14ac:dyDescent="0.35">
      <c r="A891" s="265"/>
      <c r="B891" s="266"/>
      <c r="C891" s="262"/>
      <c r="D891" s="262"/>
      <c r="E891" s="262"/>
      <c r="F891" s="262"/>
      <c r="G891" s="320"/>
      <c r="H891" s="262"/>
      <c r="I891" s="320"/>
      <c r="J891" s="320"/>
      <c r="K891" s="262"/>
      <c r="L891" s="262"/>
      <c r="M891" s="327" t="str">
        <f t="shared" si="206"/>
        <v/>
      </c>
      <c r="N891" s="327" t="str">
        <f t="shared" si="207"/>
        <v/>
      </c>
      <c r="O891" s="327" t="str">
        <f t="shared" si="208"/>
        <v/>
      </c>
      <c r="P891" s="327" t="str">
        <f t="shared" si="209"/>
        <v/>
      </c>
      <c r="Q891" s="327" t="str">
        <f t="shared" si="210"/>
        <v/>
      </c>
      <c r="R891" s="327" t="str">
        <f t="shared" si="211"/>
        <v/>
      </c>
      <c r="S891" s="421" t="str">
        <f t="shared" si="212"/>
        <v/>
      </c>
      <c r="T891" s="327" t="str">
        <f t="shared" si="213"/>
        <v/>
      </c>
      <c r="U891" s="327" t="str">
        <f t="shared" si="214"/>
        <v/>
      </c>
      <c r="V891" s="327" t="str">
        <f t="shared" si="215"/>
        <v/>
      </c>
      <c r="W891" s="327" t="str">
        <f t="shared" si="216"/>
        <v/>
      </c>
      <c r="X891" s="327" t="str">
        <f t="shared" si="217"/>
        <v/>
      </c>
      <c r="Y891" s="327" t="str">
        <f t="shared" si="218"/>
        <v/>
      </c>
      <c r="Z891" s="428" t="str">
        <f t="shared" si="219"/>
        <v/>
      </c>
    </row>
    <row r="892" spans="1:26" x14ac:dyDescent="0.35">
      <c r="A892" s="265"/>
      <c r="B892" s="266"/>
      <c r="C892" s="262"/>
      <c r="D892" s="262"/>
      <c r="E892" s="262"/>
      <c r="F892" s="262"/>
      <c r="G892" s="320"/>
      <c r="H892" s="262"/>
      <c r="I892" s="320"/>
      <c r="J892" s="320"/>
      <c r="K892" s="262"/>
      <c r="L892" s="262"/>
      <c r="M892" s="327" t="str">
        <f t="shared" si="206"/>
        <v/>
      </c>
      <c r="N892" s="327" t="str">
        <f t="shared" si="207"/>
        <v/>
      </c>
      <c r="O892" s="327" t="str">
        <f t="shared" si="208"/>
        <v/>
      </c>
      <c r="P892" s="327" t="str">
        <f t="shared" si="209"/>
        <v/>
      </c>
      <c r="Q892" s="327" t="str">
        <f t="shared" si="210"/>
        <v/>
      </c>
      <c r="R892" s="327" t="str">
        <f t="shared" si="211"/>
        <v/>
      </c>
      <c r="S892" s="421" t="str">
        <f t="shared" si="212"/>
        <v/>
      </c>
      <c r="T892" s="327" t="str">
        <f t="shared" si="213"/>
        <v/>
      </c>
      <c r="U892" s="327" t="str">
        <f t="shared" si="214"/>
        <v/>
      </c>
      <c r="V892" s="327" t="str">
        <f t="shared" si="215"/>
        <v/>
      </c>
      <c r="W892" s="327" t="str">
        <f t="shared" si="216"/>
        <v/>
      </c>
      <c r="X892" s="327" t="str">
        <f t="shared" si="217"/>
        <v/>
      </c>
      <c r="Y892" s="327" t="str">
        <f t="shared" si="218"/>
        <v/>
      </c>
      <c r="Z892" s="428" t="str">
        <f t="shared" si="219"/>
        <v/>
      </c>
    </row>
    <row r="893" spans="1:26" x14ac:dyDescent="0.35">
      <c r="A893" s="265"/>
      <c r="B893" s="266"/>
      <c r="C893" s="262"/>
      <c r="D893" s="262"/>
      <c r="E893" s="262"/>
      <c r="F893" s="262"/>
      <c r="G893" s="320"/>
      <c r="H893" s="262"/>
      <c r="I893" s="320"/>
      <c r="J893" s="320"/>
      <c r="K893" s="262"/>
      <c r="L893" s="262"/>
      <c r="M893" s="327" t="str">
        <f t="shared" si="206"/>
        <v/>
      </c>
      <c r="N893" s="327" t="str">
        <f t="shared" si="207"/>
        <v/>
      </c>
      <c r="O893" s="327" t="str">
        <f t="shared" si="208"/>
        <v/>
      </c>
      <c r="P893" s="327" t="str">
        <f t="shared" si="209"/>
        <v/>
      </c>
      <c r="Q893" s="327" t="str">
        <f t="shared" si="210"/>
        <v/>
      </c>
      <c r="R893" s="327" t="str">
        <f t="shared" si="211"/>
        <v/>
      </c>
      <c r="S893" s="421" t="str">
        <f t="shared" si="212"/>
        <v/>
      </c>
      <c r="T893" s="327" t="str">
        <f t="shared" si="213"/>
        <v/>
      </c>
      <c r="U893" s="327" t="str">
        <f t="shared" si="214"/>
        <v/>
      </c>
      <c r="V893" s="327" t="str">
        <f t="shared" si="215"/>
        <v/>
      </c>
      <c r="W893" s="327" t="str">
        <f t="shared" si="216"/>
        <v/>
      </c>
      <c r="X893" s="327" t="str">
        <f t="shared" si="217"/>
        <v/>
      </c>
      <c r="Y893" s="327" t="str">
        <f t="shared" si="218"/>
        <v/>
      </c>
      <c r="Z893" s="428" t="str">
        <f t="shared" si="219"/>
        <v/>
      </c>
    </row>
    <row r="894" spans="1:26" x14ac:dyDescent="0.35">
      <c r="A894" s="265"/>
      <c r="B894" s="266"/>
      <c r="C894" s="262"/>
      <c r="D894" s="262"/>
      <c r="E894" s="262"/>
      <c r="F894" s="262"/>
      <c r="G894" s="320"/>
      <c r="H894" s="262"/>
      <c r="I894" s="320"/>
      <c r="J894" s="320"/>
      <c r="K894" s="262"/>
      <c r="L894" s="262"/>
      <c r="M894" s="327" t="str">
        <f t="shared" si="206"/>
        <v/>
      </c>
      <c r="N894" s="327" t="str">
        <f t="shared" si="207"/>
        <v/>
      </c>
      <c r="O894" s="327" t="str">
        <f t="shared" si="208"/>
        <v/>
      </c>
      <c r="P894" s="327" t="str">
        <f t="shared" si="209"/>
        <v/>
      </c>
      <c r="Q894" s="327" t="str">
        <f t="shared" si="210"/>
        <v/>
      </c>
      <c r="R894" s="327" t="str">
        <f t="shared" si="211"/>
        <v/>
      </c>
      <c r="S894" s="421" t="str">
        <f t="shared" si="212"/>
        <v/>
      </c>
      <c r="T894" s="327" t="str">
        <f t="shared" si="213"/>
        <v/>
      </c>
      <c r="U894" s="327" t="str">
        <f t="shared" si="214"/>
        <v/>
      </c>
      <c r="V894" s="327" t="str">
        <f t="shared" si="215"/>
        <v/>
      </c>
      <c r="W894" s="327" t="str">
        <f t="shared" si="216"/>
        <v/>
      </c>
      <c r="X894" s="327" t="str">
        <f t="shared" si="217"/>
        <v/>
      </c>
      <c r="Y894" s="327" t="str">
        <f t="shared" si="218"/>
        <v/>
      </c>
      <c r="Z894" s="428" t="str">
        <f t="shared" si="219"/>
        <v/>
      </c>
    </row>
    <row r="895" spans="1:26" x14ac:dyDescent="0.35">
      <c r="A895" s="265"/>
      <c r="B895" s="266"/>
      <c r="C895" s="262"/>
      <c r="D895" s="262"/>
      <c r="E895" s="262"/>
      <c r="F895" s="262"/>
      <c r="G895" s="320"/>
      <c r="H895" s="262"/>
      <c r="I895" s="320"/>
      <c r="J895" s="320"/>
      <c r="K895" s="262"/>
      <c r="L895" s="262"/>
      <c r="M895" s="327" t="str">
        <f t="shared" si="206"/>
        <v/>
      </c>
      <c r="N895" s="327" t="str">
        <f t="shared" si="207"/>
        <v/>
      </c>
      <c r="O895" s="327" t="str">
        <f t="shared" si="208"/>
        <v/>
      </c>
      <c r="P895" s="327" t="str">
        <f t="shared" si="209"/>
        <v/>
      </c>
      <c r="Q895" s="327" t="str">
        <f t="shared" si="210"/>
        <v/>
      </c>
      <c r="R895" s="327" t="str">
        <f t="shared" si="211"/>
        <v/>
      </c>
      <c r="S895" s="421" t="str">
        <f t="shared" si="212"/>
        <v/>
      </c>
      <c r="T895" s="327" t="str">
        <f t="shared" si="213"/>
        <v/>
      </c>
      <c r="U895" s="327" t="str">
        <f t="shared" si="214"/>
        <v/>
      </c>
      <c r="V895" s="327" t="str">
        <f t="shared" si="215"/>
        <v/>
      </c>
      <c r="W895" s="327" t="str">
        <f t="shared" si="216"/>
        <v/>
      </c>
      <c r="X895" s="327" t="str">
        <f t="shared" si="217"/>
        <v/>
      </c>
      <c r="Y895" s="327" t="str">
        <f t="shared" si="218"/>
        <v/>
      </c>
      <c r="Z895" s="428" t="str">
        <f t="shared" si="219"/>
        <v/>
      </c>
    </row>
    <row r="896" spans="1:26" x14ac:dyDescent="0.35">
      <c r="A896" s="265"/>
      <c r="B896" s="266"/>
      <c r="C896" s="262"/>
      <c r="D896" s="262"/>
      <c r="E896" s="262"/>
      <c r="F896" s="262"/>
      <c r="G896" s="320"/>
      <c r="H896" s="262"/>
      <c r="I896" s="320"/>
      <c r="J896" s="320"/>
      <c r="K896" s="262"/>
      <c r="L896" s="262"/>
      <c r="M896" s="327" t="str">
        <f t="shared" si="206"/>
        <v/>
      </c>
      <c r="N896" s="327" t="str">
        <f t="shared" si="207"/>
        <v/>
      </c>
      <c r="O896" s="327" t="str">
        <f t="shared" si="208"/>
        <v/>
      </c>
      <c r="P896" s="327" t="str">
        <f t="shared" si="209"/>
        <v/>
      </c>
      <c r="Q896" s="327" t="str">
        <f t="shared" si="210"/>
        <v/>
      </c>
      <c r="R896" s="327" t="str">
        <f t="shared" si="211"/>
        <v/>
      </c>
      <c r="S896" s="421" t="str">
        <f t="shared" si="212"/>
        <v/>
      </c>
      <c r="T896" s="327" t="str">
        <f t="shared" si="213"/>
        <v/>
      </c>
      <c r="U896" s="327" t="str">
        <f t="shared" si="214"/>
        <v/>
      </c>
      <c r="V896" s="327" t="str">
        <f t="shared" si="215"/>
        <v/>
      </c>
      <c r="W896" s="327" t="str">
        <f t="shared" si="216"/>
        <v/>
      </c>
      <c r="X896" s="327" t="str">
        <f t="shared" si="217"/>
        <v/>
      </c>
      <c r="Y896" s="327" t="str">
        <f t="shared" si="218"/>
        <v/>
      </c>
      <c r="Z896" s="428" t="str">
        <f t="shared" si="219"/>
        <v/>
      </c>
    </row>
    <row r="897" spans="1:26" x14ac:dyDescent="0.35">
      <c r="A897" s="265"/>
      <c r="B897" s="266"/>
      <c r="C897" s="262"/>
      <c r="D897" s="262"/>
      <c r="E897" s="262"/>
      <c r="F897" s="262"/>
      <c r="G897" s="320"/>
      <c r="H897" s="262"/>
      <c r="I897" s="320"/>
      <c r="J897" s="320"/>
      <c r="K897" s="262"/>
      <c r="L897" s="262"/>
      <c r="M897" s="327" t="str">
        <f t="shared" si="206"/>
        <v/>
      </c>
      <c r="N897" s="327" t="str">
        <f t="shared" si="207"/>
        <v/>
      </c>
      <c r="O897" s="327" t="str">
        <f t="shared" si="208"/>
        <v/>
      </c>
      <c r="P897" s="327" t="str">
        <f t="shared" si="209"/>
        <v/>
      </c>
      <c r="Q897" s="327" t="str">
        <f t="shared" si="210"/>
        <v/>
      </c>
      <c r="R897" s="327" t="str">
        <f t="shared" si="211"/>
        <v/>
      </c>
      <c r="S897" s="421" t="str">
        <f t="shared" si="212"/>
        <v/>
      </c>
      <c r="T897" s="327" t="str">
        <f t="shared" si="213"/>
        <v/>
      </c>
      <c r="U897" s="327" t="str">
        <f t="shared" si="214"/>
        <v/>
      </c>
      <c r="V897" s="327" t="str">
        <f t="shared" si="215"/>
        <v/>
      </c>
      <c r="W897" s="327" t="str">
        <f t="shared" si="216"/>
        <v/>
      </c>
      <c r="X897" s="327" t="str">
        <f t="shared" si="217"/>
        <v/>
      </c>
      <c r="Y897" s="327" t="str">
        <f t="shared" si="218"/>
        <v/>
      </c>
      <c r="Z897" s="428" t="str">
        <f t="shared" si="219"/>
        <v/>
      </c>
    </row>
    <row r="898" spans="1:26" x14ac:dyDescent="0.35">
      <c r="A898" s="265"/>
      <c r="B898" s="266"/>
      <c r="C898" s="262"/>
      <c r="D898" s="262"/>
      <c r="E898" s="262"/>
      <c r="F898" s="262"/>
      <c r="G898" s="320"/>
      <c r="H898" s="262"/>
      <c r="I898" s="320"/>
      <c r="J898" s="320"/>
      <c r="K898" s="262"/>
      <c r="L898" s="262"/>
      <c r="M898" s="327" t="str">
        <f t="shared" si="206"/>
        <v/>
      </c>
      <c r="N898" s="327" t="str">
        <f t="shared" si="207"/>
        <v/>
      </c>
      <c r="O898" s="327" t="str">
        <f t="shared" si="208"/>
        <v/>
      </c>
      <c r="P898" s="327" t="str">
        <f t="shared" si="209"/>
        <v/>
      </c>
      <c r="Q898" s="327" t="str">
        <f t="shared" si="210"/>
        <v/>
      </c>
      <c r="R898" s="327" t="str">
        <f t="shared" si="211"/>
        <v/>
      </c>
      <c r="S898" s="421" t="str">
        <f t="shared" si="212"/>
        <v/>
      </c>
      <c r="T898" s="327" t="str">
        <f t="shared" si="213"/>
        <v/>
      </c>
      <c r="U898" s="327" t="str">
        <f t="shared" si="214"/>
        <v/>
      </c>
      <c r="V898" s="327" t="str">
        <f t="shared" si="215"/>
        <v/>
      </c>
      <c r="W898" s="327" t="str">
        <f t="shared" si="216"/>
        <v/>
      </c>
      <c r="X898" s="327" t="str">
        <f t="shared" si="217"/>
        <v/>
      </c>
      <c r="Y898" s="327" t="str">
        <f t="shared" si="218"/>
        <v/>
      </c>
      <c r="Z898" s="428" t="str">
        <f t="shared" si="219"/>
        <v/>
      </c>
    </row>
    <row r="899" spans="1:26" x14ac:dyDescent="0.35">
      <c r="A899" s="265"/>
      <c r="B899" s="266"/>
      <c r="C899" s="262"/>
      <c r="D899" s="262"/>
      <c r="E899" s="262"/>
      <c r="F899" s="262"/>
      <c r="G899" s="320"/>
      <c r="H899" s="262"/>
      <c r="I899" s="320"/>
      <c r="J899" s="320"/>
      <c r="K899" s="262"/>
      <c r="L899" s="262"/>
      <c r="M899" s="327" t="str">
        <f t="shared" si="206"/>
        <v/>
      </c>
      <c r="N899" s="327" t="str">
        <f t="shared" si="207"/>
        <v/>
      </c>
      <c r="O899" s="327" t="str">
        <f t="shared" si="208"/>
        <v/>
      </c>
      <c r="P899" s="327" t="str">
        <f t="shared" si="209"/>
        <v/>
      </c>
      <c r="Q899" s="327" t="str">
        <f t="shared" si="210"/>
        <v/>
      </c>
      <c r="R899" s="327" t="str">
        <f t="shared" si="211"/>
        <v/>
      </c>
      <c r="S899" s="421" t="str">
        <f t="shared" si="212"/>
        <v/>
      </c>
      <c r="T899" s="327" t="str">
        <f t="shared" si="213"/>
        <v/>
      </c>
      <c r="U899" s="327" t="str">
        <f t="shared" si="214"/>
        <v/>
      </c>
      <c r="V899" s="327" t="str">
        <f t="shared" si="215"/>
        <v/>
      </c>
      <c r="W899" s="327" t="str">
        <f t="shared" si="216"/>
        <v/>
      </c>
      <c r="X899" s="327" t="str">
        <f t="shared" si="217"/>
        <v/>
      </c>
      <c r="Y899" s="327" t="str">
        <f t="shared" si="218"/>
        <v/>
      </c>
      <c r="Z899" s="428" t="str">
        <f t="shared" si="219"/>
        <v/>
      </c>
    </row>
    <row r="900" spans="1:26" x14ac:dyDescent="0.35">
      <c r="A900" s="265"/>
      <c r="B900" s="266"/>
      <c r="C900" s="262"/>
      <c r="D900" s="262"/>
      <c r="E900" s="262"/>
      <c r="F900" s="262"/>
      <c r="G900" s="320"/>
      <c r="H900" s="262"/>
      <c r="I900" s="320"/>
      <c r="J900" s="320"/>
      <c r="K900" s="262"/>
      <c r="L900" s="262"/>
      <c r="M900" s="327" t="str">
        <f t="shared" si="206"/>
        <v/>
      </c>
      <c r="N900" s="327" t="str">
        <f t="shared" si="207"/>
        <v/>
      </c>
      <c r="O900" s="327" t="str">
        <f t="shared" si="208"/>
        <v/>
      </c>
      <c r="P900" s="327" t="str">
        <f t="shared" si="209"/>
        <v/>
      </c>
      <c r="Q900" s="327" t="str">
        <f t="shared" si="210"/>
        <v/>
      </c>
      <c r="R900" s="327" t="str">
        <f t="shared" si="211"/>
        <v/>
      </c>
      <c r="S900" s="421" t="str">
        <f t="shared" si="212"/>
        <v/>
      </c>
      <c r="T900" s="327" t="str">
        <f t="shared" si="213"/>
        <v/>
      </c>
      <c r="U900" s="327" t="str">
        <f t="shared" si="214"/>
        <v/>
      </c>
      <c r="V900" s="327" t="str">
        <f t="shared" si="215"/>
        <v/>
      </c>
      <c r="W900" s="327" t="str">
        <f t="shared" si="216"/>
        <v/>
      </c>
      <c r="X900" s="327" t="str">
        <f t="shared" si="217"/>
        <v/>
      </c>
      <c r="Y900" s="327" t="str">
        <f t="shared" si="218"/>
        <v/>
      </c>
      <c r="Z900" s="428" t="str">
        <f t="shared" si="219"/>
        <v/>
      </c>
    </row>
    <row r="901" spans="1:26" x14ac:dyDescent="0.35">
      <c r="A901" s="265"/>
      <c r="B901" s="266"/>
      <c r="C901" s="262"/>
      <c r="D901" s="262"/>
      <c r="E901" s="262"/>
      <c r="F901" s="262"/>
      <c r="G901" s="320"/>
      <c r="H901" s="262"/>
      <c r="I901" s="320"/>
      <c r="J901" s="320"/>
      <c r="K901" s="262"/>
      <c r="L901" s="262"/>
      <c r="M901" s="327" t="str">
        <f t="shared" si="206"/>
        <v/>
      </c>
      <c r="N901" s="327" t="str">
        <f t="shared" si="207"/>
        <v/>
      </c>
      <c r="O901" s="327" t="str">
        <f t="shared" si="208"/>
        <v/>
      </c>
      <c r="P901" s="327" t="str">
        <f t="shared" si="209"/>
        <v/>
      </c>
      <c r="Q901" s="327" t="str">
        <f t="shared" si="210"/>
        <v/>
      </c>
      <c r="R901" s="327" t="str">
        <f t="shared" si="211"/>
        <v/>
      </c>
      <c r="S901" s="421" t="str">
        <f t="shared" si="212"/>
        <v/>
      </c>
      <c r="T901" s="327" t="str">
        <f t="shared" si="213"/>
        <v/>
      </c>
      <c r="U901" s="327" t="str">
        <f t="shared" si="214"/>
        <v/>
      </c>
      <c r="V901" s="327" t="str">
        <f t="shared" si="215"/>
        <v/>
      </c>
      <c r="W901" s="327" t="str">
        <f t="shared" si="216"/>
        <v/>
      </c>
      <c r="X901" s="327" t="str">
        <f t="shared" si="217"/>
        <v/>
      </c>
      <c r="Y901" s="327" t="str">
        <f t="shared" si="218"/>
        <v/>
      </c>
      <c r="Z901" s="428" t="str">
        <f t="shared" si="219"/>
        <v/>
      </c>
    </row>
    <row r="902" spans="1:26" x14ac:dyDescent="0.35">
      <c r="A902" s="265"/>
      <c r="B902" s="266"/>
      <c r="C902" s="262"/>
      <c r="D902" s="262"/>
      <c r="E902" s="262"/>
      <c r="F902" s="262"/>
      <c r="G902" s="320"/>
      <c r="H902" s="262"/>
      <c r="I902" s="320"/>
      <c r="J902" s="320"/>
      <c r="K902" s="262"/>
      <c r="L902" s="262"/>
      <c r="M902" s="327" t="str">
        <f t="shared" si="206"/>
        <v/>
      </c>
      <c r="N902" s="327" t="str">
        <f t="shared" si="207"/>
        <v/>
      </c>
      <c r="O902" s="327" t="str">
        <f t="shared" si="208"/>
        <v/>
      </c>
      <c r="P902" s="327" t="str">
        <f t="shared" si="209"/>
        <v/>
      </c>
      <c r="Q902" s="327" t="str">
        <f t="shared" si="210"/>
        <v/>
      </c>
      <c r="R902" s="327" t="str">
        <f t="shared" si="211"/>
        <v/>
      </c>
      <c r="S902" s="421" t="str">
        <f t="shared" si="212"/>
        <v/>
      </c>
      <c r="T902" s="327" t="str">
        <f t="shared" si="213"/>
        <v/>
      </c>
      <c r="U902" s="327" t="str">
        <f t="shared" si="214"/>
        <v/>
      </c>
      <c r="V902" s="327" t="str">
        <f t="shared" si="215"/>
        <v/>
      </c>
      <c r="W902" s="327" t="str">
        <f t="shared" si="216"/>
        <v/>
      </c>
      <c r="X902" s="327" t="str">
        <f t="shared" si="217"/>
        <v/>
      </c>
      <c r="Y902" s="327" t="str">
        <f t="shared" si="218"/>
        <v/>
      </c>
      <c r="Z902" s="428" t="str">
        <f t="shared" si="219"/>
        <v/>
      </c>
    </row>
    <row r="903" spans="1:26" x14ac:dyDescent="0.35">
      <c r="A903" s="265"/>
      <c r="B903" s="266"/>
      <c r="C903" s="262"/>
      <c r="D903" s="262"/>
      <c r="E903" s="262"/>
      <c r="F903" s="262"/>
      <c r="G903" s="320"/>
      <c r="H903" s="262"/>
      <c r="I903" s="320"/>
      <c r="J903" s="320"/>
      <c r="K903" s="262"/>
      <c r="L903" s="262"/>
      <c r="M903" s="327" t="str">
        <f t="shared" si="206"/>
        <v/>
      </c>
      <c r="N903" s="327" t="str">
        <f t="shared" si="207"/>
        <v/>
      </c>
      <c r="O903" s="327" t="str">
        <f t="shared" si="208"/>
        <v/>
      </c>
      <c r="P903" s="327" t="str">
        <f t="shared" si="209"/>
        <v/>
      </c>
      <c r="Q903" s="327" t="str">
        <f t="shared" si="210"/>
        <v/>
      </c>
      <c r="R903" s="327" t="str">
        <f t="shared" si="211"/>
        <v/>
      </c>
      <c r="S903" s="421" t="str">
        <f t="shared" si="212"/>
        <v/>
      </c>
      <c r="T903" s="327" t="str">
        <f t="shared" si="213"/>
        <v/>
      </c>
      <c r="U903" s="327" t="str">
        <f t="shared" si="214"/>
        <v/>
      </c>
      <c r="V903" s="327" t="str">
        <f t="shared" si="215"/>
        <v/>
      </c>
      <c r="W903" s="327" t="str">
        <f t="shared" si="216"/>
        <v/>
      </c>
      <c r="X903" s="327" t="str">
        <f t="shared" si="217"/>
        <v/>
      </c>
      <c r="Y903" s="327" t="str">
        <f t="shared" si="218"/>
        <v/>
      </c>
      <c r="Z903" s="428" t="str">
        <f t="shared" si="219"/>
        <v/>
      </c>
    </row>
    <row r="904" spans="1:26" x14ac:dyDescent="0.35">
      <c r="A904" s="265"/>
      <c r="B904" s="266"/>
      <c r="C904" s="262"/>
      <c r="D904" s="262"/>
      <c r="E904" s="262"/>
      <c r="F904" s="262"/>
      <c r="G904" s="320"/>
      <c r="H904" s="262"/>
      <c r="I904" s="320"/>
      <c r="J904" s="320"/>
      <c r="K904" s="262"/>
      <c r="L904" s="262"/>
      <c r="M904" s="327" t="str">
        <f t="shared" si="206"/>
        <v/>
      </c>
      <c r="N904" s="327" t="str">
        <f t="shared" si="207"/>
        <v/>
      </c>
      <c r="O904" s="327" t="str">
        <f t="shared" si="208"/>
        <v/>
      </c>
      <c r="P904" s="327" t="str">
        <f t="shared" si="209"/>
        <v/>
      </c>
      <c r="Q904" s="327" t="str">
        <f t="shared" si="210"/>
        <v/>
      </c>
      <c r="R904" s="327" t="str">
        <f t="shared" si="211"/>
        <v/>
      </c>
      <c r="S904" s="421" t="str">
        <f t="shared" si="212"/>
        <v/>
      </c>
      <c r="T904" s="327" t="str">
        <f t="shared" si="213"/>
        <v/>
      </c>
      <c r="U904" s="327" t="str">
        <f t="shared" si="214"/>
        <v/>
      </c>
      <c r="V904" s="327" t="str">
        <f t="shared" si="215"/>
        <v/>
      </c>
      <c r="W904" s="327" t="str">
        <f t="shared" si="216"/>
        <v/>
      </c>
      <c r="X904" s="327" t="str">
        <f t="shared" si="217"/>
        <v/>
      </c>
      <c r="Y904" s="327" t="str">
        <f t="shared" si="218"/>
        <v/>
      </c>
      <c r="Z904" s="428" t="str">
        <f t="shared" si="219"/>
        <v/>
      </c>
    </row>
    <row r="905" spans="1:26" x14ac:dyDescent="0.35">
      <c r="A905" s="265"/>
      <c r="B905" s="266"/>
      <c r="C905" s="262"/>
      <c r="D905" s="262"/>
      <c r="E905" s="262"/>
      <c r="F905" s="262"/>
      <c r="G905" s="320"/>
      <c r="H905" s="262"/>
      <c r="I905" s="320"/>
      <c r="J905" s="320"/>
      <c r="K905" s="262"/>
      <c r="L905" s="262"/>
      <c r="M905" s="327" t="str">
        <f t="shared" si="206"/>
        <v/>
      </c>
      <c r="N905" s="327" t="str">
        <f t="shared" si="207"/>
        <v/>
      </c>
      <c r="O905" s="327" t="str">
        <f t="shared" si="208"/>
        <v/>
      </c>
      <c r="P905" s="327" t="str">
        <f t="shared" si="209"/>
        <v/>
      </c>
      <c r="Q905" s="327" t="str">
        <f t="shared" si="210"/>
        <v/>
      </c>
      <c r="R905" s="327" t="str">
        <f t="shared" si="211"/>
        <v/>
      </c>
      <c r="S905" s="421" t="str">
        <f t="shared" si="212"/>
        <v/>
      </c>
      <c r="T905" s="327" t="str">
        <f t="shared" si="213"/>
        <v/>
      </c>
      <c r="U905" s="327" t="str">
        <f t="shared" si="214"/>
        <v/>
      </c>
      <c r="V905" s="327" t="str">
        <f t="shared" si="215"/>
        <v/>
      </c>
      <c r="W905" s="327" t="str">
        <f t="shared" si="216"/>
        <v/>
      </c>
      <c r="X905" s="327" t="str">
        <f t="shared" si="217"/>
        <v/>
      </c>
      <c r="Y905" s="327" t="str">
        <f t="shared" si="218"/>
        <v/>
      </c>
      <c r="Z905" s="428" t="str">
        <f t="shared" si="219"/>
        <v/>
      </c>
    </row>
    <row r="906" spans="1:26" x14ac:dyDescent="0.35">
      <c r="A906" s="265"/>
      <c r="B906" s="266"/>
      <c r="C906" s="262"/>
      <c r="D906" s="262"/>
      <c r="E906" s="262"/>
      <c r="F906" s="262"/>
      <c r="G906" s="320"/>
      <c r="H906" s="262"/>
      <c r="I906" s="320"/>
      <c r="J906" s="320"/>
      <c r="K906" s="262"/>
      <c r="L906" s="262"/>
      <c r="M906" s="327" t="str">
        <f t="shared" si="206"/>
        <v/>
      </c>
      <c r="N906" s="327" t="str">
        <f t="shared" si="207"/>
        <v/>
      </c>
      <c r="O906" s="327" t="str">
        <f t="shared" si="208"/>
        <v/>
      </c>
      <c r="P906" s="327" t="str">
        <f t="shared" si="209"/>
        <v/>
      </c>
      <c r="Q906" s="327" t="str">
        <f t="shared" si="210"/>
        <v/>
      </c>
      <c r="R906" s="327" t="str">
        <f t="shared" si="211"/>
        <v/>
      </c>
      <c r="S906" s="421" t="str">
        <f t="shared" si="212"/>
        <v/>
      </c>
      <c r="T906" s="327" t="str">
        <f t="shared" si="213"/>
        <v/>
      </c>
      <c r="U906" s="327" t="str">
        <f t="shared" si="214"/>
        <v/>
      </c>
      <c r="V906" s="327" t="str">
        <f t="shared" si="215"/>
        <v/>
      </c>
      <c r="W906" s="327" t="str">
        <f t="shared" si="216"/>
        <v/>
      </c>
      <c r="X906" s="327" t="str">
        <f t="shared" si="217"/>
        <v/>
      </c>
      <c r="Y906" s="327" t="str">
        <f t="shared" si="218"/>
        <v/>
      </c>
      <c r="Z906" s="428" t="str">
        <f t="shared" si="219"/>
        <v/>
      </c>
    </row>
    <row r="907" spans="1:26" x14ac:dyDescent="0.35">
      <c r="A907" s="265"/>
      <c r="B907" s="266"/>
      <c r="C907" s="262"/>
      <c r="D907" s="262"/>
      <c r="E907" s="262"/>
      <c r="F907" s="262"/>
      <c r="G907" s="320"/>
      <c r="H907" s="262"/>
      <c r="I907" s="320"/>
      <c r="J907" s="320"/>
      <c r="K907" s="262"/>
      <c r="L907" s="262"/>
      <c r="M907" s="327" t="str">
        <f t="shared" si="206"/>
        <v/>
      </c>
      <c r="N907" s="327" t="str">
        <f t="shared" si="207"/>
        <v/>
      </c>
      <c r="O907" s="327" t="str">
        <f t="shared" si="208"/>
        <v/>
      </c>
      <c r="P907" s="327" t="str">
        <f t="shared" si="209"/>
        <v/>
      </c>
      <c r="Q907" s="327" t="str">
        <f t="shared" si="210"/>
        <v/>
      </c>
      <c r="R907" s="327" t="str">
        <f t="shared" si="211"/>
        <v/>
      </c>
      <c r="S907" s="421" t="str">
        <f t="shared" si="212"/>
        <v/>
      </c>
      <c r="T907" s="327" t="str">
        <f t="shared" si="213"/>
        <v/>
      </c>
      <c r="U907" s="327" t="str">
        <f t="shared" si="214"/>
        <v/>
      </c>
      <c r="V907" s="327" t="str">
        <f t="shared" si="215"/>
        <v/>
      </c>
      <c r="W907" s="327" t="str">
        <f t="shared" si="216"/>
        <v/>
      </c>
      <c r="X907" s="327" t="str">
        <f t="shared" si="217"/>
        <v/>
      </c>
      <c r="Y907" s="327" t="str">
        <f t="shared" si="218"/>
        <v/>
      </c>
      <c r="Z907" s="428" t="str">
        <f t="shared" si="219"/>
        <v/>
      </c>
    </row>
    <row r="908" spans="1:26" x14ac:dyDescent="0.35">
      <c r="A908" s="265"/>
      <c r="B908" s="266"/>
      <c r="C908" s="262"/>
      <c r="D908" s="262"/>
      <c r="E908" s="262"/>
      <c r="F908" s="262"/>
      <c r="G908" s="320"/>
      <c r="H908" s="262"/>
      <c r="I908" s="320"/>
      <c r="J908" s="320"/>
      <c r="K908" s="262"/>
      <c r="L908" s="262"/>
      <c r="M908" s="327" t="str">
        <f t="shared" si="206"/>
        <v/>
      </c>
      <c r="N908" s="327" t="str">
        <f t="shared" si="207"/>
        <v/>
      </c>
      <c r="O908" s="327" t="str">
        <f t="shared" si="208"/>
        <v/>
      </c>
      <c r="P908" s="327" t="str">
        <f t="shared" si="209"/>
        <v/>
      </c>
      <c r="Q908" s="327" t="str">
        <f t="shared" si="210"/>
        <v/>
      </c>
      <c r="R908" s="327" t="str">
        <f t="shared" si="211"/>
        <v/>
      </c>
      <c r="S908" s="421" t="str">
        <f t="shared" si="212"/>
        <v/>
      </c>
      <c r="T908" s="327" t="str">
        <f t="shared" si="213"/>
        <v/>
      </c>
      <c r="U908" s="327" t="str">
        <f t="shared" si="214"/>
        <v/>
      </c>
      <c r="V908" s="327" t="str">
        <f t="shared" si="215"/>
        <v/>
      </c>
      <c r="W908" s="327" t="str">
        <f t="shared" si="216"/>
        <v/>
      </c>
      <c r="X908" s="327" t="str">
        <f t="shared" si="217"/>
        <v/>
      </c>
      <c r="Y908" s="327" t="str">
        <f t="shared" si="218"/>
        <v/>
      </c>
      <c r="Z908" s="428" t="str">
        <f t="shared" si="219"/>
        <v/>
      </c>
    </row>
    <row r="909" spans="1:26" x14ac:dyDescent="0.35">
      <c r="A909" s="265"/>
      <c r="B909" s="266"/>
      <c r="C909" s="262"/>
      <c r="D909" s="262"/>
      <c r="E909" s="262"/>
      <c r="F909" s="262"/>
      <c r="G909" s="320"/>
      <c r="H909" s="262"/>
      <c r="I909" s="320"/>
      <c r="J909" s="320"/>
      <c r="K909" s="262"/>
      <c r="L909" s="262"/>
      <c r="M909" s="327" t="str">
        <f t="shared" si="206"/>
        <v/>
      </c>
      <c r="N909" s="327" t="str">
        <f t="shared" si="207"/>
        <v/>
      </c>
      <c r="O909" s="327" t="str">
        <f t="shared" si="208"/>
        <v/>
      </c>
      <c r="P909" s="327" t="str">
        <f t="shared" si="209"/>
        <v/>
      </c>
      <c r="Q909" s="327" t="str">
        <f t="shared" si="210"/>
        <v/>
      </c>
      <c r="R909" s="327" t="str">
        <f t="shared" si="211"/>
        <v/>
      </c>
      <c r="S909" s="421" t="str">
        <f t="shared" si="212"/>
        <v/>
      </c>
      <c r="T909" s="327" t="str">
        <f t="shared" si="213"/>
        <v/>
      </c>
      <c r="U909" s="327" t="str">
        <f t="shared" si="214"/>
        <v/>
      </c>
      <c r="V909" s="327" t="str">
        <f t="shared" si="215"/>
        <v/>
      </c>
      <c r="W909" s="327" t="str">
        <f t="shared" si="216"/>
        <v/>
      </c>
      <c r="X909" s="327" t="str">
        <f t="shared" si="217"/>
        <v/>
      </c>
      <c r="Y909" s="327" t="str">
        <f t="shared" si="218"/>
        <v/>
      </c>
      <c r="Z909" s="428" t="str">
        <f t="shared" si="219"/>
        <v/>
      </c>
    </row>
    <row r="910" spans="1:26" x14ac:dyDescent="0.35">
      <c r="A910" s="265"/>
      <c r="B910" s="266"/>
      <c r="C910" s="262"/>
      <c r="D910" s="262"/>
      <c r="E910" s="262"/>
      <c r="F910" s="262"/>
      <c r="G910" s="320"/>
      <c r="H910" s="262"/>
      <c r="I910" s="320"/>
      <c r="J910" s="320"/>
      <c r="K910" s="262"/>
      <c r="L910" s="262"/>
      <c r="M910" s="327" t="str">
        <f t="shared" si="206"/>
        <v/>
      </c>
      <c r="N910" s="327" t="str">
        <f t="shared" si="207"/>
        <v/>
      </c>
      <c r="O910" s="327" t="str">
        <f t="shared" si="208"/>
        <v/>
      </c>
      <c r="P910" s="327" t="str">
        <f t="shared" si="209"/>
        <v/>
      </c>
      <c r="Q910" s="327" t="str">
        <f t="shared" si="210"/>
        <v/>
      </c>
      <c r="R910" s="327" t="str">
        <f t="shared" si="211"/>
        <v/>
      </c>
      <c r="S910" s="421" t="str">
        <f t="shared" si="212"/>
        <v/>
      </c>
      <c r="T910" s="327" t="str">
        <f t="shared" si="213"/>
        <v/>
      </c>
      <c r="U910" s="327" t="str">
        <f t="shared" si="214"/>
        <v/>
      </c>
      <c r="V910" s="327" t="str">
        <f t="shared" si="215"/>
        <v/>
      </c>
      <c r="W910" s="327" t="str">
        <f t="shared" si="216"/>
        <v/>
      </c>
      <c r="X910" s="327" t="str">
        <f t="shared" si="217"/>
        <v/>
      </c>
      <c r="Y910" s="327" t="str">
        <f t="shared" si="218"/>
        <v/>
      </c>
      <c r="Z910" s="428" t="str">
        <f t="shared" si="219"/>
        <v/>
      </c>
    </row>
    <row r="911" spans="1:26" x14ac:dyDescent="0.35">
      <c r="A911" s="265"/>
      <c r="B911" s="266"/>
      <c r="C911" s="262"/>
      <c r="D911" s="262"/>
      <c r="E911" s="262"/>
      <c r="F911" s="262"/>
      <c r="G911" s="320"/>
      <c r="H911" s="262"/>
      <c r="I911" s="320"/>
      <c r="J911" s="320"/>
      <c r="K911" s="262"/>
      <c r="L911" s="262"/>
      <c r="M911" s="327" t="str">
        <f t="shared" si="206"/>
        <v/>
      </c>
      <c r="N911" s="327" t="str">
        <f t="shared" si="207"/>
        <v/>
      </c>
      <c r="O911" s="327" t="str">
        <f t="shared" si="208"/>
        <v/>
      </c>
      <c r="P911" s="327" t="str">
        <f t="shared" si="209"/>
        <v/>
      </c>
      <c r="Q911" s="327" t="str">
        <f t="shared" si="210"/>
        <v/>
      </c>
      <c r="R911" s="327" t="str">
        <f t="shared" si="211"/>
        <v/>
      </c>
      <c r="S911" s="421" t="str">
        <f t="shared" si="212"/>
        <v/>
      </c>
      <c r="T911" s="327" t="str">
        <f t="shared" si="213"/>
        <v/>
      </c>
      <c r="U911" s="327" t="str">
        <f t="shared" si="214"/>
        <v/>
      </c>
      <c r="V911" s="327" t="str">
        <f t="shared" si="215"/>
        <v/>
      </c>
      <c r="W911" s="327" t="str">
        <f t="shared" si="216"/>
        <v/>
      </c>
      <c r="X911" s="327" t="str">
        <f t="shared" si="217"/>
        <v/>
      </c>
      <c r="Y911" s="327" t="str">
        <f t="shared" si="218"/>
        <v/>
      </c>
      <c r="Z911" s="428" t="str">
        <f t="shared" si="219"/>
        <v/>
      </c>
    </row>
    <row r="912" spans="1:26" x14ac:dyDescent="0.35">
      <c r="A912" s="265"/>
      <c r="B912" s="266"/>
      <c r="C912" s="262"/>
      <c r="D912" s="262"/>
      <c r="E912" s="262"/>
      <c r="F912" s="262"/>
      <c r="G912" s="320"/>
      <c r="H912" s="262"/>
      <c r="I912" s="320"/>
      <c r="J912" s="320"/>
      <c r="K912" s="262"/>
      <c r="L912" s="262"/>
      <c r="M912" s="327" t="str">
        <f t="shared" si="206"/>
        <v/>
      </c>
      <c r="N912" s="327" t="str">
        <f t="shared" si="207"/>
        <v/>
      </c>
      <c r="O912" s="327" t="str">
        <f t="shared" si="208"/>
        <v/>
      </c>
      <c r="P912" s="327" t="str">
        <f t="shared" si="209"/>
        <v/>
      </c>
      <c r="Q912" s="327" t="str">
        <f t="shared" si="210"/>
        <v/>
      </c>
      <c r="R912" s="327" t="str">
        <f t="shared" si="211"/>
        <v/>
      </c>
      <c r="S912" s="421" t="str">
        <f t="shared" si="212"/>
        <v/>
      </c>
      <c r="T912" s="327" t="str">
        <f t="shared" si="213"/>
        <v/>
      </c>
      <c r="U912" s="327" t="str">
        <f t="shared" si="214"/>
        <v/>
      </c>
      <c r="V912" s="327" t="str">
        <f t="shared" si="215"/>
        <v/>
      </c>
      <c r="W912" s="327" t="str">
        <f t="shared" si="216"/>
        <v/>
      </c>
      <c r="X912" s="327" t="str">
        <f t="shared" si="217"/>
        <v/>
      </c>
      <c r="Y912" s="327" t="str">
        <f t="shared" si="218"/>
        <v/>
      </c>
      <c r="Z912" s="428" t="str">
        <f t="shared" si="219"/>
        <v/>
      </c>
    </row>
    <row r="913" spans="1:26" x14ac:dyDescent="0.35">
      <c r="A913" s="265"/>
      <c r="B913" s="266"/>
      <c r="C913" s="262"/>
      <c r="D913" s="262"/>
      <c r="E913" s="262"/>
      <c r="F913" s="262"/>
      <c r="G913" s="320"/>
      <c r="H913" s="262"/>
      <c r="I913" s="320"/>
      <c r="J913" s="320"/>
      <c r="K913" s="262"/>
      <c r="L913" s="262"/>
      <c r="M913" s="327" t="str">
        <f t="shared" si="206"/>
        <v/>
      </c>
      <c r="N913" s="327" t="str">
        <f t="shared" si="207"/>
        <v/>
      </c>
      <c r="O913" s="327" t="str">
        <f t="shared" si="208"/>
        <v/>
      </c>
      <c r="P913" s="327" t="str">
        <f t="shared" si="209"/>
        <v/>
      </c>
      <c r="Q913" s="327" t="str">
        <f t="shared" si="210"/>
        <v/>
      </c>
      <c r="R913" s="327" t="str">
        <f t="shared" si="211"/>
        <v/>
      </c>
      <c r="S913" s="421" t="str">
        <f t="shared" si="212"/>
        <v/>
      </c>
      <c r="T913" s="327" t="str">
        <f t="shared" si="213"/>
        <v/>
      </c>
      <c r="U913" s="327" t="str">
        <f t="shared" si="214"/>
        <v/>
      </c>
      <c r="V913" s="327" t="str">
        <f t="shared" si="215"/>
        <v/>
      </c>
      <c r="W913" s="327" t="str">
        <f t="shared" si="216"/>
        <v/>
      </c>
      <c r="X913" s="327" t="str">
        <f t="shared" si="217"/>
        <v/>
      </c>
      <c r="Y913" s="327" t="str">
        <f t="shared" si="218"/>
        <v/>
      </c>
      <c r="Z913" s="428" t="str">
        <f t="shared" si="219"/>
        <v/>
      </c>
    </row>
    <row r="914" spans="1:26" x14ac:dyDescent="0.35">
      <c r="A914" s="265"/>
      <c r="B914" s="266"/>
      <c r="C914" s="262"/>
      <c r="D914" s="262"/>
      <c r="E914" s="262"/>
      <c r="F914" s="262"/>
      <c r="G914" s="320"/>
      <c r="H914" s="262"/>
      <c r="I914" s="320"/>
      <c r="J914" s="320"/>
      <c r="K914" s="262"/>
      <c r="L914" s="262"/>
      <c r="M914" s="327" t="str">
        <f t="shared" si="206"/>
        <v/>
      </c>
      <c r="N914" s="327" t="str">
        <f t="shared" si="207"/>
        <v/>
      </c>
      <c r="O914" s="327" t="str">
        <f t="shared" si="208"/>
        <v/>
      </c>
      <c r="P914" s="327" t="str">
        <f t="shared" si="209"/>
        <v/>
      </c>
      <c r="Q914" s="327" t="str">
        <f t="shared" si="210"/>
        <v/>
      </c>
      <c r="R914" s="327" t="str">
        <f t="shared" si="211"/>
        <v/>
      </c>
      <c r="S914" s="421" t="str">
        <f t="shared" si="212"/>
        <v/>
      </c>
      <c r="T914" s="327" t="str">
        <f t="shared" si="213"/>
        <v/>
      </c>
      <c r="U914" s="327" t="str">
        <f t="shared" si="214"/>
        <v/>
      </c>
      <c r="V914" s="327" t="str">
        <f t="shared" si="215"/>
        <v/>
      </c>
      <c r="W914" s="327" t="str">
        <f t="shared" si="216"/>
        <v/>
      </c>
      <c r="X914" s="327" t="str">
        <f t="shared" si="217"/>
        <v/>
      </c>
      <c r="Y914" s="327" t="str">
        <f t="shared" si="218"/>
        <v/>
      </c>
      <c r="Z914" s="428" t="str">
        <f t="shared" si="219"/>
        <v/>
      </c>
    </row>
    <row r="915" spans="1:26" x14ac:dyDescent="0.35">
      <c r="A915" s="265"/>
      <c r="B915" s="266"/>
      <c r="C915" s="262"/>
      <c r="D915" s="262"/>
      <c r="E915" s="262"/>
      <c r="F915" s="262"/>
      <c r="G915" s="320"/>
      <c r="H915" s="262"/>
      <c r="I915" s="320"/>
      <c r="J915" s="320"/>
      <c r="K915" s="262"/>
      <c r="L915" s="262"/>
      <c r="M915" s="327" t="str">
        <f t="shared" si="206"/>
        <v/>
      </c>
      <c r="N915" s="327" t="str">
        <f t="shared" si="207"/>
        <v/>
      </c>
      <c r="O915" s="327" t="str">
        <f t="shared" si="208"/>
        <v/>
      </c>
      <c r="P915" s="327" t="str">
        <f t="shared" si="209"/>
        <v/>
      </c>
      <c r="Q915" s="327" t="str">
        <f t="shared" si="210"/>
        <v/>
      </c>
      <c r="R915" s="327" t="str">
        <f t="shared" si="211"/>
        <v/>
      </c>
      <c r="S915" s="421" t="str">
        <f t="shared" si="212"/>
        <v/>
      </c>
      <c r="T915" s="327" t="str">
        <f t="shared" si="213"/>
        <v/>
      </c>
      <c r="U915" s="327" t="str">
        <f t="shared" si="214"/>
        <v/>
      </c>
      <c r="V915" s="327" t="str">
        <f t="shared" si="215"/>
        <v/>
      </c>
      <c r="W915" s="327" t="str">
        <f t="shared" si="216"/>
        <v/>
      </c>
      <c r="X915" s="327" t="str">
        <f t="shared" si="217"/>
        <v/>
      </c>
      <c r="Y915" s="327" t="str">
        <f t="shared" si="218"/>
        <v/>
      </c>
      <c r="Z915" s="428" t="str">
        <f t="shared" si="219"/>
        <v/>
      </c>
    </row>
    <row r="916" spans="1:26" x14ac:dyDescent="0.35">
      <c r="A916" s="265"/>
      <c r="B916" s="266"/>
      <c r="C916" s="262"/>
      <c r="D916" s="262"/>
      <c r="E916" s="262"/>
      <c r="F916" s="262"/>
      <c r="G916" s="320"/>
      <c r="H916" s="262"/>
      <c r="I916" s="320"/>
      <c r="J916" s="320"/>
      <c r="K916" s="262"/>
      <c r="L916" s="262"/>
      <c r="M916" s="327" t="str">
        <f t="shared" si="206"/>
        <v/>
      </c>
      <c r="N916" s="327" t="str">
        <f t="shared" si="207"/>
        <v/>
      </c>
      <c r="O916" s="327" t="str">
        <f t="shared" si="208"/>
        <v/>
      </c>
      <c r="P916" s="327" t="str">
        <f t="shared" si="209"/>
        <v/>
      </c>
      <c r="Q916" s="327" t="str">
        <f t="shared" si="210"/>
        <v/>
      </c>
      <c r="R916" s="327" t="str">
        <f t="shared" si="211"/>
        <v/>
      </c>
      <c r="S916" s="421" t="str">
        <f t="shared" si="212"/>
        <v/>
      </c>
      <c r="T916" s="327" t="str">
        <f t="shared" si="213"/>
        <v/>
      </c>
      <c r="U916" s="327" t="str">
        <f t="shared" si="214"/>
        <v/>
      </c>
      <c r="V916" s="327" t="str">
        <f t="shared" si="215"/>
        <v/>
      </c>
      <c r="W916" s="327" t="str">
        <f t="shared" si="216"/>
        <v/>
      </c>
      <c r="X916" s="327" t="str">
        <f t="shared" si="217"/>
        <v/>
      </c>
      <c r="Y916" s="327" t="str">
        <f t="shared" si="218"/>
        <v/>
      </c>
      <c r="Z916" s="428" t="str">
        <f t="shared" si="219"/>
        <v/>
      </c>
    </row>
    <row r="917" spans="1:26" x14ac:dyDescent="0.35">
      <c r="A917" s="265"/>
      <c r="B917" s="266"/>
      <c r="C917" s="262"/>
      <c r="D917" s="262"/>
      <c r="E917" s="262"/>
      <c r="F917" s="262"/>
      <c r="G917" s="320"/>
      <c r="H917" s="262"/>
      <c r="I917" s="320"/>
      <c r="J917" s="320"/>
      <c r="K917" s="262"/>
      <c r="L917" s="262"/>
      <c r="M917" s="327" t="str">
        <f t="shared" si="206"/>
        <v/>
      </c>
      <c r="N917" s="327" t="str">
        <f t="shared" si="207"/>
        <v/>
      </c>
      <c r="O917" s="327" t="str">
        <f t="shared" si="208"/>
        <v/>
      </c>
      <c r="P917" s="327" t="str">
        <f t="shared" si="209"/>
        <v/>
      </c>
      <c r="Q917" s="327" t="str">
        <f t="shared" si="210"/>
        <v/>
      </c>
      <c r="R917" s="327" t="str">
        <f t="shared" si="211"/>
        <v/>
      </c>
      <c r="S917" s="421" t="str">
        <f t="shared" si="212"/>
        <v/>
      </c>
      <c r="T917" s="327" t="str">
        <f t="shared" si="213"/>
        <v/>
      </c>
      <c r="U917" s="327" t="str">
        <f t="shared" si="214"/>
        <v/>
      </c>
      <c r="V917" s="327" t="str">
        <f t="shared" si="215"/>
        <v/>
      </c>
      <c r="W917" s="327" t="str">
        <f t="shared" si="216"/>
        <v/>
      </c>
      <c r="X917" s="327" t="str">
        <f t="shared" si="217"/>
        <v/>
      </c>
      <c r="Y917" s="327" t="str">
        <f t="shared" si="218"/>
        <v/>
      </c>
      <c r="Z917" s="428" t="str">
        <f t="shared" si="219"/>
        <v/>
      </c>
    </row>
    <row r="918" spans="1:26" x14ac:dyDescent="0.35">
      <c r="A918" s="265"/>
      <c r="B918" s="266"/>
      <c r="C918" s="262"/>
      <c r="D918" s="262"/>
      <c r="E918" s="262"/>
      <c r="F918" s="262"/>
      <c r="G918" s="320"/>
      <c r="H918" s="262"/>
      <c r="I918" s="320"/>
      <c r="J918" s="320"/>
      <c r="K918" s="262"/>
      <c r="L918" s="262"/>
      <c r="M918" s="327" t="str">
        <f t="shared" si="206"/>
        <v/>
      </c>
      <c r="N918" s="327" t="str">
        <f t="shared" si="207"/>
        <v/>
      </c>
      <c r="O918" s="327" t="str">
        <f t="shared" si="208"/>
        <v/>
      </c>
      <c r="P918" s="327" t="str">
        <f t="shared" si="209"/>
        <v/>
      </c>
      <c r="Q918" s="327" t="str">
        <f t="shared" si="210"/>
        <v/>
      </c>
      <c r="R918" s="327" t="str">
        <f t="shared" si="211"/>
        <v/>
      </c>
      <c r="S918" s="421" t="str">
        <f t="shared" si="212"/>
        <v/>
      </c>
      <c r="T918" s="327" t="str">
        <f t="shared" si="213"/>
        <v/>
      </c>
      <c r="U918" s="327" t="str">
        <f t="shared" si="214"/>
        <v/>
      </c>
      <c r="V918" s="327" t="str">
        <f t="shared" si="215"/>
        <v/>
      </c>
      <c r="W918" s="327" t="str">
        <f t="shared" si="216"/>
        <v/>
      </c>
      <c r="X918" s="327" t="str">
        <f t="shared" si="217"/>
        <v/>
      </c>
      <c r="Y918" s="327" t="str">
        <f t="shared" si="218"/>
        <v/>
      </c>
      <c r="Z918" s="428" t="str">
        <f t="shared" si="219"/>
        <v/>
      </c>
    </row>
    <row r="919" spans="1:26" x14ac:dyDescent="0.35">
      <c r="A919" s="265"/>
      <c r="B919" s="266"/>
      <c r="C919" s="262"/>
      <c r="D919" s="262"/>
      <c r="E919" s="262"/>
      <c r="F919" s="262"/>
      <c r="G919" s="320"/>
      <c r="H919" s="262"/>
      <c r="I919" s="320"/>
      <c r="J919" s="320"/>
      <c r="K919" s="262"/>
      <c r="L919" s="262"/>
      <c r="M919" s="327" t="str">
        <f t="shared" si="206"/>
        <v/>
      </c>
      <c r="N919" s="327" t="str">
        <f t="shared" si="207"/>
        <v/>
      </c>
      <c r="O919" s="327" t="str">
        <f t="shared" si="208"/>
        <v/>
      </c>
      <c r="P919" s="327" t="str">
        <f t="shared" si="209"/>
        <v/>
      </c>
      <c r="Q919" s="327" t="str">
        <f t="shared" si="210"/>
        <v/>
      </c>
      <c r="R919" s="327" t="str">
        <f t="shared" si="211"/>
        <v/>
      </c>
      <c r="S919" s="421" t="str">
        <f t="shared" si="212"/>
        <v/>
      </c>
      <c r="T919" s="327" t="str">
        <f t="shared" si="213"/>
        <v/>
      </c>
      <c r="U919" s="327" t="str">
        <f t="shared" si="214"/>
        <v/>
      </c>
      <c r="V919" s="327" t="str">
        <f t="shared" si="215"/>
        <v/>
      </c>
      <c r="W919" s="327" t="str">
        <f t="shared" si="216"/>
        <v/>
      </c>
      <c r="X919" s="327" t="str">
        <f t="shared" si="217"/>
        <v/>
      </c>
      <c r="Y919" s="327" t="str">
        <f t="shared" si="218"/>
        <v/>
      </c>
      <c r="Z919" s="428" t="str">
        <f t="shared" si="219"/>
        <v/>
      </c>
    </row>
    <row r="920" spans="1:26" x14ac:dyDescent="0.35">
      <c r="A920" s="265"/>
      <c r="B920" s="266"/>
      <c r="C920" s="262"/>
      <c r="D920" s="262"/>
      <c r="E920" s="262"/>
      <c r="F920" s="262"/>
      <c r="G920" s="320"/>
      <c r="H920" s="262"/>
      <c r="I920" s="320"/>
      <c r="J920" s="320"/>
      <c r="K920" s="262"/>
      <c r="L920" s="262"/>
      <c r="M920" s="327" t="str">
        <f t="shared" si="206"/>
        <v/>
      </c>
      <c r="N920" s="327" t="str">
        <f t="shared" si="207"/>
        <v/>
      </c>
      <c r="O920" s="327" t="str">
        <f t="shared" si="208"/>
        <v/>
      </c>
      <c r="P920" s="327" t="str">
        <f t="shared" si="209"/>
        <v/>
      </c>
      <c r="Q920" s="327" t="str">
        <f t="shared" si="210"/>
        <v/>
      </c>
      <c r="R920" s="327" t="str">
        <f t="shared" si="211"/>
        <v/>
      </c>
      <c r="S920" s="421" t="str">
        <f t="shared" si="212"/>
        <v/>
      </c>
      <c r="T920" s="327" t="str">
        <f t="shared" si="213"/>
        <v/>
      </c>
      <c r="U920" s="327" t="str">
        <f t="shared" si="214"/>
        <v/>
      </c>
      <c r="V920" s="327" t="str">
        <f t="shared" si="215"/>
        <v/>
      </c>
      <c r="W920" s="327" t="str">
        <f t="shared" si="216"/>
        <v/>
      </c>
      <c r="X920" s="327" t="str">
        <f t="shared" si="217"/>
        <v/>
      </c>
      <c r="Y920" s="327" t="str">
        <f t="shared" si="218"/>
        <v/>
      </c>
      <c r="Z920" s="428" t="str">
        <f t="shared" si="219"/>
        <v/>
      </c>
    </row>
    <row r="921" spans="1:26" x14ac:dyDescent="0.35">
      <c r="A921" s="265"/>
      <c r="B921" s="266"/>
      <c r="C921" s="262"/>
      <c r="D921" s="262"/>
      <c r="E921" s="262"/>
      <c r="F921" s="262"/>
      <c r="G921" s="320"/>
      <c r="H921" s="262"/>
      <c r="I921" s="320"/>
      <c r="J921" s="320"/>
      <c r="K921" s="262"/>
      <c r="L921" s="262"/>
      <c r="M921" s="327" t="str">
        <f t="shared" si="206"/>
        <v/>
      </c>
      <c r="N921" s="327" t="str">
        <f t="shared" si="207"/>
        <v/>
      </c>
      <c r="O921" s="327" t="str">
        <f t="shared" si="208"/>
        <v/>
      </c>
      <c r="P921" s="327" t="str">
        <f t="shared" si="209"/>
        <v/>
      </c>
      <c r="Q921" s="327" t="str">
        <f t="shared" si="210"/>
        <v/>
      </c>
      <c r="R921" s="327" t="str">
        <f t="shared" si="211"/>
        <v/>
      </c>
      <c r="S921" s="421" t="str">
        <f t="shared" si="212"/>
        <v/>
      </c>
      <c r="T921" s="327" t="str">
        <f t="shared" si="213"/>
        <v/>
      </c>
      <c r="U921" s="327" t="str">
        <f t="shared" si="214"/>
        <v/>
      </c>
      <c r="V921" s="327" t="str">
        <f t="shared" si="215"/>
        <v/>
      </c>
      <c r="W921" s="327" t="str">
        <f t="shared" si="216"/>
        <v/>
      </c>
      <c r="X921" s="327" t="str">
        <f t="shared" si="217"/>
        <v/>
      </c>
      <c r="Y921" s="327" t="str">
        <f t="shared" si="218"/>
        <v/>
      </c>
      <c r="Z921" s="428" t="str">
        <f t="shared" si="219"/>
        <v/>
      </c>
    </row>
    <row r="922" spans="1:26" x14ac:dyDescent="0.35">
      <c r="A922" s="265"/>
      <c r="B922" s="266"/>
      <c r="C922" s="262"/>
      <c r="D922" s="262"/>
      <c r="E922" s="262"/>
      <c r="F922" s="262"/>
      <c r="G922" s="320"/>
      <c r="H922" s="262"/>
      <c r="I922" s="320"/>
      <c r="J922" s="320"/>
      <c r="K922" s="262"/>
      <c r="L922" s="262"/>
      <c r="M922" s="327" t="str">
        <f t="shared" si="206"/>
        <v/>
      </c>
      <c r="N922" s="327" t="str">
        <f t="shared" si="207"/>
        <v/>
      </c>
      <c r="O922" s="327" t="str">
        <f t="shared" si="208"/>
        <v/>
      </c>
      <c r="P922" s="327" t="str">
        <f t="shared" si="209"/>
        <v/>
      </c>
      <c r="Q922" s="327" t="str">
        <f t="shared" si="210"/>
        <v/>
      </c>
      <c r="R922" s="327" t="str">
        <f t="shared" si="211"/>
        <v/>
      </c>
      <c r="S922" s="421" t="str">
        <f t="shared" si="212"/>
        <v/>
      </c>
      <c r="T922" s="327" t="str">
        <f t="shared" si="213"/>
        <v/>
      </c>
      <c r="U922" s="327" t="str">
        <f t="shared" si="214"/>
        <v/>
      </c>
      <c r="V922" s="327" t="str">
        <f t="shared" si="215"/>
        <v/>
      </c>
      <c r="W922" s="327" t="str">
        <f t="shared" si="216"/>
        <v/>
      </c>
      <c r="X922" s="327" t="str">
        <f t="shared" si="217"/>
        <v/>
      </c>
      <c r="Y922" s="327" t="str">
        <f t="shared" si="218"/>
        <v/>
      </c>
      <c r="Z922" s="428" t="str">
        <f t="shared" si="219"/>
        <v/>
      </c>
    </row>
    <row r="923" spans="1:26" x14ac:dyDescent="0.35">
      <c r="A923" s="265"/>
      <c r="B923" s="266"/>
      <c r="C923" s="262"/>
      <c r="D923" s="262"/>
      <c r="E923" s="262"/>
      <c r="F923" s="262"/>
      <c r="G923" s="320"/>
      <c r="H923" s="262"/>
      <c r="I923" s="320"/>
      <c r="J923" s="320"/>
      <c r="K923" s="262"/>
      <c r="L923" s="262"/>
      <c r="M923" s="327" t="str">
        <f t="shared" si="206"/>
        <v/>
      </c>
      <c r="N923" s="327" t="str">
        <f t="shared" si="207"/>
        <v/>
      </c>
      <c r="O923" s="327" t="str">
        <f t="shared" si="208"/>
        <v/>
      </c>
      <c r="P923" s="327" t="str">
        <f t="shared" si="209"/>
        <v/>
      </c>
      <c r="Q923" s="327" t="str">
        <f t="shared" si="210"/>
        <v/>
      </c>
      <c r="R923" s="327" t="str">
        <f t="shared" si="211"/>
        <v/>
      </c>
      <c r="S923" s="421" t="str">
        <f t="shared" si="212"/>
        <v/>
      </c>
      <c r="T923" s="327" t="str">
        <f t="shared" si="213"/>
        <v/>
      </c>
      <c r="U923" s="327" t="str">
        <f t="shared" si="214"/>
        <v/>
      </c>
      <c r="V923" s="327" t="str">
        <f t="shared" si="215"/>
        <v/>
      </c>
      <c r="W923" s="327" t="str">
        <f t="shared" si="216"/>
        <v/>
      </c>
      <c r="X923" s="327" t="str">
        <f t="shared" si="217"/>
        <v/>
      </c>
      <c r="Y923" s="327" t="str">
        <f t="shared" si="218"/>
        <v/>
      </c>
      <c r="Z923" s="428" t="str">
        <f t="shared" si="219"/>
        <v/>
      </c>
    </row>
    <row r="924" spans="1:26" x14ac:dyDescent="0.35">
      <c r="A924" s="265"/>
      <c r="B924" s="266"/>
      <c r="C924" s="262"/>
      <c r="D924" s="262"/>
      <c r="E924" s="262"/>
      <c r="F924" s="262"/>
      <c r="G924" s="320"/>
      <c r="H924" s="262"/>
      <c r="I924" s="320"/>
      <c r="J924" s="320"/>
      <c r="K924" s="262"/>
      <c r="L924" s="262"/>
      <c r="M924" s="327" t="str">
        <f t="shared" si="206"/>
        <v/>
      </c>
      <c r="N924" s="327" t="str">
        <f t="shared" si="207"/>
        <v/>
      </c>
      <c r="O924" s="327" t="str">
        <f t="shared" si="208"/>
        <v/>
      </c>
      <c r="P924" s="327" t="str">
        <f t="shared" si="209"/>
        <v/>
      </c>
      <c r="Q924" s="327" t="str">
        <f t="shared" si="210"/>
        <v/>
      </c>
      <c r="R924" s="327" t="str">
        <f t="shared" si="211"/>
        <v/>
      </c>
      <c r="S924" s="421" t="str">
        <f t="shared" si="212"/>
        <v/>
      </c>
      <c r="T924" s="327" t="str">
        <f t="shared" si="213"/>
        <v/>
      </c>
      <c r="U924" s="327" t="str">
        <f t="shared" si="214"/>
        <v/>
      </c>
      <c r="V924" s="327" t="str">
        <f t="shared" si="215"/>
        <v/>
      </c>
      <c r="W924" s="327" t="str">
        <f t="shared" si="216"/>
        <v/>
      </c>
      <c r="X924" s="327" t="str">
        <f t="shared" si="217"/>
        <v/>
      </c>
      <c r="Y924" s="327" t="str">
        <f t="shared" si="218"/>
        <v/>
      </c>
      <c r="Z924" s="428" t="str">
        <f t="shared" si="219"/>
        <v/>
      </c>
    </row>
    <row r="925" spans="1:26" x14ac:dyDescent="0.35">
      <c r="A925" s="265"/>
      <c r="B925" s="266"/>
      <c r="C925" s="262"/>
      <c r="D925" s="262"/>
      <c r="E925" s="262"/>
      <c r="F925" s="262"/>
      <c r="G925" s="320"/>
      <c r="H925" s="262"/>
      <c r="I925" s="320"/>
      <c r="J925" s="320"/>
      <c r="K925" s="262"/>
      <c r="L925" s="262"/>
      <c r="M925" s="327" t="str">
        <f t="shared" si="206"/>
        <v/>
      </c>
      <c r="N925" s="327" t="str">
        <f t="shared" si="207"/>
        <v/>
      </c>
      <c r="O925" s="327" t="str">
        <f t="shared" si="208"/>
        <v/>
      </c>
      <c r="P925" s="327" t="str">
        <f t="shared" si="209"/>
        <v/>
      </c>
      <c r="Q925" s="327" t="str">
        <f t="shared" si="210"/>
        <v/>
      </c>
      <c r="R925" s="327" t="str">
        <f t="shared" si="211"/>
        <v/>
      </c>
      <c r="S925" s="421" t="str">
        <f t="shared" si="212"/>
        <v/>
      </c>
      <c r="T925" s="327" t="str">
        <f t="shared" si="213"/>
        <v/>
      </c>
      <c r="U925" s="327" t="str">
        <f t="shared" si="214"/>
        <v/>
      </c>
      <c r="V925" s="327" t="str">
        <f t="shared" si="215"/>
        <v/>
      </c>
      <c r="W925" s="327" t="str">
        <f t="shared" si="216"/>
        <v/>
      </c>
      <c r="X925" s="327" t="str">
        <f t="shared" si="217"/>
        <v/>
      </c>
      <c r="Y925" s="327" t="str">
        <f t="shared" si="218"/>
        <v/>
      </c>
      <c r="Z925" s="428" t="str">
        <f t="shared" si="219"/>
        <v/>
      </c>
    </row>
    <row r="926" spans="1:26" x14ac:dyDescent="0.35">
      <c r="A926" s="265"/>
      <c r="B926" s="266"/>
      <c r="C926" s="262"/>
      <c r="D926" s="262"/>
      <c r="E926" s="262"/>
      <c r="F926" s="262"/>
      <c r="G926" s="320"/>
      <c r="H926" s="262"/>
      <c r="I926" s="320"/>
      <c r="J926" s="320"/>
      <c r="K926" s="262"/>
      <c r="L926" s="262"/>
      <c r="M926" s="327" t="str">
        <f t="shared" si="206"/>
        <v/>
      </c>
      <c r="N926" s="327" t="str">
        <f t="shared" si="207"/>
        <v/>
      </c>
      <c r="O926" s="327" t="str">
        <f t="shared" si="208"/>
        <v/>
      </c>
      <c r="P926" s="327" t="str">
        <f t="shared" si="209"/>
        <v/>
      </c>
      <c r="Q926" s="327" t="str">
        <f t="shared" si="210"/>
        <v/>
      </c>
      <c r="R926" s="327" t="str">
        <f t="shared" si="211"/>
        <v/>
      </c>
      <c r="S926" s="421" t="str">
        <f t="shared" si="212"/>
        <v/>
      </c>
      <c r="T926" s="327" t="str">
        <f t="shared" si="213"/>
        <v/>
      </c>
      <c r="U926" s="327" t="str">
        <f t="shared" si="214"/>
        <v/>
      </c>
      <c r="V926" s="327" t="str">
        <f t="shared" si="215"/>
        <v/>
      </c>
      <c r="W926" s="327" t="str">
        <f t="shared" si="216"/>
        <v/>
      </c>
      <c r="X926" s="327" t="str">
        <f t="shared" si="217"/>
        <v/>
      </c>
      <c r="Y926" s="327" t="str">
        <f t="shared" si="218"/>
        <v/>
      </c>
      <c r="Z926" s="428" t="str">
        <f t="shared" si="219"/>
        <v/>
      </c>
    </row>
    <row r="927" spans="1:26" x14ac:dyDescent="0.35">
      <c r="A927" s="265"/>
      <c r="B927" s="266"/>
      <c r="C927" s="262"/>
      <c r="D927" s="262"/>
      <c r="E927" s="262"/>
      <c r="F927" s="262"/>
      <c r="G927" s="320"/>
      <c r="H927" s="262"/>
      <c r="I927" s="320"/>
      <c r="J927" s="320"/>
      <c r="K927" s="262"/>
      <c r="L927" s="262"/>
      <c r="M927" s="327" t="str">
        <f t="shared" si="206"/>
        <v/>
      </c>
      <c r="N927" s="327" t="str">
        <f t="shared" si="207"/>
        <v/>
      </c>
      <c r="O927" s="327" t="str">
        <f t="shared" si="208"/>
        <v/>
      </c>
      <c r="P927" s="327" t="str">
        <f t="shared" si="209"/>
        <v/>
      </c>
      <c r="Q927" s="327" t="str">
        <f t="shared" si="210"/>
        <v/>
      </c>
      <c r="R927" s="327" t="str">
        <f t="shared" si="211"/>
        <v/>
      </c>
      <c r="S927" s="421" t="str">
        <f t="shared" si="212"/>
        <v/>
      </c>
      <c r="T927" s="327" t="str">
        <f t="shared" si="213"/>
        <v/>
      </c>
      <c r="U927" s="327" t="str">
        <f t="shared" si="214"/>
        <v/>
      </c>
      <c r="V927" s="327" t="str">
        <f t="shared" si="215"/>
        <v/>
      </c>
      <c r="W927" s="327" t="str">
        <f t="shared" si="216"/>
        <v/>
      </c>
      <c r="X927" s="327" t="str">
        <f t="shared" si="217"/>
        <v/>
      </c>
      <c r="Y927" s="327" t="str">
        <f t="shared" si="218"/>
        <v/>
      </c>
      <c r="Z927" s="428" t="str">
        <f t="shared" si="219"/>
        <v/>
      </c>
    </row>
    <row r="928" spans="1:26" x14ac:dyDescent="0.35">
      <c r="A928" s="265"/>
      <c r="B928" s="266"/>
      <c r="C928" s="262"/>
      <c r="D928" s="262"/>
      <c r="E928" s="262"/>
      <c r="F928" s="262"/>
      <c r="G928" s="320"/>
      <c r="H928" s="262"/>
      <c r="I928" s="320"/>
      <c r="J928" s="320"/>
      <c r="K928" s="262"/>
      <c r="L928" s="262"/>
      <c r="M928" s="327" t="str">
        <f t="shared" si="206"/>
        <v/>
      </c>
      <c r="N928" s="327" t="str">
        <f t="shared" si="207"/>
        <v/>
      </c>
      <c r="O928" s="327" t="str">
        <f t="shared" si="208"/>
        <v/>
      </c>
      <c r="P928" s="327" t="str">
        <f t="shared" si="209"/>
        <v/>
      </c>
      <c r="Q928" s="327" t="str">
        <f t="shared" si="210"/>
        <v/>
      </c>
      <c r="R928" s="327" t="str">
        <f t="shared" si="211"/>
        <v/>
      </c>
      <c r="S928" s="421" t="str">
        <f t="shared" si="212"/>
        <v/>
      </c>
      <c r="T928" s="327" t="str">
        <f t="shared" si="213"/>
        <v/>
      </c>
      <c r="U928" s="327" t="str">
        <f t="shared" si="214"/>
        <v/>
      </c>
      <c r="V928" s="327" t="str">
        <f t="shared" si="215"/>
        <v/>
      </c>
      <c r="W928" s="327" t="str">
        <f t="shared" si="216"/>
        <v/>
      </c>
      <c r="X928" s="327" t="str">
        <f t="shared" si="217"/>
        <v/>
      </c>
      <c r="Y928" s="327" t="str">
        <f t="shared" si="218"/>
        <v/>
      </c>
      <c r="Z928" s="428" t="str">
        <f t="shared" si="219"/>
        <v/>
      </c>
    </row>
    <row r="929" spans="1:26" x14ac:dyDescent="0.35">
      <c r="A929" s="265"/>
      <c r="B929" s="266"/>
      <c r="C929" s="262"/>
      <c r="D929" s="262"/>
      <c r="E929" s="262"/>
      <c r="F929" s="262"/>
      <c r="G929" s="320"/>
      <c r="H929" s="262"/>
      <c r="I929" s="320"/>
      <c r="J929" s="320"/>
      <c r="K929" s="262"/>
      <c r="L929" s="262"/>
      <c r="M929" s="327" t="str">
        <f t="shared" si="206"/>
        <v/>
      </c>
      <c r="N929" s="327" t="str">
        <f t="shared" si="207"/>
        <v/>
      </c>
      <c r="O929" s="327" t="str">
        <f t="shared" si="208"/>
        <v/>
      </c>
      <c r="P929" s="327" t="str">
        <f t="shared" si="209"/>
        <v/>
      </c>
      <c r="Q929" s="327" t="str">
        <f t="shared" si="210"/>
        <v/>
      </c>
      <c r="R929" s="327" t="str">
        <f t="shared" si="211"/>
        <v/>
      </c>
      <c r="S929" s="421" t="str">
        <f t="shared" si="212"/>
        <v/>
      </c>
      <c r="T929" s="327" t="str">
        <f t="shared" si="213"/>
        <v/>
      </c>
      <c r="U929" s="327" t="str">
        <f t="shared" si="214"/>
        <v/>
      </c>
      <c r="V929" s="327" t="str">
        <f t="shared" si="215"/>
        <v/>
      </c>
      <c r="W929" s="327" t="str">
        <f t="shared" si="216"/>
        <v/>
      </c>
      <c r="X929" s="327" t="str">
        <f t="shared" si="217"/>
        <v/>
      </c>
      <c r="Y929" s="327" t="str">
        <f t="shared" si="218"/>
        <v/>
      </c>
      <c r="Z929" s="428" t="str">
        <f t="shared" si="219"/>
        <v/>
      </c>
    </row>
    <row r="930" spans="1:26" x14ac:dyDescent="0.35">
      <c r="A930" s="265"/>
      <c r="B930" s="266"/>
      <c r="C930" s="262"/>
      <c r="D930" s="262"/>
      <c r="E930" s="262"/>
      <c r="F930" s="262"/>
      <c r="G930" s="320"/>
      <c r="H930" s="262"/>
      <c r="I930" s="320"/>
      <c r="J930" s="320"/>
      <c r="K930" s="262"/>
      <c r="L930" s="262"/>
      <c r="M930" s="327" t="str">
        <f t="shared" si="206"/>
        <v/>
      </c>
      <c r="N930" s="327" t="str">
        <f t="shared" si="207"/>
        <v/>
      </c>
      <c r="O930" s="327" t="str">
        <f t="shared" si="208"/>
        <v/>
      </c>
      <c r="P930" s="327" t="str">
        <f t="shared" si="209"/>
        <v/>
      </c>
      <c r="Q930" s="327" t="str">
        <f t="shared" si="210"/>
        <v/>
      </c>
      <c r="R930" s="327" t="str">
        <f t="shared" si="211"/>
        <v/>
      </c>
      <c r="S930" s="421" t="str">
        <f t="shared" si="212"/>
        <v/>
      </c>
      <c r="T930" s="327" t="str">
        <f t="shared" si="213"/>
        <v/>
      </c>
      <c r="U930" s="327" t="str">
        <f t="shared" si="214"/>
        <v/>
      </c>
      <c r="V930" s="327" t="str">
        <f t="shared" si="215"/>
        <v/>
      </c>
      <c r="W930" s="327" t="str">
        <f t="shared" si="216"/>
        <v/>
      </c>
      <c r="X930" s="327" t="str">
        <f t="shared" si="217"/>
        <v/>
      </c>
      <c r="Y930" s="327" t="str">
        <f t="shared" si="218"/>
        <v/>
      </c>
      <c r="Z930" s="428" t="str">
        <f t="shared" si="219"/>
        <v/>
      </c>
    </row>
    <row r="931" spans="1:26" x14ac:dyDescent="0.35">
      <c r="A931" s="265"/>
      <c r="B931" s="266"/>
      <c r="C931" s="262"/>
      <c r="D931" s="262"/>
      <c r="E931" s="262"/>
      <c r="F931" s="262"/>
      <c r="G931" s="320"/>
      <c r="H931" s="262"/>
      <c r="I931" s="320"/>
      <c r="J931" s="320"/>
      <c r="K931" s="262"/>
      <c r="L931" s="262"/>
      <c r="M931" s="327" t="str">
        <f t="shared" si="206"/>
        <v/>
      </c>
      <c r="N931" s="327" t="str">
        <f t="shared" si="207"/>
        <v/>
      </c>
      <c r="O931" s="327" t="str">
        <f t="shared" si="208"/>
        <v/>
      </c>
      <c r="P931" s="327" t="str">
        <f t="shared" si="209"/>
        <v/>
      </c>
      <c r="Q931" s="327" t="str">
        <f t="shared" si="210"/>
        <v/>
      </c>
      <c r="R931" s="327" t="str">
        <f t="shared" si="211"/>
        <v/>
      </c>
      <c r="S931" s="421" t="str">
        <f t="shared" si="212"/>
        <v/>
      </c>
      <c r="T931" s="327" t="str">
        <f t="shared" si="213"/>
        <v/>
      </c>
      <c r="U931" s="327" t="str">
        <f t="shared" si="214"/>
        <v/>
      </c>
      <c r="V931" s="327" t="str">
        <f t="shared" si="215"/>
        <v/>
      </c>
      <c r="W931" s="327" t="str">
        <f t="shared" si="216"/>
        <v/>
      </c>
      <c r="X931" s="327" t="str">
        <f t="shared" si="217"/>
        <v/>
      </c>
      <c r="Y931" s="327" t="str">
        <f t="shared" si="218"/>
        <v/>
      </c>
      <c r="Z931" s="428" t="str">
        <f t="shared" si="219"/>
        <v/>
      </c>
    </row>
    <row r="932" spans="1:26" x14ac:dyDescent="0.35">
      <c r="A932" s="265"/>
      <c r="B932" s="266"/>
      <c r="C932" s="262"/>
      <c r="D932" s="262"/>
      <c r="E932" s="262"/>
      <c r="F932" s="262"/>
      <c r="G932" s="320"/>
      <c r="H932" s="262"/>
      <c r="I932" s="320"/>
      <c r="J932" s="320"/>
      <c r="K932" s="262"/>
      <c r="L932" s="262"/>
      <c r="M932" s="327" t="str">
        <f t="shared" si="206"/>
        <v/>
      </c>
      <c r="N932" s="327" t="str">
        <f t="shared" si="207"/>
        <v/>
      </c>
      <c r="O932" s="327" t="str">
        <f t="shared" si="208"/>
        <v/>
      </c>
      <c r="P932" s="327" t="str">
        <f t="shared" si="209"/>
        <v/>
      </c>
      <c r="Q932" s="327" t="str">
        <f t="shared" si="210"/>
        <v/>
      </c>
      <c r="R932" s="327" t="str">
        <f t="shared" si="211"/>
        <v/>
      </c>
      <c r="S932" s="421" t="str">
        <f t="shared" si="212"/>
        <v/>
      </c>
      <c r="T932" s="327" t="str">
        <f t="shared" si="213"/>
        <v/>
      </c>
      <c r="U932" s="327" t="str">
        <f t="shared" si="214"/>
        <v/>
      </c>
      <c r="V932" s="327" t="str">
        <f t="shared" si="215"/>
        <v/>
      </c>
      <c r="W932" s="327" t="str">
        <f t="shared" si="216"/>
        <v/>
      </c>
      <c r="X932" s="327" t="str">
        <f t="shared" si="217"/>
        <v/>
      </c>
      <c r="Y932" s="327" t="str">
        <f t="shared" si="218"/>
        <v/>
      </c>
      <c r="Z932" s="428" t="str">
        <f t="shared" si="219"/>
        <v/>
      </c>
    </row>
    <row r="933" spans="1:26" x14ac:dyDescent="0.35">
      <c r="A933" s="265"/>
      <c r="B933" s="266"/>
      <c r="C933" s="262"/>
      <c r="D933" s="262"/>
      <c r="E933" s="262"/>
      <c r="F933" s="262"/>
      <c r="G933" s="320"/>
      <c r="H933" s="262"/>
      <c r="I933" s="320"/>
      <c r="J933" s="320"/>
      <c r="K933" s="262"/>
      <c r="L933" s="262"/>
      <c r="M933" s="327" t="str">
        <f t="shared" si="206"/>
        <v/>
      </c>
      <c r="N933" s="327" t="str">
        <f t="shared" si="207"/>
        <v/>
      </c>
      <c r="O933" s="327" t="str">
        <f t="shared" si="208"/>
        <v/>
      </c>
      <c r="P933" s="327" t="str">
        <f t="shared" si="209"/>
        <v/>
      </c>
      <c r="Q933" s="327" t="str">
        <f t="shared" si="210"/>
        <v/>
      </c>
      <c r="R933" s="327" t="str">
        <f t="shared" si="211"/>
        <v/>
      </c>
      <c r="S933" s="421" t="str">
        <f t="shared" si="212"/>
        <v/>
      </c>
      <c r="T933" s="327" t="str">
        <f t="shared" si="213"/>
        <v/>
      </c>
      <c r="U933" s="327" t="str">
        <f t="shared" si="214"/>
        <v/>
      </c>
      <c r="V933" s="327" t="str">
        <f t="shared" si="215"/>
        <v/>
      </c>
      <c r="W933" s="327" t="str">
        <f t="shared" si="216"/>
        <v/>
      </c>
      <c r="X933" s="327" t="str">
        <f t="shared" si="217"/>
        <v/>
      </c>
      <c r="Y933" s="327" t="str">
        <f t="shared" si="218"/>
        <v/>
      </c>
      <c r="Z933" s="428" t="str">
        <f t="shared" si="219"/>
        <v/>
      </c>
    </row>
    <row r="934" spans="1:26" x14ac:dyDescent="0.35">
      <c r="A934" s="265"/>
      <c r="B934" s="266"/>
      <c r="C934" s="262"/>
      <c r="D934" s="262"/>
      <c r="E934" s="262"/>
      <c r="F934" s="262"/>
      <c r="G934" s="320"/>
      <c r="H934" s="262"/>
      <c r="I934" s="320"/>
      <c r="J934" s="320"/>
      <c r="K934" s="262"/>
      <c r="L934" s="262"/>
      <c r="M934" s="327" t="str">
        <f t="shared" si="206"/>
        <v/>
      </c>
      <c r="N934" s="327" t="str">
        <f t="shared" si="207"/>
        <v/>
      </c>
      <c r="O934" s="327" t="str">
        <f t="shared" si="208"/>
        <v/>
      </c>
      <c r="P934" s="327" t="str">
        <f t="shared" si="209"/>
        <v/>
      </c>
      <c r="Q934" s="327" t="str">
        <f t="shared" si="210"/>
        <v/>
      </c>
      <c r="R934" s="327" t="str">
        <f t="shared" si="211"/>
        <v/>
      </c>
      <c r="S934" s="421" t="str">
        <f t="shared" si="212"/>
        <v/>
      </c>
      <c r="T934" s="327" t="str">
        <f t="shared" si="213"/>
        <v/>
      </c>
      <c r="U934" s="327" t="str">
        <f t="shared" si="214"/>
        <v/>
      </c>
      <c r="V934" s="327" t="str">
        <f t="shared" si="215"/>
        <v/>
      </c>
      <c r="W934" s="327" t="str">
        <f t="shared" si="216"/>
        <v/>
      </c>
      <c r="X934" s="327" t="str">
        <f t="shared" si="217"/>
        <v/>
      </c>
      <c r="Y934" s="327" t="str">
        <f t="shared" si="218"/>
        <v/>
      </c>
      <c r="Z934" s="428" t="str">
        <f t="shared" si="219"/>
        <v/>
      </c>
    </row>
    <row r="935" spans="1:26" x14ac:dyDescent="0.35">
      <c r="A935" s="265"/>
      <c r="B935" s="266"/>
      <c r="C935" s="262"/>
      <c r="D935" s="262"/>
      <c r="E935" s="262"/>
      <c r="F935" s="262"/>
      <c r="G935" s="320"/>
      <c r="H935" s="262"/>
      <c r="I935" s="320"/>
      <c r="J935" s="320"/>
      <c r="K935" s="262"/>
      <c r="L935" s="262"/>
      <c r="M935" s="327" t="str">
        <f t="shared" si="206"/>
        <v/>
      </c>
      <c r="N935" s="327" t="str">
        <f t="shared" si="207"/>
        <v/>
      </c>
      <c r="O935" s="327" t="str">
        <f t="shared" si="208"/>
        <v/>
      </c>
      <c r="P935" s="327" t="str">
        <f t="shared" si="209"/>
        <v/>
      </c>
      <c r="Q935" s="327" t="str">
        <f t="shared" si="210"/>
        <v/>
      </c>
      <c r="R935" s="327" t="str">
        <f t="shared" si="211"/>
        <v/>
      </c>
      <c r="S935" s="421" t="str">
        <f t="shared" si="212"/>
        <v/>
      </c>
      <c r="T935" s="327" t="str">
        <f t="shared" si="213"/>
        <v/>
      </c>
      <c r="U935" s="327" t="str">
        <f t="shared" si="214"/>
        <v/>
      </c>
      <c r="V935" s="327" t="str">
        <f t="shared" si="215"/>
        <v/>
      </c>
      <c r="W935" s="327" t="str">
        <f t="shared" si="216"/>
        <v/>
      </c>
      <c r="X935" s="327" t="str">
        <f t="shared" si="217"/>
        <v/>
      </c>
      <c r="Y935" s="327" t="str">
        <f t="shared" si="218"/>
        <v/>
      </c>
      <c r="Z935" s="428" t="str">
        <f t="shared" si="219"/>
        <v/>
      </c>
    </row>
    <row r="936" spans="1:26" x14ac:dyDescent="0.35">
      <c r="A936" s="265"/>
      <c r="B936" s="266"/>
      <c r="C936" s="262"/>
      <c r="D936" s="262"/>
      <c r="E936" s="262"/>
      <c r="F936" s="262"/>
      <c r="G936" s="320"/>
      <c r="H936" s="262"/>
      <c r="I936" s="320"/>
      <c r="J936" s="320"/>
      <c r="K936" s="262"/>
      <c r="L936" s="262"/>
      <c r="M936" s="327" t="str">
        <f t="shared" si="206"/>
        <v/>
      </c>
      <c r="N936" s="327" t="str">
        <f t="shared" si="207"/>
        <v/>
      </c>
      <c r="O936" s="327" t="str">
        <f t="shared" si="208"/>
        <v/>
      </c>
      <c r="P936" s="327" t="str">
        <f t="shared" si="209"/>
        <v/>
      </c>
      <c r="Q936" s="327" t="str">
        <f t="shared" si="210"/>
        <v/>
      </c>
      <c r="R936" s="327" t="str">
        <f t="shared" si="211"/>
        <v/>
      </c>
      <c r="S936" s="421" t="str">
        <f t="shared" si="212"/>
        <v/>
      </c>
      <c r="T936" s="327" t="str">
        <f t="shared" si="213"/>
        <v/>
      </c>
      <c r="U936" s="327" t="str">
        <f t="shared" si="214"/>
        <v/>
      </c>
      <c r="V936" s="327" t="str">
        <f t="shared" si="215"/>
        <v/>
      </c>
      <c r="W936" s="327" t="str">
        <f t="shared" si="216"/>
        <v/>
      </c>
      <c r="X936" s="327" t="str">
        <f t="shared" si="217"/>
        <v/>
      </c>
      <c r="Y936" s="327" t="str">
        <f t="shared" si="218"/>
        <v/>
      </c>
      <c r="Z936" s="428" t="str">
        <f t="shared" si="219"/>
        <v/>
      </c>
    </row>
    <row r="937" spans="1:26" x14ac:dyDescent="0.35">
      <c r="A937" s="265"/>
      <c r="B937" s="266"/>
      <c r="C937" s="262"/>
      <c r="D937" s="262"/>
      <c r="E937" s="262"/>
      <c r="F937" s="262"/>
      <c r="G937" s="320"/>
      <c r="H937" s="262"/>
      <c r="I937" s="320"/>
      <c r="J937" s="320"/>
      <c r="K937" s="262"/>
      <c r="L937" s="262"/>
      <c r="M937" s="327" t="str">
        <f t="shared" si="206"/>
        <v/>
      </c>
      <c r="N937" s="327" t="str">
        <f t="shared" si="207"/>
        <v/>
      </c>
      <c r="O937" s="327" t="str">
        <f t="shared" si="208"/>
        <v/>
      </c>
      <c r="P937" s="327" t="str">
        <f t="shared" si="209"/>
        <v/>
      </c>
      <c r="Q937" s="327" t="str">
        <f t="shared" si="210"/>
        <v/>
      </c>
      <c r="R937" s="327" t="str">
        <f t="shared" si="211"/>
        <v/>
      </c>
      <c r="S937" s="421" t="str">
        <f t="shared" si="212"/>
        <v/>
      </c>
      <c r="T937" s="327" t="str">
        <f t="shared" si="213"/>
        <v/>
      </c>
      <c r="U937" s="327" t="str">
        <f t="shared" si="214"/>
        <v/>
      </c>
      <c r="V937" s="327" t="str">
        <f t="shared" si="215"/>
        <v/>
      </c>
      <c r="W937" s="327" t="str">
        <f t="shared" si="216"/>
        <v/>
      </c>
      <c r="X937" s="327" t="str">
        <f t="shared" si="217"/>
        <v/>
      </c>
      <c r="Y937" s="327" t="str">
        <f t="shared" si="218"/>
        <v/>
      </c>
      <c r="Z937" s="428" t="str">
        <f t="shared" si="219"/>
        <v/>
      </c>
    </row>
    <row r="938" spans="1:26" x14ac:dyDescent="0.35">
      <c r="A938" s="265"/>
      <c r="B938" s="266"/>
      <c r="C938" s="262"/>
      <c r="D938" s="262"/>
      <c r="E938" s="262"/>
      <c r="F938" s="262"/>
      <c r="G938" s="320"/>
      <c r="H938" s="262"/>
      <c r="I938" s="320"/>
      <c r="J938" s="320"/>
      <c r="K938" s="262"/>
      <c r="L938" s="262"/>
      <c r="M938" s="327" t="str">
        <f t="shared" si="206"/>
        <v/>
      </c>
      <c r="N938" s="327" t="str">
        <f t="shared" si="207"/>
        <v/>
      </c>
      <c r="O938" s="327" t="str">
        <f t="shared" si="208"/>
        <v/>
      </c>
      <c r="P938" s="327" t="str">
        <f t="shared" si="209"/>
        <v/>
      </c>
      <c r="Q938" s="327" t="str">
        <f t="shared" si="210"/>
        <v/>
      </c>
      <c r="R938" s="327" t="str">
        <f t="shared" si="211"/>
        <v/>
      </c>
      <c r="S938" s="421" t="str">
        <f t="shared" si="212"/>
        <v/>
      </c>
      <c r="T938" s="327" t="str">
        <f t="shared" si="213"/>
        <v/>
      </c>
      <c r="U938" s="327" t="str">
        <f t="shared" si="214"/>
        <v/>
      </c>
      <c r="V938" s="327" t="str">
        <f t="shared" si="215"/>
        <v/>
      </c>
      <c r="W938" s="327" t="str">
        <f t="shared" si="216"/>
        <v/>
      </c>
      <c r="X938" s="327" t="str">
        <f t="shared" si="217"/>
        <v/>
      </c>
      <c r="Y938" s="327" t="str">
        <f t="shared" si="218"/>
        <v/>
      </c>
      <c r="Z938" s="428" t="str">
        <f t="shared" si="219"/>
        <v/>
      </c>
    </row>
    <row r="939" spans="1:26" x14ac:dyDescent="0.35">
      <c r="A939" s="265"/>
      <c r="B939" s="266"/>
      <c r="C939" s="262"/>
      <c r="D939" s="262"/>
      <c r="E939" s="262"/>
      <c r="F939" s="262"/>
      <c r="G939" s="320"/>
      <c r="H939" s="262"/>
      <c r="I939" s="320"/>
      <c r="J939" s="320"/>
      <c r="K939" s="262"/>
      <c r="L939" s="262"/>
      <c r="M939" s="327" t="str">
        <f t="shared" ref="M939:M1002" si="220">IF(OR(A939="", B939=""), "", IF(H939="Mitgliedsbeiträge", ABS(B939), ""))</f>
        <v/>
      </c>
      <c r="N939" s="327" t="str">
        <f t="shared" ref="N939:N1002" si="221">IF(OR(A939="", B939=""), "", IF(H939="Spenden", ABS(B939), ""))</f>
        <v/>
      </c>
      <c r="O939" s="327" t="str">
        <f t="shared" ref="O939:O1002" si="222">IF(OR(A939="", B939=""), "", IF(H939="Zuschüsse", ABS(B939), ""))</f>
        <v/>
      </c>
      <c r="P939" s="327" t="str">
        <f t="shared" ref="P939:P1002" si="223">IF(OR(A939="", B939=""), "", IF(H939="Verwaltung", ABS(B939), ""))</f>
        <v/>
      </c>
      <c r="Q939" s="327" t="str">
        <f t="shared" ref="Q939:Q1002" si="224">IF(OR(A939="", B939=""), "", IF(H939="Vermögen", ABS(B939), ""))</f>
        <v/>
      </c>
      <c r="R939" s="327" t="str">
        <f t="shared" ref="R939:R1002" si="225">IF(OR(A939="", B939=""), "", IF(H939="Vermögen", ABS(B939), ""))</f>
        <v/>
      </c>
      <c r="S939" s="421" t="str">
        <f t="shared" ref="S939:S1002" si="226">IF(OR(A939="", B939=""), "", IF(H939="Sonstige Einnahmen", ABS(B939), ""))</f>
        <v/>
      </c>
      <c r="T939" s="327" t="str">
        <f t="shared" ref="T939:T1002" si="227">IF(OR(A939="", B939=""), "", IF(H939="Unterhaltung", ABS(B939), ""))</f>
        <v/>
      </c>
      <c r="U939" s="327" t="str">
        <f t="shared" ref="U939:U1002" si="228">IF(OR(A939="", B939=""), "", IF(H939="Fortbildung", ABS(B939), ""))</f>
        <v/>
      </c>
      <c r="V939" s="327" t="str">
        <f t="shared" ref="V939:V1002" si="229">IF(OR(A939="", B939=""), "", IF(H939="Veranstaltungen Ausgabe", ABS(B939), ""))</f>
        <v/>
      </c>
      <c r="W939" s="327" t="str">
        <f t="shared" ref="W939:W1002" si="230">IF(OR(A939="", B939=""), "", IF(H939="Bürobetrieb", ABS(B939), ""))</f>
        <v/>
      </c>
      <c r="X939" s="327" t="str">
        <f t="shared" ref="X939:X1002" si="231">IF(OR(A939="", B939=""), "", IF(H939="Aufwandsentschädigungen", ABS(B939), ""))</f>
        <v/>
      </c>
      <c r="Y939" s="327" t="str">
        <f t="shared" ref="Y939:Y1002" si="232">IF(OR(A939="", B939=""), "", IF(H939="Sonstige Ausgaben", ABS(B939), ""))</f>
        <v/>
      </c>
      <c r="Z939" s="428" t="str">
        <f t="shared" ref="Z939:Z1002" si="233">IF(OR(A939="", B939=""), "", IF(H939="Kasse-Auszahlung", ABS(B939), ""))</f>
        <v/>
      </c>
    </row>
    <row r="940" spans="1:26" x14ac:dyDescent="0.35">
      <c r="A940" s="265"/>
      <c r="B940" s="266"/>
      <c r="C940" s="262"/>
      <c r="D940" s="262"/>
      <c r="E940" s="262"/>
      <c r="F940" s="262"/>
      <c r="G940" s="320"/>
      <c r="H940" s="262"/>
      <c r="I940" s="320"/>
      <c r="J940" s="320"/>
      <c r="K940" s="262"/>
      <c r="L940" s="262"/>
      <c r="M940" s="327" t="str">
        <f t="shared" si="220"/>
        <v/>
      </c>
      <c r="N940" s="327" t="str">
        <f t="shared" si="221"/>
        <v/>
      </c>
      <c r="O940" s="327" t="str">
        <f t="shared" si="222"/>
        <v/>
      </c>
      <c r="P940" s="327" t="str">
        <f t="shared" si="223"/>
        <v/>
      </c>
      <c r="Q940" s="327" t="str">
        <f t="shared" si="224"/>
        <v/>
      </c>
      <c r="R940" s="327" t="str">
        <f t="shared" si="225"/>
        <v/>
      </c>
      <c r="S940" s="421" t="str">
        <f t="shared" si="226"/>
        <v/>
      </c>
      <c r="T940" s="327" t="str">
        <f t="shared" si="227"/>
        <v/>
      </c>
      <c r="U940" s="327" t="str">
        <f t="shared" si="228"/>
        <v/>
      </c>
      <c r="V940" s="327" t="str">
        <f t="shared" si="229"/>
        <v/>
      </c>
      <c r="W940" s="327" t="str">
        <f t="shared" si="230"/>
        <v/>
      </c>
      <c r="X940" s="327" t="str">
        <f t="shared" si="231"/>
        <v/>
      </c>
      <c r="Y940" s="327" t="str">
        <f t="shared" si="232"/>
        <v/>
      </c>
      <c r="Z940" s="428" t="str">
        <f t="shared" si="233"/>
        <v/>
      </c>
    </row>
    <row r="941" spans="1:26" x14ac:dyDescent="0.35">
      <c r="A941" s="265"/>
      <c r="B941" s="266"/>
      <c r="C941" s="262"/>
      <c r="D941" s="262"/>
      <c r="E941" s="262"/>
      <c r="F941" s="262"/>
      <c r="G941" s="320"/>
      <c r="H941" s="262"/>
      <c r="I941" s="320"/>
      <c r="J941" s="320"/>
      <c r="K941" s="262"/>
      <c r="L941" s="262"/>
      <c r="M941" s="327" t="str">
        <f t="shared" si="220"/>
        <v/>
      </c>
      <c r="N941" s="327" t="str">
        <f t="shared" si="221"/>
        <v/>
      </c>
      <c r="O941" s="327" t="str">
        <f t="shared" si="222"/>
        <v/>
      </c>
      <c r="P941" s="327" t="str">
        <f t="shared" si="223"/>
        <v/>
      </c>
      <c r="Q941" s="327" t="str">
        <f t="shared" si="224"/>
        <v/>
      </c>
      <c r="R941" s="327" t="str">
        <f t="shared" si="225"/>
        <v/>
      </c>
      <c r="S941" s="421" t="str">
        <f t="shared" si="226"/>
        <v/>
      </c>
      <c r="T941" s="327" t="str">
        <f t="shared" si="227"/>
        <v/>
      </c>
      <c r="U941" s="327" t="str">
        <f t="shared" si="228"/>
        <v/>
      </c>
      <c r="V941" s="327" t="str">
        <f t="shared" si="229"/>
        <v/>
      </c>
      <c r="W941" s="327" t="str">
        <f t="shared" si="230"/>
        <v/>
      </c>
      <c r="X941" s="327" t="str">
        <f t="shared" si="231"/>
        <v/>
      </c>
      <c r="Y941" s="327" t="str">
        <f t="shared" si="232"/>
        <v/>
      </c>
      <c r="Z941" s="428" t="str">
        <f t="shared" si="233"/>
        <v/>
      </c>
    </row>
    <row r="942" spans="1:26" x14ac:dyDescent="0.35">
      <c r="A942" s="265"/>
      <c r="B942" s="266"/>
      <c r="C942" s="262"/>
      <c r="D942" s="262"/>
      <c r="E942" s="262"/>
      <c r="F942" s="262"/>
      <c r="G942" s="320"/>
      <c r="H942" s="262"/>
      <c r="I942" s="320"/>
      <c r="J942" s="320"/>
      <c r="K942" s="262"/>
      <c r="L942" s="262"/>
      <c r="M942" s="327" t="str">
        <f t="shared" si="220"/>
        <v/>
      </c>
      <c r="N942" s="327" t="str">
        <f t="shared" si="221"/>
        <v/>
      </c>
      <c r="O942" s="327" t="str">
        <f t="shared" si="222"/>
        <v/>
      </c>
      <c r="P942" s="327" t="str">
        <f t="shared" si="223"/>
        <v/>
      </c>
      <c r="Q942" s="327" t="str">
        <f t="shared" si="224"/>
        <v/>
      </c>
      <c r="R942" s="327" t="str">
        <f t="shared" si="225"/>
        <v/>
      </c>
      <c r="S942" s="421" t="str">
        <f t="shared" si="226"/>
        <v/>
      </c>
      <c r="T942" s="327" t="str">
        <f t="shared" si="227"/>
        <v/>
      </c>
      <c r="U942" s="327" t="str">
        <f t="shared" si="228"/>
        <v/>
      </c>
      <c r="V942" s="327" t="str">
        <f t="shared" si="229"/>
        <v/>
      </c>
      <c r="W942" s="327" t="str">
        <f t="shared" si="230"/>
        <v/>
      </c>
      <c r="X942" s="327" t="str">
        <f t="shared" si="231"/>
        <v/>
      </c>
      <c r="Y942" s="327" t="str">
        <f t="shared" si="232"/>
        <v/>
      </c>
      <c r="Z942" s="428" t="str">
        <f t="shared" si="233"/>
        <v/>
      </c>
    </row>
    <row r="943" spans="1:26" x14ac:dyDescent="0.35">
      <c r="A943" s="265"/>
      <c r="B943" s="266"/>
      <c r="C943" s="262"/>
      <c r="D943" s="262"/>
      <c r="E943" s="262"/>
      <c r="F943" s="262"/>
      <c r="G943" s="320"/>
      <c r="H943" s="262"/>
      <c r="I943" s="320"/>
      <c r="J943" s="320"/>
      <c r="K943" s="262"/>
      <c r="L943" s="262"/>
      <c r="M943" s="327" t="str">
        <f t="shared" si="220"/>
        <v/>
      </c>
      <c r="N943" s="327" t="str">
        <f t="shared" si="221"/>
        <v/>
      </c>
      <c r="O943" s="327" t="str">
        <f t="shared" si="222"/>
        <v/>
      </c>
      <c r="P943" s="327" t="str">
        <f t="shared" si="223"/>
        <v/>
      </c>
      <c r="Q943" s="327" t="str">
        <f t="shared" si="224"/>
        <v/>
      </c>
      <c r="R943" s="327" t="str">
        <f t="shared" si="225"/>
        <v/>
      </c>
      <c r="S943" s="421" t="str">
        <f t="shared" si="226"/>
        <v/>
      </c>
      <c r="T943" s="327" t="str">
        <f t="shared" si="227"/>
        <v/>
      </c>
      <c r="U943" s="327" t="str">
        <f t="shared" si="228"/>
        <v/>
      </c>
      <c r="V943" s="327" t="str">
        <f t="shared" si="229"/>
        <v/>
      </c>
      <c r="W943" s="327" t="str">
        <f t="shared" si="230"/>
        <v/>
      </c>
      <c r="X943" s="327" t="str">
        <f t="shared" si="231"/>
        <v/>
      </c>
      <c r="Y943" s="327" t="str">
        <f t="shared" si="232"/>
        <v/>
      </c>
      <c r="Z943" s="428" t="str">
        <f t="shared" si="233"/>
        <v/>
      </c>
    </row>
    <row r="944" spans="1:26" x14ac:dyDescent="0.35">
      <c r="A944" s="265"/>
      <c r="B944" s="266"/>
      <c r="C944" s="262"/>
      <c r="D944" s="262"/>
      <c r="E944" s="262"/>
      <c r="F944" s="262"/>
      <c r="G944" s="320"/>
      <c r="H944" s="262"/>
      <c r="I944" s="320"/>
      <c r="J944" s="320"/>
      <c r="K944" s="262"/>
      <c r="L944" s="262"/>
      <c r="M944" s="327" t="str">
        <f t="shared" si="220"/>
        <v/>
      </c>
      <c r="N944" s="327" t="str">
        <f t="shared" si="221"/>
        <v/>
      </c>
      <c r="O944" s="327" t="str">
        <f t="shared" si="222"/>
        <v/>
      </c>
      <c r="P944" s="327" t="str">
        <f t="shared" si="223"/>
        <v/>
      </c>
      <c r="Q944" s="327" t="str">
        <f t="shared" si="224"/>
        <v/>
      </c>
      <c r="R944" s="327" t="str">
        <f t="shared" si="225"/>
        <v/>
      </c>
      <c r="S944" s="421" t="str">
        <f t="shared" si="226"/>
        <v/>
      </c>
      <c r="T944" s="327" t="str">
        <f t="shared" si="227"/>
        <v/>
      </c>
      <c r="U944" s="327" t="str">
        <f t="shared" si="228"/>
        <v/>
      </c>
      <c r="V944" s="327" t="str">
        <f t="shared" si="229"/>
        <v/>
      </c>
      <c r="W944" s="327" t="str">
        <f t="shared" si="230"/>
        <v/>
      </c>
      <c r="X944" s="327" t="str">
        <f t="shared" si="231"/>
        <v/>
      </c>
      <c r="Y944" s="327" t="str">
        <f t="shared" si="232"/>
        <v/>
      </c>
      <c r="Z944" s="428" t="str">
        <f t="shared" si="233"/>
        <v/>
      </c>
    </row>
    <row r="945" spans="1:26" x14ac:dyDescent="0.35">
      <c r="A945" s="265"/>
      <c r="B945" s="266"/>
      <c r="C945" s="262"/>
      <c r="D945" s="262"/>
      <c r="E945" s="262"/>
      <c r="F945" s="262"/>
      <c r="G945" s="320"/>
      <c r="H945" s="262"/>
      <c r="I945" s="320"/>
      <c r="J945" s="320"/>
      <c r="K945" s="262"/>
      <c r="L945" s="262"/>
      <c r="M945" s="327" t="str">
        <f t="shared" si="220"/>
        <v/>
      </c>
      <c r="N945" s="327" t="str">
        <f t="shared" si="221"/>
        <v/>
      </c>
      <c r="O945" s="327" t="str">
        <f t="shared" si="222"/>
        <v/>
      </c>
      <c r="P945" s="327" t="str">
        <f t="shared" si="223"/>
        <v/>
      </c>
      <c r="Q945" s="327" t="str">
        <f t="shared" si="224"/>
        <v/>
      </c>
      <c r="R945" s="327" t="str">
        <f t="shared" si="225"/>
        <v/>
      </c>
      <c r="S945" s="421" t="str">
        <f t="shared" si="226"/>
        <v/>
      </c>
      <c r="T945" s="327" t="str">
        <f t="shared" si="227"/>
        <v/>
      </c>
      <c r="U945" s="327" t="str">
        <f t="shared" si="228"/>
        <v/>
      </c>
      <c r="V945" s="327" t="str">
        <f t="shared" si="229"/>
        <v/>
      </c>
      <c r="W945" s="327" t="str">
        <f t="shared" si="230"/>
        <v/>
      </c>
      <c r="X945" s="327" t="str">
        <f t="shared" si="231"/>
        <v/>
      </c>
      <c r="Y945" s="327" t="str">
        <f t="shared" si="232"/>
        <v/>
      </c>
      <c r="Z945" s="428" t="str">
        <f t="shared" si="233"/>
        <v/>
      </c>
    </row>
    <row r="946" spans="1:26" x14ac:dyDescent="0.35">
      <c r="A946" s="265"/>
      <c r="B946" s="266"/>
      <c r="C946" s="262"/>
      <c r="D946" s="262"/>
      <c r="E946" s="262"/>
      <c r="F946" s="262"/>
      <c r="G946" s="320"/>
      <c r="H946" s="262"/>
      <c r="I946" s="320"/>
      <c r="J946" s="320"/>
      <c r="K946" s="262"/>
      <c r="L946" s="262"/>
      <c r="M946" s="327" t="str">
        <f t="shared" si="220"/>
        <v/>
      </c>
      <c r="N946" s="327" t="str">
        <f t="shared" si="221"/>
        <v/>
      </c>
      <c r="O946" s="327" t="str">
        <f t="shared" si="222"/>
        <v/>
      </c>
      <c r="P946" s="327" t="str">
        <f t="shared" si="223"/>
        <v/>
      </c>
      <c r="Q946" s="327" t="str">
        <f t="shared" si="224"/>
        <v/>
      </c>
      <c r="R946" s="327" t="str">
        <f t="shared" si="225"/>
        <v/>
      </c>
      <c r="S946" s="421" t="str">
        <f t="shared" si="226"/>
        <v/>
      </c>
      <c r="T946" s="327" t="str">
        <f t="shared" si="227"/>
        <v/>
      </c>
      <c r="U946" s="327" t="str">
        <f t="shared" si="228"/>
        <v/>
      </c>
      <c r="V946" s="327" t="str">
        <f t="shared" si="229"/>
        <v/>
      </c>
      <c r="W946" s="327" t="str">
        <f t="shared" si="230"/>
        <v/>
      </c>
      <c r="X946" s="327" t="str">
        <f t="shared" si="231"/>
        <v/>
      </c>
      <c r="Y946" s="327" t="str">
        <f t="shared" si="232"/>
        <v/>
      </c>
      <c r="Z946" s="428" t="str">
        <f t="shared" si="233"/>
        <v/>
      </c>
    </row>
    <row r="947" spans="1:26" x14ac:dyDescent="0.35">
      <c r="A947" s="265"/>
      <c r="B947" s="266"/>
      <c r="C947" s="262"/>
      <c r="D947" s="262"/>
      <c r="E947" s="262"/>
      <c r="F947" s="262"/>
      <c r="G947" s="320"/>
      <c r="H947" s="262"/>
      <c r="I947" s="320"/>
      <c r="J947" s="320"/>
      <c r="K947" s="262"/>
      <c r="L947" s="262"/>
      <c r="M947" s="327" t="str">
        <f t="shared" si="220"/>
        <v/>
      </c>
      <c r="N947" s="327" t="str">
        <f t="shared" si="221"/>
        <v/>
      </c>
      <c r="O947" s="327" t="str">
        <f t="shared" si="222"/>
        <v/>
      </c>
      <c r="P947" s="327" t="str">
        <f t="shared" si="223"/>
        <v/>
      </c>
      <c r="Q947" s="327" t="str">
        <f t="shared" si="224"/>
        <v/>
      </c>
      <c r="R947" s="327" t="str">
        <f t="shared" si="225"/>
        <v/>
      </c>
      <c r="S947" s="421" t="str">
        <f t="shared" si="226"/>
        <v/>
      </c>
      <c r="T947" s="327" t="str">
        <f t="shared" si="227"/>
        <v/>
      </c>
      <c r="U947" s="327" t="str">
        <f t="shared" si="228"/>
        <v/>
      </c>
      <c r="V947" s="327" t="str">
        <f t="shared" si="229"/>
        <v/>
      </c>
      <c r="W947" s="327" t="str">
        <f t="shared" si="230"/>
        <v/>
      </c>
      <c r="X947" s="327" t="str">
        <f t="shared" si="231"/>
        <v/>
      </c>
      <c r="Y947" s="327" t="str">
        <f t="shared" si="232"/>
        <v/>
      </c>
      <c r="Z947" s="428" t="str">
        <f t="shared" si="233"/>
        <v/>
      </c>
    </row>
    <row r="948" spans="1:26" x14ac:dyDescent="0.35">
      <c r="A948" s="265"/>
      <c r="B948" s="266"/>
      <c r="C948" s="262"/>
      <c r="D948" s="262"/>
      <c r="E948" s="262"/>
      <c r="F948" s="262"/>
      <c r="G948" s="320"/>
      <c r="H948" s="262"/>
      <c r="I948" s="320"/>
      <c r="J948" s="320"/>
      <c r="K948" s="262"/>
      <c r="L948" s="262"/>
      <c r="M948" s="327" t="str">
        <f t="shared" si="220"/>
        <v/>
      </c>
      <c r="N948" s="327" t="str">
        <f t="shared" si="221"/>
        <v/>
      </c>
      <c r="O948" s="327" t="str">
        <f t="shared" si="222"/>
        <v/>
      </c>
      <c r="P948" s="327" t="str">
        <f t="shared" si="223"/>
        <v/>
      </c>
      <c r="Q948" s="327" t="str">
        <f t="shared" si="224"/>
        <v/>
      </c>
      <c r="R948" s="327" t="str">
        <f t="shared" si="225"/>
        <v/>
      </c>
      <c r="S948" s="421" t="str">
        <f t="shared" si="226"/>
        <v/>
      </c>
      <c r="T948" s="327" t="str">
        <f t="shared" si="227"/>
        <v/>
      </c>
      <c r="U948" s="327" t="str">
        <f t="shared" si="228"/>
        <v/>
      </c>
      <c r="V948" s="327" t="str">
        <f t="shared" si="229"/>
        <v/>
      </c>
      <c r="W948" s="327" t="str">
        <f t="shared" si="230"/>
        <v/>
      </c>
      <c r="X948" s="327" t="str">
        <f t="shared" si="231"/>
        <v/>
      </c>
      <c r="Y948" s="327" t="str">
        <f t="shared" si="232"/>
        <v/>
      </c>
      <c r="Z948" s="428" t="str">
        <f t="shared" si="233"/>
        <v/>
      </c>
    </row>
    <row r="949" spans="1:26" x14ac:dyDescent="0.35">
      <c r="A949" s="265"/>
      <c r="B949" s="266"/>
      <c r="C949" s="262"/>
      <c r="D949" s="262"/>
      <c r="E949" s="262"/>
      <c r="F949" s="262"/>
      <c r="G949" s="320"/>
      <c r="H949" s="262"/>
      <c r="I949" s="320"/>
      <c r="J949" s="320"/>
      <c r="K949" s="262"/>
      <c r="L949" s="262"/>
      <c r="M949" s="327" t="str">
        <f t="shared" si="220"/>
        <v/>
      </c>
      <c r="N949" s="327" t="str">
        <f t="shared" si="221"/>
        <v/>
      </c>
      <c r="O949" s="327" t="str">
        <f t="shared" si="222"/>
        <v/>
      </c>
      <c r="P949" s="327" t="str">
        <f t="shared" si="223"/>
        <v/>
      </c>
      <c r="Q949" s="327" t="str">
        <f t="shared" si="224"/>
        <v/>
      </c>
      <c r="R949" s="327" t="str">
        <f t="shared" si="225"/>
        <v/>
      </c>
      <c r="S949" s="421" t="str">
        <f t="shared" si="226"/>
        <v/>
      </c>
      <c r="T949" s="327" t="str">
        <f t="shared" si="227"/>
        <v/>
      </c>
      <c r="U949" s="327" t="str">
        <f t="shared" si="228"/>
        <v/>
      </c>
      <c r="V949" s="327" t="str">
        <f t="shared" si="229"/>
        <v/>
      </c>
      <c r="W949" s="327" t="str">
        <f t="shared" si="230"/>
        <v/>
      </c>
      <c r="X949" s="327" t="str">
        <f t="shared" si="231"/>
        <v/>
      </c>
      <c r="Y949" s="327" t="str">
        <f t="shared" si="232"/>
        <v/>
      </c>
      <c r="Z949" s="428" t="str">
        <f t="shared" si="233"/>
        <v/>
      </c>
    </row>
    <row r="950" spans="1:26" x14ac:dyDescent="0.35">
      <c r="A950" s="265"/>
      <c r="B950" s="266"/>
      <c r="C950" s="262"/>
      <c r="D950" s="262"/>
      <c r="E950" s="262"/>
      <c r="F950" s="262"/>
      <c r="G950" s="320"/>
      <c r="H950" s="262"/>
      <c r="I950" s="320"/>
      <c r="J950" s="320"/>
      <c r="K950" s="262"/>
      <c r="L950" s="262"/>
      <c r="M950" s="327" t="str">
        <f t="shared" si="220"/>
        <v/>
      </c>
      <c r="N950" s="327" t="str">
        <f t="shared" si="221"/>
        <v/>
      </c>
      <c r="O950" s="327" t="str">
        <f t="shared" si="222"/>
        <v/>
      </c>
      <c r="P950" s="327" t="str">
        <f t="shared" si="223"/>
        <v/>
      </c>
      <c r="Q950" s="327" t="str">
        <f t="shared" si="224"/>
        <v/>
      </c>
      <c r="R950" s="327" t="str">
        <f t="shared" si="225"/>
        <v/>
      </c>
      <c r="S950" s="421" t="str">
        <f t="shared" si="226"/>
        <v/>
      </c>
      <c r="T950" s="327" t="str">
        <f t="shared" si="227"/>
        <v/>
      </c>
      <c r="U950" s="327" t="str">
        <f t="shared" si="228"/>
        <v/>
      </c>
      <c r="V950" s="327" t="str">
        <f t="shared" si="229"/>
        <v/>
      </c>
      <c r="W950" s="327" t="str">
        <f t="shared" si="230"/>
        <v/>
      </c>
      <c r="X950" s="327" t="str">
        <f t="shared" si="231"/>
        <v/>
      </c>
      <c r="Y950" s="327" t="str">
        <f t="shared" si="232"/>
        <v/>
      </c>
      <c r="Z950" s="428" t="str">
        <f t="shared" si="233"/>
        <v/>
      </c>
    </row>
    <row r="951" spans="1:26" x14ac:dyDescent="0.35">
      <c r="A951" s="265"/>
      <c r="B951" s="266"/>
      <c r="C951" s="262"/>
      <c r="D951" s="262"/>
      <c r="E951" s="262"/>
      <c r="F951" s="262"/>
      <c r="G951" s="320"/>
      <c r="H951" s="262"/>
      <c r="I951" s="320"/>
      <c r="J951" s="320"/>
      <c r="K951" s="262"/>
      <c r="L951" s="262"/>
      <c r="M951" s="327" t="str">
        <f t="shared" si="220"/>
        <v/>
      </c>
      <c r="N951" s="327" t="str">
        <f t="shared" si="221"/>
        <v/>
      </c>
      <c r="O951" s="327" t="str">
        <f t="shared" si="222"/>
        <v/>
      </c>
      <c r="P951" s="327" t="str">
        <f t="shared" si="223"/>
        <v/>
      </c>
      <c r="Q951" s="327" t="str">
        <f t="shared" si="224"/>
        <v/>
      </c>
      <c r="R951" s="327" t="str">
        <f t="shared" si="225"/>
        <v/>
      </c>
      <c r="S951" s="421" t="str">
        <f t="shared" si="226"/>
        <v/>
      </c>
      <c r="T951" s="327" t="str">
        <f t="shared" si="227"/>
        <v/>
      </c>
      <c r="U951" s="327" t="str">
        <f t="shared" si="228"/>
        <v/>
      </c>
      <c r="V951" s="327" t="str">
        <f t="shared" si="229"/>
        <v/>
      </c>
      <c r="W951" s="327" t="str">
        <f t="shared" si="230"/>
        <v/>
      </c>
      <c r="X951" s="327" t="str">
        <f t="shared" si="231"/>
        <v/>
      </c>
      <c r="Y951" s="327" t="str">
        <f t="shared" si="232"/>
        <v/>
      </c>
      <c r="Z951" s="428" t="str">
        <f t="shared" si="233"/>
        <v/>
      </c>
    </row>
    <row r="952" spans="1:26" x14ac:dyDescent="0.35">
      <c r="A952" s="265"/>
      <c r="B952" s="266"/>
      <c r="C952" s="262"/>
      <c r="D952" s="262"/>
      <c r="E952" s="262"/>
      <c r="F952" s="262"/>
      <c r="G952" s="320"/>
      <c r="H952" s="262"/>
      <c r="I952" s="320"/>
      <c r="J952" s="320"/>
      <c r="K952" s="262"/>
      <c r="L952" s="262"/>
      <c r="M952" s="327" t="str">
        <f t="shared" si="220"/>
        <v/>
      </c>
      <c r="N952" s="327" t="str">
        <f t="shared" si="221"/>
        <v/>
      </c>
      <c r="O952" s="327" t="str">
        <f t="shared" si="222"/>
        <v/>
      </c>
      <c r="P952" s="327" t="str">
        <f t="shared" si="223"/>
        <v/>
      </c>
      <c r="Q952" s="327" t="str">
        <f t="shared" si="224"/>
        <v/>
      </c>
      <c r="R952" s="327" t="str">
        <f t="shared" si="225"/>
        <v/>
      </c>
      <c r="S952" s="421" t="str">
        <f t="shared" si="226"/>
        <v/>
      </c>
      <c r="T952" s="327" t="str">
        <f t="shared" si="227"/>
        <v/>
      </c>
      <c r="U952" s="327" t="str">
        <f t="shared" si="228"/>
        <v/>
      </c>
      <c r="V952" s="327" t="str">
        <f t="shared" si="229"/>
        <v/>
      </c>
      <c r="W952" s="327" t="str">
        <f t="shared" si="230"/>
        <v/>
      </c>
      <c r="X952" s="327" t="str">
        <f t="shared" si="231"/>
        <v/>
      </c>
      <c r="Y952" s="327" t="str">
        <f t="shared" si="232"/>
        <v/>
      </c>
      <c r="Z952" s="428" t="str">
        <f t="shared" si="233"/>
        <v/>
      </c>
    </row>
    <row r="953" spans="1:26" x14ac:dyDescent="0.35">
      <c r="A953" s="265"/>
      <c r="B953" s="266"/>
      <c r="C953" s="262"/>
      <c r="D953" s="262"/>
      <c r="E953" s="262"/>
      <c r="F953" s="262"/>
      <c r="G953" s="320"/>
      <c r="H953" s="262"/>
      <c r="I953" s="320"/>
      <c r="J953" s="320"/>
      <c r="K953" s="262"/>
      <c r="L953" s="262"/>
      <c r="M953" s="327" t="str">
        <f t="shared" si="220"/>
        <v/>
      </c>
      <c r="N953" s="327" t="str">
        <f t="shared" si="221"/>
        <v/>
      </c>
      <c r="O953" s="327" t="str">
        <f t="shared" si="222"/>
        <v/>
      </c>
      <c r="P953" s="327" t="str">
        <f t="shared" si="223"/>
        <v/>
      </c>
      <c r="Q953" s="327" t="str">
        <f t="shared" si="224"/>
        <v/>
      </c>
      <c r="R953" s="327" t="str">
        <f t="shared" si="225"/>
        <v/>
      </c>
      <c r="S953" s="421" t="str">
        <f t="shared" si="226"/>
        <v/>
      </c>
      <c r="T953" s="327" t="str">
        <f t="shared" si="227"/>
        <v/>
      </c>
      <c r="U953" s="327" t="str">
        <f t="shared" si="228"/>
        <v/>
      </c>
      <c r="V953" s="327" t="str">
        <f t="shared" si="229"/>
        <v/>
      </c>
      <c r="W953" s="327" t="str">
        <f t="shared" si="230"/>
        <v/>
      </c>
      <c r="X953" s="327" t="str">
        <f t="shared" si="231"/>
        <v/>
      </c>
      <c r="Y953" s="327" t="str">
        <f t="shared" si="232"/>
        <v/>
      </c>
      <c r="Z953" s="428" t="str">
        <f t="shared" si="233"/>
        <v/>
      </c>
    </row>
    <row r="954" spans="1:26" x14ac:dyDescent="0.35">
      <c r="A954" s="265"/>
      <c r="B954" s="266"/>
      <c r="C954" s="262"/>
      <c r="D954" s="262"/>
      <c r="E954" s="262"/>
      <c r="F954" s="262"/>
      <c r="G954" s="320"/>
      <c r="H954" s="262"/>
      <c r="I954" s="320"/>
      <c r="J954" s="320"/>
      <c r="K954" s="262"/>
      <c r="L954" s="262"/>
      <c r="M954" s="327" t="str">
        <f t="shared" si="220"/>
        <v/>
      </c>
      <c r="N954" s="327" t="str">
        <f t="shared" si="221"/>
        <v/>
      </c>
      <c r="O954" s="327" t="str">
        <f t="shared" si="222"/>
        <v/>
      </c>
      <c r="P954" s="327" t="str">
        <f t="shared" si="223"/>
        <v/>
      </c>
      <c r="Q954" s="327" t="str">
        <f t="shared" si="224"/>
        <v/>
      </c>
      <c r="R954" s="327" t="str">
        <f t="shared" si="225"/>
        <v/>
      </c>
      <c r="S954" s="421" t="str">
        <f t="shared" si="226"/>
        <v/>
      </c>
      <c r="T954" s="327" t="str">
        <f t="shared" si="227"/>
        <v/>
      </c>
      <c r="U954" s="327" t="str">
        <f t="shared" si="228"/>
        <v/>
      </c>
      <c r="V954" s="327" t="str">
        <f t="shared" si="229"/>
        <v/>
      </c>
      <c r="W954" s="327" t="str">
        <f t="shared" si="230"/>
        <v/>
      </c>
      <c r="X954" s="327" t="str">
        <f t="shared" si="231"/>
        <v/>
      </c>
      <c r="Y954" s="327" t="str">
        <f t="shared" si="232"/>
        <v/>
      </c>
      <c r="Z954" s="428" t="str">
        <f t="shared" si="233"/>
        <v/>
      </c>
    </row>
    <row r="955" spans="1:26" x14ac:dyDescent="0.35">
      <c r="A955" s="265"/>
      <c r="B955" s="266"/>
      <c r="C955" s="262"/>
      <c r="D955" s="262"/>
      <c r="E955" s="262"/>
      <c r="F955" s="262"/>
      <c r="G955" s="320"/>
      <c r="H955" s="262"/>
      <c r="I955" s="320"/>
      <c r="J955" s="320"/>
      <c r="K955" s="262"/>
      <c r="L955" s="262"/>
      <c r="M955" s="327" t="str">
        <f t="shared" si="220"/>
        <v/>
      </c>
      <c r="N955" s="327" t="str">
        <f t="shared" si="221"/>
        <v/>
      </c>
      <c r="O955" s="327" t="str">
        <f t="shared" si="222"/>
        <v/>
      </c>
      <c r="P955" s="327" t="str">
        <f t="shared" si="223"/>
        <v/>
      </c>
      <c r="Q955" s="327" t="str">
        <f t="shared" si="224"/>
        <v/>
      </c>
      <c r="R955" s="327" t="str">
        <f t="shared" si="225"/>
        <v/>
      </c>
      <c r="S955" s="421" t="str">
        <f t="shared" si="226"/>
        <v/>
      </c>
      <c r="T955" s="327" t="str">
        <f t="shared" si="227"/>
        <v/>
      </c>
      <c r="U955" s="327" t="str">
        <f t="shared" si="228"/>
        <v/>
      </c>
      <c r="V955" s="327" t="str">
        <f t="shared" si="229"/>
        <v/>
      </c>
      <c r="W955" s="327" t="str">
        <f t="shared" si="230"/>
        <v/>
      </c>
      <c r="X955" s="327" t="str">
        <f t="shared" si="231"/>
        <v/>
      </c>
      <c r="Y955" s="327" t="str">
        <f t="shared" si="232"/>
        <v/>
      </c>
      <c r="Z955" s="428" t="str">
        <f t="shared" si="233"/>
        <v/>
      </c>
    </row>
    <row r="956" spans="1:26" x14ac:dyDescent="0.35">
      <c r="A956" s="265"/>
      <c r="B956" s="266"/>
      <c r="C956" s="262"/>
      <c r="D956" s="262"/>
      <c r="E956" s="262"/>
      <c r="F956" s="262"/>
      <c r="G956" s="320"/>
      <c r="H956" s="262"/>
      <c r="I956" s="320"/>
      <c r="J956" s="320"/>
      <c r="K956" s="262"/>
      <c r="L956" s="262"/>
      <c r="M956" s="327" t="str">
        <f t="shared" si="220"/>
        <v/>
      </c>
      <c r="N956" s="327" t="str">
        <f t="shared" si="221"/>
        <v/>
      </c>
      <c r="O956" s="327" t="str">
        <f t="shared" si="222"/>
        <v/>
      </c>
      <c r="P956" s="327" t="str">
        <f t="shared" si="223"/>
        <v/>
      </c>
      <c r="Q956" s="327" t="str">
        <f t="shared" si="224"/>
        <v/>
      </c>
      <c r="R956" s="327" t="str">
        <f t="shared" si="225"/>
        <v/>
      </c>
      <c r="S956" s="421" t="str">
        <f t="shared" si="226"/>
        <v/>
      </c>
      <c r="T956" s="327" t="str">
        <f t="shared" si="227"/>
        <v/>
      </c>
      <c r="U956" s="327" t="str">
        <f t="shared" si="228"/>
        <v/>
      </c>
      <c r="V956" s="327" t="str">
        <f t="shared" si="229"/>
        <v/>
      </c>
      <c r="W956" s="327" t="str">
        <f t="shared" si="230"/>
        <v/>
      </c>
      <c r="X956" s="327" t="str">
        <f t="shared" si="231"/>
        <v/>
      </c>
      <c r="Y956" s="327" t="str">
        <f t="shared" si="232"/>
        <v/>
      </c>
      <c r="Z956" s="428" t="str">
        <f t="shared" si="233"/>
        <v/>
      </c>
    </row>
    <row r="957" spans="1:26" x14ac:dyDescent="0.35">
      <c r="A957" s="265"/>
      <c r="B957" s="266"/>
      <c r="C957" s="262"/>
      <c r="D957" s="262"/>
      <c r="E957" s="262"/>
      <c r="F957" s="262"/>
      <c r="G957" s="320"/>
      <c r="H957" s="262"/>
      <c r="I957" s="320"/>
      <c r="J957" s="320"/>
      <c r="K957" s="262"/>
      <c r="L957" s="262"/>
      <c r="M957" s="327" t="str">
        <f t="shared" si="220"/>
        <v/>
      </c>
      <c r="N957" s="327" t="str">
        <f t="shared" si="221"/>
        <v/>
      </c>
      <c r="O957" s="327" t="str">
        <f t="shared" si="222"/>
        <v/>
      </c>
      <c r="P957" s="327" t="str">
        <f t="shared" si="223"/>
        <v/>
      </c>
      <c r="Q957" s="327" t="str">
        <f t="shared" si="224"/>
        <v/>
      </c>
      <c r="R957" s="327" t="str">
        <f t="shared" si="225"/>
        <v/>
      </c>
      <c r="S957" s="421" t="str">
        <f t="shared" si="226"/>
        <v/>
      </c>
      <c r="T957" s="327" t="str">
        <f t="shared" si="227"/>
        <v/>
      </c>
      <c r="U957" s="327" t="str">
        <f t="shared" si="228"/>
        <v/>
      </c>
      <c r="V957" s="327" t="str">
        <f t="shared" si="229"/>
        <v/>
      </c>
      <c r="W957" s="327" t="str">
        <f t="shared" si="230"/>
        <v/>
      </c>
      <c r="X957" s="327" t="str">
        <f t="shared" si="231"/>
        <v/>
      </c>
      <c r="Y957" s="327" t="str">
        <f t="shared" si="232"/>
        <v/>
      </c>
      <c r="Z957" s="428" t="str">
        <f t="shared" si="233"/>
        <v/>
      </c>
    </row>
    <row r="958" spans="1:26" x14ac:dyDescent="0.35">
      <c r="A958" s="265"/>
      <c r="B958" s="266"/>
      <c r="C958" s="262"/>
      <c r="D958" s="262"/>
      <c r="E958" s="262"/>
      <c r="F958" s="262"/>
      <c r="G958" s="320"/>
      <c r="H958" s="262"/>
      <c r="I958" s="320"/>
      <c r="J958" s="320"/>
      <c r="K958" s="262"/>
      <c r="L958" s="262"/>
      <c r="M958" s="327" t="str">
        <f t="shared" si="220"/>
        <v/>
      </c>
      <c r="N958" s="327" t="str">
        <f t="shared" si="221"/>
        <v/>
      </c>
      <c r="O958" s="327" t="str">
        <f t="shared" si="222"/>
        <v/>
      </c>
      <c r="P958" s="327" t="str">
        <f t="shared" si="223"/>
        <v/>
      </c>
      <c r="Q958" s="327" t="str">
        <f t="shared" si="224"/>
        <v/>
      </c>
      <c r="R958" s="327" t="str">
        <f t="shared" si="225"/>
        <v/>
      </c>
      <c r="S958" s="421" t="str">
        <f t="shared" si="226"/>
        <v/>
      </c>
      <c r="T958" s="327" t="str">
        <f t="shared" si="227"/>
        <v/>
      </c>
      <c r="U958" s="327" t="str">
        <f t="shared" si="228"/>
        <v/>
      </c>
      <c r="V958" s="327" t="str">
        <f t="shared" si="229"/>
        <v/>
      </c>
      <c r="W958" s="327" t="str">
        <f t="shared" si="230"/>
        <v/>
      </c>
      <c r="X958" s="327" t="str">
        <f t="shared" si="231"/>
        <v/>
      </c>
      <c r="Y958" s="327" t="str">
        <f t="shared" si="232"/>
        <v/>
      </c>
      <c r="Z958" s="428" t="str">
        <f t="shared" si="233"/>
        <v/>
      </c>
    </row>
    <row r="959" spans="1:26" x14ac:dyDescent="0.35">
      <c r="A959" s="265"/>
      <c r="B959" s="266"/>
      <c r="C959" s="262"/>
      <c r="D959" s="262"/>
      <c r="E959" s="262"/>
      <c r="F959" s="262"/>
      <c r="G959" s="320"/>
      <c r="H959" s="262"/>
      <c r="I959" s="320"/>
      <c r="J959" s="320"/>
      <c r="K959" s="262"/>
      <c r="L959" s="262"/>
      <c r="M959" s="327" t="str">
        <f t="shared" si="220"/>
        <v/>
      </c>
      <c r="N959" s="327" t="str">
        <f t="shared" si="221"/>
        <v/>
      </c>
      <c r="O959" s="327" t="str">
        <f t="shared" si="222"/>
        <v/>
      </c>
      <c r="P959" s="327" t="str">
        <f t="shared" si="223"/>
        <v/>
      </c>
      <c r="Q959" s="327" t="str">
        <f t="shared" si="224"/>
        <v/>
      </c>
      <c r="R959" s="327" t="str">
        <f t="shared" si="225"/>
        <v/>
      </c>
      <c r="S959" s="421" t="str">
        <f t="shared" si="226"/>
        <v/>
      </c>
      <c r="T959" s="327" t="str">
        <f t="shared" si="227"/>
        <v/>
      </c>
      <c r="U959" s="327" t="str">
        <f t="shared" si="228"/>
        <v/>
      </c>
      <c r="V959" s="327" t="str">
        <f t="shared" si="229"/>
        <v/>
      </c>
      <c r="W959" s="327" t="str">
        <f t="shared" si="230"/>
        <v/>
      </c>
      <c r="X959" s="327" t="str">
        <f t="shared" si="231"/>
        <v/>
      </c>
      <c r="Y959" s="327" t="str">
        <f t="shared" si="232"/>
        <v/>
      </c>
      <c r="Z959" s="428" t="str">
        <f t="shared" si="233"/>
        <v/>
      </c>
    </row>
    <row r="960" spans="1:26" x14ac:dyDescent="0.35">
      <c r="A960" s="265"/>
      <c r="B960" s="266"/>
      <c r="C960" s="262"/>
      <c r="D960" s="262"/>
      <c r="E960" s="262"/>
      <c r="F960" s="262"/>
      <c r="G960" s="320"/>
      <c r="H960" s="262"/>
      <c r="I960" s="320"/>
      <c r="J960" s="320"/>
      <c r="K960" s="262"/>
      <c r="L960" s="262"/>
      <c r="M960" s="327" t="str">
        <f t="shared" si="220"/>
        <v/>
      </c>
      <c r="N960" s="327" t="str">
        <f t="shared" si="221"/>
        <v/>
      </c>
      <c r="O960" s="327" t="str">
        <f t="shared" si="222"/>
        <v/>
      </c>
      <c r="P960" s="327" t="str">
        <f t="shared" si="223"/>
        <v/>
      </c>
      <c r="Q960" s="327" t="str">
        <f t="shared" si="224"/>
        <v/>
      </c>
      <c r="R960" s="327" t="str">
        <f t="shared" si="225"/>
        <v/>
      </c>
      <c r="S960" s="421" t="str">
        <f t="shared" si="226"/>
        <v/>
      </c>
      <c r="T960" s="327" t="str">
        <f t="shared" si="227"/>
        <v/>
      </c>
      <c r="U960" s="327" t="str">
        <f t="shared" si="228"/>
        <v/>
      </c>
      <c r="V960" s="327" t="str">
        <f t="shared" si="229"/>
        <v/>
      </c>
      <c r="W960" s="327" t="str">
        <f t="shared" si="230"/>
        <v/>
      </c>
      <c r="X960" s="327" t="str">
        <f t="shared" si="231"/>
        <v/>
      </c>
      <c r="Y960" s="327" t="str">
        <f t="shared" si="232"/>
        <v/>
      </c>
      <c r="Z960" s="428" t="str">
        <f t="shared" si="233"/>
        <v/>
      </c>
    </row>
    <row r="961" spans="1:26" x14ac:dyDescent="0.35">
      <c r="A961" s="265"/>
      <c r="B961" s="266"/>
      <c r="C961" s="262"/>
      <c r="D961" s="262"/>
      <c r="E961" s="262"/>
      <c r="F961" s="262"/>
      <c r="G961" s="320"/>
      <c r="H961" s="262"/>
      <c r="I961" s="320"/>
      <c r="J961" s="320"/>
      <c r="K961" s="262"/>
      <c r="L961" s="262"/>
      <c r="M961" s="327" t="str">
        <f t="shared" si="220"/>
        <v/>
      </c>
      <c r="N961" s="327" t="str">
        <f t="shared" si="221"/>
        <v/>
      </c>
      <c r="O961" s="327" t="str">
        <f t="shared" si="222"/>
        <v/>
      </c>
      <c r="P961" s="327" t="str">
        <f t="shared" si="223"/>
        <v/>
      </c>
      <c r="Q961" s="327" t="str">
        <f t="shared" si="224"/>
        <v/>
      </c>
      <c r="R961" s="327" t="str">
        <f t="shared" si="225"/>
        <v/>
      </c>
      <c r="S961" s="421" t="str">
        <f t="shared" si="226"/>
        <v/>
      </c>
      <c r="T961" s="327" t="str">
        <f t="shared" si="227"/>
        <v/>
      </c>
      <c r="U961" s="327" t="str">
        <f t="shared" si="228"/>
        <v/>
      </c>
      <c r="V961" s="327" t="str">
        <f t="shared" si="229"/>
        <v/>
      </c>
      <c r="W961" s="327" t="str">
        <f t="shared" si="230"/>
        <v/>
      </c>
      <c r="X961" s="327" t="str">
        <f t="shared" si="231"/>
        <v/>
      </c>
      <c r="Y961" s="327" t="str">
        <f t="shared" si="232"/>
        <v/>
      </c>
      <c r="Z961" s="428" t="str">
        <f t="shared" si="233"/>
        <v/>
      </c>
    </row>
    <row r="962" spans="1:26" x14ac:dyDescent="0.35">
      <c r="A962" s="265"/>
      <c r="B962" s="266"/>
      <c r="C962" s="262"/>
      <c r="D962" s="262"/>
      <c r="E962" s="262"/>
      <c r="F962" s="262"/>
      <c r="G962" s="320"/>
      <c r="H962" s="262"/>
      <c r="I962" s="320"/>
      <c r="J962" s="320"/>
      <c r="K962" s="262"/>
      <c r="L962" s="262"/>
      <c r="M962" s="327" t="str">
        <f t="shared" si="220"/>
        <v/>
      </c>
      <c r="N962" s="327" t="str">
        <f t="shared" si="221"/>
        <v/>
      </c>
      <c r="O962" s="327" t="str">
        <f t="shared" si="222"/>
        <v/>
      </c>
      <c r="P962" s="327" t="str">
        <f t="shared" si="223"/>
        <v/>
      </c>
      <c r="Q962" s="327" t="str">
        <f t="shared" si="224"/>
        <v/>
      </c>
      <c r="R962" s="327" t="str">
        <f t="shared" si="225"/>
        <v/>
      </c>
      <c r="S962" s="421" t="str">
        <f t="shared" si="226"/>
        <v/>
      </c>
      <c r="T962" s="327" t="str">
        <f t="shared" si="227"/>
        <v/>
      </c>
      <c r="U962" s="327" t="str">
        <f t="shared" si="228"/>
        <v/>
      </c>
      <c r="V962" s="327" t="str">
        <f t="shared" si="229"/>
        <v/>
      </c>
      <c r="W962" s="327" t="str">
        <f t="shared" si="230"/>
        <v/>
      </c>
      <c r="X962" s="327" t="str">
        <f t="shared" si="231"/>
        <v/>
      </c>
      <c r="Y962" s="327" t="str">
        <f t="shared" si="232"/>
        <v/>
      </c>
      <c r="Z962" s="428" t="str">
        <f t="shared" si="233"/>
        <v/>
      </c>
    </row>
    <row r="963" spans="1:26" x14ac:dyDescent="0.35">
      <c r="A963" s="265"/>
      <c r="B963" s="266"/>
      <c r="C963" s="262"/>
      <c r="D963" s="262"/>
      <c r="E963" s="262"/>
      <c r="F963" s="262"/>
      <c r="G963" s="320"/>
      <c r="H963" s="262"/>
      <c r="I963" s="320"/>
      <c r="J963" s="320"/>
      <c r="K963" s="262"/>
      <c r="L963" s="262"/>
      <c r="M963" s="327" t="str">
        <f t="shared" si="220"/>
        <v/>
      </c>
      <c r="N963" s="327" t="str">
        <f t="shared" si="221"/>
        <v/>
      </c>
      <c r="O963" s="327" t="str">
        <f t="shared" si="222"/>
        <v/>
      </c>
      <c r="P963" s="327" t="str">
        <f t="shared" si="223"/>
        <v/>
      </c>
      <c r="Q963" s="327" t="str">
        <f t="shared" si="224"/>
        <v/>
      </c>
      <c r="R963" s="327" t="str">
        <f t="shared" si="225"/>
        <v/>
      </c>
      <c r="S963" s="421" t="str">
        <f t="shared" si="226"/>
        <v/>
      </c>
      <c r="T963" s="327" t="str">
        <f t="shared" si="227"/>
        <v/>
      </c>
      <c r="U963" s="327" t="str">
        <f t="shared" si="228"/>
        <v/>
      </c>
      <c r="V963" s="327" t="str">
        <f t="shared" si="229"/>
        <v/>
      </c>
      <c r="W963" s="327" t="str">
        <f t="shared" si="230"/>
        <v/>
      </c>
      <c r="X963" s="327" t="str">
        <f t="shared" si="231"/>
        <v/>
      </c>
      <c r="Y963" s="327" t="str">
        <f t="shared" si="232"/>
        <v/>
      </c>
      <c r="Z963" s="428" t="str">
        <f t="shared" si="233"/>
        <v/>
      </c>
    </row>
    <row r="964" spans="1:26" x14ac:dyDescent="0.35">
      <c r="A964" s="265"/>
      <c r="B964" s="266"/>
      <c r="C964" s="262"/>
      <c r="D964" s="262"/>
      <c r="E964" s="262"/>
      <c r="F964" s="262"/>
      <c r="G964" s="320"/>
      <c r="H964" s="262"/>
      <c r="I964" s="320"/>
      <c r="J964" s="320"/>
      <c r="K964" s="262"/>
      <c r="L964" s="262"/>
      <c r="M964" s="327" t="str">
        <f t="shared" si="220"/>
        <v/>
      </c>
      <c r="N964" s="327" t="str">
        <f t="shared" si="221"/>
        <v/>
      </c>
      <c r="O964" s="327" t="str">
        <f t="shared" si="222"/>
        <v/>
      </c>
      <c r="P964" s="327" t="str">
        <f t="shared" si="223"/>
        <v/>
      </c>
      <c r="Q964" s="327" t="str">
        <f t="shared" si="224"/>
        <v/>
      </c>
      <c r="R964" s="327" t="str">
        <f t="shared" si="225"/>
        <v/>
      </c>
      <c r="S964" s="421" t="str">
        <f t="shared" si="226"/>
        <v/>
      </c>
      <c r="T964" s="327" t="str">
        <f t="shared" si="227"/>
        <v/>
      </c>
      <c r="U964" s="327" t="str">
        <f t="shared" si="228"/>
        <v/>
      </c>
      <c r="V964" s="327" t="str">
        <f t="shared" si="229"/>
        <v/>
      </c>
      <c r="W964" s="327" t="str">
        <f t="shared" si="230"/>
        <v/>
      </c>
      <c r="X964" s="327" t="str">
        <f t="shared" si="231"/>
        <v/>
      </c>
      <c r="Y964" s="327" t="str">
        <f t="shared" si="232"/>
        <v/>
      </c>
      <c r="Z964" s="428" t="str">
        <f t="shared" si="233"/>
        <v/>
      </c>
    </row>
    <row r="965" spans="1:26" x14ac:dyDescent="0.35">
      <c r="A965" s="265"/>
      <c r="B965" s="266"/>
      <c r="C965" s="262"/>
      <c r="D965" s="262"/>
      <c r="E965" s="262"/>
      <c r="F965" s="262"/>
      <c r="G965" s="320"/>
      <c r="H965" s="262"/>
      <c r="I965" s="320"/>
      <c r="J965" s="320"/>
      <c r="K965" s="262"/>
      <c r="L965" s="262"/>
      <c r="M965" s="327" t="str">
        <f t="shared" si="220"/>
        <v/>
      </c>
      <c r="N965" s="327" t="str">
        <f t="shared" si="221"/>
        <v/>
      </c>
      <c r="O965" s="327" t="str">
        <f t="shared" si="222"/>
        <v/>
      </c>
      <c r="P965" s="327" t="str">
        <f t="shared" si="223"/>
        <v/>
      </c>
      <c r="Q965" s="327" t="str">
        <f t="shared" si="224"/>
        <v/>
      </c>
      <c r="R965" s="327" t="str">
        <f t="shared" si="225"/>
        <v/>
      </c>
      <c r="S965" s="421" t="str">
        <f t="shared" si="226"/>
        <v/>
      </c>
      <c r="T965" s="327" t="str">
        <f t="shared" si="227"/>
        <v/>
      </c>
      <c r="U965" s="327" t="str">
        <f t="shared" si="228"/>
        <v/>
      </c>
      <c r="V965" s="327" t="str">
        <f t="shared" si="229"/>
        <v/>
      </c>
      <c r="W965" s="327" t="str">
        <f t="shared" si="230"/>
        <v/>
      </c>
      <c r="X965" s="327" t="str">
        <f t="shared" si="231"/>
        <v/>
      </c>
      <c r="Y965" s="327" t="str">
        <f t="shared" si="232"/>
        <v/>
      </c>
      <c r="Z965" s="428" t="str">
        <f t="shared" si="233"/>
        <v/>
      </c>
    </row>
    <row r="966" spans="1:26" x14ac:dyDescent="0.35">
      <c r="A966" s="265"/>
      <c r="B966" s="266"/>
      <c r="C966" s="262"/>
      <c r="D966" s="262"/>
      <c r="E966" s="262"/>
      <c r="F966" s="262"/>
      <c r="G966" s="320"/>
      <c r="H966" s="262"/>
      <c r="I966" s="320"/>
      <c r="J966" s="320"/>
      <c r="K966" s="262"/>
      <c r="L966" s="262"/>
      <c r="M966" s="327" t="str">
        <f t="shared" si="220"/>
        <v/>
      </c>
      <c r="N966" s="327" t="str">
        <f t="shared" si="221"/>
        <v/>
      </c>
      <c r="O966" s="327" t="str">
        <f t="shared" si="222"/>
        <v/>
      </c>
      <c r="P966" s="327" t="str">
        <f t="shared" si="223"/>
        <v/>
      </c>
      <c r="Q966" s="327" t="str">
        <f t="shared" si="224"/>
        <v/>
      </c>
      <c r="R966" s="327" t="str">
        <f t="shared" si="225"/>
        <v/>
      </c>
      <c r="S966" s="421" t="str">
        <f t="shared" si="226"/>
        <v/>
      </c>
      <c r="T966" s="327" t="str">
        <f t="shared" si="227"/>
        <v/>
      </c>
      <c r="U966" s="327" t="str">
        <f t="shared" si="228"/>
        <v/>
      </c>
      <c r="V966" s="327" t="str">
        <f t="shared" si="229"/>
        <v/>
      </c>
      <c r="W966" s="327" t="str">
        <f t="shared" si="230"/>
        <v/>
      </c>
      <c r="X966" s="327" t="str">
        <f t="shared" si="231"/>
        <v/>
      </c>
      <c r="Y966" s="327" t="str">
        <f t="shared" si="232"/>
        <v/>
      </c>
      <c r="Z966" s="428" t="str">
        <f t="shared" si="233"/>
        <v/>
      </c>
    </row>
    <row r="967" spans="1:26" x14ac:dyDescent="0.35">
      <c r="A967" s="265"/>
      <c r="B967" s="266"/>
      <c r="C967" s="262"/>
      <c r="D967" s="262"/>
      <c r="E967" s="262"/>
      <c r="F967" s="262"/>
      <c r="G967" s="320"/>
      <c r="H967" s="262"/>
      <c r="I967" s="320"/>
      <c r="J967" s="320"/>
      <c r="K967" s="262"/>
      <c r="L967" s="262"/>
      <c r="M967" s="327" t="str">
        <f t="shared" si="220"/>
        <v/>
      </c>
      <c r="N967" s="327" t="str">
        <f t="shared" si="221"/>
        <v/>
      </c>
      <c r="O967" s="327" t="str">
        <f t="shared" si="222"/>
        <v/>
      </c>
      <c r="P967" s="327" t="str">
        <f t="shared" si="223"/>
        <v/>
      </c>
      <c r="Q967" s="327" t="str">
        <f t="shared" si="224"/>
        <v/>
      </c>
      <c r="R967" s="327" t="str">
        <f t="shared" si="225"/>
        <v/>
      </c>
      <c r="S967" s="421" t="str">
        <f t="shared" si="226"/>
        <v/>
      </c>
      <c r="T967" s="327" t="str">
        <f t="shared" si="227"/>
        <v/>
      </c>
      <c r="U967" s="327" t="str">
        <f t="shared" si="228"/>
        <v/>
      </c>
      <c r="V967" s="327" t="str">
        <f t="shared" si="229"/>
        <v/>
      </c>
      <c r="W967" s="327" t="str">
        <f t="shared" si="230"/>
        <v/>
      </c>
      <c r="X967" s="327" t="str">
        <f t="shared" si="231"/>
        <v/>
      </c>
      <c r="Y967" s="327" t="str">
        <f t="shared" si="232"/>
        <v/>
      </c>
      <c r="Z967" s="428" t="str">
        <f t="shared" si="233"/>
        <v/>
      </c>
    </row>
    <row r="968" spans="1:26" x14ac:dyDescent="0.35">
      <c r="A968" s="265"/>
      <c r="B968" s="266"/>
      <c r="C968" s="262"/>
      <c r="D968" s="262"/>
      <c r="E968" s="262"/>
      <c r="F968" s="262"/>
      <c r="G968" s="320"/>
      <c r="H968" s="262"/>
      <c r="I968" s="320"/>
      <c r="J968" s="320"/>
      <c r="K968" s="262"/>
      <c r="L968" s="262"/>
      <c r="M968" s="327" t="str">
        <f t="shared" si="220"/>
        <v/>
      </c>
      <c r="N968" s="327" t="str">
        <f t="shared" si="221"/>
        <v/>
      </c>
      <c r="O968" s="327" t="str">
        <f t="shared" si="222"/>
        <v/>
      </c>
      <c r="P968" s="327" t="str">
        <f t="shared" si="223"/>
        <v/>
      </c>
      <c r="Q968" s="327" t="str">
        <f t="shared" si="224"/>
        <v/>
      </c>
      <c r="R968" s="327" t="str">
        <f t="shared" si="225"/>
        <v/>
      </c>
      <c r="S968" s="421" t="str">
        <f t="shared" si="226"/>
        <v/>
      </c>
      <c r="T968" s="327" t="str">
        <f t="shared" si="227"/>
        <v/>
      </c>
      <c r="U968" s="327" t="str">
        <f t="shared" si="228"/>
        <v/>
      </c>
      <c r="V968" s="327" t="str">
        <f t="shared" si="229"/>
        <v/>
      </c>
      <c r="W968" s="327" t="str">
        <f t="shared" si="230"/>
        <v/>
      </c>
      <c r="X968" s="327" t="str">
        <f t="shared" si="231"/>
        <v/>
      </c>
      <c r="Y968" s="327" t="str">
        <f t="shared" si="232"/>
        <v/>
      </c>
      <c r="Z968" s="428" t="str">
        <f t="shared" si="233"/>
        <v/>
      </c>
    </row>
    <row r="969" spans="1:26" x14ac:dyDescent="0.35">
      <c r="A969" s="265"/>
      <c r="B969" s="266"/>
      <c r="C969" s="262"/>
      <c r="D969" s="262"/>
      <c r="E969" s="262"/>
      <c r="F969" s="262"/>
      <c r="G969" s="320"/>
      <c r="H969" s="262"/>
      <c r="I969" s="320"/>
      <c r="J969" s="320"/>
      <c r="K969" s="262"/>
      <c r="L969" s="262"/>
      <c r="M969" s="327" t="str">
        <f t="shared" si="220"/>
        <v/>
      </c>
      <c r="N969" s="327" t="str">
        <f t="shared" si="221"/>
        <v/>
      </c>
      <c r="O969" s="327" t="str">
        <f t="shared" si="222"/>
        <v/>
      </c>
      <c r="P969" s="327" t="str">
        <f t="shared" si="223"/>
        <v/>
      </c>
      <c r="Q969" s="327" t="str">
        <f t="shared" si="224"/>
        <v/>
      </c>
      <c r="R969" s="327" t="str">
        <f t="shared" si="225"/>
        <v/>
      </c>
      <c r="S969" s="421" t="str">
        <f t="shared" si="226"/>
        <v/>
      </c>
      <c r="T969" s="327" t="str">
        <f t="shared" si="227"/>
        <v/>
      </c>
      <c r="U969" s="327" t="str">
        <f t="shared" si="228"/>
        <v/>
      </c>
      <c r="V969" s="327" t="str">
        <f t="shared" si="229"/>
        <v/>
      </c>
      <c r="W969" s="327" t="str">
        <f t="shared" si="230"/>
        <v/>
      </c>
      <c r="X969" s="327" t="str">
        <f t="shared" si="231"/>
        <v/>
      </c>
      <c r="Y969" s="327" t="str">
        <f t="shared" si="232"/>
        <v/>
      </c>
      <c r="Z969" s="428" t="str">
        <f t="shared" si="233"/>
        <v/>
      </c>
    </row>
    <row r="970" spans="1:26" x14ac:dyDescent="0.35">
      <c r="A970" s="265"/>
      <c r="B970" s="266"/>
      <c r="C970" s="262"/>
      <c r="D970" s="262"/>
      <c r="E970" s="262"/>
      <c r="F970" s="262"/>
      <c r="G970" s="320"/>
      <c r="H970" s="262"/>
      <c r="I970" s="320"/>
      <c r="J970" s="320"/>
      <c r="K970" s="262"/>
      <c r="L970" s="262"/>
      <c r="M970" s="327" t="str">
        <f t="shared" si="220"/>
        <v/>
      </c>
      <c r="N970" s="327" t="str">
        <f t="shared" si="221"/>
        <v/>
      </c>
      <c r="O970" s="327" t="str">
        <f t="shared" si="222"/>
        <v/>
      </c>
      <c r="P970" s="327" t="str">
        <f t="shared" si="223"/>
        <v/>
      </c>
      <c r="Q970" s="327" t="str">
        <f t="shared" si="224"/>
        <v/>
      </c>
      <c r="R970" s="327" t="str">
        <f t="shared" si="225"/>
        <v/>
      </c>
      <c r="S970" s="421" t="str">
        <f t="shared" si="226"/>
        <v/>
      </c>
      <c r="T970" s="327" t="str">
        <f t="shared" si="227"/>
        <v/>
      </c>
      <c r="U970" s="327" t="str">
        <f t="shared" si="228"/>
        <v/>
      </c>
      <c r="V970" s="327" t="str">
        <f t="shared" si="229"/>
        <v/>
      </c>
      <c r="W970" s="327" t="str">
        <f t="shared" si="230"/>
        <v/>
      </c>
      <c r="X970" s="327" t="str">
        <f t="shared" si="231"/>
        <v/>
      </c>
      <c r="Y970" s="327" t="str">
        <f t="shared" si="232"/>
        <v/>
      </c>
      <c r="Z970" s="428" t="str">
        <f t="shared" si="233"/>
        <v/>
      </c>
    </row>
    <row r="971" spans="1:26" x14ac:dyDescent="0.35">
      <c r="A971" s="265"/>
      <c r="B971" s="266"/>
      <c r="C971" s="262"/>
      <c r="D971" s="262"/>
      <c r="E971" s="262"/>
      <c r="F971" s="262"/>
      <c r="G971" s="320"/>
      <c r="H971" s="262"/>
      <c r="I971" s="320"/>
      <c r="J971" s="320"/>
      <c r="K971" s="262"/>
      <c r="L971" s="262"/>
      <c r="M971" s="327" t="str">
        <f t="shared" si="220"/>
        <v/>
      </c>
      <c r="N971" s="327" t="str">
        <f t="shared" si="221"/>
        <v/>
      </c>
      <c r="O971" s="327" t="str">
        <f t="shared" si="222"/>
        <v/>
      </c>
      <c r="P971" s="327" t="str">
        <f t="shared" si="223"/>
        <v/>
      </c>
      <c r="Q971" s="327" t="str">
        <f t="shared" si="224"/>
        <v/>
      </c>
      <c r="R971" s="327" t="str">
        <f t="shared" si="225"/>
        <v/>
      </c>
      <c r="S971" s="421" t="str">
        <f t="shared" si="226"/>
        <v/>
      </c>
      <c r="T971" s="327" t="str">
        <f t="shared" si="227"/>
        <v/>
      </c>
      <c r="U971" s="327" t="str">
        <f t="shared" si="228"/>
        <v/>
      </c>
      <c r="V971" s="327" t="str">
        <f t="shared" si="229"/>
        <v/>
      </c>
      <c r="W971" s="327" t="str">
        <f t="shared" si="230"/>
        <v/>
      </c>
      <c r="X971" s="327" t="str">
        <f t="shared" si="231"/>
        <v/>
      </c>
      <c r="Y971" s="327" t="str">
        <f t="shared" si="232"/>
        <v/>
      </c>
      <c r="Z971" s="428" t="str">
        <f t="shared" si="233"/>
        <v/>
      </c>
    </row>
    <row r="972" spans="1:26" x14ac:dyDescent="0.35">
      <c r="A972" s="265"/>
      <c r="B972" s="266"/>
      <c r="C972" s="262"/>
      <c r="D972" s="262"/>
      <c r="E972" s="262"/>
      <c r="F972" s="262"/>
      <c r="G972" s="320"/>
      <c r="H972" s="262"/>
      <c r="I972" s="320"/>
      <c r="J972" s="320"/>
      <c r="K972" s="262"/>
      <c r="L972" s="262"/>
      <c r="M972" s="327" t="str">
        <f t="shared" si="220"/>
        <v/>
      </c>
      <c r="N972" s="327" t="str">
        <f t="shared" si="221"/>
        <v/>
      </c>
      <c r="O972" s="327" t="str">
        <f t="shared" si="222"/>
        <v/>
      </c>
      <c r="P972" s="327" t="str">
        <f t="shared" si="223"/>
        <v/>
      </c>
      <c r="Q972" s="327" t="str">
        <f t="shared" si="224"/>
        <v/>
      </c>
      <c r="R972" s="327" t="str">
        <f t="shared" si="225"/>
        <v/>
      </c>
      <c r="S972" s="421" t="str">
        <f t="shared" si="226"/>
        <v/>
      </c>
      <c r="T972" s="327" t="str">
        <f t="shared" si="227"/>
        <v/>
      </c>
      <c r="U972" s="327" t="str">
        <f t="shared" si="228"/>
        <v/>
      </c>
      <c r="V972" s="327" t="str">
        <f t="shared" si="229"/>
        <v/>
      </c>
      <c r="W972" s="327" t="str">
        <f t="shared" si="230"/>
        <v/>
      </c>
      <c r="X972" s="327" t="str">
        <f t="shared" si="231"/>
        <v/>
      </c>
      <c r="Y972" s="327" t="str">
        <f t="shared" si="232"/>
        <v/>
      </c>
      <c r="Z972" s="428" t="str">
        <f t="shared" si="233"/>
        <v/>
      </c>
    </row>
    <row r="973" spans="1:26" x14ac:dyDescent="0.35">
      <c r="A973" s="265"/>
      <c r="B973" s="266"/>
      <c r="C973" s="262"/>
      <c r="D973" s="262"/>
      <c r="E973" s="262"/>
      <c r="F973" s="262"/>
      <c r="G973" s="320"/>
      <c r="H973" s="262"/>
      <c r="I973" s="320"/>
      <c r="J973" s="320"/>
      <c r="K973" s="262"/>
      <c r="L973" s="262"/>
      <c r="M973" s="327" t="str">
        <f t="shared" si="220"/>
        <v/>
      </c>
      <c r="N973" s="327" t="str">
        <f t="shared" si="221"/>
        <v/>
      </c>
      <c r="O973" s="327" t="str">
        <f t="shared" si="222"/>
        <v/>
      </c>
      <c r="P973" s="327" t="str">
        <f t="shared" si="223"/>
        <v/>
      </c>
      <c r="Q973" s="327" t="str">
        <f t="shared" si="224"/>
        <v/>
      </c>
      <c r="R973" s="327" t="str">
        <f t="shared" si="225"/>
        <v/>
      </c>
      <c r="S973" s="421" t="str">
        <f t="shared" si="226"/>
        <v/>
      </c>
      <c r="T973" s="327" t="str">
        <f t="shared" si="227"/>
        <v/>
      </c>
      <c r="U973" s="327" t="str">
        <f t="shared" si="228"/>
        <v/>
      </c>
      <c r="V973" s="327" t="str">
        <f t="shared" si="229"/>
        <v/>
      </c>
      <c r="W973" s="327" t="str">
        <f t="shared" si="230"/>
        <v/>
      </c>
      <c r="X973" s="327" t="str">
        <f t="shared" si="231"/>
        <v/>
      </c>
      <c r="Y973" s="327" t="str">
        <f t="shared" si="232"/>
        <v/>
      </c>
      <c r="Z973" s="428" t="str">
        <f t="shared" si="233"/>
        <v/>
      </c>
    </row>
    <row r="974" spans="1:26" x14ac:dyDescent="0.35">
      <c r="A974" s="265"/>
      <c r="B974" s="266"/>
      <c r="C974" s="262"/>
      <c r="D974" s="262"/>
      <c r="E974" s="262"/>
      <c r="F974" s="262"/>
      <c r="G974" s="320"/>
      <c r="H974" s="262"/>
      <c r="I974" s="320"/>
      <c r="J974" s="320"/>
      <c r="K974" s="262"/>
      <c r="L974" s="262"/>
      <c r="M974" s="327" t="str">
        <f t="shared" si="220"/>
        <v/>
      </c>
      <c r="N974" s="327" t="str">
        <f t="shared" si="221"/>
        <v/>
      </c>
      <c r="O974" s="327" t="str">
        <f t="shared" si="222"/>
        <v/>
      </c>
      <c r="P974" s="327" t="str">
        <f t="shared" si="223"/>
        <v/>
      </c>
      <c r="Q974" s="327" t="str">
        <f t="shared" si="224"/>
        <v/>
      </c>
      <c r="R974" s="327" t="str">
        <f t="shared" si="225"/>
        <v/>
      </c>
      <c r="S974" s="421" t="str">
        <f t="shared" si="226"/>
        <v/>
      </c>
      <c r="T974" s="327" t="str">
        <f t="shared" si="227"/>
        <v/>
      </c>
      <c r="U974" s="327" t="str">
        <f t="shared" si="228"/>
        <v/>
      </c>
      <c r="V974" s="327" t="str">
        <f t="shared" si="229"/>
        <v/>
      </c>
      <c r="W974" s="327" t="str">
        <f t="shared" si="230"/>
        <v/>
      </c>
      <c r="X974" s="327" t="str">
        <f t="shared" si="231"/>
        <v/>
      </c>
      <c r="Y974" s="327" t="str">
        <f t="shared" si="232"/>
        <v/>
      </c>
      <c r="Z974" s="428" t="str">
        <f t="shared" si="233"/>
        <v/>
      </c>
    </row>
    <row r="975" spans="1:26" x14ac:dyDescent="0.35">
      <c r="A975" s="265"/>
      <c r="B975" s="266"/>
      <c r="C975" s="262"/>
      <c r="D975" s="262"/>
      <c r="E975" s="262"/>
      <c r="F975" s="262"/>
      <c r="G975" s="320"/>
      <c r="H975" s="262"/>
      <c r="I975" s="320"/>
      <c r="J975" s="320"/>
      <c r="K975" s="262"/>
      <c r="L975" s="262"/>
      <c r="M975" s="327" t="str">
        <f t="shared" si="220"/>
        <v/>
      </c>
      <c r="N975" s="327" t="str">
        <f t="shared" si="221"/>
        <v/>
      </c>
      <c r="O975" s="327" t="str">
        <f t="shared" si="222"/>
        <v/>
      </c>
      <c r="P975" s="327" t="str">
        <f t="shared" si="223"/>
        <v/>
      </c>
      <c r="Q975" s="327" t="str">
        <f t="shared" si="224"/>
        <v/>
      </c>
      <c r="R975" s="327" t="str">
        <f t="shared" si="225"/>
        <v/>
      </c>
      <c r="S975" s="421" t="str">
        <f t="shared" si="226"/>
        <v/>
      </c>
      <c r="T975" s="327" t="str">
        <f t="shared" si="227"/>
        <v/>
      </c>
      <c r="U975" s="327" t="str">
        <f t="shared" si="228"/>
        <v/>
      </c>
      <c r="V975" s="327" t="str">
        <f t="shared" si="229"/>
        <v/>
      </c>
      <c r="W975" s="327" t="str">
        <f t="shared" si="230"/>
        <v/>
      </c>
      <c r="X975" s="327" t="str">
        <f t="shared" si="231"/>
        <v/>
      </c>
      <c r="Y975" s="327" t="str">
        <f t="shared" si="232"/>
        <v/>
      </c>
      <c r="Z975" s="428" t="str">
        <f t="shared" si="233"/>
        <v/>
      </c>
    </row>
    <row r="976" spans="1:26" x14ac:dyDescent="0.35">
      <c r="A976" s="265"/>
      <c r="B976" s="266"/>
      <c r="C976" s="262"/>
      <c r="D976" s="262"/>
      <c r="E976" s="262"/>
      <c r="F976" s="262"/>
      <c r="G976" s="320"/>
      <c r="H976" s="262"/>
      <c r="I976" s="320"/>
      <c r="J976" s="320"/>
      <c r="K976" s="262"/>
      <c r="L976" s="262"/>
      <c r="M976" s="327" t="str">
        <f t="shared" si="220"/>
        <v/>
      </c>
      <c r="N976" s="327" t="str">
        <f t="shared" si="221"/>
        <v/>
      </c>
      <c r="O976" s="327" t="str">
        <f t="shared" si="222"/>
        <v/>
      </c>
      <c r="P976" s="327" t="str">
        <f t="shared" si="223"/>
        <v/>
      </c>
      <c r="Q976" s="327" t="str">
        <f t="shared" si="224"/>
        <v/>
      </c>
      <c r="R976" s="327" t="str">
        <f t="shared" si="225"/>
        <v/>
      </c>
      <c r="S976" s="421" t="str">
        <f t="shared" si="226"/>
        <v/>
      </c>
      <c r="T976" s="327" t="str">
        <f t="shared" si="227"/>
        <v/>
      </c>
      <c r="U976" s="327" t="str">
        <f t="shared" si="228"/>
        <v/>
      </c>
      <c r="V976" s="327" t="str">
        <f t="shared" si="229"/>
        <v/>
      </c>
      <c r="W976" s="327" t="str">
        <f t="shared" si="230"/>
        <v/>
      </c>
      <c r="X976" s="327" t="str">
        <f t="shared" si="231"/>
        <v/>
      </c>
      <c r="Y976" s="327" t="str">
        <f t="shared" si="232"/>
        <v/>
      </c>
      <c r="Z976" s="428" t="str">
        <f t="shared" si="233"/>
        <v/>
      </c>
    </row>
    <row r="977" spans="1:26" x14ac:dyDescent="0.35">
      <c r="A977" s="265"/>
      <c r="B977" s="266"/>
      <c r="C977" s="262"/>
      <c r="D977" s="262"/>
      <c r="E977" s="262"/>
      <c r="F977" s="262"/>
      <c r="G977" s="320"/>
      <c r="H977" s="262"/>
      <c r="I977" s="320"/>
      <c r="J977" s="320"/>
      <c r="K977" s="262"/>
      <c r="L977" s="262"/>
      <c r="M977" s="327" t="str">
        <f t="shared" si="220"/>
        <v/>
      </c>
      <c r="N977" s="327" t="str">
        <f t="shared" si="221"/>
        <v/>
      </c>
      <c r="O977" s="327" t="str">
        <f t="shared" si="222"/>
        <v/>
      </c>
      <c r="P977" s="327" t="str">
        <f t="shared" si="223"/>
        <v/>
      </c>
      <c r="Q977" s="327" t="str">
        <f t="shared" si="224"/>
        <v/>
      </c>
      <c r="R977" s="327" t="str">
        <f t="shared" si="225"/>
        <v/>
      </c>
      <c r="S977" s="421" t="str">
        <f t="shared" si="226"/>
        <v/>
      </c>
      <c r="T977" s="327" t="str">
        <f t="shared" si="227"/>
        <v/>
      </c>
      <c r="U977" s="327" t="str">
        <f t="shared" si="228"/>
        <v/>
      </c>
      <c r="V977" s="327" t="str">
        <f t="shared" si="229"/>
        <v/>
      </c>
      <c r="W977" s="327" t="str">
        <f t="shared" si="230"/>
        <v/>
      </c>
      <c r="X977" s="327" t="str">
        <f t="shared" si="231"/>
        <v/>
      </c>
      <c r="Y977" s="327" t="str">
        <f t="shared" si="232"/>
        <v/>
      </c>
      <c r="Z977" s="428" t="str">
        <f t="shared" si="233"/>
        <v/>
      </c>
    </row>
    <row r="978" spans="1:26" x14ac:dyDescent="0.35">
      <c r="A978" s="265"/>
      <c r="B978" s="266"/>
      <c r="C978" s="262"/>
      <c r="D978" s="262"/>
      <c r="E978" s="262"/>
      <c r="F978" s="262"/>
      <c r="G978" s="320"/>
      <c r="H978" s="262"/>
      <c r="I978" s="320"/>
      <c r="J978" s="320"/>
      <c r="K978" s="262"/>
      <c r="L978" s="262"/>
      <c r="M978" s="327" t="str">
        <f t="shared" si="220"/>
        <v/>
      </c>
      <c r="N978" s="327" t="str">
        <f t="shared" si="221"/>
        <v/>
      </c>
      <c r="O978" s="327" t="str">
        <f t="shared" si="222"/>
        <v/>
      </c>
      <c r="P978" s="327" t="str">
        <f t="shared" si="223"/>
        <v/>
      </c>
      <c r="Q978" s="327" t="str">
        <f t="shared" si="224"/>
        <v/>
      </c>
      <c r="R978" s="327" t="str">
        <f t="shared" si="225"/>
        <v/>
      </c>
      <c r="S978" s="421" t="str">
        <f t="shared" si="226"/>
        <v/>
      </c>
      <c r="T978" s="327" t="str">
        <f t="shared" si="227"/>
        <v/>
      </c>
      <c r="U978" s="327" t="str">
        <f t="shared" si="228"/>
        <v/>
      </c>
      <c r="V978" s="327" t="str">
        <f t="shared" si="229"/>
        <v/>
      </c>
      <c r="W978" s="327" t="str">
        <f t="shared" si="230"/>
        <v/>
      </c>
      <c r="X978" s="327" t="str">
        <f t="shared" si="231"/>
        <v/>
      </c>
      <c r="Y978" s="327" t="str">
        <f t="shared" si="232"/>
        <v/>
      </c>
      <c r="Z978" s="428" t="str">
        <f t="shared" si="233"/>
        <v/>
      </c>
    </row>
    <row r="979" spans="1:26" x14ac:dyDescent="0.35">
      <c r="A979" s="265"/>
      <c r="B979" s="266"/>
      <c r="C979" s="262"/>
      <c r="D979" s="262"/>
      <c r="E979" s="262"/>
      <c r="F979" s="262"/>
      <c r="G979" s="320"/>
      <c r="H979" s="262"/>
      <c r="I979" s="320"/>
      <c r="J979" s="320"/>
      <c r="K979" s="262"/>
      <c r="L979" s="262"/>
      <c r="M979" s="327" t="str">
        <f t="shared" si="220"/>
        <v/>
      </c>
      <c r="N979" s="327" t="str">
        <f t="shared" si="221"/>
        <v/>
      </c>
      <c r="O979" s="327" t="str">
        <f t="shared" si="222"/>
        <v/>
      </c>
      <c r="P979" s="327" t="str">
        <f t="shared" si="223"/>
        <v/>
      </c>
      <c r="Q979" s="327" t="str">
        <f t="shared" si="224"/>
        <v/>
      </c>
      <c r="R979" s="327" t="str">
        <f t="shared" si="225"/>
        <v/>
      </c>
      <c r="S979" s="421" t="str">
        <f t="shared" si="226"/>
        <v/>
      </c>
      <c r="T979" s="327" t="str">
        <f t="shared" si="227"/>
        <v/>
      </c>
      <c r="U979" s="327" t="str">
        <f t="shared" si="228"/>
        <v/>
      </c>
      <c r="V979" s="327" t="str">
        <f t="shared" si="229"/>
        <v/>
      </c>
      <c r="W979" s="327" t="str">
        <f t="shared" si="230"/>
        <v/>
      </c>
      <c r="X979" s="327" t="str">
        <f t="shared" si="231"/>
        <v/>
      </c>
      <c r="Y979" s="327" t="str">
        <f t="shared" si="232"/>
        <v/>
      </c>
      <c r="Z979" s="428" t="str">
        <f t="shared" si="233"/>
        <v/>
      </c>
    </row>
    <row r="980" spans="1:26" x14ac:dyDescent="0.35">
      <c r="A980" s="265"/>
      <c r="B980" s="266"/>
      <c r="C980" s="262"/>
      <c r="D980" s="262"/>
      <c r="E980" s="262"/>
      <c r="F980" s="262"/>
      <c r="G980" s="320"/>
      <c r="H980" s="262"/>
      <c r="I980" s="320"/>
      <c r="J980" s="320"/>
      <c r="K980" s="262"/>
      <c r="L980" s="262"/>
      <c r="M980" s="327" t="str">
        <f t="shared" si="220"/>
        <v/>
      </c>
      <c r="N980" s="327" t="str">
        <f t="shared" si="221"/>
        <v/>
      </c>
      <c r="O980" s="327" t="str">
        <f t="shared" si="222"/>
        <v/>
      </c>
      <c r="P980" s="327" t="str">
        <f t="shared" si="223"/>
        <v/>
      </c>
      <c r="Q980" s="327" t="str">
        <f t="shared" si="224"/>
        <v/>
      </c>
      <c r="R980" s="327" t="str">
        <f t="shared" si="225"/>
        <v/>
      </c>
      <c r="S980" s="421" t="str">
        <f t="shared" si="226"/>
        <v/>
      </c>
      <c r="T980" s="327" t="str">
        <f t="shared" si="227"/>
        <v/>
      </c>
      <c r="U980" s="327" t="str">
        <f t="shared" si="228"/>
        <v/>
      </c>
      <c r="V980" s="327" t="str">
        <f t="shared" si="229"/>
        <v/>
      </c>
      <c r="W980" s="327" t="str">
        <f t="shared" si="230"/>
        <v/>
      </c>
      <c r="X980" s="327" t="str">
        <f t="shared" si="231"/>
        <v/>
      </c>
      <c r="Y980" s="327" t="str">
        <f t="shared" si="232"/>
        <v/>
      </c>
      <c r="Z980" s="428" t="str">
        <f t="shared" si="233"/>
        <v/>
      </c>
    </row>
    <row r="981" spans="1:26" x14ac:dyDescent="0.35">
      <c r="A981" s="265"/>
      <c r="B981" s="266"/>
      <c r="C981" s="262"/>
      <c r="D981" s="262"/>
      <c r="E981" s="262"/>
      <c r="F981" s="262"/>
      <c r="G981" s="320"/>
      <c r="H981" s="262"/>
      <c r="I981" s="320"/>
      <c r="J981" s="320"/>
      <c r="K981" s="262"/>
      <c r="L981" s="262"/>
      <c r="M981" s="327" t="str">
        <f t="shared" si="220"/>
        <v/>
      </c>
      <c r="N981" s="327" t="str">
        <f t="shared" si="221"/>
        <v/>
      </c>
      <c r="O981" s="327" t="str">
        <f t="shared" si="222"/>
        <v/>
      </c>
      <c r="P981" s="327" t="str">
        <f t="shared" si="223"/>
        <v/>
      </c>
      <c r="Q981" s="327" t="str">
        <f t="shared" si="224"/>
        <v/>
      </c>
      <c r="R981" s="327" t="str">
        <f t="shared" si="225"/>
        <v/>
      </c>
      <c r="S981" s="421" t="str">
        <f t="shared" si="226"/>
        <v/>
      </c>
      <c r="T981" s="327" t="str">
        <f t="shared" si="227"/>
        <v/>
      </c>
      <c r="U981" s="327" t="str">
        <f t="shared" si="228"/>
        <v/>
      </c>
      <c r="V981" s="327" t="str">
        <f t="shared" si="229"/>
        <v/>
      </c>
      <c r="W981" s="327" t="str">
        <f t="shared" si="230"/>
        <v/>
      </c>
      <c r="X981" s="327" t="str">
        <f t="shared" si="231"/>
        <v/>
      </c>
      <c r="Y981" s="327" t="str">
        <f t="shared" si="232"/>
        <v/>
      </c>
      <c r="Z981" s="428" t="str">
        <f t="shared" si="233"/>
        <v/>
      </c>
    </row>
    <row r="982" spans="1:26" x14ac:dyDescent="0.35">
      <c r="A982" s="265"/>
      <c r="B982" s="266"/>
      <c r="C982" s="262"/>
      <c r="D982" s="262"/>
      <c r="E982" s="262"/>
      <c r="F982" s="262"/>
      <c r="G982" s="320"/>
      <c r="H982" s="262"/>
      <c r="I982" s="320"/>
      <c r="J982" s="320"/>
      <c r="K982" s="262"/>
      <c r="L982" s="262"/>
      <c r="M982" s="327" t="str">
        <f t="shared" si="220"/>
        <v/>
      </c>
      <c r="N982" s="327" t="str">
        <f t="shared" si="221"/>
        <v/>
      </c>
      <c r="O982" s="327" t="str">
        <f t="shared" si="222"/>
        <v/>
      </c>
      <c r="P982" s="327" t="str">
        <f t="shared" si="223"/>
        <v/>
      </c>
      <c r="Q982" s="327" t="str">
        <f t="shared" si="224"/>
        <v/>
      </c>
      <c r="R982" s="327" t="str">
        <f t="shared" si="225"/>
        <v/>
      </c>
      <c r="S982" s="421" t="str">
        <f t="shared" si="226"/>
        <v/>
      </c>
      <c r="T982" s="327" t="str">
        <f t="shared" si="227"/>
        <v/>
      </c>
      <c r="U982" s="327" t="str">
        <f t="shared" si="228"/>
        <v/>
      </c>
      <c r="V982" s="327" t="str">
        <f t="shared" si="229"/>
        <v/>
      </c>
      <c r="W982" s="327" t="str">
        <f t="shared" si="230"/>
        <v/>
      </c>
      <c r="X982" s="327" t="str">
        <f t="shared" si="231"/>
        <v/>
      </c>
      <c r="Y982" s="327" t="str">
        <f t="shared" si="232"/>
        <v/>
      </c>
      <c r="Z982" s="428" t="str">
        <f t="shared" si="233"/>
        <v/>
      </c>
    </row>
    <row r="983" spans="1:26" x14ac:dyDescent="0.35">
      <c r="A983" s="265"/>
      <c r="B983" s="266"/>
      <c r="C983" s="262"/>
      <c r="D983" s="262"/>
      <c r="E983" s="262"/>
      <c r="F983" s="262"/>
      <c r="G983" s="320"/>
      <c r="H983" s="262"/>
      <c r="I983" s="320"/>
      <c r="J983" s="320"/>
      <c r="K983" s="262"/>
      <c r="L983" s="262"/>
      <c r="M983" s="327" t="str">
        <f t="shared" si="220"/>
        <v/>
      </c>
      <c r="N983" s="327" t="str">
        <f t="shared" si="221"/>
        <v/>
      </c>
      <c r="O983" s="327" t="str">
        <f t="shared" si="222"/>
        <v/>
      </c>
      <c r="P983" s="327" t="str">
        <f t="shared" si="223"/>
        <v/>
      </c>
      <c r="Q983" s="327" t="str">
        <f t="shared" si="224"/>
        <v/>
      </c>
      <c r="R983" s="327" t="str">
        <f t="shared" si="225"/>
        <v/>
      </c>
      <c r="S983" s="421" t="str">
        <f t="shared" si="226"/>
        <v/>
      </c>
      <c r="T983" s="327" t="str">
        <f t="shared" si="227"/>
        <v/>
      </c>
      <c r="U983" s="327" t="str">
        <f t="shared" si="228"/>
        <v/>
      </c>
      <c r="V983" s="327" t="str">
        <f t="shared" si="229"/>
        <v/>
      </c>
      <c r="W983" s="327" t="str">
        <f t="shared" si="230"/>
        <v/>
      </c>
      <c r="X983" s="327" t="str">
        <f t="shared" si="231"/>
        <v/>
      </c>
      <c r="Y983" s="327" t="str">
        <f t="shared" si="232"/>
        <v/>
      </c>
      <c r="Z983" s="428" t="str">
        <f t="shared" si="233"/>
        <v/>
      </c>
    </row>
    <row r="984" spans="1:26" x14ac:dyDescent="0.35">
      <c r="A984" s="265"/>
      <c r="B984" s="266"/>
      <c r="C984" s="262"/>
      <c r="D984" s="262"/>
      <c r="E984" s="262"/>
      <c r="F984" s="262"/>
      <c r="G984" s="320"/>
      <c r="H984" s="262"/>
      <c r="I984" s="320"/>
      <c r="J984" s="320"/>
      <c r="K984" s="262"/>
      <c r="L984" s="262"/>
      <c r="M984" s="327" t="str">
        <f t="shared" si="220"/>
        <v/>
      </c>
      <c r="N984" s="327" t="str">
        <f t="shared" si="221"/>
        <v/>
      </c>
      <c r="O984" s="327" t="str">
        <f t="shared" si="222"/>
        <v/>
      </c>
      <c r="P984" s="327" t="str">
        <f t="shared" si="223"/>
        <v/>
      </c>
      <c r="Q984" s="327" t="str">
        <f t="shared" si="224"/>
        <v/>
      </c>
      <c r="R984" s="327" t="str">
        <f t="shared" si="225"/>
        <v/>
      </c>
      <c r="S984" s="421" t="str">
        <f t="shared" si="226"/>
        <v/>
      </c>
      <c r="T984" s="327" t="str">
        <f t="shared" si="227"/>
        <v/>
      </c>
      <c r="U984" s="327" t="str">
        <f t="shared" si="228"/>
        <v/>
      </c>
      <c r="V984" s="327" t="str">
        <f t="shared" si="229"/>
        <v/>
      </c>
      <c r="W984" s="327" t="str">
        <f t="shared" si="230"/>
        <v/>
      </c>
      <c r="X984" s="327" t="str">
        <f t="shared" si="231"/>
        <v/>
      </c>
      <c r="Y984" s="327" t="str">
        <f t="shared" si="232"/>
        <v/>
      </c>
      <c r="Z984" s="428" t="str">
        <f t="shared" si="233"/>
        <v/>
      </c>
    </row>
    <row r="985" spans="1:26" x14ac:dyDescent="0.35">
      <c r="A985" s="265"/>
      <c r="B985" s="266"/>
      <c r="C985" s="262"/>
      <c r="D985" s="262"/>
      <c r="E985" s="262"/>
      <c r="F985" s="262"/>
      <c r="G985" s="320"/>
      <c r="H985" s="262"/>
      <c r="I985" s="320"/>
      <c r="J985" s="320"/>
      <c r="K985" s="262"/>
      <c r="L985" s="262"/>
      <c r="M985" s="327" t="str">
        <f t="shared" si="220"/>
        <v/>
      </c>
      <c r="N985" s="327" t="str">
        <f t="shared" si="221"/>
        <v/>
      </c>
      <c r="O985" s="327" t="str">
        <f t="shared" si="222"/>
        <v/>
      </c>
      <c r="P985" s="327" t="str">
        <f t="shared" si="223"/>
        <v/>
      </c>
      <c r="Q985" s="327" t="str">
        <f t="shared" si="224"/>
        <v/>
      </c>
      <c r="R985" s="327" t="str">
        <f t="shared" si="225"/>
        <v/>
      </c>
      <c r="S985" s="421" t="str">
        <f t="shared" si="226"/>
        <v/>
      </c>
      <c r="T985" s="327" t="str">
        <f t="shared" si="227"/>
        <v/>
      </c>
      <c r="U985" s="327" t="str">
        <f t="shared" si="228"/>
        <v/>
      </c>
      <c r="V985" s="327" t="str">
        <f t="shared" si="229"/>
        <v/>
      </c>
      <c r="W985" s="327" t="str">
        <f t="shared" si="230"/>
        <v/>
      </c>
      <c r="X985" s="327" t="str">
        <f t="shared" si="231"/>
        <v/>
      </c>
      <c r="Y985" s="327" t="str">
        <f t="shared" si="232"/>
        <v/>
      </c>
      <c r="Z985" s="428" t="str">
        <f t="shared" si="233"/>
        <v/>
      </c>
    </row>
    <row r="986" spans="1:26" x14ac:dyDescent="0.35">
      <c r="A986" s="265"/>
      <c r="B986" s="266"/>
      <c r="C986" s="262"/>
      <c r="D986" s="262"/>
      <c r="E986" s="262"/>
      <c r="F986" s="262"/>
      <c r="G986" s="320"/>
      <c r="H986" s="262"/>
      <c r="I986" s="320"/>
      <c r="J986" s="320"/>
      <c r="K986" s="262"/>
      <c r="L986" s="262"/>
      <c r="M986" s="327" t="str">
        <f t="shared" si="220"/>
        <v/>
      </c>
      <c r="N986" s="327" t="str">
        <f t="shared" si="221"/>
        <v/>
      </c>
      <c r="O986" s="327" t="str">
        <f t="shared" si="222"/>
        <v/>
      </c>
      <c r="P986" s="327" t="str">
        <f t="shared" si="223"/>
        <v/>
      </c>
      <c r="Q986" s="327" t="str">
        <f t="shared" si="224"/>
        <v/>
      </c>
      <c r="R986" s="327" t="str">
        <f t="shared" si="225"/>
        <v/>
      </c>
      <c r="S986" s="421" t="str">
        <f t="shared" si="226"/>
        <v/>
      </c>
      <c r="T986" s="327" t="str">
        <f t="shared" si="227"/>
        <v/>
      </c>
      <c r="U986" s="327" t="str">
        <f t="shared" si="228"/>
        <v/>
      </c>
      <c r="V986" s="327" t="str">
        <f t="shared" si="229"/>
        <v/>
      </c>
      <c r="W986" s="327" t="str">
        <f t="shared" si="230"/>
        <v/>
      </c>
      <c r="X986" s="327" t="str">
        <f t="shared" si="231"/>
        <v/>
      </c>
      <c r="Y986" s="327" t="str">
        <f t="shared" si="232"/>
        <v/>
      </c>
      <c r="Z986" s="428" t="str">
        <f t="shared" si="233"/>
        <v/>
      </c>
    </row>
    <row r="987" spans="1:26" x14ac:dyDescent="0.35">
      <c r="A987" s="265"/>
      <c r="B987" s="266"/>
      <c r="C987" s="262"/>
      <c r="D987" s="262"/>
      <c r="E987" s="262"/>
      <c r="F987" s="262"/>
      <c r="G987" s="320"/>
      <c r="H987" s="262"/>
      <c r="I987" s="320"/>
      <c r="J987" s="320"/>
      <c r="K987" s="262"/>
      <c r="L987" s="262"/>
      <c r="M987" s="327" t="str">
        <f t="shared" si="220"/>
        <v/>
      </c>
      <c r="N987" s="327" t="str">
        <f t="shared" si="221"/>
        <v/>
      </c>
      <c r="O987" s="327" t="str">
        <f t="shared" si="222"/>
        <v/>
      </c>
      <c r="P987" s="327" t="str">
        <f t="shared" si="223"/>
        <v/>
      </c>
      <c r="Q987" s="327" t="str">
        <f t="shared" si="224"/>
        <v/>
      </c>
      <c r="R987" s="327" t="str">
        <f t="shared" si="225"/>
        <v/>
      </c>
      <c r="S987" s="421" t="str">
        <f t="shared" si="226"/>
        <v/>
      </c>
      <c r="T987" s="327" t="str">
        <f t="shared" si="227"/>
        <v/>
      </c>
      <c r="U987" s="327" t="str">
        <f t="shared" si="228"/>
        <v/>
      </c>
      <c r="V987" s="327" t="str">
        <f t="shared" si="229"/>
        <v/>
      </c>
      <c r="W987" s="327" t="str">
        <f t="shared" si="230"/>
        <v/>
      </c>
      <c r="X987" s="327" t="str">
        <f t="shared" si="231"/>
        <v/>
      </c>
      <c r="Y987" s="327" t="str">
        <f t="shared" si="232"/>
        <v/>
      </c>
      <c r="Z987" s="428" t="str">
        <f t="shared" si="233"/>
        <v/>
      </c>
    </row>
    <row r="988" spans="1:26" x14ac:dyDescent="0.35">
      <c r="A988" s="265"/>
      <c r="B988" s="266"/>
      <c r="C988" s="262"/>
      <c r="D988" s="262"/>
      <c r="E988" s="262"/>
      <c r="F988" s="262"/>
      <c r="G988" s="320"/>
      <c r="H988" s="262"/>
      <c r="I988" s="320"/>
      <c r="J988" s="320"/>
      <c r="K988" s="262"/>
      <c r="L988" s="262"/>
      <c r="M988" s="327" t="str">
        <f t="shared" si="220"/>
        <v/>
      </c>
      <c r="N988" s="327" t="str">
        <f t="shared" si="221"/>
        <v/>
      </c>
      <c r="O988" s="327" t="str">
        <f t="shared" si="222"/>
        <v/>
      </c>
      <c r="P988" s="327" t="str">
        <f t="shared" si="223"/>
        <v/>
      </c>
      <c r="Q988" s="327" t="str">
        <f t="shared" si="224"/>
        <v/>
      </c>
      <c r="R988" s="327" t="str">
        <f t="shared" si="225"/>
        <v/>
      </c>
      <c r="S988" s="421" t="str">
        <f t="shared" si="226"/>
        <v/>
      </c>
      <c r="T988" s="327" t="str">
        <f t="shared" si="227"/>
        <v/>
      </c>
      <c r="U988" s="327" t="str">
        <f t="shared" si="228"/>
        <v/>
      </c>
      <c r="V988" s="327" t="str">
        <f t="shared" si="229"/>
        <v/>
      </c>
      <c r="W988" s="327" t="str">
        <f t="shared" si="230"/>
        <v/>
      </c>
      <c r="X988" s="327" t="str">
        <f t="shared" si="231"/>
        <v/>
      </c>
      <c r="Y988" s="327" t="str">
        <f t="shared" si="232"/>
        <v/>
      </c>
      <c r="Z988" s="428" t="str">
        <f t="shared" si="233"/>
        <v/>
      </c>
    </row>
    <row r="989" spans="1:26" x14ac:dyDescent="0.35">
      <c r="A989" s="265"/>
      <c r="B989" s="266"/>
      <c r="C989" s="262"/>
      <c r="D989" s="262"/>
      <c r="E989" s="262"/>
      <c r="F989" s="262"/>
      <c r="G989" s="320"/>
      <c r="H989" s="262"/>
      <c r="I989" s="320"/>
      <c r="J989" s="320"/>
      <c r="K989" s="262"/>
      <c r="L989" s="262"/>
      <c r="M989" s="327" t="str">
        <f t="shared" si="220"/>
        <v/>
      </c>
      <c r="N989" s="327" t="str">
        <f t="shared" si="221"/>
        <v/>
      </c>
      <c r="O989" s="327" t="str">
        <f t="shared" si="222"/>
        <v/>
      </c>
      <c r="P989" s="327" t="str">
        <f t="shared" si="223"/>
        <v/>
      </c>
      <c r="Q989" s="327" t="str">
        <f t="shared" si="224"/>
        <v/>
      </c>
      <c r="R989" s="327" t="str">
        <f t="shared" si="225"/>
        <v/>
      </c>
      <c r="S989" s="421" t="str">
        <f t="shared" si="226"/>
        <v/>
      </c>
      <c r="T989" s="327" t="str">
        <f t="shared" si="227"/>
        <v/>
      </c>
      <c r="U989" s="327" t="str">
        <f t="shared" si="228"/>
        <v/>
      </c>
      <c r="V989" s="327" t="str">
        <f t="shared" si="229"/>
        <v/>
      </c>
      <c r="W989" s="327" t="str">
        <f t="shared" si="230"/>
        <v/>
      </c>
      <c r="X989" s="327" t="str">
        <f t="shared" si="231"/>
        <v/>
      </c>
      <c r="Y989" s="327" t="str">
        <f t="shared" si="232"/>
        <v/>
      </c>
      <c r="Z989" s="428" t="str">
        <f t="shared" si="233"/>
        <v/>
      </c>
    </row>
    <row r="990" spans="1:26" x14ac:dyDescent="0.35">
      <c r="A990" s="265"/>
      <c r="B990" s="266"/>
      <c r="C990" s="262"/>
      <c r="D990" s="262"/>
      <c r="E990" s="262"/>
      <c r="F990" s="262"/>
      <c r="G990" s="320"/>
      <c r="H990" s="262"/>
      <c r="I990" s="320"/>
      <c r="J990" s="320"/>
      <c r="K990" s="262"/>
      <c r="L990" s="262"/>
      <c r="M990" s="327" t="str">
        <f t="shared" si="220"/>
        <v/>
      </c>
      <c r="N990" s="327" t="str">
        <f t="shared" si="221"/>
        <v/>
      </c>
      <c r="O990" s="327" t="str">
        <f t="shared" si="222"/>
        <v/>
      </c>
      <c r="P990" s="327" t="str">
        <f t="shared" si="223"/>
        <v/>
      </c>
      <c r="Q990" s="327" t="str">
        <f t="shared" si="224"/>
        <v/>
      </c>
      <c r="R990" s="327" t="str">
        <f t="shared" si="225"/>
        <v/>
      </c>
      <c r="S990" s="421" t="str">
        <f t="shared" si="226"/>
        <v/>
      </c>
      <c r="T990" s="327" t="str">
        <f t="shared" si="227"/>
        <v/>
      </c>
      <c r="U990" s="327" t="str">
        <f t="shared" si="228"/>
        <v/>
      </c>
      <c r="V990" s="327" t="str">
        <f t="shared" si="229"/>
        <v/>
      </c>
      <c r="W990" s="327" t="str">
        <f t="shared" si="230"/>
        <v/>
      </c>
      <c r="X990" s="327" t="str">
        <f t="shared" si="231"/>
        <v/>
      </c>
      <c r="Y990" s="327" t="str">
        <f t="shared" si="232"/>
        <v/>
      </c>
      <c r="Z990" s="428" t="str">
        <f t="shared" si="233"/>
        <v/>
      </c>
    </row>
    <row r="991" spans="1:26" x14ac:dyDescent="0.35">
      <c r="A991" s="265"/>
      <c r="B991" s="266"/>
      <c r="C991" s="262"/>
      <c r="D991" s="262"/>
      <c r="E991" s="262"/>
      <c r="F991" s="262"/>
      <c r="G991" s="320"/>
      <c r="H991" s="262"/>
      <c r="I991" s="320"/>
      <c r="J991" s="320"/>
      <c r="K991" s="262"/>
      <c r="L991" s="262"/>
      <c r="M991" s="327" t="str">
        <f t="shared" si="220"/>
        <v/>
      </c>
      <c r="N991" s="327" t="str">
        <f t="shared" si="221"/>
        <v/>
      </c>
      <c r="O991" s="327" t="str">
        <f t="shared" si="222"/>
        <v/>
      </c>
      <c r="P991" s="327" t="str">
        <f t="shared" si="223"/>
        <v/>
      </c>
      <c r="Q991" s="327" t="str">
        <f t="shared" si="224"/>
        <v/>
      </c>
      <c r="R991" s="327" t="str">
        <f t="shared" si="225"/>
        <v/>
      </c>
      <c r="S991" s="421" t="str">
        <f t="shared" si="226"/>
        <v/>
      </c>
      <c r="T991" s="327" t="str">
        <f t="shared" si="227"/>
        <v/>
      </c>
      <c r="U991" s="327" t="str">
        <f t="shared" si="228"/>
        <v/>
      </c>
      <c r="V991" s="327" t="str">
        <f t="shared" si="229"/>
        <v/>
      </c>
      <c r="W991" s="327" t="str">
        <f t="shared" si="230"/>
        <v/>
      </c>
      <c r="X991" s="327" t="str">
        <f t="shared" si="231"/>
        <v/>
      </c>
      <c r="Y991" s="327" t="str">
        <f t="shared" si="232"/>
        <v/>
      </c>
      <c r="Z991" s="428" t="str">
        <f t="shared" si="233"/>
        <v/>
      </c>
    </row>
    <row r="992" spans="1:26" x14ac:dyDescent="0.35">
      <c r="A992" s="265"/>
      <c r="B992" s="266"/>
      <c r="C992" s="262"/>
      <c r="D992" s="262"/>
      <c r="E992" s="262"/>
      <c r="F992" s="262"/>
      <c r="G992" s="320"/>
      <c r="H992" s="262"/>
      <c r="I992" s="320"/>
      <c r="J992" s="320"/>
      <c r="K992" s="262"/>
      <c r="L992" s="262"/>
      <c r="M992" s="327" t="str">
        <f t="shared" si="220"/>
        <v/>
      </c>
      <c r="N992" s="327" t="str">
        <f t="shared" si="221"/>
        <v/>
      </c>
      <c r="O992" s="327" t="str">
        <f t="shared" si="222"/>
        <v/>
      </c>
      <c r="P992" s="327" t="str">
        <f t="shared" si="223"/>
        <v/>
      </c>
      <c r="Q992" s="327" t="str">
        <f t="shared" si="224"/>
        <v/>
      </c>
      <c r="R992" s="327" t="str">
        <f t="shared" si="225"/>
        <v/>
      </c>
      <c r="S992" s="421" t="str">
        <f t="shared" si="226"/>
        <v/>
      </c>
      <c r="T992" s="327" t="str">
        <f t="shared" si="227"/>
        <v/>
      </c>
      <c r="U992" s="327" t="str">
        <f t="shared" si="228"/>
        <v/>
      </c>
      <c r="V992" s="327" t="str">
        <f t="shared" si="229"/>
        <v/>
      </c>
      <c r="W992" s="327" t="str">
        <f t="shared" si="230"/>
        <v/>
      </c>
      <c r="X992" s="327" t="str">
        <f t="shared" si="231"/>
        <v/>
      </c>
      <c r="Y992" s="327" t="str">
        <f t="shared" si="232"/>
        <v/>
      </c>
      <c r="Z992" s="428" t="str">
        <f t="shared" si="233"/>
        <v/>
      </c>
    </row>
    <row r="993" spans="1:26" x14ac:dyDescent="0.35">
      <c r="A993" s="265"/>
      <c r="B993" s="266"/>
      <c r="C993" s="262"/>
      <c r="D993" s="262"/>
      <c r="E993" s="262"/>
      <c r="F993" s="262"/>
      <c r="G993" s="320"/>
      <c r="H993" s="262"/>
      <c r="I993" s="320"/>
      <c r="J993" s="320"/>
      <c r="K993" s="262"/>
      <c r="L993" s="262"/>
      <c r="M993" s="327" t="str">
        <f t="shared" si="220"/>
        <v/>
      </c>
      <c r="N993" s="327" t="str">
        <f t="shared" si="221"/>
        <v/>
      </c>
      <c r="O993" s="327" t="str">
        <f t="shared" si="222"/>
        <v/>
      </c>
      <c r="P993" s="327" t="str">
        <f t="shared" si="223"/>
        <v/>
      </c>
      <c r="Q993" s="327" t="str">
        <f t="shared" si="224"/>
        <v/>
      </c>
      <c r="R993" s="327" t="str">
        <f t="shared" si="225"/>
        <v/>
      </c>
      <c r="S993" s="421" t="str">
        <f t="shared" si="226"/>
        <v/>
      </c>
      <c r="T993" s="327" t="str">
        <f t="shared" si="227"/>
        <v/>
      </c>
      <c r="U993" s="327" t="str">
        <f t="shared" si="228"/>
        <v/>
      </c>
      <c r="V993" s="327" t="str">
        <f t="shared" si="229"/>
        <v/>
      </c>
      <c r="W993" s="327" t="str">
        <f t="shared" si="230"/>
        <v/>
      </c>
      <c r="X993" s="327" t="str">
        <f t="shared" si="231"/>
        <v/>
      </c>
      <c r="Y993" s="327" t="str">
        <f t="shared" si="232"/>
        <v/>
      </c>
      <c r="Z993" s="428" t="str">
        <f t="shared" si="233"/>
        <v/>
      </c>
    </row>
    <row r="994" spans="1:26" x14ac:dyDescent="0.35">
      <c r="A994" s="265"/>
      <c r="B994" s="266"/>
      <c r="C994" s="262"/>
      <c r="D994" s="262"/>
      <c r="E994" s="262"/>
      <c r="F994" s="262"/>
      <c r="G994" s="320"/>
      <c r="H994" s="262"/>
      <c r="I994" s="320"/>
      <c r="J994" s="320"/>
      <c r="K994" s="262"/>
      <c r="L994" s="262"/>
      <c r="M994" s="327" t="str">
        <f t="shared" si="220"/>
        <v/>
      </c>
      <c r="N994" s="327" t="str">
        <f t="shared" si="221"/>
        <v/>
      </c>
      <c r="O994" s="327" t="str">
        <f t="shared" si="222"/>
        <v/>
      </c>
      <c r="P994" s="327" t="str">
        <f t="shared" si="223"/>
        <v/>
      </c>
      <c r="Q994" s="327" t="str">
        <f t="shared" si="224"/>
        <v/>
      </c>
      <c r="R994" s="327" t="str">
        <f t="shared" si="225"/>
        <v/>
      </c>
      <c r="S994" s="421" t="str">
        <f t="shared" si="226"/>
        <v/>
      </c>
      <c r="T994" s="327" t="str">
        <f t="shared" si="227"/>
        <v/>
      </c>
      <c r="U994" s="327" t="str">
        <f t="shared" si="228"/>
        <v/>
      </c>
      <c r="V994" s="327" t="str">
        <f t="shared" si="229"/>
        <v/>
      </c>
      <c r="W994" s="327" t="str">
        <f t="shared" si="230"/>
        <v/>
      </c>
      <c r="X994" s="327" t="str">
        <f t="shared" si="231"/>
        <v/>
      </c>
      <c r="Y994" s="327" t="str">
        <f t="shared" si="232"/>
        <v/>
      </c>
      <c r="Z994" s="428" t="str">
        <f t="shared" si="233"/>
        <v/>
      </c>
    </row>
    <row r="995" spans="1:26" x14ac:dyDescent="0.35">
      <c r="A995" s="265"/>
      <c r="B995" s="266"/>
      <c r="C995" s="262"/>
      <c r="D995" s="262"/>
      <c r="E995" s="262"/>
      <c r="F995" s="262"/>
      <c r="G995" s="320"/>
      <c r="H995" s="262"/>
      <c r="I995" s="320"/>
      <c r="J995" s="320"/>
      <c r="K995" s="262"/>
      <c r="L995" s="262"/>
      <c r="M995" s="327" t="str">
        <f t="shared" si="220"/>
        <v/>
      </c>
      <c r="N995" s="327" t="str">
        <f t="shared" si="221"/>
        <v/>
      </c>
      <c r="O995" s="327" t="str">
        <f t="shared" si="222"/>
        <v/>
      </c>
      <c r="P995" s="327" t="str">
        <f t="shared" si="223"/>
        <v/>
      </c>
      <c r="Q995" s="327" t="str">
        <f t="shared" si="224"/>
        <v/>
      </c>
      <c r="R995" s="327" t="str">
        <f t="shared" si="225"/>
        <v/>
      </c>
      <c r="S995" s="421" t="str">
        <f t="shared" si="226"/>
        <v/>
      </c>
      <c r="T995" s="327" t="str">
        <f t="shared" si="227"/>
        <v/>
      </c>
      <c r="U995" s="327" t="str">
        <f t="shared" si="228"/>
        <v/>
      </c>
      <c r="V995" s="327" t="str">
        <f t="shared" si="229"/>
        <v/>
      </c>
      <c r="W995" s="327" t="str">
        <f t="shared" si="230"/>
        <v/>
      </c>
      <c r="X995" s="327" t="str">
        <f t="shared" si="231"/>
        <v/>
      </c>
      <c r="Y995" s="327" t="str">
        <f t="shared" si="232"/>
        <v/>
      </c>
      <c r="Z995" s="428" t="str">
        <f t="shared" si="233"/>
        <v/>
      </c>
    </row>
    <row r="996" spans="1:26" x14ac:dyDescent="0.35">
      <c r="A996" s="265"/>
      <c r="B996" s="266"/>
      <c r="C996" s="262"/>
      <c r="D996" s="262"/>
      <c r="E996" s="262"/>
      <c r="F996" s="262"/>
      <c r="G996" s="320"/>
      <c r="H996" s="262"/>
      <c r="I996" s="320"/>
      <c r="J996" s="320"/>
      <c r="K996" s="262"/>
      <c r="L996" s="262"/>
      <c r="M996" s="327" t="str">
        <f t="shared" si="220"/>
        <v/>
      </c>
      <c r="N996" s="327" t="str">
        <f t="shared" si="221"/>
        <v/>
      </c>
      <c r="O996" s="327" t="str">
        <f t="shared" si="222"/>
        <v/>
      </c>
      <c r="P996" s="327" t="str">
        <f t="shared" si="223"/>
        <v/>
      </c>
      <c r="Q996" s="327" t="str">
        <f t="shared" si="224"/>
        <v/>
      </c>
      <c r="R996" s="327" t="str">
        <f t="shared" si="225"/>
        <v/>
      </c>
      <c r="S996" s="421" t="str">
        <f t="shared" si="226"/>
        <v/>
      </c>
      <c r="T996" s="327" t="str">
        <f t="shared" si="227"/>
        <v/>
      </c>
      <c r="U996" s="327" t="str">
        <f t="shared" si="228"/>
        <v/>
      </c>
      <c r="V996" s="327" t="str">
        <f t="shared" si="229"/>
        <v/>
      </c>
      <c r="W996" s="327" t="str">
        <f t="shared" si="230"/>
        <v/>
      </c>
      <c r="X996" s="327" t="str">
        <f t="shared" si="231"/>
        <v/>
      </c>
      <c r="Y996" s="327" t="str">
        <f t="shared" si="232"/>
        <v/>
      </c>
      <c r="Z996" s="428" t="str">
        <f t="shared" si="233"/>
        <v/>
      </c>
    </row>
    <row r="997" spans="1:26" x14ac:dyDescent="0.35">
      <c r="A997" s="265"/>
      <c r="B997" s="266"/>
      <c r="C997" s="262"/>
      <c r="D997" s="262"/>
      <c r="E997" s="262"/>
      <c r="F997" s="262"/>
      <c r="G997" s="320"/>
      <c r="H997" s="262"/>
      <c r="I997" s="320"/>
      <c r="J997" s="320"/>
      <c r="K997" s="262"/>
      <c r="L997" s="262"/>
      <c r="M997" s="327" t="str">
        <f t="shared" si="220"/>
        <v/>
      </c>
      <c r="N997" s="327" t="str">
        <f t="shared" si="221"/>
        <v/>
      </c>
      <c r="O997" s="327" t="str">
        <f t="shared" si="222"/>
        <v/>
      </c>
      <c r="P997" s="327" t="str">
        <f t="shared" si="223"/>
        <v/>
      </c>
      <c r="Q997" s="327" t="str">
        <f t="shared" si="224"/>
        <v/>
      </c>
      <c r="R997" s="327" t="str">
        <f t="shared" si="225"/>
        <v/>
      </c>
      <c r="S997" s="421" t="str">
        <f t="shared" si="226"/>
        <v/>
      </c>
      <c r="T997" s="327" t="str">
        <f t="shared" si="227"/>
        <v/>
      </c>
      <c r="U997" s="327" t="str">
        <f t="shared" si="228"/>
        <v/>
      </c>
      <c r="V997" s="327" t="str">
        <f t="shared" si="229"/>
        <v/>
      </c>
      <c r="W997" s="327" t="str">
        <f t="shared" si="230"/>
        <v/>
      </c>
      <c r="X997" s="327" t="str">
        <f t="shared" si="231"/>
        <v/>
      </c>
      <c r="Y997" s="327" t="str">
        <f t="shared" si="232"/>
        <v/>
      </c>
      <c r="Z997" s="428" t="str">
        <f t="shared" si="233"/>
        <v/>
      </c>
    </row>
    <row r="998" spans="1:26" x14ac:dyDescent="0.35">
      <c r="A998" s="265"/>
      <c r="B998" s="266"/>
      <c r="C998" s="262"/>
      <c r="D998" s="262"/>
      <c r="E998" s="262"/>
      <c r="F998" s="262"/>
      <c r="G998" s="320"/>
      <c r="H998" s="262"/>
      <c r="I998" s="320"/>
      <c r="J998" s="320"/>
      <c r="K998" s="262"/>
      <c r="L998" s="262"/>
      <c r="M998" s="327" t="str">
        <f t="shared" si="220"/>
        <v/>
      </c>
      <c r="N998" s="327" t="str">
        <f t="shared" si="221"/>
        <v/>
      </c>
      <c r="O998" s="327" t="str">
        <f t="shared" si="222"/>
        <v/>
      </c>
      <c r="P998" s="327" t="str">
        <f t="shared" si="223"/>
        <v/>
      </c>
      <c r="Q998" s="327" t="str">
        <f t="shared" si="224"/>
        <v/>
      </c>
      <c r="R998" s="327" t="str">
        <f t="shared" si="225"/>
        <v/>
      </c>
      <c r="S998" s="421" t="str">
        <f t="shared" si="226"/>
        <v/>
      </c>
      <c r="T998" s="327" t="str">
        <f t="shared" si="227"/>
        <v/>
      </c>
      <c r="U998" s="327" t="str">
        <f t="shared" si="228"/>
        <v/>
      </c>
      <c r="V998" s="327" t="str">
        <f t="shared" si="229"/>
        <v/>
      </c>
      <c r="W998" s="327" t="str">
        <f t="shared" si="230"/>
        <v/>
      </c>
      <c r="X998" s="327" t="str">
        <f t="shared" si="231"/>
        <v/>
      </c>
      <c r="Y998" s="327" t="str">
        <f t="shared" si="232"/>
        <v/>
      </c>
      <c r="Z998" s="428" t="str">
        <f t="shared" si="233"/>
        <v/>
      </c>
    </row>
    <row r="999" spans="1:26" x14ac:dyDescent="0.35">
      <c r="A999" s="265"/>
      <c r="B999" s="266"/>
      <c r="C999" s="262"/>
      <c r="D999" s="262"/>
      <c r="E999" s="262"/>
      <c r="F999" s="262"/>
      <c r="G999" s="320"/>
      <c r="H999" s="262"/>
      <c r="I999" s="320"/>
      <c r="J999" s="320"/>
      <c r="K999" s="262"/>
      <c r="L999" s="262"/>
      <c r="M999" s="327" t="str">
        <f t="shared" si="220"/>
        <v/>
      </c>
      <c r="N999" s="327" t="str">
        <f t="shared" si="221"/>
        <v/>
      </c>
      <c r="O999" s="327" t="str">
        <f t="shared" si="222"/>
        <v/>
      </c>
      <c r="P999" s="327" t="str">
        <f t="shared" si="223"/>
        <v/>
      </c>
      <c r="Q999" s="327" t="str">
        <f t="shared" si="224"/>
        <v/>
      </c>
      <c r="R999" s="327" t="str">
        <f t="shared" si="225"/>
        <v/>
      </c>
      <c r="S999" s="421" t="str">
        <f t="shared" si="226"/>
        <v/>
      </c>
      <c r="T999" s="327" t="str">
        <f t="shared" si="227"/>
        <v/>
      </c>
      <c r="U999" s="327" t="str">
        <f t="shared" si="228"/>
        <v/>
      </c>
      <c r="V999" s="327" t="str">
        <f t="shared" si="229"/>
        <v/>
      </c>
      <c r="W999" s="327" t="str">
        <f t="shared" si="230"/>
        <v/>
      </c>
      <c r="X999" s="327" t="str">
        <f t="shared" si="231"/>
        <v/>
      </c>
      <c r="Y999" s="327" t="str">
        <f t="shared" si="232"/>
        <v/>
      </c>
      <c r="Z999" s="428" t="str">
        <f t="shared" si="233"/>
        <v/>
      </c>
    </row>
    <row r="1000" spans="1:26" x14ac:dyDescent="0.35">
      <c r="A1000" s="265"/>
      <c r="B1000" s="266"/>
      <c r="C1000" s="262"/>
      <c r="D1000" s="262"/>
      <c r="E1000" s="262"/>
      <c r="F1000" s="262"/>
      <c r="G1000" s="320"/>
      <c r="H1000" s="262"/>
      <c r="I1000" s="320"/>
      <c r="J1000" s="320"/>
      <c r="K1000" s="262"/>
      <c r="L1000" s="262"/>
      <c r="M1000" s="327" t="str">
        <f t="shared" si="220"/>
        <v/>
      </c>
      <c r="N1000" s="327" t="str">
        <f t="shared" si="221"/>
        <v/>
      </c>
      <c r="O1000" s="327" t="str">
        <f t="shared" si="222"/>
        <v/>
      </c>
      <c r="P1000" s="327" t="str">
        <f t="shared" si="223"/>
        <v/>
      </c>
      <c r="Q1000" s="327" t="str">
        <f t="shared" si="224"/>
        <v/>
      </c>
      <c r="R1000" s="327" t="str">
        <f t="shared" si="225"/>
        <v/>
      </c>
      <c r="S1000" s="421" t="str">
        <f t="shared" si="226"/>
        <v/>
      </c>
      <c r="T1000" s="327" t="str">
        <f t="shared" si="227"/>
        <v/>
      </c>
      <c r="U1000" s="327" t="str">
        <f t="shared" si="228"/>
        <v/>
      </c>
      <c r="V1000" s="327" t="str">
        <f t="shared" si="229"/>
        <v/>
      </c>
      <c r="W1000" s="327" t="str">
        <f t="shared" si="230"/>
        <v/>
      </c>
      <c r="X1000" s="327" t="str">
        <f t="shared" si="231"/>
        <v/>
      </c>
      <c r="Y1000" s="327" t="str">
        <f t="shared" si="232"/>
        <v/>
      </c>
      <c r="Z1000" s="428" t="str">
        <f t="shared" si="233"/>
        <v/>
      </c>
    </row>
    <row r="1001" spans="1:26" x14ac:dyDescent="0.35">
      <c r="A1001" s="265"/>
      <c r="B1001" s="266"/>
      <c r="C1001" s="262"/>
      <c r="D1001" s="262"/>
      <c r="E1001" s="262"/>
      <c r="F1001" s="262"/>
      <c r="G1001" s="320"/>
      <c r="H1001" s="262"/>
      <c r="I1001" s="320"/>
      <c r="J1001" s="320"/>
      <c r="K1001" s="262"/>
      <c r="L1001" s="262"/>
      <c r="M1001" s="327" t="str">
        <f t="shared" si="220"/>
        <v/>
      </c>
      <c r="N1001" s="327" t="str">
        <f t="shared" si="221"/>
        <v/>
      </c>
      <c r="O1001" s="327" t="str">
        <f t="shared" si="222"/>
        <v/>
      </c>
      <c r="P1001" s="327" t="str">
        <f t="shared" si="223"/>
        <v/>
      </c>
      <c r="Q1001" s="327" t="str">
        <f t="shared" si="224"/>
        <v/>
      </c>
      <c r="R1001" s="327" t="str">
        <f t="shared" si="225"/>
        <v/>
      </c>
      <c r="S1001" s="421" t="str">
        <f t="shared" si="226"/>
        <v/>
      </c>
      <c r="T1001" s="327" t="str">
        <f t="shared" si="227"/>
        <v/>
      </c>
      <c r="U1001" s="327" t="str">
        <f t="shared" si="228"/>
        <v/>
      </c>
      <c r="V1001" s="327" t="str">
        <f t="shared" si="229"/>
        <v/>
      </c>
      <c r="W1001" s="327" t="str">
        <f t="shared" si="230"/>
        <v/>
      </c>
      <c r="X1001" s="327" t="str">
        <f t="shared" si="231"/>
        <v/>
      </c>
      <c r="Y1001" s="327" t="str">
        <f t="shared" si="232"/>
        <v/>
      </c>
      <c r="Z1001" s="428" t="str">
        <f t="shared" si="233"/>
        <v/>
      </c>
    </row>
    <row r="1002" spans="1:26" x14ac:dyDescent="0.35">
      <c r="A1002" s="265"/>
      <c r="B1002" s="266"/>
      <c r="C1002" s="262"/>
      <c r="D1002" s="262"/>
      <c r="E1002" s="262"/>
      <c r="F1002" s="262"/>
      <c r="G1002" s="320"/>
      <c r="H1002" s="262"/>
      <c r="I1002" s="320"/>
      <c r="J1002" s="320"/>
      <c r="K1002" s="262"/>
      <c r="L1002" s="262"/>
      <c r="M1002" s="327" t="str">
        <f t="shared" si="220"/>
        <v/>
      </c>
      <c r="N1002" s="327" t="str">
        <f t="shared" si="221"/>
        <v/>
      </c>
      <c r="O1002" s="327" t="str">
        <f t="shared" si="222"/>
        <v/>
      </c>
      <c r="P1002" s="327" t="str">
        <f t="shared" si="223"/>
        <v/>
      </c>
      <c r="Q1002" s="327" t="str">
        <f t="shared" si="224"/>
        <v/>
      </c>
      <c r="R1002" s="327" t="str">
        <f t="shared" si="225"/>
        <v/>
      </c>
      <c r="S1002" s="421" t="str">
        <f t="shared" si="226"/>
        <v/>
      </c>
      <c r="T1002" s="327" t="str">
        <f t="shared" si="227"/>
        <v/>
      </c>
      <c r="U1002" s="327" t="str">
        <f t="shared" si="228"/>
        <v/>
      </c>
      <c r="V1002" s="327" t="str">
        <f t="shared" si="229"/>
        <v/>
      </c>
      <c r="W1002" s="327" t="str">
        <f t="shared" si="230"/>
        <v/>
      </c>
      <c r="X1002" s="327" t="str">
        <f t="shared" si="231"/>
        <v/>
      </c>
      <c r="Y1002" s="327" t="str">
        <f t="shared" si="232"/>
        <v/>
      </c>
      <c r="Z1002" s="428" t="str">
        <f t="shared" si="233"/>
        <v/>
      </c>
    </row>
    <row r="1003" spans="1:26" x14ac:dyDescent="0.35">
      <c r="A1003" s="265"/>
      <c r="B1003" s="266"/>
      <c r="C1003" s="262"/>
      <c r="D1003" s="262"/>
      <c r="E1003" s="262"/>
      <c r="F1003" s="262"/>
      <c r="G1003" s="320"/>
      <c r="H1003" s="262"/>
      <c r="I1003" s="320"/>
      <c r="J1003" s="320"/>
      <c r="K1003" s="262"/>
      <c r="L1003" s="262"/>
      <c r="M1003" s="327" t="str">
        <f t="shared" ref="M1003:M1066" si="234">IF(OR(A1003="", B1003=""), "", IF(H1003="Mitgliedsbeiträge", ABS(B1003), ""))</f>
        <v/>
      </c>
      <c r="N1003" s="327" t="str">
        <f t="shared" ref="N1003:N1066" si="235">IF(OR(A1003="", B1003=""), "", IF(H1003="Spenden", ABS(B1003), ""))</f>
        <v/>
      </c>
      <c r="O1003" s="327" t="str">
        <f t="shared" ref="O1003:O1066" si="236">IF(OR(A1003="", B1003=""), "", IF(H1003="Zuschüsse", ABS(B1003), ""))</f>
        <v/>
      </c>
      <c r="P1003" s="327" t="str">
        <f t="shared" ref="P1003:P1066" si="237">IF(OR(A1003="", B1003=""), "", IF(H1003="Verwaltung", ABS(B1003), ""))</f>
        <v/>
      </c>
      <c r="Q1003" s="327" t="str">
        <f t="shared" ref="Q1003:Q1066" si="238">IF(OR(A1003="", B1003=""), "", IF(H1003="Vermögen", ABS(B1003), ""))</f>
        <v/>
      </c>
      <c r="R1003" s="327" t="str">
        <f t="shared" ref="R1003:R1066" si="239">IF(OR(A1003="", B1003=""), "", IF(H1003="Vermögen", ABS(B1003), ""))</f>
        <v/>
      </c>
      <c r="S1003" s="421" t="str">
        <f t="shared" ref="S1003:S1066" si="240">IF(OR(A1003="", B1003=""), "", IF(H1003="Sonstige Einnahmen", ABS(B1003), ""))</f>
        <v/>
      </c>
      <c r="T1003" s="327" t="str">
        <f t="shared" ref="T1003:T1066" si="241">IF(OR(A1003="", B1003=""), "", IF(H1003="Unterhaltung", ABS(B1003), ""))</f>
        <v/>
      </c>
      <c r="U1003" s="327" t="str">
        <f t="shared" ref="U1003:U1066" si="242">IF(OR(A1003="", B1003=""), "", IF(H1003="Fortbildung", ABS(B1003), ""))</f>
        <v/>
      </c>
      <c r="V1003" s="327" t="str">
        <f t="shared" ref="V1003:V1066" si="243">IF(OR(A1003="", B1003=""), "", IF(H1003="Veranstaltungen Ausgabe", ABS(B1003), ""))</f>
        <v/>
      </c>
      <c r="W1003" s="327" t="str">
        <f t="shared" ref="W1003:W1066" si="244">IF(OR(A1003="", B1003=""), "", IF(H1003="Bürobetrieb", ABS(B1003), ""))</f>
        <v/>
      </c>
      <c r="X1003" s="327" t="str">
        <f t="shared" ref="X1003:X1066" si="245">IF(OR(A1003="", B1003=""), "", IF(H1003="Aufwandsentschädigungen", ABS(B1003), ""))</f>
        <v/>
      </c>
      <c r="Y1003" s="327" t="str">
        <f t="shared" ref="Y1003:Y1066" si="246">IF(OR(A1003="", B1003=""), "", IF(H1003="Sonstige Ausgaben", ABS(B1003), ""))</f>
        <v/>
      </c>
      <c r="Z1003" s="428" t="str">
        <f t="shared" ref="Z1003:Z1066" si="247">IF(OR(A1003="", B1003=""), "", IF(H1003="Kasse-Auszahlung", ABS(B1003), ""))</f>
        <v/>
      </c>
    </row>
    <row r="1004" spans="1:26" x14ac:dyDescent="0.35">
      <c r="A1004" s="265"/>
      <c r="B1004" s="266"/>
      <c r="C1004" s="262"/>
      <c r="D1004" s="262"/>
      <c r="E1004" s="262"/>
      <c r="F1004" s="262"/>
      <c r="G1004" s="320"/>
      <c r="H1004" s="262"/>
      <c r="I1004" s="320"/>
      <c r="J1004" s="320"/>
      <c r="K1004" s="262"/>
      <c r="L1004" s="262"/>
      <c r="M1004" s="327" t="str">
        <f t="shared" si="234"/>
        <v/>
      </c>
      <c r="N1004" s="327" t="str">
        <f t="shared" si="235"/>
        <v/>
      </c>
      <c r="O1004" s="327" t="str">
        <f t="shared" si="236"/>
        <v/>
      </c>
      <c r="P1004" s="327" t="str">
        <f t="shared" si="237"/>
        <v/>
      </c>
      <c r="Q1004" s="327" t="str">
        <f t="shared" si="238"/>
        <v/>
      </c>
      <c r="R1004" s="327" t="str">
        <f t="shared" si="239"/>
        <v/>
      </c>
      <c r="S1004" s="421" t="str">
        <f t="shared" si="240"/>
        <v/>
      </c>
      <c r="T1004" s="327" t="str">
        <f t="shared" si="241"/>
        <v/>
      </c>
      <c r="U1004" s="327" t="str">
        <f t="shared" si="242"/>
        <v/>
      </c>
      <c r="V1004" s="327" t="str">
        <f t="shared" si="243"/>
        <v/>
      </c>
      <c r="W1004" s="327" t="str">
        <f t="shared" si="244"/>
        <v/>
      </c>
      <c r="X1004" s="327" t="str">
        <f t="shared" si="245"/>
        <v/>
      </c>
      <c r="Y1004" s="327" t="str">
        <f t="shared" si="246"/>
        <v/>
      </c>
      <c r="Z1004" s="428" t="str">
        <f t="shared" si="247"/>
        <v/>
      </c>
    </row>
    <row r="1005" spans="1:26" x14ac:dyDescent="0.35">
      <c r="A1005" s="265"/>
      <c r="B1005" s="266"/>
      <c r="C1005" s="262"/>
      <c r="D1005" s="262"/>
      <c r="E1005" s="262"/>
      <c r="F1005" s="262"/>
      <c r="G1005" s="320"/>
      <c r="H1005" s="262"/>
      <c r="I1005" s="320"/>
      <c r="J1005" s="320"/>
      <c r="K1005" s="262"/>
      <c r="L1005" s="262"/>
      <c r="M1005" s="327" t="str">
        <f t="shared" si="234"/>
        <v/>
      </c>
      <c r="N1005" s="327" t="str">
        <f t="shared" si="235"/>
        <v/>
      </c>
      <c r="O1005" s="327" t="str">
        <f t="shared" si="236"/>
        <v/>
      </c>
      <c r="P1005" s="327" t="str">
        <f t="shared" si="237"/>
        <v/>
      </c>
      <c r="Q1005" s="327" t="str">
        <f t="shared" si="238"/>
        <v/>
      </c>
      <c r="R1005" s="327" t="str">
        <f t="shared" si="239"/>
        <v/>
      </c>
      <c r="S1005" s="421" t="str">
        <f t="shared" si="240"/>
        <v/>
      </c>
      <c r="T1005" s="327" t="str">
        <f t="shared" si="241"/>
        <v/>
      </c>
      <c r="U1005" s="327" t="str">
        <f t="shared" si="242"/>
        <v/>
      </c>
      <c r="V1005" s="327" t="str">
        <f t="shared" si="243"/>
        <v/>
      </c>
      <c r="W1005" s="327" t="str">
        <f t="shared" si="244"/>
        <v/>
      </c>
      <c r="X1005" s="327" t="str">
        <f t="shared" si="245"/>
        <v/>
      </c>
      <c r="Y1005" s="327" t="str">
        <f t="shared" si="246"/>
        <v/>
      </c>
      <c r="Z1005" s="428" t="str">
        <f t="shared" si="247"/>
        <v/>
      </c>
    </row>
    <row r="1006" spans="1:26" x14ac:dyDescent="0.35">
      <c r="A1006" s="265"/>
      <c r="B1006" s="266"/>
      <c r="C1006" s="262"/>
      <c r="D1006" s="262"/>
      <c r="E1006" s="262"/>
      <c r="F1006" s="262"/>
      <c r="G1006" s="320"/>
      <c r="H1006" s="262"/>
      <c r="I1006" s="320"/>
      <c r="J1006" s="320"/>
      <c r="K1006" s="262"/>
      <c r="L1006" s="262"/>
      <c r="M1006" s="327" t="str">
        <f t="shared" si="234"/>
        <v/>
      </c>
      <c r="N1006" s="327" t="str">
        <f t="shared" si="235"/>
        <v/>
      </c>
      <c r="O1006" s="327" t="str">
        <f t="shared" si="236"/>
        <v/>
      </c>
      <c r="P1006" s="327" t="str">
        <f t="shared" si="237"/>
        <v/>
      </c>
      <c r="Q1006" s="327" t="str">
        <f t="shared" si="238"/>
        <v/>
      </c>
      <c r="R1006" s="327" t="str">
        <f t="shared" si="239"/>
        <v/>
      </c>
      <c r="S1006" s="421" t="str">
        <f t="shared" si="240"/>
        <v/>
      </c>
      <c r="T1006" s="327" t="str">
        <f t="shared" si="241"/>
        <v/>
      </c>
      <c r="U1006" s="327" t="str">
        <f t="shared" si="242"/>
        <v/>
      </c>
      <c r="V1006" s="327" t="str">
        <f t="shared" si="243"/>
        <v/>
      </c>
      <c r="W1006" s="327" t="str">
        <f t="shared" si="244"/>
        <v/>
      </c>
      <c r="X1006" s="327" t="str">
        <f t="shared" si="245"/>
        <v/>
      </c>
      <c r="Y1006" s="327" t="str">
        <f t="shared" si="246"/>
        <v/>
      </c>
      <c r="Z1006" s="428" t="str">
        <f t="shared" si="247"/>
        <v/>
      </c>
    </row>
    <row r="1007" spans="1:26" x14ac:dyDescent="0.35">
      <c r="A1007" s="265"/>
      <c r="B1007" s="266"/>
      <c r="C1007" s="262"/>
      <c r="D1007" s="262"/>
      <c r="E1007" s="262"/>
      <c r="F1007" s="262"/>
      <c r="G1007" s="320"/>
      <c r="H1007" s="262"/>
      <c r="I1007" s="320"/>
      <c r="J1007" s="320"/>
      <c r="K1007" s="262"/>
      <c r="L1007" s="262"/>
      <c r="M1007" s="327" t="str">
        <f t="shared" si="234"/>
        <v/>
      </c>
      <c r="N1007" s="327" t="str">
        <f t="shared" si="235"/>
        <v/>
      </c>
      <c r="O1007" s="327" t="str">
        <f t="shared" si="236"/>
        <v/>
      </c>
      <c r="P1007" s="327" t="str">
        <f t="shared" si="237"/>
        <v/>
      </c>
      <c r="Q1007" s="327" t="str">
        <f t="shared" si="238"/>
        <v/>
      </c>
      <c r="R1007" s="327" t="str">
        <f t="shared" si="239"/>
        <v/>
      </c>
      <c r="S1007" s="421" t="str">
        <f t="shared" si="240"/>
        <v/>
      </c>
      <c r="T1007" s="327" t="str">
        <f t="shared" si="241"/>
        <v/>
      </c>
      <c r="U1007" s="327" t="str">
        <f t="shared" si="242"/>
        <v/>
      </c>
      <c r="V1007" s="327" t="str">
        <f t="shared" si="243"/>
        <v/>
      </c>
      <c r="W1007" s="327" t="str">
        <f t="shared" si="244"/>
        <v/>
      </c>
      <c r="X1007" s="327" t="str">
        <f t="shared" si="245"/>
        <v/>
      </c>
      <c r="Y1007" s="327" t="str">
        <f t="shared" si="246"/>
        <v/>
      </c>
      <c r="Z1007" s="428" t="str">
        <f t="shared" si="247"/>
        <v/>
      </c>
    </row>
    <row r="1008" spans="1:26" x14ac:dyDescent="0.35">
      <c r="A1008" s="265"/>
      <c r="B1008" s="266"/>
      <c r="C1008" s="262"/>
      <c r="D1008" s="262"/>
      <c r="E1008" s="262"/>
      <c r="F1008" s="262"/>
      <c r="G1008" s="320"/>
      <c r="H1008" s="262"/>
      <c r="I1008" s="320"/>
      <c r="J1008" s="320"/>
      <c r="K1008" s="262"/>
      <c r="L1008" s="262"/>
      <c r="M1008" s="327" t="str">
        <f t="shared" si="234"/>
        <v/>
      </c>
      <c r="N1008" s="327" t="str">
        <f t="shared" si="235"/>
        <v/>
      </c>
      <c r="O1008" s="327" t="str">
        <f t="shared" si="236"/>
        <v/>
      </c>
      <c r="P1008" s="327" t="str">
        <f t="shared" si="237"/>
        <v/>
      </c>
      <c r="Q1008" s="327" t="str">
        <f t="shared" si="238"/>
        <v/>
      </c>
      <c r="R1008" s="327" t="str">
        <f t="shared" si="239"/>
        <v/>
      </c>
      <c r="S1008" s="421" t="str">
        <f t="shared" si="240"/>
        <v/>
      </c>
      <c r="T1008" s="327" t="str">
        <f t="shared" si="241"/>
        <v/>
      </c>
      <c r="U1008" s="327" t="str">
        <f t="shared" si="242"/>
        <v/>
      </c>
      <c r="V1008" s="327" t="str">
        <f t="shared" si="243"/>
        <v/>
      </c>
      <c r="W1008" s="327" t="str">
        <f t="shared" si="244"/>
        <v/>
      </c>
      <c r="X1008" s="327" t="str">
        <f t="shared" si="245"/>
        <v/>
      </c>
      <c r="Y1008" s="327" t="str">
        <f t="shared" si="246"/>
        <v/>
      </c>
      <c r="Z1008" s="428" t="str">
        <f t="shared" si="247"/>
        <v/>
      </c>
    </row>
    <row r="1009" spans="1:26" x14ac:dyDescent="0.35">
      <c r="A1009" s="265"/>
      <c r="B1009" s="266"/>
      <c r="C1009" s="262"/>
      <c r="D1009" s="262"/>
      <c r="E1009" s="262"/>
      <c r="F1009" s="262"/>
      <c r="G1009" s="320"/>
      <c r="H1009" s="262"/>
      <c r="I1009" s="320"/>
      <c r="J1009" s="320"/>
      <c r="K1009" s="262"/>
      <c r="L1009" s="262"/>
      <c r="M1009" s="327" t="str">
        <f t="shared" si="234"/>
        <v/>
      </c>
      <c r="N1009" s="327" t="str">
        <f t="shared" si="235"/>
        <v/>
      </c>
      <c r="O1009" s="327" t="str">
        <f t="shared" si="236"/>
        <v/>
      </c>
      <c r="P1009" s="327" t="str">
        <f t="shared" si="237"/>
        <v/>
      </c>
      <c r="Q1009" s="327" t="str">
        <f t="shared" si="238"/>
        <v/>
      </c>
      <c r="R1009" s="327" t="str">
        <f t="shared" si="239"/>
        <v/>
      </c>
      <c r="S1009" s="421" t="str">
        <f t="shared" si="240"/>
        <v/>
      </c>
      <c r="T1009" s="327" t="str">
        <f t="shared" si="241"/>
        <v/>
      </c>
      <c r="U1009" s="327" t="str">
        <f t="shared" si="242"/>
        <v/>
      </c>
      <c r="V1009" s="327" t="str">
        <f t="shared" si="243"/>
        <v/>
      </c>
      <c r="W1009" s="327" t="str">
        <f t="shared" si="244"/>
        <v/>
      </c>
      <c r="X1009" s="327" t="str">
        <f t="shared" si="245"/>
        <v/>
      </c>
      <c r="Y1009" s="327" t="str">
        <f t="shared" si="246"/>
        <v/>
      </c>
      <c r="Z1009" s="428" t="str">
        <f t="shared" si="247"/>
        <v/>
      </c>
    </row>
    <row r="1010" spans="1:26" x14ac:dyDescent="0.35">
      <c r="A1010" s="265"/>
      <c r="B1010" s="266"/>
      <c r="C1010" s="262"/>
      <c r="D1010" s="262"/>
      <c r="E1010" s="262"/>
      <c r="F1010" s="262"/>
      <c r="G1010" s="320"/>
      <c r="H1010" s="262"/>
      <c r="I1010" s="320"/>
      <c r="J1010" s="320"/>
      <c r="K1010" s="262"/>
      <c r="L1010" s="262"/>
      <c r="M1010" s="327" t="str">
        <f t="shared" si="234"/>
        <v/>
      </c>
      <c r="N1010" s="327" t="str">
        <f t="shared" si="235"/>
        <v/>
      </c>
      <c r="O1010" s="327" t="str">
        <f t="shared" si="236"/>
        <v/>
      </c>
      <c r="P1010" s="327" t="str">
        <f t="shared" si="237"/>
        <v/>
      </c>
      <c r="Q1010" s="327" t="str">
        <f t="shared" si="238"/>
        <v/>
      </c>
      <c r="R1010" s="327" t="str">
        <f t="shared" si="239"/>
        <v/>
      </c>
      <c r="S1010" s="421" t="str">
        <f t="shared" si="240"/>
        <v/>
      </c>
      <c r="T1010" s="327" t="str">
        <f t="shared" si="241"/>
        <v/>
      </c>
      <c r="U1010" s="327" t="str">
        <f t="shared" si="242"/>
        <v/>
      </c>
      <c r="V1010" s="327" t="str">
        <f t="shared" si="243"/>
        <v/>
      </c>
      <c r="W1010" s="327" t="str">
        <f t="shared" si="244"/>
        <v/>
      </c>
      <c r="X1010" s="327" t="str">
        <f t="shared" si="245"/>
        <v/>
      </c>
      <c r="Y1010" s="327" t="str">
        <f t="shared" si="246"/>
        <v/>
      </c>
      <c r="Z1010" s="428" t="str">
        <f t="shared" si="247"/>
        <v/>
      </c>
    </row>
    <row r="1011" spans="1:26" x14ac:dyDescent="0.35">
      <c r="A1011" s="265"/>
      <c r="B1011" s="266"/>
      <c r="C1011" s="262"/>
      <c r="D1011" s="262"/>
      <c r="E1011" s="262"/>
      <c r="F1011" s="262"/>
      <c r="G1011" s="320"/>
      <c r="H1011" s="262"/>
      <c r="I1011" s="320"/>
      <c r="J1011" s="320"/>
      <c r="K1011" s="262"/>
      <c r="L1011" s="262"/>
      <c r="M1011" s="327" t="str">
        <f t="shared" si="234"/>
        <v/>
      </c>
      <c r="N1011" s="327" t="str">
        <f t="shared" si="235"/>
        <v/>
      </c>
      <c r="O1011" s="327" t="str">
        <f t="shared" si="236"/>
        <v/>
      </c>
      <c r="P1011" s="327" t="str">
        <f t="shared" si="237"/>
        <v/>
      </c>
      <c r="Q1011" s="327" t="str">
        <f t="shared" si="238"/>
        <v/>
      </c>
      <c r="R1011" s="327" t="str">
        <f t="shared" si="239"/>
        <v/>
      </c>
      <c r="S1011" s="421" t="str">
        <f t="shared" si="240"/>
        <v/>
      </c>
      <c r="T1011" s="327" t="str">
        <f t="shared" si="241"/>
        <v/>
      </c>
      <c r="U1011" s="327" t="str">
        <f t="shared" si="242"/>
        <v/>
      </c>
      <c r="V1011" s="327" t="str">
        <f t="shared" si="243"/>
        <v/>
      </c>
      <c r="W1011" s="327" t="str">
        <f t="shared" si="244"/>
        <v/>
      </c>
      <c r="X1011" s="327" t="str">
        <f t="shared" si="245"/>
        <v/>
      </c>
      <c r="Y1011" s="327" t="str">
        <f t="shared" si="246"/>
        <v/>
      </c>
      <c r="Z1011" s="428" t="str">
        <f t="shared" si="247"/>
        <v/>
      </c>
    </row>
    <row r="1012" spans="1:26" x14ac:dyDescent="0.35">
      <c r="A1012" s="265"/>
      <c r="B1012" s="266"/>
      <c r="C1012" s="262"/>
      <c r="D1012" s="262"/>
      <c r="E1012" s="262"/>
      <c r="F1012" s="262"/>
      <c r="G1012" s="320"/>
      <c r="H1012" s="262"/>
      <c r="I1012" s="320"/>
      <c r="J1012" s="320"/>
      <c r="K1012" s="262"/>
      <c r="L1012" s="262"/>
      <c r="M1012" s="327" t="str">
        <f t="shared" si="234"/>
        <v/>
      </c>
      <c r="N1012" s="327" t="str">
        <f t="shared" si="235"/>
        <v/>
      </c>
      <c r="O1012" s="327" t="str">
        <f t="shared" si="236"/>
        <v/>
      </c>
      <c r="P1012" s="327" t="str">
        <f t="shared" si="237"/>
        <v/>
      </c>
      <c r="Q1012" s="327" t="str">
        <f t="shared" si="238"/>
        <v/>
      </c>
      <c r="R1012" s="327" t="str">
        <f t="shared" si="239"/>
        <v/>
      </c>
      <c r="S1012" s="421" t="str">
        <f t="shared" si="240"/>
        <v/>
      </c>
      <c r="T1012" s="327" t="str">
        <f t="shared" si="241"/>
        <v/>
      </c>
      <c r="U1012" s="327" t="str">
        <f t="shared" si="242"/>
        <v/>
      </c>
      <c r="V1012" s="327" t="str">
        <f t="shared" si="243"/>
        <v/>
      </c>
      <c r="W1012" s="327" t="str">
        <f t="shared" si="244"/>
        <v/>
      </c>
      <c r="X1012" s="327" t="str">
        <f t="shared" si="245"/>
        <v/>
      </c>
      <c r="Y1012" s="327" t="str">
        <f t="shared" si="246"/>
        <v/>
      </c>
      <c r="Z1012" s="428" t="str">
        <f t="shared" si="247"/>
        <v/>
      </c>
    </row>
    <row r="1013" spans="1:26" x14ac:dyDescent="0.35">
      <c r="A1013" s="265"/>
      <c r="B1013" s="266"/>
      <c r="C1013" s="262"/>
      <c r="D1013" s="262"/>
      <c r="E1013" s="262"/>
      <c r="F1013" s="262"/>
      <c r="G1013" s="320"/>
      <c r="H1013" s="262"/>
      <c r="I1013" s="320"/>
      <c r="J1013" s="320"/>
      <c r="K1013" s="262"/>
      <c r="L1013" s="262"/>
      <c r="M1013" s="327" t="str">
        <f t="shared" si="234"/>
        <v/>
      </c>
      <c r="N1013" s="327" t="str">
        <f t="shared" si="235"/>
        <v/>
      </c>
      <c r="O1013" s="327" t="str">
        <f t="shared" si="236"/>
        <v/>
      </c>
      <c r="P1013" s="327" t="str">
        <f t="shared" si="237"/>
        <v/>
      </c>
      <c r="Q1013" s="327" t="str">
        <f t="shared" si="238"/>
        <v/>
      </c>
      <c r="R1013" s="327" t="str">
        <f t="shared" si="239"/>
        <v/>
      </c>
      <c r="S1013" s="421" t="str">
        <f t="shared" si="240"/>
        <v/>
      </c>
      <c r="T1013" s="327" t="str">
        <f t="shared" si="241"/>
        <v/>
      </c>
      <c r="U1013" s="327" t="str">
        <f t="shared" si="242"/>
        <v/>
      </c>
      <c r="V1013" s="327" t="str">
        <f t="shared" si="243"/>
        <v/>
      </c>
      <c r="W1013" s="327" t="str">
        <f t="shared" si="244"/>
        <v/>
      </c>
      <c r="X1013" s="327" t="str">
        <f t="shared" si="245"/>
        <v/>
      </c>
      <c r="Y1013" s="327" t="str">
        <f t="shared" si="246"/>
        <v/>
      </c>
      <c r="Z1013" s="428" t="str">
        <f t="shared" si="247"/>
        <v/>
      </c>
    </row>
    <row r="1014" spans="1:26" x14ac:dyDescent="0.35">
      <c r="A1014" s="265"/>
      <c r="B1014" s="266"/>
      <c r="C1014" s="262"/>
      <c r="D1014" s="262"/>
      <c r="E1014" s="262"/>
      <c r="F1014" s="262"/>
      <c r="G1014" s="320"/>
      <c r="H1014" s="262"/>
      <c r="I1014" s="320"/>
      <c r="J1014" s="320"/>
      <c r="K1014" s="262"/>
      <c r="L1014" s="262"/>
      <c r="M1014" s="327" t="str">
        <f t="shared" si="234"/>
        <v/>
      </c>
      <c r="N1014" s="327" t="str">
        <f t="shared" si="235"/>
        <v/>
      </c>
      <c r="O1014" s="327" t="str">
        <f t="shared" si="236"/>
        <v/>
      </c>
      <c r="P1014" s="327" t="str">
        <f t="shared" si="237"/>
        <v/>
      </c>
      <c r="Q1014" s="327" t="str">
        <f t="shared" si="238"/>
        <v/>
      </c>
      <c r="R1014" s="327" t="str">
        <f t="shared" si="239"/>
        <v/>
      </c>
      <c r="S1014" s="421" t="str">
        <f t="shared" si="240"/>
        <v/>
      </c>
      <c r="T1014" s="327" t="str">
        <f t="shared" si="241"/>
        <v/>
      </c>
      <c r="U1014" s="327" t="str">
        <f t="shared" si="242"/>
        <v/>
      </c>
      <c r="V1014" s="327" t="str">
        <f t="shared" si="243"/>
        <v/>
      </c>
      <c r="W1014" s="327" t="str">
        <f t="shared" si="244"/>
        <v/>
      </c>
      <c r="X1014" s="327" t="str">
        <f t="shared" si="245"/>
        <v/>
      </c>
      <c r="Y1014" s="327" t="str">
        <f t="shared" si="246"/>
        <v/>
      </c>
      <c r="Z1014" s="428" t="str">
        <f t="shared" si="247"/>
        <v/>
      </c>
    </row>
    <row r="1015" spans="1:26" x14ac:dyDescent="0.35">
      <c r="A1015" s="265"/>
      <c r="B1015" s="266"/>
      <c r="C1015" s="262"/>
      <c r="D1015" s="262"/>
      <c r="E1015" s="262"/>
      <c r="F1015" s="262"/>
      <c r="G1015" s="320"/>
      <c r="H1015" s="262"/>
      <c r="I1015" s="320"/>
      <c r="J1015" s="320"/>
      <c r="K1015" s="262"/>
      <c r="L1015" s="262"/>
      <c r="M1015" s="327" t="str">
        <f t="shared" si="234"/>
        <v/>
      </c>
      <c r="N1015" s="327" t="str">
        <f t="shared" si="235"/>
        <v/>
      </c>
      <c r="O1015" s="327" t="str">
        <f t="shared" si="236"/>
        <v/>
      </c>
      <c r="P1015" s="327" t="str">
        <f t="shared" si="237"/>
        <v/>
      </c>
      <c r="Q1015" s="327" t="str">
        <f t="shared" si="238"/>
        <v/>
      </c>
      <c r="R1015" s="327" t="str">
        <f t="shared" si="239"/>
        <v/>
      </c>
      <c r="S1015" s="421" t="str">
        <f t="shared" si="240"/>
        <v/>
      </c>
      <c r="T1015" s="327" t="str">
        <f t="shared" si="241"/>
        <v/>
      </c>
      <c r="U1015" s="327" t="str">
        <f t="shared" si="242"/>
        <v/>
      </c>
      <c r="V1015" s="327" t="str">
        <f t="shared" si="243"/>
        <v/>
      </c>
      <c r="W1015" s="327" t="str">
        <f t="shared" si="244"/>
        <v/>
      </c>
      <c r="X1015" s="327" t="str">
        <f t="shared" si="245"/>
        <v/>
      </c>
      <c r="Y1015" s="327" t="str">
        <f t="shared" si="246"/>
        <v/>
      </c>
      <c r="Z1015" s="428" t="str">
        <f t="shared" si="247"/>
        <v/>
      </c>
    </row>
    <row r="1016" spans="1:26" x14ac:dyDescent="0.35">
      <c r="A1016" s="265"/>
      <c r="B1016" s="266"/>
      <c r="C1016" s="262"/>
      <c r="D1016" s="262"/>
      <c r="E1016" s="262"/>
      <c r="F1016" s="262"/>
      <c r="G1016" s="320"/>
      <c r="H1016" s="262"/>
      <c r="I1016" s="320"/>
      <c r="J1016" s="320"/>
      <c r="K1016" s="262"/>
      <c r="L1016" s="262"/>
      <c r="M1016" s="327" t="str">
        <f t="shared" si="234"/>
        <v/>
      </c>
      <c r="N1016" s="327" t="str">
        <f t="shared" si="235"/>
        <v/>
      </c>
      <c r="O1016" s="327" t="str">
        <f t="shared" si="236"/>
        <v/>
      </c>
      <c r="P1016" s="327" t="str">
        <f t="shared" si="237"/>
        <v/>
      </c>
      <c r="Q1016" s="327" t="str">
        <f t="shared" si="238"/>
        <v/>
      </c>
      <c r="R1016" s="327" t="str">
        <f t="shared" si="239"/>
        <v/>
      </c>
      <c r="S1016" s="421" t="str">
        <f t="shared" si="240"/>
        <v/>
      </c>
      <c r="T1016" s="327" t="str">
        <f t="shared" si="241"/>
        <v/>
      </c>
      <c r="U1016" s="327" t="str">
        <f t="shared" si="242"/>
        <v/>
      </c>
      <c r="V1016" s="327" t="str">
        <f t="shared" si="243"/>
        <v/>
      </c>
      <c r="W1016" s="327" t="str">
        <f t="shared" si="244"/>
        <v/>
      </c>
      <c r="X1016" s="327" t="str">
        <f t="shared" si="245"/>
        <v/>
      </c>
      <c r="Y1016" s="327" t="str">
        <f t="shared" si="246"/>
        <v/>
      </c>
      <c r="Z1016" s="428" t="str">
        <f t="shared" si="247"/>
        <v/>
      </c>
    </row>
    <row r="1017" spans="1:26" x14ac:dyDescent="0.35">
      <c r="A1017" s="265"/>
      <c r="B1017" s="266"/>
      <c r="C1017" s="262"/>
      <c r="D1017" s="262"/>
      <c r="E1017" s="262"/>
      <c r="F1017" s="262"/>
      <c r="G1017" s="320"/>
      <c r="H1017" s="262"/>
      <c r="I1017" s="320"/>
      <c r="J1017" s="320"/>
      <c r="K1017" s="262"/>
      <c r="L1017" s="262"/>
      <c r="M1017" s="327" t="str">
        <f t="shared" si="234"/>
        <v/>
      </c>
      <c r="N1017" s="327" t="str">
        <f t="shared" si="235"/>
        <v/>
      </c>
      <c r="O1017" s="327" t="str">
        <f t="shared" si="236"/>
        <v/>
      </c>
      <c r="P1017" s="327" t="str">
        <f t="shared" si="237"/>
        <v/>
      </c>
      <c r="Q1017" s="327" t="str">
        <f t="shared" si="238"/>
        <v/>
      </c>
      <c r="R1017" s="327" t="str">
        <f t="shared" si="239"/>
        <v/>
      </c>
      <c r="S1017" s="421" t="str">
        <f t="shared" si="240"/>
        <v/>
      </c>
      <c r="T1017" s="327" t="str">
        <f t="shared" si="241"/>
        <v/>
      </c>
      <c r="U1017" s="327" t="str">
        <f t="shared" si="242"/>
        <v/>
      </c>
      <c r="V1017" s="327" t="str">
        <f t="shared" si="243"/>
        <v/>
      </c>
      <c r="W1017" s="327" t="str">
        <f t="shared" si="244"/>
        <v/>
      </c>
      <c r="X1017" s="327" t="str">
        <f t="shared" si="245"/>
        <v/>
      </c>
      <c r="Y1017" s="327" t="str">
        <f t="shared" si="246"/>
        <v/>
      </c>
      <c r="Z1017" s="428" t="str">
        <f t="shared" si="247"/>
        <v/>
      </c>
    </row>
    <row r="1018" spans="1:26" x14ac:dyDescent="0.35">
      <c r="A1018" s="265"/>
      <c r="B1018" s="266"/>
      <c r="C1018" s="262"/>
      <c r="D1018" s="262"/>
      <c r="E1018" s="262"/>
      <c r="F1018" s="262"/>
      <c r="G1018" s="320"/>
      <c r="H1018" s="262"/>
      <c r="I1018" s="320"/>
      <c r="J1018" s="320"/>
      <c r="K1018" s="262"/>
      <c r="L1018" s="262"/>
      <c r="M1018" s="327" t="str">
        <f t="shared" si="234"/>
        <v/>
      </c>
      <c r="N1018" s="327" t="str">
        <f t="shared" si="235"/>
        <v/>
      </c>
      <c r="O1018" s="327" t="str">
        <f t="shared" si="236"/>
        <v/>
      </c>
      <c r="P1018" s="327" t="str">
        <f t="shared" si="237"/>
        <v/>
      </c>
      <c r="Q1018" s="327" t="str">
        <f t="shared" si="238"/>
        <v/>
      </c>
      <c r="R1018" s="327" t="str">
        <f t="shared" si="239"/>
        <v/>
      </c>
      <c r="S1018" s="421" t="str">
        <f t="shared" si="240"/>
        <v/>
      </c>
      <c r="T1018" s="327" t="str">
        <f t="shared" si="241"/>
        <v/>
      </c>
      <c r="U1018" s="327" t="str">
        <f t="shared" si="242"/>
        <v/>
      </c>
      <c r="V1018" s="327" t="str">
        <f t="shared" si="243"/>
        <v/>
      </c>
      <c r="W1018" s="327" t="str">
        <f t="shared" si="244"/>
        <v/>
      </c>
      <c r="X1018" s="327" t="str">
        <f t="shared" si="245"/>
        <v/>
      </c>
      <c r="Y1018" s="327" t="str">
        <f t="shared" si="246"/>
        <v/>
      </c>
      <c r="Z1018" s="428" t="str">
        <f t="shared" si="247"/>
        <v/>
      </c>
    </row>
    <row r="1019" spans="1:26" x14ac:dyDescent="0.35">
      <c r="A1019" s="265"/>
      <c r="B1019" s="266"/>
      <c r="C1019" s="262"/>
      <c r="D1019" s="262"/>
      <c r="E1019" s="262"/>
      <c r="F1019" s="262"/>
      <c r="G1019" s="320"/>
      <c r="H1019" s="262"/>
      <c r="I1019" s="320"/>
      <c r="J1019" s="320"/>
      <c r="K1019" s="262"/>
      <c r="L1019" s="262"/>
      <c r="M1019" s="327" t="str">
        <f t="shared" si="234"/>
        <v/>
      </c>
      <c r="N1019" s="327" t="str">
        <f t="shared" si="235"/>
        <v/>
      </c>
      <c r="O1019" s="327" t="str">
        <f t="shared" si="236"/>
        <v/>
      </c>
      <c r="P1019" s="327" t="str">
        <f t="shared" si="237"/>
        <v/>
      </c>
      <c r="Q1019" s="327" t="str">
        <f t="shared" si="238"/>
        <v/>
      </c>
      <c r="R1019" s="327" t="str">
        <f t="shared" si="239"/>
        <v/>
      </c>
      <c r="S1019" s="421" t="str">
        <f t="shared" si="240"/>
        <v/>
      </c>
      <c r="T1019" s="327" t="str">
        <f t="shared" si="241"/>
        <v/>
      </c>
      <c r="U1019" s="327" t="str">
        <f t="shared" si="242"/>
        <v/>
      </c>
      <c r="V1019" s="327" t="str">
        <f t="shared" si="243"/>
        <v/>
      </c>
      <c r="W1019" s="327" t="str">
        <f t="shared" si="244"/>
        <v/>
      </c>
      <c r="X1019" s="327" t="str">
        <f t="shared" si="245"/>
        <v/>
      </c>
      <c r="Y1019" s="327" t="str">
        <f t="shared" si="246"/>
        <v/>
      </c>
      <c r="Z1019" s="428" t="str">
        <f t="shared" si="247"/>
        <v/>
      </c>
    </row>
    <row r="1020" spans="1:26" x14ac:dyDescent="0.35">
      <c r="A1020" s="265"/>
      <c r="B1020" s="266"/>
      <c r="C1020" s="262"/>
      <c r="D1020" s="262"/>
      <c r="E1020" s="262"/>
      <c r="F1020" s="262"/>
      <c r="G1020" s="320"/>
      <c r="H1020" s="262"/>
      <c r="I1020" s="320"/>
      <c r="J1020" s="320"/>
      <c r="K1020" s="262"/>
      <c r="L1020" s="262"/>
      <c r="M1020" s="327" t="str">
        <f t="shared" si="234"/>
        <v/>
      </c>
      <c r="N1020" s="327" t="str">
        <f t="shared" si="235"/>
        <v/>
      </c>
      <c r="O1020" s="327" t="str">
        <f t="shared" si="236"/>
        <v/>
      </c>
      <c r="P1020" s="327" t="str">
        <f t="shared" si="237"/>
        <v/>
      </c>
      <c r="Q1020" s="327" t="str">
        <f t="shared" si="238"/>
        <v/>
      </c>
      <c r="R1020" s="327" t="str">
        <f t="shared" si="239"/>
        <v/>
      </c>
      <c r="S1020" s="421" t="str">
        <f t="shared" si="240"/>
        <v/>
      </c>
      <c r="T1020" s="327" t="str">
        <f t="shared" si="241"/>
        <v/>
      </c>
      <c r="U1020" s="327" t="str">
        <f t="shared" si="242"/>
        <v/>
      </c>
      <c r="V1020" s="327" t="str">
        <f t="shared" si="243"/>
        <v/>
      </c>
      <c r="W1020" s="327" t="str">
        <f t="shared" si="244"/>
        <v/>
      </c>
      <c r="X1020" s="327" t="str">
        <f t="shared" si="245"/>
        <v/>
      </c>
      <c r="Y1020" s="327" t="str">
        <f t="shared" si="246"/>
        <v/>
      </c>
      <c r="Z1020" s="428" t="str">
        <f t="shared" si="247"/>
        <v/>
      </c>
    </row>
    <row r="1021" spans="1:26" x14ac:dyDescent="0.35">
      <c r="A1021" s="265"/>
      <c r="B1021" s="266"/>
      <c r="C1021" s="262"/>
      <c r="D1021" s="262"/>
      <c r="E1021" s="262"/>
      <c r="F1021" s="262"/>
      <c r="G1021" s="320"/>
      <c r="H1021" s="262"/>
      <c r="I1021" s="320"/>
      <c r="J1021" s="320"/>
      <c r="K1021" s="262"/>
      <c r="L1021" s="262"/>
      <c r="M1021" s="327" t="str">
        <f t="shared" si="234"/>
        <v/>
      </c>
      <c r="N1021" s="327" t="str">
        <f t="shared" si="235"/>
        <v/>
      </c>
      <c r="O1021" s="327" t="str">
        <f t="shared" si="236"/>
        <v/>
      </c>
      <c r="P1021" s="327" t="str">
        <f t="shared" si="237"/>
        <v/>
      </c>
      <c r="Q1021" s="327" t="str">
        <f t="shared" si="238"/>
        <v/>
      </c>
      <c r="R1021" s="327" t="str">
        <f t="shared" si="239"/>
        <v/>
      </c>
      <c r="S1021" s="421" t="str">
        <f t="shared" si="240"/>
        <v/>
      </c>
      <c r="T1021" s="327" t="str">
        <f t="shared" si="241"/>
        <v/>
      </c>
      <c r="U1021" s="327" t="str">
        <f t="shared" si="242"/>
        <v/>
      </c>
      <c r="V1021" s="327" t="str">
        <f t="shared" si="243"/>
        <v/>
      </c>
      <c r="W1021" s="327" t="str">
        <f t="shared" si="244"/>
        <v/>
      </c>
      <c r="X1021" s="327" t="str">
        <f t="shared" si="245"/>
        <v/>
      </c>
      <c r="Y1021" s="327" t="str">
        <f t="shared" si="246"/>
        <v/>
      </c>
      <c r="Z1021" s="428" t="str">
        <f t="shared" si="247"/>
        <v/>
      </c>
    </row>
    <row r="1022" spans="1:26" x14ac:dyDescent="0.35">
      <c r="A1022" s="265"/>
      <c r="B1022" s="266"/>
      <c r="C1022" s="262"/>
      <c r="D1022" s="262"/>
      <c r="E1022" s="262"/>
      <c r="F1022" s="262"/>
      <c r="G1022" s="320"/>
      <c r="H1022" s="262"/>
      <c r="I1022" s="320"/>
      <c r="J1022" s="320"/>
      <c r="K1022" s="262"/>
      <c r="L1022" s="262"/>
      <c r="M1022" s="327" t="str">
        <f t="shared" si="234"/>
        <v/>
      </c>
      <c r="N1022" s="327" t="str">
        <f t="shared" si="235"/>
        <v/>
      </c>
      <c r="O1022" s="327" t="str">
        <f t="shared" si="236"/>
        <v/>
      </c>
      <c r="P1022" s="327" t="str">
        <f t="shared" si="237"/>
        <v/>
      </c>
      <c r="Q1022" s="327" t="str">
        <f t="shared" si="238"/>
        <v/>
      </c>
      <c r="R1022" s="327" t="str">
        <f t="shared" si="239"/>
        <v/>
      </c>
      <c r="S1022" s="421" t="str">
        <f t="shared" si="240"/>
        <v/>
      </c>
      <c r="T1022" s="327" t="str">
        <f t="shared" si="241"/>
        <v/>
      </c>
      <c r="U1022" s="327" t="str">
        <f t="shared" si="242"/>
        <v/>
      </c>
      <c r="V1022" s="327" t="str">
        <f t="shared" si="243"/>
        <v/>
      </c>
      <c r="W1022" s="327" t="str">
        <f t="shared" si="244"/>
        <v/>
      </c>
      <c r="X1022" s="327" t="str">
        <f t="shared" si="245"/>
        <v/>
      </c>
      <c r="Y1022" s="327" t="str">
        <f t="shared" si="246"/>
        <v/>
      </c>
      <c r="Z1022" s="428" t="str">
        <f t="shared" si="247"/>
        <v/>
      </c>
    </row>
    <row r="1023" spans="1:26" x14ac:dyDescent="0.35">
      <c r="A1023" s="265"/>
      <c r="B1023" s="266"/>
      <c r="C1023" s="262"/>
      <c r="D1023" s="262"/>
      <c r="E1023" s="262"/>
      <c r="F1023" s="262"/>
      <c r="G1023" s="320"/>
      <c r="H1023" s="262"/>
      <c r="I1023" s="320"/>
      <c r="J1023" s="320"/>
      <c r="K1023" s="262"/>
      <c r="L1023" s="262"/>
      <c r="M1023" s="327" t="str">
        <f t="shared" si="234"/>
        <v/>
      </c>
      <c r="N1023" s="327" t="str">
        <f t="shared" si="235"/>
        <v/>
      </c>
      <c r="O1023" s="327" t="str">
        <f t="shared" si="236"/>
        <v/>
      </c>
      <c r="P1023" s="327" t="str">
        <f t="shared" si="237"/>
        <v/>
      </c>
      <c r="Q1023" s="327" t="str">
        <f t="shared" si="238"/>
        <v/>
      </c>
      <c r="R1023" s="327" t="str">
        <f t="shared" si="239"/>
        <v/>
      </c>
      <c r="S1023" s="421" t="str">
        <f t="shared" si="240"/>
        <v/>
      </c>
      <c r="T1023" s="327" t="str">
        <f t="shared" si="241"/>
        <v/>
      </c>
      <c r="U1023" s="327" t="str">
        <f t="shared" si="242"/>
        <v/>
      </c>
      <c r="V1023" s="327" t="str">
        <f t="shared" si="243"/>
        <v/>
      </c>
      <c r="W1023" s="327" t="str">
        <f t="shared" si="244"/>
        <v/>
      </c>
      <c r="X1023" s="327" t="str">
        <f t="shared" si="245"/>
        <v/>
      </c>
      <c r="Y1023" s="327" t="str">
        <f t="shared" si="246"/>
        <v/>
      </c>
      <c r="Z1023" s="428" t="str">
        <f t="shared" si="247"/>
        <v/>
      </c>
    </row>
    <row r="1024" spans="1:26" x14ac:dyDescent="0.35">
      <c r="A1024" s="265"/>
      <c r="B1024" s="266"/>
      <c r="C1024" s="262"/>
      <c r="D1024" s="262"/>
      <c r="E1024" s="262"/>
      <c r="F1024" s="262"/>
      <c r="G1024" s="320"/>
      <c r="H1024" s="262"/>
      <c r="I1024" s="320"/>
      <c r="J1024" s="320"/>
      <c r="K1024" s="262"/>
      <c r="L1024" s="262"/>
      <c r="M1024" s="327" t="str">
        <f t="shared" si="234"/>
        <v/>
      </c>
      <c r="N1024" s="327" t="str">
        <f t="shared" si="235"/>
        <v/>
      </c>
      <c r="O1024" s="327" t="str">
        <f t="shared" si="236"/>
        <v/>
      </c>
      <c r="P1024" s="327" t="str">
        <f t="shared" si="237"/>
        <v/>
      </c>
      <c r="Q1024" s="327" t="str">
        <f t="shared" si="238"/>
        <v/>
      </c>
      <c r="R1024" s="327" t="str">
        <f t="shared" si="239"/>
        <v/>
      </c>
      <c r="S1024" s="421" t="str">
        <f t="shared" si="240"/>
        <v/>
      </c>
      <c r="T1024" s="327" t="str">
        <f t="shared" si="241"/>
        <v/>
      </c>
      <c r="U1024" s="327" t="str">
        <f t="shared" si="242"/>
        <v/>
      </c>
      <c r="V1024" s="327" t="str">
        <f t="shared" si="243"/>
        <v/>
      </c>
      <c r="W1024" s="327" t="str">
        <f t="shared" si="244"/>
        <v/>
      </c>
      <c r="X1024" s="327" t="str">
        <f t="shared" si="245"/>
        <v/>
      </c>
      <c r="Y1024" s="327" t="str">
        <f t="shared" si="246"/>
        <v/>
      </c>
      <c r="Z1024" s="428" t="str">
        <f t="shared" si="247"/>
        <v/>
      </c>
    </row>
    <row r="1025" spans="1:26" x14ac:dyDescent="0.35">
      <c r="A1025" s="265"/>
      <c r="B1025" s="266"/>
      <c r="C1025" s="262"/>
      <c r="D1025" s="262"/>
      <c r="E1025" s="262"/>
      <c r="F1025" s="262"/>
      <c r="G1025" s="320"/>
      <c r="H1025" s="262"/>
      <c r="I1025" s="320"/>
      <c r="J1025" s="320"/>
      <c r="K1025" s="262"/>
      <c r="L1025" s="262"/>
      <c r="M1025" s="327" t="str">
        <f t="shared" si="234"/>
        <v/>
      </c>
      <c r="N1025" s="327" t="str">
        <f t="shared" si="235"/>
        <v/>
      </c>
      <c r="O1025" s="327" t="str">
        <f t="shared" si="236"/>
        <v/>
      </c>
      <c r="P1025" s="327" t="str">
        <f t="shared" si="237"/>
        <v/>
      </c>
      <c r="Q1025" s="327" t="str">
        <f t="shared" si="238"/>
        <v/>
      </c>
      <c r="R1025" s="327" t="str">
        <f t="shared" si="239"/>
        <v/>
      </c>
      <c r="S1025" s="421" t="str">
        <f t="shared" si="240"/>
        <v/>
      </c>
      <c r="T1025" s="327" t="str">
        <f t="shared" si="241"/>
        <v/>
      </c>
      <c r="U1025" s="327" t="str">
        <f t="shared" si="242"/>
        <v/>
      </c>
      <c r="V1025" s="327" t="str">
        <f t="shared" si="243"/>
        <v/>
      </c>
      <c r="W1025" s="327" t="str">
        <f t="shared" si="244"/>
        <v/>
      </c>
      <c r="X1025" s="327" t="str">
        <f t="shared" si="245"/>
        <v/>
      </c>
      <c r="Y1025" s="327" t="str">
        <f t="shared" si="246"/>
        <v/>
      </c>
      <c r="Z1025" s="428" t="str">
        <f t="shared" si="247"/>
        <v/>
      </c>
    </row>
    <row r="1026" spans="1:26" x14ac:dyDescent="0.35">
      <c r="A1026" s="265"/>
      <c r="B1026" s="266"/>
      <c r="C1026" s="262"/>
      <c r="D1026" s="262"/>
      <c r="E1026" s="262"/>
      <c r="F1026" s="262"/>
      <c r="G1026" s="320"/>
      <c r="H1026" s="262"/>
      <c r="I1026" s="320"/>
      <c r="J1026" s="320"/>
      <c r="K1026" s="262"/>
      <c r="L1026" s="262"/>
      <c r="M1026" s="327" t="str">
        <f t="shared" si="234"/>
        <v/>
      </c>
      <c r="N1026" s="327" t="str">
        <f t="shared" si="235"/>
        <v/>
      </c>
      <c r="O1026" s="327" t="str">
        <f t="shared" si="236"/>
        <v/>
      </c>
      <c r="P1026" s="327" t="str">
        <f t="shared" si="237"/>
        <v/>
      </c>
      <c r="Q1026" s="327" t="str">
        <f t="shared" si="238"/>
        <v/>
      </c>
      <c r="R1026" s="327" t="str">
        <f t="shared" si="239"/>
        <v/>
      </c>
      <c r="S1026" s="421" t="str">
        <f t="shared" si="240"/>
        <v/>
      </c>
      <c r="T1026" s="327" t="str">
        <f t="shared" si="241"/>
        <v/>
      </c>
      <c r="U1026" s="327" t="str">
        <f t="shared" si="242"/>
        <v/>
      </c>
      <c r="V1026" s="327" t="str">
        <f t="shared" si="243"/>
        <v/>
      </c>
      <c r="W1026" s="327" t="str">
        <f t="shared" si="244"/>
        <v/>
      </c>
      <c r="X1026" s="327" t="str">
        <f t="shared" si="245"/>
        <v/>
      </c>
      <c r="Y1026" s="327" t="str">
        <f t="shared" si="246"/>
        <v/>
      </c>
      <c r="Z1026" s="428" t="str">
        <f t="shared" si="247"/>
        <v/>
      </c>
    </row>
    <row r="1027" spans="1:26" x14ac:dyDescent="0.35">
      <c r="A1027" s="265"/>
      <c r="B1027" s="266"/>
      <c r="C1027" s="262"/>
      <c r="D1027" s="262"/>
      <c r="E1027" s="262"/>
      <c r="F1027" s="262"/>
      <c r="G1027" s="320"/>
      <c r="H1027" s="262"/>
      <c r="I1027" s="320"/>
      <c r="J1027" s="320"/>
      <c r="K1027" s="262"/>
      <c r="L1027" s="262"/>
      <c r="M1027" s="327" t="str">
        <f t="shared" si="234"/>
        <v/>
      </c>
      <c r="N1027" s="327" t="str">
        <f t="shared" si="235"/>
        <v/>
      </c>
      <c r="O1027" s="327" t="str">
        <f t="shared" si="236"/>
        <v/>
      </c>
      <c r="P1027" s="327" t="str">
        <f t="shared" si="237"/>
        <v/>
      </c>
      <c r="Q1027" s="327" t="str">
        <f t="shared" si="238"/>
        <v/>
      </c>
      <c r="R1027" s="327" t="str">
        <f t="shared" si="239"/>
        <v/>
      </c>
      <c r="S1027" s="421" t="str">
        <f t="shared" si="240"/>
        <v/>
      </c>
      <c r="T1027" s="327" t="str">
        <f t="shared" si="241"/>
        <v/>
      </c>
      <c r="U1027" s="327" t="str">
        <f t="shared" si="242"/>
        <v/>
      </c>
      <c r="V1027" s="327" t="str">
        <f t="shared" si="243"/>
        <v/>
      </c>
      <c r="W1027" s="327" t="str">
        <f t="shared" si="244"/>
        <v/>
      </c>
      <c r="X1027" s="327" t="str">
        <f t="shared" si="245"/>
        <v/>
      </c>
      <c r="Y1027" s="327" t="str">
        <f t="shared" si="246"/>
        <v/>
      </c>
      <c r="Z1027" s="428" t="str">
        <f t="shared" si="247"/>
        <v/>
      </c>
    </row>
    <row r="1028" spans="1:26" x14ac:dyDescent="0.35">
      <c r="A1028" s="265"/>
      <c r="B1028" s="266"/>
      <c r="C1028" s="262"/>
      <c r="D1028" s="262"/>
      <c r="E1028" s="262"/>
      <c r="F1028" s="262"/>
      <c r="G1028" s="320"/>
      <c r="H1028" s="262"/>
      <c r="I1028" s="320"/>
      <c r="J1028" s="320"/>
      <c r="K1028" s="262"/>
      <c r="L1028" s="262"/>
      <c r="M1028" s="327" t="str">
        <f t="shared" si="234"/>
        <v/>
      </c>
      <c r="N1028" s="327" t="str">
        <f t="shared" si="235"/>
        <v/>
      </c>
      <c r="O1028" s="327" t="str">
        <f t="shared" si="236"/>
        <v/>
      </c>
      <c r="P1028" s="327" t="str">
        <f t="shared" si="237"/>
        <v/>
      </c>
      <c r="Q1028" s="327" t="str">
        <f t="shared" si="238"/>
        <v/>
      </c>
      <c r="R1028" s="327" t="str">
        <f t="shared" si="239"/>
        <v/>
      </c>
      <c r="S1028" s="421" t="str">
        <f t="shared" si="240"/>
        <v/>
      </c>
      <c r="T1028" s="327" t="str">
        <f t="shared" si="241"/>
        <v/>
      </c>
      <c r="U1028" s="327" t="str">
        <f t="shared" si="242"/>
        <v/>
      </c>
      <c r="V1028" s="327" t="str">
        <f t="shared" si="243"/>
        <v/>
      </c>
      <c r="W1028" s="327" t="str">
        <f t="shared" si="244"/>
        <v/>
      </c>
      <c r="X1028" s="327" t="str">
        <f t="shared" si="245"/>
        <v/>
      </c>
      <c r="Y1028" s="327" t="str">
        <f t="shared" si="246"/>
        <v/>
      </c>
      <c r="Z1028" s="428" t="str">
        <f t="shared" si="247"/>
        <v/>
      </c>
    </row>
    <row r="1029" spans="1:26" x14ac:dyDescent="0.35">
      <c r="A1029" s="265"/>
      <c r="B1029" s="266"/>
      <c r="C1029" s="262"/>
      <c r="D1029" s="262"/>
      <c r="E1029" s="262"/>
      <c r="F1029" s="262"/>
      <c r="G1029" s="320"/>
      <c r="H1029" s="262"/>
      <c r="I1029" s="320"/>
      <c r="J1029" s="320"/>
      <c r="K1029" s="262"/>
      <c r="L1029" s="262"/>
      <c r="M1029" s="327" t="str">
        <f t="shared" si="234"/>
        <v/>
      </c>
      <c r="N1029" s="327" t="str">
        <f t="shared" si="235"/>
        <v/>
      </c>
      <c r="O1029" s="327" t="str">
        <f t="shared" si="236"/>
        <v/>
      </c>
      <c r="P1029" s="327" t="str">
        <f t="shared" si="237"/>
        <v/>
      </c>
      <c r="Q1029" s="327" t="str">
        <f t="shared" si="238"/>
        <v/>
      </c>
      <c r="R1029" s="327" t="str">
        <f t="shared" si="239"/>
        <v/>
      </c>
      <c r="S1029" s="421" t="str">
        <f t="shared" si="240"/>
        <v/>
      </c>
      <c r="T1029" s="327" t="str">
        <f t="shared" si="241"/>
        <v/>
      </c>
      <c r="U1029" s="327" t="str">
        <f t="shared" si="242"/>
        <v/>
      </c>
      <c r="V1029" s="327" t="str">
        <f t="shared" si="243"/>
        <v/>
      </c>
      <c r="W1029" s="327" t="str">
        <f t="shared" si="244"/>
        <v/>
      </c>
      <c r="X1029" s="327" t="str">
        <f t="shared" si="245"/>
        <v/>
      </c>
      <c r="Y1029" s="327" t="str">
        <f t="shared" si="246"/>
        <v/>
      </c>
      <c r="Z1029" s="428" t="str">
        <f t="shared" si="247"/>
        <v/>
      </c>
    </row>
    <row r="1030" spans="1:26" x14ac:dyDescent="0.35">
      <c r="A1030" s="265"/>
      <c r="B1030" s="266"/>
      <c r="C1030" s="262"/>
      <c r="D1030" s="262"/>
      <c r="E1030" s="262"/>
      <c r="F1030" s="262"/>
      <c r="G1030" s="320"/>
      <c r="H1030" s="262"/>
      <c r="I1030" s="320"/>
      <c r="J1030" s="320"/>
      <c r="K1030" s="262"/>
      <c r="L1030" s="262"/>
      <c r="M1030" s="327" t="str">
        <f t="shared" si="234"/>
        <v/>
      </c>
      <c r="N1030" s="327" t="str">
        <f t="shared" si="235"/>
        <v/>
      </c>
      <c r="O1030" s="327" t="str">
        <f t="shared" si="236"/>
        <v/>
      </c>
      <c r="P1030" s="327" t="str">
        <f t="shared" si="237"/>
        <v/>
      </c>
      <c r="Q1030" s="327" t="str">
        <f t="shared" si="238"/>
        <v/>
      </c>
      <c r="R1030" s="327" t="str">
        <f t="shared" si="239"/>
        <v/>
      </c>
      <c r="S1030" s="421" t="str">
        <f t="shared" si="240"/>
        <v/>
      </c>
      <c r="T1030" s="327" t="str">
        <f t="shared" si="241"/>
        <v/>
      </c>
      <c r="U1030" s="327" t="str">
        <f t="shared" si="242"/>
        <v/>
      </c>
      <c r="V1030" s="327" t="str">
        <f t="shared" si="243"/>
        <v/>
      </c>
      <c r="W1030" s="327" t="str">
        <f t="shared" si="244"/>
        <v/>
      </c>
      <c r="X1030" s="327" t="str">
        <f t="shared" si="245"/>
        <v/>
      </c>
      <c r="Y1030" s="327" t="str">
        <f t="shared" si="246"/>
        <v/>
      </c>
      <c r="Z1030" s="428" t="str">
        <f t="shared" si="247"/>
        <v/>
      </c>
    </row>
    <row r="1031" spans="1:26" x14ac:dyDescent="0.35">
      <c r="A1031" s="265"/>
      <c r="B1031" s="266"/>
      <c r="C1031" s="262"/>
      <c r="D1031" s="262"/>
      <c r="E1031" s="262"/>
      <c r="F1031" s="262"/>
      <c r="G1031" s="320"/>
      <c r="H1031" s="262"/>
      <c r="I1031" s="320"/>
      <c r="J1031" s="320"/>
      <c r="K1031" s="262"/>
      <c r="L1031" s="262"/>
      <c r="M1031" s="327" t="str">
        <f t="shared" si="234"/>
        <v/>
      </c>
      <c r="N1031" s="327" t="str">
        <f t="shared" si="235"/>
        <v/>
      </c>
      <c r="O1031" s="327" t="str">
        <f t="shared" si="236"/>
        <v/>
      </c>
      <c r="P1031" s="327" t="str">
        <f t="shared" si="237"/>
        <v/>
      </c>
      <c r="Q1031" s="327" t="str">
        <f t="shared" si="238"/>
        <v/>
      </c>
      <c r="R1031" s="327" t="str">
        <f t="shared" si="239"/>
        <v/>
      </c>
      <c r="S1031" s="421" t="str">
        <f t="shared" si="240"/>
        <v/>
      </c>
      <c r="T1031" s="327" t="str">
        <f t="shared" si="241"/>
        <v/>
      </c>
      <c r="U1031" s="327" t="str">
        <f t="shared" si="242"/>
        <v/>
      </c>
      <c r="V1031" s="327" t="str">
        <f t="shared" si="243"/>
        <v/>
      </c>
      <c r="W1031" s="327" t="str">
        <f t="shared" si="244"/>
        <v/>
      </c>
      <c r="X1031" s="327" t="str">
        <f t="shared" si="245"/>
        <v/>
      </c>
      <c r="Y1031" s="327" t="str">
        <f t="shared" si="246"/>
        <v/>
      </c>
      <c r="Z1031" s="428" t="str">
        <f t="shared" si="247"/>
        <v/>
      </c>
    </row>
    <row r="1032" spans="1:26" x14ac:dyDescent="0.35">
      <c r="A1032" s="265"/>
      <c r="B1032" s="266"/>
      <c r="C1032" s="262"/>
      <c r="D1032" s="262"/>
      <c r="E1032" s="262"/>
      <c r="F1032" s="262"/>
      <c r="G1032" s="320"/>
      <c r="H1032" s="262"/>
      <c r="I1032" s="320"/>
      <c r="J1032" s="320"/>
      <c r="K1032" s="262"/>
      <c r="L1032" s="262"/>
      <c r="M1032" s="327" t="str">
        <f t="shared" si="234"/>
        <v/>
      </c>
      <c r="N1032" s="327" t="str">
        <f t="shared" si="235"/>
        <v/>
      </c>
      <c r="O1032" s="327" t="str">
        <f t="shared" si="236"/>
        <v/>
      </c>
      <c r="P1032" s="327" t="str">
        <f t="shared" si="237"/>
        <v/>
      </c>
      <c r="Q1032" s="327" t="str">
        <f t="shared" si="238"/>
        <v/>
      </c>
      <c r="R1032" s="327" t="str">
        <f t="shared" si="239"/>
        <v/>
      </c>
      <c r="S1032" s="421" t="str">
        <f t="shared" si="240"/>
        <v/>
      </c>
      <c r="T1032" s="327" t="str">
        <f t="shared" si="241"/>
        <v/>
      </c>
      <c r="U1032" s="327" t="str">
        <f t="shared" si="242"/>
        <v/>
      </c>
      <c r="V1032" s="327" t="str">
        <f t="shared" si="243"/>
        <v/>
      </c>
      <c r="W1032" s="327" t="str">
        <f t="shared" si="244"/>
        <v/>
      </c>
      <c r="X1032" s="327" t="str">
        <f t="shared" si="245"/>
        <v/>
      </c>
      <c r="Y1032" s="327" t="str">
        <f t="shared" si="246"/>
        <v/>
      </c>
      <c r="Z1032" s="428" t="str">
        <f t="shared" si="247"/>
        <v/>
      </c>
    </row>
    <row r="1033" spans="1:26" x14ac:dyDescent="0.35">
      <c r="A1033" s="265"/>
      <c r="B1033" s="266"/>
      <c r="C1033" s="262"/>
      <c r="D1033" s="262"/>
      <c r="E1033" s="262"/>
      <c r="F1033" s="262"/>
      <c r="G1033" s="320"/>
      <c r="H1033" s="262"/>
      <c r="I1033" s="320"/>
      <c r="J1033" s="320"/>
      <c r="K1033" s="262"/>
      <c r="L1033" s="262"/>
      <c r="M1033" s="327" t="str">
        <f t="shared" si="234"/>
        <v/>
      </c>
      <c r="N1033" s="327" t="str">
        <f t="shared" si="235"/>
        <v/>
      </c>
      <c r="O1033" s="327" t="str">
        <f t="shared" si="236"/>
        <v/>
      </c>
      <c r="P1033" s="327" t="str">
        <f t="shared" si="237"/>
        <v/>
      </c>
      <c r="Q1033" s="327" t="str">
        <f t="shared" si="238"/>
        <v/>
      </c>
      <c r="R1033" s="327" t="str">
        <f t="shared" si="239"/>
        <v/>
      </c>
      <c r="S1033" s="421" t="str">
        <f t="shared" si="240"/>
        <v/>
      </c>
      <c r="T1033" s="327" t="str">
        <f t="shared" si="241"/>
        <v/>
      </c>
      <c r="U1033" s="327" t="str">
        <f t="shared" si="242"/>
        <v/>
      </c>
      <c r="V1033" s="327" t="str">
        <f t="shared" si="243"/>
        <v/>
      </c>
      <c r="W1033" s="327" t="str">
        <f t="shared" si="244"/>
        <v/>
      </c>
      <c r="X1033" s="327" t="str">
        <f t="shared" si="245"/>
        <v/>
      </c>
      <c r="Y1033" s="327" t="str">
        <f t="shared" si="246"/>
        <v/>
      </c>
      <c r="Z1033" s="428" t="str">
        <f t="shared" si="247"/>
        <v/>
      </c>
    </row>
    <row r="1034" spans="1:26" x14ac:dyDescent="0.35">
      <c r="A1034" s="265"/>
      <c r="B1034" s="266"/>
      <c r="C1034" s="262"/>
      <c r="D1034" s="262"/>
      <c r="E1034" s="262"/>
      <c r="F1034" s="262"/>
      <c r="G1034" s="320"/>
      <c r="H1034" s="262"/>
      <c r="I1034" s="320"/>
      <c r="J1034" s="320"/>
      <c r="K1034" s="262"/>
      <c r="L1034" s="262"/>
      <c r="M1034" s="327" t="str">
        <f t="shared" si="234"/>
        <v/>
      </c>
      <c r="N1034" s="327" t="str">
        <f t="shared" si="235"/>
        <v/>
      </c>
      <c r="O1034" s="327" t="str">
        <f t="shared" si="236"/>
        <v/>
      </c>
      <c r="P1034" s="327" t="str">
        <f t="shared" si="237"/>
        <v/>
      </c>
      <c r="Q1034" s="327" t="str">
        <f t="shared" si="238"/>
        <v/>
      </c>
      <c r="R1034" s="327" t="str">
        <f t="shared" si="239"/>
        <v/>
      </c>
      <c r="S1034" s="421" t="str">
        <f t="shared" si="240"/>
        <v/>
      </c>
      <c r="T1034" s="327" t="str">
        <f t="shared" si="241"/>
        <v/>
      </c>
      <c r="U1034" s="327" t="str">
        <f t="shared" si="242"/>
        <v/>
      </c>
      <c r="V1034" s="327" t="str">
        <f t="shared" si="243"/>
        <v/>
      </c>
      <c r="W1034" s="327" t="str">
        <f t="shared" si="244"/>
        <v/>
      </c>
      <c r="X1034" s="327" t="str">
        <f t="shared" si="245"/>
        <v/>
      </c>
      <c r="Y1034" s="327" t="str">
        <f t="shared" si="246"/>
        <v/>
      </c>
      <c r="Z1034" s="428" t="str">
        <f t="shared" si="247"/>
        <v/>
      </c>
    </row>
    <row r="1035" spans="1:26" x14ac:dyDescent="0.35">
      <c r="A1035" s="265"/>
      <c r="B1035" s="266"/>
      <c r="C1035" s="262"/>
      <c r="D1035" s="262"/>
      <c r="E1035" s="262"/>
      <c r="F1035" s="262"/>
      <c r="G1035" s="320"/>
      <c r="H1035" s="262"/>
      <c r="I1035" s="320"/>
      <c r="J1035" s="320"/>
      <c r="K1035" s="262"/>
      <c r="L1035" s="262"/>
      <c r="M1035" s="327" t="str">
        <f t="shared" si="234"/>
        <v/>
      </c>
      <c r="N1035" s="327" t="str">
        <f t="shared" si="235"/>
        <v/>
      </c>
      <c r="O1035" s="327" t="str">
        <f t="shared" si="236"/>
        <v/>
      </c>
      <c r="P1035" s="327" t="str">
        <f t="shared" si="237"/>
        <v/>
      </c>
      <c r="Q1035" s="327" t="str">
        <f t="shared" si="238"/>
        <v/>
      </c>
      <c r="R1035" s="327" t="str">
        <f t="shared" si="239"/>
        <v/>
      </c>
      <c r="S1035" s="421" t="str">
        <f t="shared" si="240"/>
        <v/>
      </c>
      <c r="T1035" s="327" t="str">
        <f t="shared" si="241"/>
        <v/>
      </c>
      <c r="U1035" s="327" t="str">
        <f t="shared" si="242"/>
        <v/>
      </c>
      <c r="V1035" s="327" t="str">
        <f t="shared" si="243"/>
        <v/>
      </c>
      <c r="W1035" s="327" t="str">
        <f t="shared" si="244"/>
        <v/>
      </c>
      <c r="X1035" s="327" t="str">
        <f t="shared" si="245"/>
        <v/>
      </c>
      <c r="Y1035" s="327" t="str">
        <f t="shared" si="246"/>
        <v/>
      </c>
      <c r="Z1035" s="428" t="str">
        <f t="shared" si="247"/>
        <v/>
      </c>
    </row>
    <row r="1036" spans="1:26" x14ac:dyDescent="0.35">
      <c r="A1036" s="265"/>
      <c r="B1036" s="266"/>
      <c r="C1036" s="262"/>
      <c r="D1036" s="262"/>
      <c r="E1036" s="262"/>
      <c r="F1036" s="262"/>
      <c r="G1036" s="320"/>
      <c r="H1036" s="262"/>
      <c r="I1036" s="320"/>
      <c r="J1036" s="320"/>
      <c r="K1036" s="262"/>
      <c r="L1036" s="262"/>
      <c r="M1036" s="327" t="str">
        <f t="shared" si="234"/>
        <v/>
      </c>
      <c r="N1036" s="327" t="str">
        <f t="shared" si="235"/>
        <v/>
      </c>
      <c r="O1036" s="327" t="str">
        <f t="shared" si="236"/>
        <v/>
      </c>
      <c r="P1036" s="327" t="str">
        <f t="shared" si="237"/>
        <v/>
      </c>
      <c r="Q1036" s="327" t="str">
        <f t="shared" si="238"/>
        <v/>
      </c>
      <c r="R1036" s="327" t="str">
        <f t="shared" si="239"/>
        <v/>
      </c>
      <c r="S1036" s="421" t="str">
        <f t="shared" si="240"/>
        <v/>
      </c>
      <c r="T1036" s="327" t="str">
        <f t="shared" si="241"/>
        <v/>
      </c>
      <c r="U1036" s="327" t="str">
        <f t="shared" si="242"/>
        <v/>
      </c>
      <c r="V1036" s="327" t="str">
        <f t="shared" si="243"/>
        <v/>
      </c>
      <c r="W1036" s="327" t="str">
        <f t="shared" si="244"/>
        <v/>
      </c>
      <c r="X1036" s="327" t="str">
        <f t="shared" si="245"/>
        <v/>
      </c>
      <c r="Y1036" s="327" t="str">
        <f t="shared" si="246"/>
        <v/>
      </c>
      <c r="Z1036" s="428" t="str">
        <f t="shared" si="247"/>
        <v/>
      </c>
    </row>
    <row r="1037" spans="1:26" x14ac:dyDescent="0.35">
      <c r="A1037" s="265"/>
      <c r="B1037" s="266"/>
      <c r="C1037" s="262"/>
      <c r="D1037" s="262"/>
      <c r="E1037" s="262"/>
      <c r="F1037" s="262"/>
      <c r="G1037" s="320"/>
      <c r="H1037" s="262"/>
      <c r="I1037" s="320"/>
      <c r="J1037" s="320"/>
      <c r="K1037" s="262"/>
      <c r="L1037" s="262"/>
      <c r="M1037" s="327" t="str">
        <f t="shared" si="234"/>
        <v/>
      </c>
      <c r="N1037" s="327" t="str">
        <f t="shared" si="235"/>
        <v/>
      </c>
      <c r="O1037" s="327" t="str">
        <f t="shared" si="236"/>
        <v/>
      </c>
      <c r="P1037" s="327" t="str">
        <f t="shared" si="237"/>
        <v/>
      </c>
      <c r="Q1037" s="327" t="str">
        <f t="shared" si="238"/>
        <v/>
      </c>
      <c r="R1037" s="327" t="str">
        <f t="shared" si="239"/>
        <v/>
      </c>
      <c r="S1037" s="421" t="str">
        <f t="shared" si="240"/>
        <v/>
      </c>
      <c r="T1037" s="327" t="str">
        <f t="shared" si="241"/>
        <v/>
      </c>
      <c r="U1037" s="327" t="str">
        <f t="shared" si="242"/>
        <v/>
      </c>
      <c r="V1037" s="327" t="str">
        <f t="shared" si="243"/>
        <v/>
      </c>
      <c r="W1037" s="327" t="str">
        <f t="shared" si="244"/>
        <v/>
      </c>
      <c r="X1037" s="327" t="str">
        <f t="shared" si="245"/>
        <v/>
      </c>
      <c r="Y1037" s="327" t="str">
        <f t="shared" si="246"/>
        <v/>
      </c>
      <c r="Z1037" s="428" t="str">
        <f t="shared" si="247"/>
        <v/>
      </c>
    </row>
    <row r="1038" spans="1:26" x14ac:dyDescent="0.35">
      <c r="A1038" s="265"/>
      <c r="B1038" s="266"/>
      <c r="C1038" s="262"/>
      <c r="D1038" s="262"/>
      <c r="E1038" s="262"/>
      <c r="F1038" s="262"/>
      <c r="G1038" s="320"/>
      <c r="H1038" s="262"/>
      <c r="I1038" s="320"/>
      <c r="J1038" s="320"/>
      <c r="K1038" s="262"/>
      <c r="L1038" s="262"/>
      <c r="M1038" s="327" t="str">
        <f t="shared" si="234"/>
        <v/>
      </c>
      <c r="N1038" s="327" t="str">
        <f t="shared" si="235"/>
        <v/>
      </c>
      <c r="O1038" s="327" t="str">
        <f t="shared" si="236"/>
        <v/>
      </c>
      <c r="P1038" s="327" t="str">
        <f t="shared" si="237"/>
        <v/>
      </c>
      <c r="Q1038" s="327" t="str">
        <f t="shared" si="238"/>
        <v/>
      </c>
      <c r="R1038" s="327" t="str">
        <f t="shared" si="239"/>
        <v/>
      </c>
      <c r="S1038" s="421" t="str">
        <f t="shared" si="240"/>
        <v/>
      </c>
      <c r="T1038" s="327" t="str">
        <f t="shared" si="241"/>
        <v/>
      </c>
      <c r="U1038" s="327" t="str">
        <f t="shared" si="242"/>
        <v/>
      </c>
      <c r="V1038" s="327" t="str">
        <f t="shared" si="243"/>
        <v/>
      </c>
      <c r="W1038" s="327" t="str">
        <f t="shared" si="244"/>
        <v/>
      </c>
      <c r="X1038" s="327" t="str">
        <f t="shared" si="245"/>
        <v/>
      </c>
      <c r="Y1038" s="327" t="str">
        <f t="shared" si="246"/>
        <v/>
      </c>
      <c r="Z1038" s="428" t="str">
        <f t="shared" si="247"/>
        <v/>
      </c>
    </row>
    <row r="1039" spans="1:26" x14ac:dyDescent="0.35">
      <c r="A1039" s="265"/>
      <c r="B1039" s="266"/>
      <c r="C1039" s="262"/>
      <c r="D1039" s="262"/>
      <c r="E1039" s="262"/>
      <c r="F1039" s="262"/>
      <c r="G1039" s="320"/>
      <c r="H1039" s="262"/>
      <c r="I1039" s="320"/>
      <c r="J1039" s="320"/>
      <c r="K1039" s="262"/>
      <c r="L1039" s="262"/>
      <c r="M1039" s="327" t="str">
        <f t="shared" si="234"/>
        <v/>
      </c>
      <c r="N1039" s="327" t="str">
        <f t="shared" si="235"/>
        <v/>
      </c>
      <c r="O1039" s="327" t="str">
        <f t="shared" si="236"/>
        <v/>
      </c>
      <c r="P1039" s="327" t="str">
        <f t="shared" si="237"/>
        <v/>
      </c>
      <c r="Q1039" s="327" t="str">
        <f t="shared" si="238"/>
        <v/>
      </c>
      <c r="R1039" s="327" t="str">
        <f t="shared" si="239"/>
        <v/>
      </c>
      <c r="S1039" s="421" t="str">
        <f t="shared" si="240"/>
        <v/>
      </c>
      <c r="T1039" s="327" t="str">
        <f t="shared" si="241"/>
        <v/>
      </c>
      <c r="U1039" s="327" t="str">
        <f t="shared" si="242"/>
        <v/>
      </c>
      <c r="V1039" s="327" t="str">
        <f t="shared" si="243"/>
        <v/>
      </c>
      <c r="W1039" s="327" t="str">
        <f t="shared" si="244"/>
        <v/>
      </c>
      <c r="X1039" s="327" t="str">
        <f t="shared" si="245"/>
        <v/>
      </c>
      <c r="Y1039" s="327" t="str">
        <f t="shared" si="246"/>
        <v/>
      </c>
      <c r="Z1039" s="428" t="str">
        <f t="shared" si="247"/>
        <v/>
      </c>
    </row>
    <row r="1040" spans="1:26" x14ac:dyDescent="0.35">
      <c r="A1040" s="265"/>
      <c r="B1040" s="266"/>
      <c r="C1040" s="262"/>
      <c r="D1040" s="262"/>
      <c r="E1040" s="262"/>
      <c r="F1040" s="262"/>
      <c r="G1040" s="320"/>
      <c r="H1040" s="262"/>
      <c r="I1040" s="320"/>
      <c r="J1040" s="320"/>
      <c r="K1040" s="262"/>
      <c r="L1040" s="262"/>
      <c r="M1040" s="327" t="str">
        <f t="shared" si="234"/>
        <v/>
      </c>
      <c r="N1040" s="327" t="str">
        <f t="shared" si="235"/>
        <v/>
      </c>
      <c r="O1040" s="327" t="str">
        <f t="shared" si="236"/>
        <v/>
      </c>
      <c r="P1040" s="327" t="str">
        <f t="shared" si="237"/>
        <v/>
      </c>
      <c r="Q1040" s="327" t="str">
        <f t="shared" si="238"/>
        <v/>
      </c>
      <c r="R1040" s="327" t="str">
        <f t="shared" si="239"/>
        <v/>
      </c>
      <c r="S1040" s="421" t="str">
        <f t="shared" si="240"/>
        <v/>
      </c>
      <c r="T1040" s="327" t="str">
        <f t="shared" si="241"/>
        <v/>
      </c>
      <c r="U1040" s="327" t="str">
        <f t="shared" si="242"/>
        <v/>
      </c>
      <c r="V1040" s="327" t="str">
        <f t="shared" si="243"/>
        <v/>
      </c>
      <c r="W1040" s="327" t="str">
        <f t="shared" si="244"/>
        <v/>
      </c>
      <c r="X1040" s="327" t="str">
        <f t="shared" si="245"/>
        <v/>
      </c>
      <c r="Y1040" s="327" t="str">
        <f t="shared" si="246"/>
        <v/>
      </c>
      <c r="Z1040" s="428" t="str">
        <f t="shared" si="247"/>
        <v/>
      </c>
    </row>
    <row r="1041" spans="1:26" x14ac:dyDescent="0.35">
      <c r="A1041" s="265"/>
      <c r="B1041" s="266"/>
      <c r="C1041" s="262"/>
      <c r="D1041" s="262"/>
      <c r="E1041" s="262"/>
      <c r="F1041" s="262"/>
      <c r="G1041" s="320"/>
      <c r="H1041" s="262"/>
      <c r="I1041" s="320"/>
      <c r="J1041" s="320"/>
      <c r="K1041" s="262"/>
      <c r="L1041" s="262"/>
      <c r="M1041" s="327" t="str">
        <f t="shared" si="234"/>
        <v/>
      </c>
      <c r="N1041" s="327" t="str">
        <f t="shared" si="235"/>
        <v/>
      </c>
      <c r="O1041" s="327" t="str">
        <f t="shared" si="236"/>
        <v/>
      </c>
      <c r="P1041" s="327" t="str">
        <f t="shared" si="237"/>
        <v/>
      </c>
      <c r="Q1041" s="327" t="str">
        <f t="shared" si="238"/>
        <v/>
      </c>
      <c r="R1041" s="327" t="str">
        <f t="shared" si="239"/>
        <v/>
      </c>
      <c r="S1041" s="421" t="str">
        <f t="shared" si="240"/>
        <v/>
      </c>
      <c r="T1041" s="327" t="str">
        <f t="shared" si="241"/>
        <v/>
      </c>
      <c r="U1041" s="327" t="str">
        <f t="shared" si="242"/>
        <v/>
      </c>
      <c r="V1041" s="327" t="str">
        <f t="shared" si="243"/>
        <v/>
      </c>
      <c r="W1041" s="327" t="str">
        <f t="shared" si="244"/>
        <v/>
      </c>
      <c r="X1041" s="327" t="str">
        <f t="shared" si="245"/>
        <v/>
      </c>
      <c r="Y1041" s="327" t="str">
        <f t="shared" si="246"/>
        <v/>
      </c>
      <c r="Z1041" s="428" t="str">
        <f t="shared" si="247"/>
        <v/>
      </c>
    </row>
    <row r="1042" spans="1:26" x14ac:dyDescent="0.35">
      <c r="A1042" s="265"/>
      <c r="B1042" s="266"/>
      <c r="C1042" s="262"/>
      <c r="D1042" s="262"/>
      <c r="E1042" s="262"/>
      <c r="F1042" s="262"/>
      <c r="G1042" s="320"/>
      <c r="H1042" s="262"/>
      <c r="I1042" s="320"/>
      <c r="J1042" s="320"/>
      <c r="K1042" s="262"/>
      <c r="L1042" s="262"/>
      <c r="M1042" s="327" t="str">
        <f t="shared" si="234"/>
        <v/>
      </c>
      <c r="N1042" s="327" t="str">
        <f t="shared" si="235"/>
        <v/>
      </c>
      <c r="O1042" s="327" t="str">
        <f t="shared" si="236"/>
        <v/>
      </c>
      <c r="P1042" s="327" t="str">
        <f t="shared" si="237"/>
        <v/>
      </c>
      <c r="Q1042" s="327" t="str">
        <f t="shared" si="238"/>
        <v/>
      </c>
      <c r="R1042" s="327" t="str">
        <f t="shared" si="239"/>
        <v/>
      </c>
      <c r="S1042" s="421" t="str">
        <f t="shared" si="240"/>
        <v/>
      </c>
      <c r="T1042" s="327" t="str">
        <f t="shared" si="241"/>
        <v/>
      </c>
      <c r="U1042" s="327" t="str">
        <f t="shared" si="242"/>
        <v/>
      </c>
      <c r="V1042" s="327" t="str">
        <f t="shared" si="243"/>
        <v/>
      </c>
      <c r="W1042" s="327" t="str">
        <f t="shared" si="244"/>
        <v/>
      </c>
      <c r="X1042" s="327" t="str">
        <f t="shared" si="245"/>
        <v/>
      </c>
      <c r="Y1042" s="327" t="str">
        <f t="shared" si="246"/>
        <v/>
      </c>
      <c r="Z1042" s="428" t="str">
        <f t="shared" si="247"/>
        <v/>
      </c>
    </row>
    <row r="1043" spans="1:26" x14ac:dyDescent="0.35">
      <c r="A1043" s="265"/>
      <c r="B1043" s="266"/>
      <c r="C1043" s="262"/>
      <c r="D1043" s="262"/>
      <c r="E1043" s="262"/>
      <c r="F1043" s="262"/>
      <c r="G1043" s="320"/>
      <c r="H1043" s="262"/>
      <c r="I1043" s="320"/>
      <c r="J1043" s="320"/>
      <c r="K1043" s="262"/>
      <c r="L1043" s="262"/>
      <c r="M1043" s="327" t="str">
        <f t="shared" si="234"/>
        <v/>
      </c>
      <c r="N1043" s="327" t="str">
        <f t="shared" si="235"/>
        <v/>
      </c>
      <c r="O1043" s="327" t="str">
        <f t="shared" si="236"/>
        <v/>
      </c>
      <c r="P1043" s="327" t="str">
        <f t="shared" si="237"/>
        <v/>
      </c>
      <c r="Q1043" s="327" t="str">
        <f t="shared" si="238"/>
        <v/>
      </c>
      <c r="R1043" s="327" t="str">
        <f t="shared" si="239"/>
        <v/>
      </c>
      <c r="S1043" s="421" t="str">
        <f t="shared" si="240"/>
        <v/>
      </c>
      <c r="T1043" s="327" t="str">
        <f t="shared" si="241"/>
        <v/>
      </c>
      <c r="U1043" s="327" t="str">
        <f t="shared" si="242"/>
        <v/>
      </c>
      <c r="V1043" s="327" t="str">
        <f t="shared" si="243"/>
        <v/>
      </c>
      <c r="W1043" s="327" t="str">
        <f t="shared" si="244"/>
        <v/>
      </c>
      <c r="X1043" s="327" t="str">
        <f t="shared" si="245"/>
        <v/>
      </c>
      <c r="Y1043" s="327" t="str">
        <f t="shared" si="246"/>
        <v/>
      </c>
      <c r="Z1043" s="428" t="str">
        <f t="shared" si="247"/>
        <v/>
      </c>
    </row>
    <row r="1044" spans="1:26" x14ac:dyDescent="0.35">
      <c r="A1044" s="265"/>
      <c r="B1044" s="266"/>
      <c r="C1044" s="262"/>
      <c r="D1044" s="262"/>
      <c r="E1044" s="262"/>
      <c r="F1044" s="262"/>
      <c r="G1044" s="320"/>
      <c r="H1044" s="262"/>
      <c r="I1044" s="320"/>
      <c r="J1044" s="320"/>
      <c r="K1044" s="262"/>
      <c r="L1044" s="262"/>
      <c r="M1044" s="327" t="str">
        <f t="shared" si="234"/>
        <v/>
      </c>
      <c r="N1044" s="327" t="str">
        <f t="shared" si="235"/>
        <v/>
      </c>
      <c r="O1044" s="327" t="str">
        <f t="shared" si="236"/>
        <v/>
      </c>
      <c r="P1044" s="327" t="str">
        <f t="shared" si="237"/>
        <v/>
      </c>
      <c r="Q1044" s="327" t="str">
        <f t="shared" si="238"/>
        <v/>
      </c>
      <c r="R1044" s="327" t="str">
        <f t="shared" si="239"/>
        <v/>
      </c>
      <c r="S1044" s="421" t="str">
        <f t="shared" si="240"/>
        <v/>
      </c>
      <c r="T1044" s="327" t="str">
        <f t="shared" si="241"/>
        <v/>
      </c>
      <c r="U1044" s="327" t="str">
        <f t="shared" si="242"/>
        <v/>
      </c>
      <c r="V1044" s="327" t="str">
        <f t="shared" si="243"/>
        <v/>
      </c>
      <c r="W1044" s="327" t="str">
        <f t="shared" si="244"/>
        <v/>
      </c>
      <c r="X1044" s="327" t="str">
        <f t="shared" si="245"/>
        <v/>
      </c>
      <c r="Y1044" s="327" t="str">
        <f t="shared" si="246"/>
        <v/>
      </c>
      <c r="Z1044" s="428" t="str">
        <f t="shared" si="247"/>
        <v/>
      </c>
    </row>
    <row r="1045" spans="1:26" x14ac:dyDescent="0.35">
      <c r="A1045" s="265"/>
      <c r="B1045" s="266"/>
      <c r="C1045" s="262"/>
      <c r="D1045" s="262"/>
      <c r="E1045" s="262"/>
      <c r="F1045" s="262"/>
      <c r="G1045" s="320"/>
      <c r="H1045" s="262"/>
      <c r="I1045" s="320"/>
      <c r="J1045" s="320"/>
      <c r="K1045" s="262"/>
      <c r="L1045" s="262"/>
      <c r="M1045" s="327" t="str">
        <f t="shared" si="234"/>
        <v/>
      </c>
      <c r="N1045" s="327" t="str">
        <f t="shared" si="235"/>
        <v/>
      </c>
      <c r="O1045" s="327" t="str">
        <f t="shared" si="236"/>
        <v/>
      </c>
      <c r="P1045" s="327" t="str">
        <f t="shared" si="237"/>
        <v/>
      </c>
      <c r="Q1045" s="327" t="str">
        <f t="shared" si="238"/>
        <v/>
      </c>
      <c r="R1045" s="327" t="str">
        <f t="shared" si="239"/>
        <v/>
      </c>
      <c r="S1045" s="421" t="str">
        <f t="shared" si="240"/>
        <v/>
      </c>
      <c r="T1045" s="327" t="str">
        <f t="shared" si="241"/>
        <v/>
      </c>
      <c r="U1045" s="327" t="str">
        <f t="shared" si="242"/>
        <v/>
      </c>
      <c r="V1045" s="327" t="str">
        <f t="shared" si="243"/>
        <v/>
      </c>
      <c r="W1045" s="327" t="str">
        <f t="shared" si="244"/>
        <v/>
      </c>
      <c r="X1045" s="327" t="str">
        <f t="shared" si="245"/>
        <v/>
      </c>
      <c r="Y1045" s="327" t="str">
        <f t="shared" si="246"/>
        <v/>
      </c>
      <c r="Z1045" s="428" t="str">
        <f t="shared" si="247"/>
        <v/>
      </c>
    </row>
    <row r="1046" spans="1:26" x14ac:dyDescent="0.35">
      <c r="A1046" s="265"/>
      <c r="B1046" s="266"/>
      <c r="C1046" s="262"/>
      <c r="D1046" s="262"/>
      <c r="E1046" s="262"/>
      <c r="F1046" s="262"/>
      <c r="G1046" s="320"/>
      <c r="H1046" s="262"/>
      <c r="I1046" s="320"/>
      <c r="J1046" s="320"/>
      <c r="K1046" s="262"/>
      <c r="L1046" s="262"/>
      <c r="M1046" s="327" t="str">
        <f t="shared" si="234"/>
        <v/>
      </c>
      <c r="N1046" s="327" t="str">
        <f t="shared" si="235"/>
        <v/>
      </c>
      <c r="O1046" s="327" t="str">
        <f t="shared" si="236"/>
        <v/>
      </c>
      <c r="P1046" s="327" t="str">
        <f t="shared" si="237"/>
        <v/>
      </c>
      <c r="Q1046" s="327" t="str">
        <f t="shared" si="238"/>
        <v/>
      </c>
      <c r="R1046" s="327" t="str">
        <f t="shared" si="239"/>
        <v/>
      </c>
      <c r="S1046" s="421" t="str">
        <f t="shared" si="240"/>
        <v/>
      </c>
      <c r="T1046" s="327" t="str">
        <f t="shared" si="241"/>
        <v/>
      </c>
      <c r="U1046" s="327" t="str">
        <f t="shared" si="242"/>
        <v/>
      </c>
      <c r="V1046" s="327" t="str">
        <f t="shared" si="243"/>
        <v/>
      </c>
      <c r="W1046" s="327" t="str">
        <f t="shared" si="244"/>
        <v/>
      </c>
      <c r="X1046" s="327" t="str">
        <f t="shared" si="245"/>
        <v/>
      </c>
      <c r="Y1046" s="327" t="str">
        <f t="shared" si="246"/>
        <v/>
      </c>
      <c r="Z1046" s="428" t="str">
        <f t="shared" si="247"/>
        <v/>
      </c>
    </row>
    <row r="1047" spans="1:26" x14ac:dyDescent="0.35">
      <c r="A1047" s="265"/>
      <c r="B1047" s="266"/>
      <c r="C1047" s="262"/>
      <c r="D1047" s="262"/>
      <c r="E1047" s="262"/>
      <c r="F1047" s="262"/>
      <c r="G1047" s="320"/>
      <c r="H1047" s="262"/>
      <c r="I1047" s="320"/>
      <c r="J1047" s="320"/>
      <c r="K1047" s="262"/>
      <c r="L1047" s="262"/>
      <c r="M1047" s="327" t="str">
        <f t="shared" si="234"/>
        <v/>
      </c>
      <c r="N1047" s="327" t="str">
        <f t="shared" si="235"/>
        <v/>
      </c>
      <c r="O1047" s="327" t="str">
        <f t="shared" si="236"/>
        <v/>
      </c>
      <c r="P1047" s="327" t="str">
        <f t="shared" si="237"/>
        <v/>
      </c>
      <c r="Q1047" s="327" t="str">
        <f t="shared" si="238"/>
        <v/>
      </c>
      <c r="R1047" s="327" t="str">
        <f t="shared" si="239"/>
        <v/>
      </c>
      <c r="S1047" s="421" t="str">
        <f t="shared" si="240"/>
        <v/>
      </c>
      <c r="T1047" s="327" t="str">
        <f t="shared" si="241"/>
        <v/>
      </c>
      <c r="U1047" s="327" t="str">
        <f t="shared" si="242"/>
        <v/>
      </c>
      <c r="V1047" s="327" t="str">
        <f t="shared" si="243"/>
        <v/>
      </c>
      <c r="W1047" s="327" t="str">
        <f t="shared" si="244"/>
        <v/>
      </c>
      <c r="X1047" s="327" t="str">
        <f t="shared" si="245"/>
        <v/>
      </c>
      <c r="Y1047" s="327" t="str">
        <f t="shared" si="246"/>
        <v/>
      </c>
      <c r="Z1047" s="428" t="str">
        <f t="shared" si="247"/>
        <v/>
      </c>
    </row>
    <row r="1048" spans="1:26" x14ac:dyDescent="0.35">
      <c r="A1048" s="265"/>
      <c r="B1048" s="266"/>
      <c r="C1048" s="262"/>
      <c r="D1048" s="262"/>
      <c r="E1048" s="262"/>
      <c r="F1048" s="262"/>
      <c r="G1048" s="320"/>
      <c r="H1048" s="262"/>
      <c r="I1048" s="320"/>
      <c r="J1048" s="320"/>
      <c r="K1048" s="262"/>
      <c r="L1048" s="262"/>
      <c r="M1048" s="327" t="str">
        <f t="shared" si="234"/>
        <v/>
      </c>
      <c r="N1048" s="327" t="str">
        <f t="shared" si="235"/>
        <v/>
      </c>
      <c r="O1048" s="327" t="str">
        <f t="shared" si="236"/>
        <v/>
      </c>
      <c r="P1048" s="327" t="str">
        <f t="shared" si="237"/>
        <v/>
      </c>
      <c r="Q1048" s="327" t="str">
        <f t="shared" si="238"/>
        <v/>
      </c>
      <c r="R1048" s="327" t="str">
        <f t="shared" si="239"/>
        <v/>
      </c>
      <c r="S1048" s="421" t="str">
        <f t="shared" si="240"/>
        <v/>
      </c>
      <c r="T1048" s="327" t="str">
        <f t="shared" si="241"/>
        <v/>
      </c>
      <c r="U1048" s="327" t="str">
        <f t="shared" si="242"/>
        <v/>
      </c>
      <c r="V1048" s="327" t="str">
        <f t="shared" si="243"/>
        <v/>
      </c>
      <c r="W1048" s="327" t="str">
        <f t="shared" si="244"/>
        <v/>
      </c>
      <c r="X1048" s="327" t="str">
        <f t="shared" si="245"/>
        <v/>
      </c>
      <c r="Y1048" s="327" t="str">
        <f t="shared" si="246"/>
        <v/>
      </c>
      <c r="Z1048" s="428" t="str">
        <f t="shared" si="247"/>
        <v/>
      </c>
    </row>
    <row r="1049" spans="1:26" x14ac:dyDescent="0.35">
      <c r="A1049" s="265"/>
      <c r="B1049" s="266"/>
      <c r="C1049" s="262"/>
      <c r="D1049" s="262"/>
      <c r="E1049" s="262"/>
      <c r="F1049" s="262"/>
      <c r="G1049" s="320"/>
      <c r="H1049" s="262"/>
      <c r="I1049" s="320"/>
      <c r="J1049" s="320"/>
      <c r="K1049" s="262"/>
      <c r="L1049" s="262"/>
      <c r="M1049" s="327" t="str">
        <f t="shared" si="234"/>
        <v/>
      </c>
      <c r="N1049" s="327" t="str">
        <f t="shared" si="235"/>
        <v/>
      </c>
      <c r="O1049" s="327" t="str">
        <f t="shared" si="236"/>
        <v/>
      </c>
      <c r="P1049" s="327" t="str">
        <f t="shared" si="237"/>
        <v/>
      </c>
      <c r="Q1049" s="327" t="str">
        <f t="shared" si="238"/>
        <v/>
      </c>
      <c r="R1049" s="327" t="str">
        <f t="shared" si="239"/>
        <v/>
      </c>
      <c r="S1049" s="421" t="str">
        <f t="shared" si="240"/>
        <v/>
      </c>
      <c r="T1049" s="327" t="str">
        <f t="shared" si="241"/>
        <v/>
      </c>
      <c r="U1049" s="327" t="str">
        <f t="shared" si="242"/>
        <v/>
      </c>
      <c r="V1049" s="327" t="str">
        <f t="shared" si="243"/>
        <v/>
      </c>
      <c r="W1049" s="327" t="str">
        <f t="shared" si="244"/>
        <v/>
      </c>
      <c r="X1049" s="327" t="str">
        <f t="shared" si="245"/>
        <v/>
      </c>
      <c r="Y1049" s="327" t="str">
        <f t="shared" si="246"/>
        <v/>
      </c>
      <c r="Z1049" s="428" t="str">
        <f t="shared" si="247"/>
        <v/>
      </c>
    </row>
    <row r="1050" spans="1:26" x14ac:dyDescent="0.35">
      <c r="A1050" s="265"/>
      <c r="B1050" s="266"/>
      <c r="C1050" s="262"/>
      <c r="D1050" s="262"/>
      <c r="E1050" s="262"/>
      <c r="F1050" s="262"/>
      <c r="G1050" s="320"/>
      <c r="H1050" s="262"/>
      <c r="I1050" s="320"/>
      <c r="J1050" s="320"/>
      <c r="K1050" s="262"/>
      <c r="L1050" s="262"/>
      <c r="M1050" s="327" t="str">
        <f t="shared" si="234"/>
        <v/>
      </c>
      <c r="N1050" s="327" t="str">
        <f t="shared" si="235"/>
        <v/>
      </c>
      <c r="O1050" s="327" t="str">
        <f t="shared" si="236"/>
        <v/>
      </c>
      <c r="P1050" s="327" t="str">
        <f t="shared" si="237"/>
        <v/>
      </c>
      <c r="Q1050" s="327" t="str">
        <f t="shared" si="238"/>
        <v/>
      </c>
      <c r="R1050" s="327" t="str">
        <f t="shared" si="239"/>
        <v/>
      </c>
      <c r="S1050" s="421" t="str">
        <f t="shared" si="240"/>
        <v/>
      </c>
      <c r="T1050" s="327" t="str">
        <f t="shared" si="241"/>
        <v/>
      </c>
      <c r="U1050" s="327" t="str">
        <f t="shared" si="242"/>
        <v/>
      </c>
      <c r="V1050" s="327" t="str">
        <f t="shared" si="243"/>
        <v/>
      </c>
      <c r="W1050" s="327" t="str">
        <f t="shared" si="244"/>
        <v/>
      </c>
      <c r="X1050" s="327" t="str">
        <f t="shared" si="245"/>
        <v/>
      </c>
      <c r="Y1050" s="327" t="str">
        <f t="shared" si="246"/>
        <v/>
      </c>
      <c r="Z1050" s="428" t="str">
        <f t="shared" si="247"/>
        <v/>
      </c>
    </row>
    <row r="1051" spans="1:26" x14ac:dyDescent="0.35">
      <c r="A1051" s="265"/>
      <c r="B1051" s="266"/>
      <c r="C1051" s="262"/>
      <c r="D1051" s="262"/>
      <c r="E1051" s="262"/>
      <c r="F1051" s="262"/>
      <c r="G1051" s="320"/>
      <c r="H1051" s="262"/>
      <c r="I1051" s="320"/>
      <c r="J1051" s="320"/>
      <c r="K1051" s="262"/>
      <c r="L1051" s="262"/>
      <c r="M1051" s="327" t="str">
        <f t="shared" si="234"/>
        <v/>
      </c>
      <c r="N1051" s="327" t="str">
        <f t="shared" si="235"/>
        <v/>
      </c>
      <c r="O1051" s="327" t="str">
        <f t="shared" si="236"/>
        <v/>
      </c>
      <c r="P1051" s="327" t="str">
        <f t="shared" si="237"/>
        <v/>
      </c>
      <c r="Q1051" s="327" t="str">
        <f t="shared" si="238"/>
        <v/>
      </c>
      <c r="R1051" s="327" t="str">
        <f t="shared" si="239"/>
        <v/>
      </c>
      <c r="S1051" s="421" t="str">
        <f t="shared" si="240"/>
        <v/>
      </c>
      <c r="T1051" s="327" t="str">
        <f t="shared" si="241"/>
        <v/>
      </c>
      <c r="U1051" s="327" t="str">
        <f t="shared" si="242"/>
        <v/>
      </c>
      <c r="V1051" s="327" t="str">
        <f t="shared" si="243"/>
        <v/>
      </c>
      <c r="W1051" s="327" t="str">
        <f t="shared" si="244"/>
        <v/>
      </c>
      <c r="X1051" s="327" t="str">
        <f t="shared" si="245"/>
        <v/>
      </c>
      <c r="Y1051" s="327" t="str">
        <f t="shared" si="246"/>
        <v/>
      </c>
      <c r="Z1051" s="428" t="str">
        <f t="shared" si="247"/>
        <v/>
      </c>
    </row>
    <row r="1052" spans="1:26" x14ac:dyDescent="0.35">
      <c r="A1052" s="265"/>
      <c r="B1052" s="266"/>
      <c r="C1052" s="262"/>
      <c r="D1052" s="262"/>
      <c r="E1052" s="262"/>
      <c r="F1052" s="262"/>
      <c r="G1052" s="320"/>
      <c r="H1052" s="262"/>
      <c r="I1052" s="320"/>
      <c r="J1052" s="320"/>
      <c r="K1052" s="262"/>
      <c r="L1052" s="262"/>
      <c r="M1052" s="327" t="str">
        <f t="shared" si="234"/>
        <v/>
      </c>
      <c r="N1052" s="327" t="str">
        <f t="shared" si="235"/>
        <v/>
      </c>
      <c r="O1052" s="327" t="str">
        <f t="shared" si="236"/>
        <v/>
      </c>
      <c r="P1052" s="327" t="str">
        <f t="shared" si="237"/>
        <v/>
      </c>
      <c r="Q1052" s="327" t="str">
        <f t="shared" si="238"/>
        <v/>
      </c>
      <c r="R1052" s="327" t="str">
        <f t="shared" si="239"/>
        <v/>
      </c>
      <c r="S1052" s="421" t="str">
        <f t="shared" si="240"/>
        <v/>
      </c>
      <c r="T1052" s="327" t="str">
        <f t="shared" si="241"/>
        <v/>
      </c>
      <c r="U1052" s="327" t="str">
        <f t="shared" si="242"/>
        <v/>
      </c>
      <c r="V1052" s="327" t="str">
        <f t="shared" si="243"/>
        <v/>
      </c>
      <c r="W1052" s="327" t="str">
        <f t="shared" si="244"/>
        <v/>
      </c>
      <c r="X1052" s="327" t="str">
        <f t="shared" si="245"/>
        <v/>
      </c>
      <c r="Y1052" s="327" t="str">
        <f t="shared" si="246"/>
        <v/>
      </c>
      <c r="Z1052" s="428" t="str">
        <f t="shared" si="247"/>
        <v/>
      </c>
    </row>
    <row r="1053" spans="1:26" x14ac:dyDescent="0.35">
      <c r="A1053" s="265"/>
      <c r="B1053" s="266"/>
      <c r="C1053" s="262"/>
      <c r="D1053" s="262"/>
      <c r="E1053" s="262"/>
      <c r="F1053" s="262"/>
      <c r="G1053" s="320"/>
      <c r="H1053" s="262"/>
      <c r="I1053" s="320"/>
      <c r="J1053" s="320"/>
      <c r="K1053" s="262"/>
      <c r="L1053" s="262"/>
      <c r="M1053" s="327" t="str">
        <f t="shared" si="234"/>
        <v/>
      </c>
      <c r="N1053" s="327" t="str">
        <f t="shared" si="235"/>
        <v/>
      </c>
      <c r="O1053" s="327" t="str">
        <f t="shared" si="236"/>
        <v/>
      </c>
      <c r="P1053" s="327" t="str">
        <f t="shared" si="237"/>
        <v/>
      </c>
      <c r="Q1053" s="327" t="str">
        <f t="shared" si="238"/>
        <v/>
      </c>
      <c r="R1053" s="327" t="str">
        <f t="shared" si="239"/>
        <v/>
      </c>
      <c r="S1053" s="421" t="str">
        <f t="shared" si="240"/>
        <v/>
      </c>
      <c r="T1053" s="327" t="str">
        <f t="shared" si="241"/>
        <v/>
      </c>
      <c r="U1053" s="327" t="str">
        <f t="shared" si="242"/>
        <v/>
      </c>
      <c r="V1053" s="327" t="str">
        <f t="shared" si="243"/>
        <v/>
      </c>
      <c r="W1053" s="327" t="str">
        <f t="shared" si="244"/>
        <v/>
      </c>
      <c r="X1053" s="327" t="str">
        <f t="shared" si="245"/>
        <v/>
      </c>
      <c r="Y1053" s="327" t="str">
        <f t="shared" si="246"/>
        <v/>
      </c>
      <c r="Z1053" s="428" t="str">
        <f t="shared" si="247"/>
        <v/>
      </c>
    </row>
    <row r="1054" spans="1:26" x14ac:dyDescent="0.35">
      <c r="A1054" s="265"/>
      <c r="B1054" s="266"/>
      <c r="C1054" s="262"/>
      <c r="D1054" s="262"/>
      <c r="E1054" s="262"/>
      <c r="F1054" s="262"/>
      <c r="G1054" s="320"/>
      <c r="H1054" s="262"/>
      <c r="I1054" s="320"/>
      <c r="J1054" s="320"/>
      <c r="K1054" s="262"/>
      <c r="L1054" s="262"/>
      <c r="M1054" s="327" t="str">
        <f t="shared" si="234"/>
        <v/>
      </c>
      <c r="N1054" s="327" t="str">
        <f t="shared" si="235"/>
        <v/>
      </c>
      <c r="O1054" s="327" t="str">
        <f t="shared" si="236"/>
        <v/>
      </c>
      <c r="P1054" s="327" t="str">
        <f t="shared" si="237"/>
        <v/>
      </c>
      <c r="Q1054" s="327" t="str">
        <f t="shared" si="238"/>
        <v/>
      </c>
      <c r="R1054" s="327" t="str">
        <f t="shared" si="239"/>
        <v/>
      </c>
      <c r="S1054" s="421" t="str">
        <f t="shared" si="240"/>
        <v/>
      </c>
      <c r="T1054" s="327" t="str">
        <f t="shared" si="241"/>
        <v/>
      </c>
      <c r="U1054" s="327" t="str">
        <f t="shared" si="242"/>
        <v/>
      </c>
      <c r="V1054" s="327" t="str">
        <f t="shared" si="243"/>
        <v/>
      </c>
      <c r="W1054" s="327" t="str">
        <f t="shared" si="244"/>
        <v/>
      </c>
      <c r="X1054" s="327" t="str">
        <f t="shared" si="245"/>
        <v/>
      </c>
      <c r="Y1054" s="327" t="str">
        <f t="shared" si="246"/>
        <v/>
      </c>
      <c r="Z1054" s="428" t="str">
        <f t="shared" si="247"/>
        <v/>
      </c>
    </row>
    <row r="1055" spans="1:26" x14ac:dyDescent="0.35">
      <c r="A1055" s="265"/>
      <c r="B1055" s="266"/>
      <c r="C1055" s="262"/>
      <c r="D1055" s="262"/>
      <c r="E1055" s="262"/>
      <c r="F1055" s="262"/>
      <c r="G1055" s="320"/>
      <c r="H1055" s="262"/>
      <c r="I1055" s="320"/>
      <c r="J1055" s="320"/>
      <c r="K1055" s="262"/>
      <c r="L1055" s="262"/>
      <c r="M1055" s="327" t="str">
        <f t="shared" si="234"/>
        <v/>
      </c>
      <c r="N1055" s="327" t="str">
        <f t="shared" si="235"/>
        <v/>
      </c>
      <c r="O1055" s="327" t="str">
        <f t="shared" si="236"/>
        <v/>
      </c>
      <c r="P1055" s="327" t="str">
        <f t="shared" si="237"/>
        <v/>
      </c>
      <c r="Q1055" s="327" t="str">
        <f t="shared" si="238"/>
        <v/>
      </c>
      <c r="R1055" s="327" t="str">
        <f t="shared" si="239"/>
        <v/>
      </c>
      <c r="S1055" s="421" t="str">
        <f t="shared" si="240"/>
        <v/>
      </c>
      <c r="T1055" s="327" t="str">
        <f t="shared" si="241"/>
        <v/>
      </c>
      <c r="U1055" s="327" t="str">
        <f t="shared" si="242"/>
        <v/>
      </c>
      <c r="V1055" s="327" t="str">
        <f t="shared" si="243"/>
        <v/>
      </c>
      <c r="W1055" s="327" t="str">
        <f t="shared" si="244"/>
        <v/>
      </c>
      <c r="X1055" s="327" t="str">
        <f t="shared" si="245"/>
        <v/>
      </c>
      <c r="Y1055" s="327" t="str">
        <f t="shared" si="246"/>
        <v/>
      </c>
      <c r="Z1055" s="428" t="str">
        <f t="shared" si="247"/>
        <v/>
      </c>
    </row>
    <row r="1056" spans="1:26" x14ac:dyDescent="0.35">
      <c r="A1056" s="265"/>
      <c r="B1056" s="266"/>
      <c r="C1056" s="262"/>
      <c r="D1056" s="262"/>
      <c r="E1056" s="262"/>
      <c r="F1056" s="262"/>
      <c r="G1056" s="320"/>
      <c r="H1056" s="262"/>
      <c r="I1056" s="320"/>
      <c r="J1056" s="320"/>
      <c r="K1056" s="262"/>
      <c r="L1056" s="262"/>
      <c r="M1056" s="327" t="str">
        <f t="shared" si="234"/>
        <v/>
      </c>
      <c r="N1056" s="327" t="str">
        <f t="shared" si="235"/>
        <v/>
      </c>
      <c r="O1056" s="327" t="str">
        <f t="shared" si="236"/>
        <v/>
      </c>
      <c r="P1056" s="327" t="str">
        <f t="shared" si="237"/>
        <v/>
      </c>
      <c r="Q1056" s="327" t="str">
        <f t="shared" si="238"/>
        <v/>
      </c>
      <c r="R1056" s="327" t="str">
        <f t="shared" si="239"/>
        <v/>
      </c>
      <c r="S1056" s="421" t="str">
        <f t="shared" si="240"/>
        <v/>
      </c>
      <c r="T1056" s="327" t="str">
        <f t="shared" si="241"/>
        <v/>
      </c>
      <c r="U1056" s="327" t="str">
        <f t="shared" si="242"/>
        <v/>
      </c>
      <c r="V1056" s="327" t="str">
        <f t="shared" si="243"/>
        <v/>
      </c>
      <c r="W1056" s="327" t="str">
        <f t="shared" si="244"/>
        <v/>
      </c>
      <c r="X1056" s="327" t="str">
        <f t="shared" si="245"/>
        <v/>
      </c>
      <c r="Y1056" s="327" t="str">
        <f t="shared" si="246"/>
        <v/>
      </c>
      <c r="Z1056" s="428" t="str">
        <f t="shared" si="247"/>
        <v/>
      </c>
    </row>
    <row r="1057" spans="1:26" x14ac:dyDescent="0.35">
      <c r="A1057" s="265"/>
      <c r="B1057" s="266"/>
      <c r="C1057" s="262"/>
      <c r="D1057" s="262"/>
      <c r="E1057" s="262"/>
      <c r="F1057" s="262"/>
      <c r="G1057" s="320"/>
      <c r="H1057" s="262"/>
      <c r="I1057" s="320"/>
      <c r="J1057" s="320"/>
      <c r="K1057" s="262"/>
      <c r="L1057" s="262"/>
      <c r="M1057" s="327" t="str">
        <f t="shared" si="234"/>
        <v/>
      </c>
      <c r="N1057" s="327" t="str">
        <f t="shared" si="235"/>
        <v/>
      </c>
      <c r="O1057" s="327" t="str">
        <f t="shared" si="236"/>
        <v/>
      </c>
      <c r="P1057" s="327" t="str">
        <f t="shared" si="237"/>
        <v/>
      </c>
      <c r="Q1057" s="327" t="str">
        <f t="shared" si="238"/>
        <v/>
      </c>
      <c r="R1057" s="327" t="str">
        <f t="shared" si="239"/>
        <v/>
      </c>
      <c r="S1057" s="421" t="str">
        <f t="shared" si="240"/>
        <v/>
      </c>
      <c r="T1057" s="327" t="str">
        <f t="shared" si="241"/>
        <v/>
      </c>
      <c r="U1057" s="327" t="str">
        <f t="shared" si="242"/>
        <v/>
      </c>
      <c r="V1057" s="327" t="str">
        <f t="shared" si="243"/>
        <v/>
      </c>
      <c r="W1057" s="327" t="str">
        <f t="shared" si="244"/>
        <v/>
      </c>
      <c r="X1057" s="327" t="str">
        <f t="shared" si="245"/>
        <v/>
      </c>
      <c r="Y1057" s="327" t="str">
        <f t="shared" si="246"/>
        <v/>
      </c>
      <c r="Z1057" s="428" t="str">
        <f t="shared" si="247"/>
        <v/>
      </c>
    </row>
    <row r="1058" spans="1:26" x14ac:dyDescent="0.35">
      <c r="A1058" s="265"/>
      <c r="B1058" s="266"/>
      <c r="C1058" s="262"/>
      <c r="D1058" s="262"/>
      <c r="E1058" s="262"/>
      <c r="F1058" s="262"/>
      <c r="G1058" s="320"/>
      <c r="H1058" s="262"/>
      <c r="I1058" s="320"/>
      <c r="J1058" s="320"/>
      <c r="K1058" s="262"/>
      <c r="L1058" s="262"/>
      <c r="M1058" s="327" t="str">
        <f t="shared" si="234"/>
        <v/>
      </c>
      <c r="N1058" s="327" t="str">
        <f t="shared" si="235"/>
        <v/>
      </c>
      <c r="O1058" s="327" t="str">
        <f t="shared" si="236"/>
        <v/>
      </c>
      <c r="P1058" s="327" t="str">
        <f t="shared" si="237"/>
        <v/>
      </c>
      <c r="Q1058" s="327" t="str">
        <f t="shared" si="238"/>
        <v/>
      </c>
      <c r="R1058" s="327" t="str">
        <f t="shared" si="239"/>
        <v/>
      </c>
      <c r="S1058" s="421" t="str">
        <f t="shared" si="240"/>
        <v/>
      </c>
      <c r="T1058" s="327" t="str">
        <f t="shared" si="241"/>
        <v/>
      </c>
      <c r="U1058" s="327" t="str">
        <f t="shared" si="242"/>
        <v/>
      </c>
      <c r="V1058" s="327" t="str">
        <f t="shared" si="243"/>
        <v/>
      </c>
      <c r="W1058" s="327" t="str">
        <f t="shared" si="244"/>
        <v/>
      </c>
      <c r="X1058" s="327" t="str">
        <f t="shared" si="245"/>
        <v/>
      </c>
      <c r="Y1058" s="327" t="str">
        <f t="shared" si="246"/>
        <v/>
      </c>
      <c r="Z1058" s="428" t="str">
        <f t="shared" si="247"/>
        <v/>
      </c>
    </row>
    <row r="1059" spans="1:26" x14ac:dyDescent="0.35">
      <c r="A1059" s="265"/>
      <c r="B1059" s="266"/>
      <c r="C1059" s="262"/>
      <c r="D1059" s="262"/>
      <c r="E1059" s="262"/>
      <c r="F1059" s="262"/>
      <c r="G1059" s="320"/>
      <c r="H1059" s="262"/>
      <c r="I1059" s="320"/>
      <c r="J1059" s="320"/>
      <c r="K1059" s="262"/>
      <c r="L1059" s="262"/>
      <c r="M1059" s="327" t="str">
        <f t="shared" si="234"/>
        <v/>
      </c>
      <c r="N1059" s="327" t="str">
        <f t="shared" si="235"/>
        <v/>
      </c>
      <c r="O1059" s="327" t="str">
        <f t="shared" si="236"/>
        <v/>
      </c>
      <c r="P1059" s="327" t="str">
        <f t="shared" si="237"/>
        <v/>
      </c>
      <c r="Q1059" s="327" t="str">
        <f t="shared" si="238"/>
        <v/>
      </c>
      <c r="R1059" s="327" t="str">
        <f t="shared" si="239"/>
        <v/>
      </c>
      <c r="S1059" s="421" t="str">
        <f t="shared" si="240"/>
        <v/>
      </c>
      <c r="T1059" s="327" t="str">
        <f t="shared" si="241"/>
        <v/>
      </c>
      <c r="U1059" s="327" t="str">
        <f t="shared" si="242"/>
        <v/>
      </c>
      <c r="V1059" s="327" t="str">
        <f t="shared" si="243"/>
        <v/>
      </c>
      <c r="W1059" s="327" t="str">
        <f t="shared" si="244"/>
        <v/>
      </c>
      <c r="X1059" s="327" t="str">
        <f t="shared" si="245"/>
        <v/>
      </c>
      <c r="Y1059" s="327" t="str">
        <f t="shared" si="246"/>
        <v/>
      </c>
      <c r="Z1059" s="428" t="str">
        <f t="shared" si="247"/>
        <v/>
      </c>
    </row>
    <row r="1060" spans="1:26" x14ac:dyDescent="0.35">
      <c r="A1060" s="265"/>
      <c r="B1060" s="266"/>
      <c r="C1060" s="262"/>
      <c r="D1060" s="262"/>
      <c r="E1060" s="262"/>
      <c r="F1060" s="262"/>
      <c r="G1060" s="320"/>
      <c r="H1060" s="262"/>
      <c r="I1060" s="320"/>
      <c r="J1060" s="320"/>
      <c r="K1060" s="262"/>
      <c r="L1060" s="262"/>
      <c r="M1060" s="327" t="str">
        <f t="shared" si="234"/>
        <v/>
      </c>
      <c r="N1060" s="327" t="str">
        <f t="shared" si="235"/>
        <v/>
      </c>
      <c r="O1060" s="327" t="str">
        <f t="shared" si="236"/>
        <v/>
      </c>
      <c r="P1060" s="327" t="str">
        <f t="shared" si="237"/>
        <v/>
      </c>
      <c r="Q1060" s="327" t="str">
        <f t="shared" si="238"/>
        <v/>
      </c>
      <c r="R1060" s="327" t="str">
        <f t="shared" si="239"/>
        <v/>
      </c>
      <c r="S1060" s="421" t="str">
        <f t="shared" si="240"/>
        <v/>
      </c>
      <c r="T1060" s="327" t="str">
        <f t="shared" si="241"/>
        <v/>
      </c>
      <c r="U1060" s="327" t="str">
        <f t="shared" si="242"/>
        <v/>
      </c>
      <c r="V1060" s="327" t="str">
        <f t="shared" si="243"/>
        <v/>
      </c>
      <c r="W1060" s="327" t="str">
        <f t="shared" si="244"/>
        <v/>
      </c>
      <c r="X1060" s="327" t="str">
        <f t="shared" si="245"/>
        <v/>
      </c>
      <c r="Y1060" s="327" t="str">
        <f t="shared" si="246"/>
        <v/>
      </c>
      <c r="Z1060" s="428" t="str">
        <f t="shared" si="247"/>
        <v/>
      </c>
    </row>
    <row r="1061" spans="1:26" x14ac:dyDescent="0.35">
      <c r="A1061" s="265"/>
      <c r="B1061" s="266"/>
      <c r="C1061" s="262"/>
      <c r="D1061" s="262"/>
      <c r="E1061" s="262"/>
      <c r="F1061" s="262"/>
      <c r="G1061" s="320"/>
      <c r="H1061" s="262"/>
      <c r="I1061" s="320"/>
      <c r="J1061" s="320"/>
      <c r="K1061" s="262"/>
      <c r="L1061" s="262"/>
      <c r="M1061" s="327" t="str">
        <f t="shared" si="234"/>
        <v/>
      </c>
      <c r="N1061" s="327" t="str">
        <f t="shared" si="235"/>
        <v/>
      </c>
      <c r="O1061" s="327" t="str">
        <f t="shared" si="236"/>
        <v/>
      </c>
      <c r="P1061" s="327" t="str">
        <f t="shared" si="237"/>
        <v/>
      </c>
      <c r="Q1061" s="327" t="str">
        <f t="shared" si="238"/>
        <v/>
      </c>
      <c r="R1061" s="327" t="str">
        <f t="shared" si="239"/>
        <v/>
      </c>
      <c r="S1061" s="421" t="str">
        <f t="shared" si="240"/>
        <v/>
      </c>
      <c r="T1061" s="327" t="str">
        <f t="shared" si="241"/>
        <v/>
      </c>
      <c r="U1061" s="327" t="str">
        <f t="shared" si="242"/>
        <v/>
      </c>
      <c r="V1061" s="327" t="str">
        <f t="shared" si="243"/>
        <v/>
      </c>
      <c r="W1061" s="327" t="str">
        <f t="shared" si="244"/>
        <v/>
      </c>
      <c r="X1061" s="327" t="str">
        <f t="shared" si="245"/>
        <v/>
      </c>
      <c r="Y1061" s="327" t="str">
        <f t="shared" si="246"/>
        <v/>
      </c>
      <c r="Z1061" s="428" t="str">
        <f t="shared" si="247"/>
        <v/>
      </c>
    </row>
    <row r="1062" spans="1:26" x14ac:dyDescent="0.35">
      <c r="A1062" s="265"/>
      <c r="B1062" s="266"/>
      <c r="C1062" s="262"/>
      <c r="D1062" s="262"/>
      <c r="E1062" s="262"/>
      <c r="F1062" s="262"/>
      <c r="G1062" s="320"/>
      <c r="H1062" s="262"/>
      <c r="I1062" s="320"/>
      <c r="J1062" s="320"/>
      <c r="K1062" s="262"/>
      <c r="L1062" s="262"/>
      <c r="M1062" s="327" t="str">
        <f t="shared" si="234"/>
        <v/>
      </c>
      <c r="N1062" s="327" t="str">
        <f t="shared" si="235"/>
        <v/>
      </c>
      <c r="O1062" s="327" t="str">
        <f t="shared" si="236"/>
        <v/>
      </c>
      <c r="P1062" s="327" t="str">
        <f t="shared" si="237"/>
        <v/>
      </c>
      <c r="Q1062" s="327" t="str">
        <f t="shared" si="238"/>
        <v/>
      </c>
      <c r="R1062" s="327" t="str">
        <f t="shared" si="239"/>
        <v/>
      </c>
      <c r="S1062" s="421" t="str">
        <f t="shared" si="240"/>
        <v/>
      </c>
      <c r="T1062" s="327" t="str">
        <f t="shared" si="241"/>
        <v/>
      </c>
      <c r="U1062" s="327" t="str">
        <f t="shared" si="242"/>
        <v/>
      </c>
      <c r="V1062" s="327" t="str">
        <f t="shared" si="243"/>
        <v/>
      </c>
      <c r="W1062" s="327" t="str">
        <f t="shared" si="244"/>
        <v/>
      </c>
      <c r="X1062" s="327" t="str">
        <f t="shared" si="245"/>
        <v/>
      </c>
      <c r="Y1062" s="327" t="str">
        <f t="shared" si="246"/>
        <v/>
      </c>
      <c r="Z1062" s="428" t="str">
        <f t="shared" si="247"/>
        <v/>
      </c>
    </row>
    <row r="1063" spans="1:26" x14ac:dyDescent="0.35">
      <c r="A1063" s="265"/>
      <c r="B1063" s="266"/>
      <c r="C1063" s="262"/>
      <c r="D1063" s="262"/>
      <c r="E1063" s="262"/>
      <c r="F1063" s="262"/>
      <c r="G1063" s="320"/>
      <c r="H1063" s="262"/>
      <c r="I1063" s="320"/>
      <c r="J1063" s="320"/>
      <c r="K1063" s="262"/>
      <c r="L1063" s="262"/>
      <c r="M1063" s="327" t="str">
        <f t="shared" si="234"/>
        <v/>
      </c>
      <c r="N1063" s="327" t="str">
        <f t="shared" si="235"/>
        <v/>
      </c>
      <c r="O1063" s="327" t="str">
        <f t="shared" si="236"/>
        <v/>
      </c>
      <c r="P1063" s="327" t="str">
        <f t="shared" si="237"/>
        <v/>
      </c>
      <c r="Q1063" s="327" t="str">
        <f t="shared" si="238"/>
        <v/>
      </c>
      <c r="R1063" s="327" t="str">
        <f t="shared" si="239"/>
        <v/>
      </c>
      <c r="S1063" s="421" t="str">
        <f t="shared" si="240"/>
        <v/>
      </c>
      <c r="T1063" s="327" t="str">
        <f t="shared" si="241"/>
        <v/>
      </c>
      <c r="U1063" s="327" t="str">
        <f t="shared" si="242"/>
        <v/>
      </c>
      <c r="V1063" s="327" t="str">
        <f t="shared" si="243"/>
        <v/>
      </c>
      <c r="W1063" s="327" t="str">
        <f t="shared" si="244"/>
        <v/>
      </c>
      <c r="X1063" s="327" t="str">
        <f t="shared" si="245"/>
        <v/>
      </c>
      <c r="Y1063" s="327" t="str">
        <f t="shared" si="246"/>
        <v/>
      </c>
      <c r="Z1063" s="428" t="str">
        <f t="shared" si="247"/>
        <v/>
      </c>
    </row>
    <row r="1064" spans="1:26" x14ac:dyDescent="0.35">
      <c r="A1064" s="265"/>
      <c r="B1064" s="266"/>
      <c r="C1064" s="262"/>
      <c r="D1064" s="262"/>
      <c r="E1064" s="262"/>
      <c r="F1064" s="262"/>
      <c r="G1064" s="320"/>
      <c r="H1064" s="262"/>
      <c r="I1064" s="320"/>
      <c r="J1064" s="320"/>
      <c r="K1064" s="262"/>
      <c r="L1064" s="262"/>
      <c r="M1064" s="327" t="str">
        <f t="shared" si="234"/>
        <v/>
      </c>
      <c r="N1064" s="327" t="str">
        <f t="shared" si="235"/>
        <v/>
      </c>
      <c r="O1064" s="327" t="str">
        <f t="shared" si="236"/>
        <v/>
      </c>
      <c r="P1064" s="327" t="str">
        <f t="shared" si="237"/>
        <v/>
      </c>
      <c r="Q1064" s="327" t="str">
        <f t="shared" si="238"/>
        <v/>
      </c>
      <c r="R1064" s="327" t="str">
        <f t="shared" si="239"/>
        <v/>
      </c>
      <c r="S1064" s="421" t="str">
        <f t="shared" si="240"/>
        <v/>
      </c>
      <c r="T1064" s="327" t="str">
        <f t="shared" si="241"/>
        <v/>
      </c>
      <c r="U1064" s="327" t="str">
        <f t="shared" si="242"/>
        <v/>
      </c>
      <c r="V1064" s="327" t="str">
        <f t="shared" si="243"/>
        <v/>
      </c>
      <c r="W1064" s="327" t="str">
        <f t="shared" si="244"/>
        <v/>
      </c>
      <c r="X1064" s="327" t="str">
        <f t="shared" si="245"/>
        <v/>
      </c>
      <c r="Y1064" s="327" t="str">
        <f t="shared" si="246"/>
        <v/>
      </c>
      <c r="Z1064" s="428" t="str">
        <f t="shared" si="247"/>
        <v/>
      </c>
    </row>
    <row r="1065" spans="1:26" x14ac:dyDescent="0.35">
      <c r="A1065" s="265"/>
      <c r="B1065" s="266"/>
      <c r="C1065" s="262"/>
      <c r="D1065" s="262"/>
      <c r="E1065" s="262"/>
      <c r="F1065" s="262"/>
      <c r="G1065" s="320"/>
      <c r="H1065" s="262"/>
      <c r="I1065" s="320"/>
      <c r="J1065" s="320"/>
      <c r="K1065" s="262"/>
      <c r="L1065" s="262"/>
      <c r="M1065" s="327" t="str">
        <f t="shared" si="234"/>
        <v/>
      </c>
      <c r="N1065" s="327" t="str">
        <f t="shared" si="235"/>
        <v/>
      </c>
      <c r="O1065" s="327" t="str">
        <f t="shared" si="236"/>
        <v/>
      </c>
      <c r="P1065" s="327" t="str">
        <f t="shared" si="237"/>
        <v/>
      </c>
      <c r="Q1065" s="327" t="str">
        <f t="shared" si="238"/>
        <v/>
      </c>
      <c r="R1065" s="327" t="str">
        <f t="shared" si="239"/>
        <v/>
      </c>
      <c r="S1065" s="421" t="str">
        <f t="shared" si="240"/>
        <v/>
      </c>
      <c r="T1065" s="327" t="str">
        <f t="shared" si="241"/>
        <v/>
      </c>
      <c r="U1065" s="327" t="str">
        <f t="shared" si="242"/>
        <v/>
      </c>
      <c r="V1065" s="327" t="str">
        <f t="shared" si="243"/>
        <v/>
      </c>
      <c r="W1065" s="327" t="str">
        <f t="shared" si="244"/>
        <v/>
      </c>
      <c r="X1065" s="327" t="str">
        <f t="shared" si="245"/>
        <v/>
      </c>
      <c r="Y1065" s="327" t="str">
        <f t="shared" si="246"/>
        <v/>
      </c>
      <c r="Z1065" s="428" t="str">
        <f t="shared" si="247"/>
        <v/>
      </c>
    </row>
    <row r="1066" spans="1:26" x14ac:dyDescent="0.35">
      <c r="A1066" s="265"/>
      <c r="B1066" s="266"/>
      <c r="C1066" s="262"/>
      <c r="D1066" s="262"/>
      <c r="E1066" s="262"/>
      <c r="F1066" s="262"/>
      <c r="G1066" s="320"/>
      <c r="H1066" s="262"/>
      <c r="I1066" s="320"/>
      <c r="J1066" s="320"/>
      <c r="K1066" s="262"/>
      <c r="L1066" s="262"/>
      <c r="M1066" s="327" t="str">
        <f t="shared" si="234"/>
        <v/>
      </c>
      <c r="N1066" s="327" t="str">
        <f t="shared" si="235"/>
        <v/>
      </c>
      <c r="O1066" s="327" t="str">
        <f t="shared" si="236"/>
        <v/>
      </c>
      <c r="P1066" s="327" t="str">
        <f t="shared" si="237"/>
        <v/>
      </c>
      <c r="Q1066" s="327" t="str">
        <f t="shared" si="238"/>
        <v/>
      </c>
      <c r="R1066" s="327" t="str">
        <f t="shared" si="239"/>
        <v/>
      </c>
      <c r="S1066" s="421" t="str">
        <f t="shared" si="240"/>
        <v/>
      </c>
      <c r="T1066" s="327" t="str">
        <f t="shared" si="241"/>
        <v/>
      </c>
      <c r="U1066" s="327" t="str">
        <f t="shared" si="242"/>
        <v/>
      </c>
      <c r="V1066" s="327" t="str">
        <f t="shared" si="243"/>
        <v/>
      </c>
      <c r="W1066" s="327" t="str">
        <f t="shared" si="244"/>
        <v/>
      </c>
      <c r="X1066" s="327" t="str">
        <f t="shared" si="245"/>
        <v/>
      </c>
      <c r="Y1066" s="327" t="str">
        <f t="shared" si="246"/>
        <v/>
      </c>
      <c r="Z1066" s="428" t="str">
        <f t="shared" si="247"/>
        <v/>
      </c>
    </row>
    <row r="1067" spans="1:26" x14ac:dyDescent="0.35">
      <c r="A1067" s="265"/>
      <c r="B1067" s="266"/>
      <c r="C1067" s="262"/>
      <c r="D1067" s="262"/>
      <c r="E1067" s="262"/>
      <c r="F1067" s="262"/>
      <c r="G1067" s="320"/>
      <c r="H1067" s="262"/>
      <c r="I1067" s="320"/>
      <c r="J1067" s="320"/>
      <c r="K1067" s="262"/>
      <c r="L1067" s="262"/>
      <c r="M1067" s="327" t="str">
        <f t="shared" ref="M1067:M1130" si="248">IF(OR(A1067="", B1067=""), "", IF(H1067="Mitgliedsbeiträge", ABS(B1067), ""))</f>
        <v/>
      </c>
      <c r="N1067" s="327" t="str">
        <f t="shared" ref="N1067:N1130" si="249">IF(OR(A1067="", B1067=""), "", IF(H1067="Spenden", ABS(B1067), ""))</f>
        <v/>
      </c>
      <c r="O1067" s="327" t="str">
        <f t="shared" ref="O1067:O1130" si="250">IF(OR(A1067="", B1067=""), "", IF(H1067="Zuschüsse", ABS(B1067), ""))</f>
        <v/>
      </c>
      <c r="P1067" s="327" t="str">
        <f t="shared" ref="P1067:P1130" si="251">IF(OR(A1067="", B1067=""), "", IF(H1067="Verwaltung", ABS(B1067), ""))</f>
        <v/>
      </c>
      <c r="Q1067" s="327" t="str">
        <f t="shared" ref="Q1067:Q1130" si="252">IF(OR(A1067="", B1067=""), "", IF(H1067="Vermögen", ABS(B1067), ""))</f>
        <v/>
      </c>
      <c r="R1067" s="327" t="str">
        <f t="shared" ref="R1067:R1130" si="253">IF(OR(A1067="", B1067=""), "", IF(H1067="Vermögen", ABS(B1067), ""))</f>
        <v/>
      </c>
      <c r="S1067" s="421" t="str">
        <f t="shared" ref="S1067:S1130" si="254">IF(OR(A1067="", B1067=""), "", IF(H1067="Sonstige Einnahmen", ABS(B1067), ""))</f>
        <v/>
      </c>
      <c r="T1067" s="327" t="str">
        <f t="shared" ref="T1067:T1130" si="255">IF(OR(A1067="", B1067=""), "", IF(H1067="Unterhaltung", ABS(B1067), ""))</f>
        <v/>
      </c>
      <c r="U1067" s="327" t="str">
        <f t="shared" ref="U1067:U1130" si="256">IF(OR(A1067="", B1067=""), "", IF(H1067="Fortbildung", ABS(B1067), ""))</f>
        <v/>
      </c>
      <c r="V1067" s="327" t="str">
        <f t="shared" ref="V1067:V1130" si="257">IF(OR(A1067="", B1067=""), "", IF(H1067="Veranstaltungen Ausgabe", ABS(B1067), ""))</f>
        <v/>
      </c>
      <c r="W1067" s="327" t="str">
        <f t="shared" ref="W1067:W1130" si="258">IF(OR(A1067="", B1067=""), "", IF(H1067="Bürobetrieb", ABS(B1067), ""))</f>
        <v/>
      </c>
      <c r="X1067" s="327" t="str">
        <f t="shared" ref="X1067:X1130" si="259">IF(OR(A1067="", B1067=""), "", IF(H1067="Aufwandsentschädigungen", ABS(B1067), ""))</f>
        <v/>
      </c>
      <c r="Y1067" s="327" t="str">
        <f t="shared" ref="Y1067:Y1130" si="260">IF(OR(A1067="", B1067=""), "", IF(H1067="Sonstige Ausgaben", ABS(B1067), ""))</f>
        <v/>
      </c>
      <c r="Z1067" s="428" t="str">
        <f t="shared" ref="Z1067:Z1130" si="261">IF(OR(A1067="", B1067=""), "", IF(H1067="Kasse-Auszahlung", ABS(B1067), ""))</f>
        <v/>
      </c>
    </row>
    <row r="1068" spans="1:26" x14ac:dyDescent="0.35">
      <c r="A1068" s="265"/>
      <c r="B1068" s="266"/>
      <c r="C1068" s="262"/>
      <c r="D1068" s="262"/>
      <c r="E1068" s="262"/>
      <c r="F1068" s="262"/>
      <c r="G1068" s="320"/>
      <c r="H1068" s="262"/>
      <c r="I1068" s="320"/>
      <c r="J1068" s="320"/>
      <c r="K1068" s="262"/>
      <c r="L1068" s="262"/>
      <c r="M1068" s="327" t="str">
        <f t="shared" si="248"/>
        <v/>
      </c>
      <c r="N1068" s="327" t="str">
        <f t="shared" si="249"/>
        <v/>
      </c>
      <c r="O1068" s="327" t="str">
        <f t="shared" si="250"/>
        <v/>
      </c>
      <c r="P1068" s="327" t="str">
        <f t="shared" si="251"/>
        <v/>
      </c>
      <c r="Q1068" s="327" t="str">
        <f t="shared" si="252"/>
        <v/>
      </c>
      <c r="R1068" s="327" t="str">
        <f t="shared" si="253"/>
        <v/>
      </c>
      <c r="S1068" s="421" t="str">
        <f t="shared" si="254"/>
        <v/>
      </c>
      <c r="T1068" s="327" t="str">
        <f t="shared" si="255"/>
        <v/>
      </c>
      <c r="U1068" s="327" t="str">
        <f t="shared" si="256"/>
        <v/>
      </c>
      <c r="V1068" s="327" t="str">
        <f t="shared" si="257"/>
        <v/>
      </c>
      <c r="W1068" s="327" t="str">
        <f t="shared" si="258"/>
        <v/>
      </c>
      <c r="X1068" s="327" t="str">
        <f t="shared" si="259"/>
        <v/>
      </c>
      <c r="Y1068" s="327" t="str">
        <f t="shared" si="260"/>
        <v/>
      </c>
      <c r="Z1068" s="428" t="str">
        <f t="shared" si="261"/>
        <v/>
      </c>
    </row>
    <row r="1069" spans="1:26" x14ac:dyDescent="0.35">
      <c r="A1069" s="265"/>
      <c r="B1069" s="266"/>
      <c r="C1069" s="262"/>
      <c r="D1069" s="262"/>
      <c r="E1069" s="262"/>
      <c r="F1069" s="262"/>
      <c r="G1069" s="320"/>
      <c r="H1069" s="262"/>
      <c r="I1069" s="320"/>
      <c r="J1069" s="320"/>
      <c r="K1069" s="262"/>
      <c r="L1069" s="262"/>
      <c r="M1069" s="327" t="str">
        <f t="shared" si="248"/>
        <v/>
      </c>
      <c r="N1069" s="327" t="str">
        <f t="shared" si="249"/>
        <v/>
      </c>
      <c r="O1069" s="327" t="str">
        <f t="shared" si="250"/>
        <v/>
      </c>
      <c r="P1069" s="327" t="str">
        <f t="shared" si="251"/>
        <v/>
      </c>
      <c r="Q1069" s="327" t="str">
        <f t="shared" si="252"/>
        <v/>
      </c>
      <c r="R1069" s="327" t="str">
        <f t="shared" si="253"/>
        <v/>
      </c>
      <c r="S1069" s="421" t="str">
        <f t="shared" si="254"/>
        <v/>
      </c>
      <c r="T1069" s="327" t="str">
        <f t="shared" si="255"/>
        <v/>
      </c>
      <c r="U1069" s="327" t="str">
        <f t="shared" si="256"/>
        <v/>
      </c>
      <c r="V1069" s="327" t="str">
        <f t="shared" si="257"/>
        <v/>
      </c>
      <c r="W1069" s="327" t="str">
        <f t="shared" si="258"/>
        <v/>
      </c>
      <c r="X1069" s="327" t="str">
        <f t="shared" si="259"/>
        <v/>
      </c>
      <c r="Y1069" s="327" t="str">
        <f t="shared" si="260"/>
        <v/>
      </c>
      <c r="Z1069" s="428" t="str">
        <f t="shared" si="261"/>
        <v/>
      </c>
    </row>
    <row r="1070" spans="1:26" x14ac:dyDescent="0.35">
      <c r="A1070" s="265"/>
      <c r="B1070" s="266"/>
      <c r="C1070" s="262"/>
      <c r="D1070" s="262"/>
      <c r="E1070" s="262"/>
      <c r="F1070" s="262"/>
      <c r="G1070" s="320"/>
      <c r="H1070" s="262"/>
      <c r="I1070" s="320"/>
      <c r="J1070" s="320"/>
      <c r="K1070" s="262"/>
      <c r="L1070" s="262"/>
      <c r="M1070" s="327" t="str">
        <f t="shared" si="248"/>
        <v/>
      </c>
      <c r="N1070" s="327" t="str">
        <f t="shared" si="249"/>
        <v/>
      </c>
      <c r="O1070" s="327" t="str">
        <f t="shared" si="250"/>
        <v/>
      </c>
      <c r="P1070" s="327" t="str">
        <f t="shared" si="251"/>
        <v/>
      </c>
      <c r="Q1070" s="327" t="str">
        <f t="shared" si="252"/>
        <v/>
      </c>
      <c r="R1070" s="327" t="str">
        <f t="shared" si="253"/>
        <v/>
      </c>
      <c r="S1070" s="421" t="str">
        <f t="shared" si="254"/>
        <v/>
      </c>
      <c r="T1070" s="327" t="str">
        <f t="shared" si="255"/>
        <v/>
      </c>
      <c r="U1070" s="327" t="str">
        <f t="shared" si="256"/>
        <v/>
      </c>
      <c r="V1070" s="327" t="str">
        <f t="shared" si="257"/>
        <v/>
      </c>
      <c r="W1070" s="327" t="str">
        <f t="shared" si="258"/>
        <v/>
      </c>
      <c r="X1070" s="327" t="str">
        <f t="shared" si="259"/>
        <v/>
      </c>
      <c r="Y1070" s="327" t="str">
        <f t="shared" si="260"/>
        <v/>
      </c>
      <c r="Z1070" s="428" t="str">
        <f t="shared" si="261"/>
        <v/>
      </c>
    </row>
    <row r="1071" spans="1:26" x14ac:dyDescent="0.35">
      <c r="A1071" s="265"/>
      <c r="B1071" s="266"/>
      <c r="C1071" s="262"/>
      <c r="D1071" s="262"/>
      <c r="E1071" s="262"/>
      <c r="F1071" s="262"/>
      <c r="G1071" s="320"/>
      <c r="H1071" s="262"/>
      <c r="I1071" s="320"/>
      <c r="J1071" s="320"/>
      <c r="K1071" s="262"/>
      <c r="L1071" s="262"/>
      <c r="M1071" s="327" t="str">
        <f t="shared" si="248"/>
        <v/>
      </c>
      <c r="N1071" s="327" t="str">
        <f t="shared" si="249"/>
        <v/>
      </c>
      <c r="O1071" s="327" t="str">
        <f t="shared" si="250"/>
        <v/>
      </c>
      <c r="P1071" s="327" t="str">
        <f t="shared" si="251"/>
        <v/>
      </c>
      <c r="Q1071" s="327" t="str">
        <f t="shared" si="252"/>
        <v/>
      </c>
      <c r="R1071" s="327" t="str">
        <f t="shared" si="253"/>
        <v/>
      </c>
      <c r="S1071" s="421" t="str">
        <f t="shared" si="254"/>
        <v/>
      </c>
      <c r="T1071" s="327" t="str">
        <f t="shared" si="255"/>
        <v/>
      </c>
      <c r="U1071" s="327" t="str">
        <f t="shared" si="256"/>
        <v/>
      </c>
      <c r="V1071" s="327" t="str">
        <f t="shared" si="257"/>
        <v/>
      </c>
      <c r="W1071" s="327" t="str">
        <f t="shared" si="258"/>
        <v/>
      </c>
      <c r="X1071" s="327" t="str">
        <f t="shared" si="259"/>
        <v/>
      </c>
      <c r="Y1071" s="327" t="str">
        <f t="shared" si="260"/>
        <v/>
      </c>
      <c r="Z1071" s="428" t="str">
        <f t="shared" si="261"/>
        <v/>
      </c>
    </row>
    <row r="1072" spans="1:26" x14ac:dyDescent="0.35">
      <c r="A1072" s="265"/>
      <c r="B1072" s="266"/>
      <c r="C1072" s="262"/>
      <c r="D1072" s="262"/>
      <c r="E1072" s="262"/>
      <c r="F1072" s="262"/>
      <c r="G1072" s="320"/>
      <c r="H1072" s="262"/>
      <c r="I1072" s="320"/>
      <c r="J1072" s="320"/>
      <c r="K1072" s="262"/>
      <c r="L1072" s="262"/>
      <c r="M1072" s="327" t="str">
        <f t="shared" si="248"/>
        <v/>
      </c>
      <c r="N1072" s="327" t="str">
        <f t="shared" si="249"/>
        <v/>
      </c>
      <c r="O1072" s="327" t="str">
        <f t="shared" si="250"/>
        <v/>
      </c>
      <c r="P1072" s="327" t="str">
        <f t="shared" si="251"/>
        <v/>
      </c>
      <c r="Q1072" s="327" t="str">
        <f t="shared" si="252"/>
        <v/>
      </c>
      <c r="R1072" s="327" t="str">
        <f t="shared" si="253"/>
        <v/>
      </c>
      <c r="S1072" s="421" t="str">
        <f t="shared" si="254"/>
        <v/>
      </c>
      <c r="T1072" s="327" t="str">
        <f t="shared" si="255"/>
        <v/>
      </c>
      <c r="U1072" s="327" t="str">
        <f t="shared" si="256"/>
        <v/>
      </c>
      <c r="V1072" s="327" t="str">
        <f t="shared" si="257"/>
        <v/>
      </c>
      <c r="W1072" s="327" t="str">
        <f t="shared" si="258"/>
        <v/>
      </c>
      <c r="X1072" s="327" t="str">
        <f t="shared" si="259"/>
        <v/>
      </c>
      <c r="Y1072" s="327" t="str">
        <f t="shared" si="260"/>
        <v/>
      </c>
      <c r="Z1072" s="428" t="str">
        <f t="shared" si="261"/>
        <v/>
      </c>
    </row>
    <row r="1073" spans="1:26" x14ac:dyDescent="0.35">
      <c r="A1073" s="265"/>
      <c r="B1073" s="266"/>
      <c r="C1073" s="262"/>
      <c r="D1073" s="262"/>
      <c r="E1073" s="262"/>
      <c r="F1073" s="262"/>
      <c r="G1073" s="320"/>
      <c r="H1073" s="262"/>
      <c r="I1073" s="320"/>
      <c r="J1073" s="320"/>
      <c r="K1073" s="262"/>
      <c r="L1073" s="262"/>
      <c r="M1073" s="327" t="str">
        <f t="shared" si="248"/>
        <v/>
      </c>
      <c r="N1073" s="327" t="str">
        <f t="shared" si="249"/>
        <v/>
      </c>
      <c r="O1073" s="327" t="str">
        <f t="shared" si="250"/>
        <v/>
      </c>
      <c r="P1073" s="327" t="str">
        <f t="shared" si="251"/>
        <v/>
      </c>
      <c r="Q1073" s="327" t="str">
        <f t="shared" si="252"/>
        <v/>
      </c>
      <c r="R1073" s="327" t="str">
        <f t="shared" si="253"/>
        <v/>
      </c>
      <c r="S1073" s="421" t="str">
        <f t="shared" si="254"/>
        <v/>
      </c>
      <c r="T1073" s="327" t="str">
        <f t="shared" si="255"/>
        <v/>
      </c>
      <c r="U1073" s="327" t="str">
        <f t="shared" si="256"/>
        <v/>
      </c>
      <c r="V1073" s="327" t="str">
        <f t="shared" si="257"/>
        <v/>
      </c>
      <c r="W1073" s="327" t="str">
        <f t="shared" si="258"/>
        <v/>
      </c>
      <c r="X1073" s="327" t="str">
        <f t="shared" si="259"/>
        <v/>
      </c>
      <c r="Y1073" s="327" t="str">
        <f t="shared" si="260"/>
        <v/>
      </c>
      <c r="Z1073" s="428" t="str">
        <f t="shared" si="261"/>
        <v/>
      </c>
    </row>
    <row r="1074" spans="1:26" x14ac:dyDescent="0.35">
      <c r="A1074" s="265"/>
      <c r="B1074" s="266"/>
      <c r="C1074" s="262"/>
      <c r="D1074" s="262"/>
      <c r="E1074" s="262"/>
      <c r="F1074" s="262"/>
      <c r="G1074" s="320"/>
      <c r="H1074" s="262"/>
      <c r="I1074" s="320"/>
      <c r="J1074" s="320"/>
      <c r="K1074" s="262"/>
      <c r="L1074" s="262"/>
      <c r="M1074" s="327" t="str">
        <f t="shared" si="248"/>
        <v/>
      </c>
      <c r="N1074" s="327" t="str">
        <f t="shared" si="249"/>
        <v/>
      </c>
      <c r="O1074" s="327" t="str">
        <f t="shared" si="250"/>
        <v/>
      </c>
      <c r="P1074" s="327" t="str">
        <f t="shared" si="251"/>
        <v/>
      </c>
      <c r="Q1074" s="327" t="str">
        <f t="shared" si="252"/>
        <v/>
      </c>
      <c r="R1074" s="327" t="str">
        <f t="shared" si="253"/>
        <v/>
      </c>
      <c r="S1074" s="421" t="str">
        <f t="shared" si="254"/>
        <v/>
      </c>
      <c r="T1074" s="327" t="str">
        <f t="shared" si="255"/>
        <v/>
      </c>
      <c r="U1074" s="327" t="str">
        <f t="shared" si="256"/>
        <v/>
      </c>
      <c r="V1074" s="327" t="str">
        <f t="shared" si="257"/>
        <v/>
      </c>
      <c r="W1074" s="327" t="str">
        <f t="shared" si="258"/>
        <v/>
      </c>
      <c r="X1074" s="327" t="str">
        <f t="shared" si="259"/>
        <v/>
      </c>
      <c r="Y1074" s="327" t="str">
        <f t="shared" si="260"/>
        <v/>
      </c>
      <c r="Z1074" s="428" t="str">
        <f t="shared" si="261"/>
        <v/>
      </c>
    </row>
    <row r="1075" spans="1:26" x14ac:dyDescent="0.35">
      <c r="A1075" s="265"/>
      <c r="B1075" s="266"/>
      <c r="C1075" s="262"/>
      <c r="D1075" s="262"/>
      <c r="E1075" s="262"/>
      <c r="F1075" s="262"/>
      <c r="G1075" s="320"/>
      <c r="H1075" s="262"/>
      <c r="I1075" s="320"/>
      <c r="J1075" s="320"/>
      <c r="K1075" s="262"/>
      <c r="L1075" s="262"/>
      <c r="M1075" s="327" t="str">
        <f t="shared" si="248"/>
        <v/>
      </c>
      <c r="N1075" s="327" t="str">
        <f t="shared" si="249"/>
        <v/>
      </c>
      <c r="O1075" s="327" t="str">
        <f t="shared" si="250"/>
        <v/>
      </c>
      <c r="P1075" s="327" t="str">
        <f t="shared" si="251"/>
        <v/>
      </c>
      <c r="Q1075" s="327" t="str">
        <f t="shared" si="252"/>
        <v/>
      </c>
      <c r="R1075" s="327" t="str">
        <f t="shared" si="253"/>
        <v/>
      </c>
      <c r="S1075" s="421" t="str">
        <f t="shared" si="254"/>
        <v/>
      </c>
      <c r="T1075" s="327" t="str">
        <f t="shared" si="255"/>
        <v/>
      </c>
      <c r="U1075" s="327" t="str">
        <f t="shared" si="256"/>
        <v/>
      </c>
      <c r="V1075" s="327" t="str">
        <f t="shared" si="257"/>
        <v/>
      </c>
      <c r="W1075" s="327" t="str">
        <f t="shared" si="258"/>
        <v/>
      </c>
      <c r="X1075" s="327" t="str">
        <f t="shared" si="259"/>
        <v/>
      </c>
      <c r="Y1075" s="327" t="str">
        <f t="shared" si="260"/>
        <v/>
      </c>
      <c r="Z1075" s="428" t="str">
        <f t="shared" si="261"/>
        <v/>
      </c>
    </row>
    <row r="1076" spans="1:26" x14ac:dyDescent="0.35">
      <c r="A1076" s="265"/>
      <c r="B1076" s="266"/>
      <c r="C1076" s="262"/>
      <c r="D1076" s="262"/>
      <c r="E1076" s="262"/>
      <c r="F1076" s="262"/>
      <c r="G1076" s="320"/>
      <c r="H1076" s="262"/>
      <c r="I1076" s="320"/>
      <c r="J1076" s="320"/>
      <c r="K1076" s="262"/>
      <c r="L1076" s="262"/>
      <c r="M1076" s="327" t="str">
        <f t="shared" si="248"/>
        <v/>
      </c>
      <c r="N1076" s="327" t="str">
        <f t="shared" si="249"/>
        <v/>
      </c>
      <c r="O1076" s="327" t="str">
        <f t="shared" si="250"/>
        <v/>
      </c>
      <c r="P1076" s="327" t="str">
        <f t="shared" si="251"/>
        <v/>
      </c>
      <c r="Q1076" s="327" t="str">
        <f t="shared" si="252"/>
        <v/>
      </c>
      <c r="R1076" s="327" t="str">
        <f t="shared" si="253"/>
        <v/>
      </c>
      <c r="S1076" s="421" t="str">
        <f t="shared" si="254"/>
        <v/>
      </c>
      <c r="T1076" s="327" t="str">
        <f t="shared" si="255"/>
        <v/>
      </c>
      <c r="U1076" s="327" t="str">
        <f t="shared" si="256"/>
        <v/>
      </c>
      <c r="V1076" s="327" t="str">
        <f t="shared" si="257"/>
        <v/>
      </c>
      <c r="W1076" s="327" t="str">
        <f t="shared" si="258"/>
        <v/>
      </c>
      <c r="X1076" s="327" t="str">
        <f t="shared" si="259"/>
        <v/>
      </c>
      <c r="Y1076" s="327" t="str">
        <f t="shared" si="260"/>
        <v/>
      </c>
      <c r="Z1076" s="428" t="str">
        <f t="shared" si="261"/>
        <v/>
      </c>
    </row>
    <row r="1077" spans="1:26" x14ac:dyDescent="0.35">
      <c r="A1077" s="265"/>
      <c r="B1077" s="266"/>
      <c r="C1077" s="262"/>
      <c r="D1077" s="262"/>
      <c r="E1077" s="262"/>
      <c r="F1077" s="262"/>
      <c r="G1077" s="320"/>
      <c r="H1077" s="262"/>
      <c r="I1077" s="320"/>
      <c r="J1077" s="320"/>
      <c r="K1077" s="262"/>
      <c r="L1077" s="262"/>
      <c r="M1077" s="327" t="str">
        <f t="shared" si="248"/>
        <v/>
      </c>
      <c r="N1077" s="327" t="str">
        <f t="shared" si="249"/>
        <v/>
      </c>
      <c r="O1077" s="327" t="str">
        <f t="shared" si="250"/>
        <v/>
      </c>
      <c r="P1077" s="327" t="str">
        <f t="shared" si="251"/>
        <v/>
      </c>
      <c r="Q1077" s="327" t="str">
        <f t="shared" si="252"/>
        <v/>
      </c>
      <c r="R1077" s="327" t="str">
        <f t="shared" si="253"/>
        <v/>
      </c>
      <c r="S1077" s="421" t="str">
        <f t="shared" si="254"/>
        <v/>
      </c>
      <c r="T1077" s="327" t="str">
        <f t="shared" si="255"/>
        <v/>
      </c>
      <c r="U1077" s="327" t="str">
        <f t="shared" si="256"/>
        <v/>
      </c>
      <c r="V1077" s="327" t="str">
        <f t="shared" si="257"/>
        <v/>
      </c>
      <c r="W1077" s="327" t="str">
        <f t="shared" si="258"/>
        <v/>
      </c>
      <c r="X1077" s="327" t="str">
        <f t="shared" si="259"/>
        <v/>
      </c>
      <c r="Y1077" s="327" t="str">
        <f t="shared" si="260"/>
        <v/>
      </c>
      <c r="Z1077" s="428" t="str">
        <f t="shared" si="261"/>
        <v/>
      </c>
    </row>
    <row r="1078" spans="1:26" x14ac:dyDescent="0.35">
      <c r="A1078" s="265"/>
      <c r="B1078" s="266"/>
      <c r="C1078" s="262"/>
      <c r="D1078" s="262"/>
      <c r="E1078" s="262"/>
      <c r="F1078" s="262"/>
      <c r="G1078" s="320"/>
      <c r="H1078" s="262"/>
      <c r="I1078" s="320"/>
      <c r="J1078" s="320"/>
      <c r="K1078" s="262"/>
      <c r="L1078" s="262"/>
      <c r="M1078" s="327" t="str">
        <f t="shared" si="248"/>
        <v/>
      </c>
      <c r="N1078" s="327" t="str">
        <f t="shared" si="249"/>
        <v/>
      </c>
      <c r="O1078" s="327" t="str">
        <f t="shared" si="250"/>
        <v/>
      </c>
      <c r="P1078" s="327" t="str">
        <f t="shared" si="251"/>
        <v/>
      </c>
      <c r="Q1078" s="327" t="str">
        <f t="shared" si="252"/>
        <v/>
      </c>
      <c r="R1078" s="327" t="str">
        <f t="shared" si="253"/>
        <v/>
      </c>
      <c r="S1078" s="421" t="str">
        <f t="shared" si="254"/>
        <v/>
      </c>
      <c r="T1078" s="327" t="str">
        <f t="shared" si="255"/>
        <v/>
      </c>
      <c r="U1078" s="327" t="str">
        <f t="shared" si="256"/>
        <v/>
      </c>
      <c r="V1078" s="327" t="str">
        <f t="shared" si="257"/>
        <v/>
      </c>
      <c r="W1078" s="327" t="str">
        <f t="shared" si="258"/>
        <v/>
      </c>
      <c r="X1078" s="327" t="str">
        <f t="shared" si="259"/>
        <v/>
      </c>
      <c r="Y1078" s="327" t="str">
        <f t="shared" si="260"/>
        <v/>
      </c>
      <c r="Z1078" s="428" t="str">
        <f t="shared" si="261"/>
        <v/>
      </c>
    </row>
    <row r="1079" spans="1:26" x14ac:dyDescent="0.35">
      <c r="A1079" s="265"/>
      <c r="B1079" s="266"/>
      <c r="C1079" s="262"/>
      <c r="D1079" s="262"/>
      <c r="E1079" s="262"/>
      <c r="F1079" s="262"/>
      <c r="G1079" s="320"/>
      <c r="H1079" s="262"/>
      <c r="I1079" s="320"/>
      <c r="J1079" s="320"/>
      <c r="K1079" s="262"/>
      <c r="L1079" s="262"/>
      <c r="M1079" s="327" t="str">
        <f t="shared" si="248"/>
        <v/>
      </c>
      <c r="N1079" s="327" t="str">
        <f t="shared" si="249"/>
        <v/>
      </c>
      <c r="O1079" s="327" t="str">
        <f t="shared" si="250"/>
        <v/>
      </c>
      <c r="P1079" s="327" t="str">
        <f t="shared" si="251"/>
        <v/>
      </c>
      <c r="Q1079" s="327" t="str">
        <f t="shared" si="252"/>
        <v/>
      </c>
      <c r="R1079" s="327" t="str">
        <f t="shared" si="253"/>
        <v/>
      </c>
      <c r="S1079" s="421" t="str">
        <f t="shared" si="254"/>
        <v/>
      </c>
      <c r="T1079" s="327" t="str">
        <f t="shared" si="255"/>
        <v/>
      </c>
      <c r="U1079" s="327" t="str">
        <f t="shared" si="256"/>
        <v/>
      </c>
      <c r="V1079" s="327" t="str">
        <f t="shared" si="257"/>
        <v/>
      </c>
      <c r="W1079" s="327" t="str">
        <f t="shared" si="258"/>
        <v/>
      </c>
      <c r="X1079" s="327" t="str">
        <f t="shared" si="259"/>
        <v/>
      </c>
      <c r="Y1079" s="327" t="str">
        <f t="shared" si="260"/>
        <v/>
      </c>
      <c r="Z1079" s="428" t="str">
        <f t="shared" si="261"/>
        <v/>
      </c>
    </row>
    <row r="1080" spans="1:26" x14ac:dyDescent="0.35">
      <c r="A1080" s="265"/>
      <c r="B1080" s="266"/>
      <c r="C1080" s="262"/>
      <c r="D1080" s="262"/>
      <c r="E1080" s="262"/>
      <c r="F1080" s="262"/>
      <c r="G1080" s="320"/>
      <c r="H1080" s="262"/>
      <c r="I1080" s="320"/>
      <c r="J1080" s="320"/>
      <c r="K1080" s="262"/>
      <c r="L1080" s="262"/>
      <c r="M1080" s="327" t="str">
        <f t="shared" si="248"/>
        <v/>
      </c>
      <c r="N1080" s="327" t="str">
        <f t="shared" si="249"/>
        <v/>
      </c>
      <c r="O1080" s="327" t="str">
        <f t="shared" si="250"/>
        <v/>
      </c>
      <c r="P1080" s="327" t="str">
        <f t="shared" si="251"/>
        <v/>
      </c>
      <c r="Q1080" s="327" t="str">
        <f t="shared" si="252"/>
        <v/>
      </c>
      <c r="R1080" s="327" t="str">
        <f t="shared" si="253"/>
        <v/>
      </c>
      <c r="S1080" s="421" t="str">
        <f t="shared" si="254"/>
        <v/>
      </c>
      <c r="T1080" s="327" t="str">
        <f t="shared" si="255"/>
        <v/>
      </c>
      <c r="U1080" s="327" t="str">
        <f t="shared" si="256"/>
        <v/>
      </c>
      <c r="V1080" s="327" t="str">
        <f t="shared" si="257"/>
        <v/>
      </c>
      <c r="W1080" s="327" t="str">
        <f t="shared" si="258"/>
        <v/>
      </c>
      <c r="X1080" s="327" t="str">
        <f t="shared" si="259"/>
        <v/>
      </c>
      <c r="Y1080" s="327" t="str">
        <f t="shared" si="260"/>
        <v/>
      </c>
      <c r="Z1080" s="428" t="str">
        <f t="shared" si="261"/>
        <v/>
      </c>
    </row>
    <row r="1081" spans="1:26" x14ac:dyDescent="0.35">
      <c r="A1081" s="265"/>
      <c r="B1081" s="266"/>
      <c r="C1081" s="262"/>
      <c r="D1081" s="262"/>
      <c r="E1081" s="262"/>
      <c r="F1081" s="262"/>
      <c r="G1081" s="320"/>
      <c r="H1081" s="262"/>
      <c r="I1081" s="320"/>
      <c r="J1081" s="320"/>
      <c r="K1081" s="262"/>
      <c r="L1081" s="262"/>
      <c r="M1081" s="327" t="str">
        <f t="shared" si="248"/>
        <v/>
      </c>
      <c r="N1081" s="327" t="str">
        <f t="shared" si="249"/>
        <v/>
      </c>
      <c r="O1081" s="327" t="str">
        <f t="shared" si="250"/>
        <v/>
      </c>
      <c r="P1081" s="327" t="str">
        <f t="shared" si="251"/>
        <v/>
      </c>
      <c r="Q1081" s="327" t="str">
        <f t="shared" si="252"/>
        <v/>
      </c>
      <c r="R1081" s="327" t="str">
        <f t="shared" si="253"/>
        <v/>
      </c>
      <c r="S1081" s="421" t="str">
        <f t="shared" si="254"/>
        <v/>
      </c>
      <c r="T1081" s="327" t="str">
        <f t="shared" si="255"/>
        <v/>
      </c>
      <c r="U1081" s="327" t="str">
        <f t="shared" si="256"/>
        <v/>
      </c>
      <c r="V1081" s="327" t="str">
        <f t="shared" si="257"/>
        <v/>
      </c>
      <c r="W1081" s="327" t="str">
        <f t="shared" si="258"/>
        <v/>
      </c>
      <c r="X1081" s="327" t="str">
        <f t="shared" si="259"/>
        <v/>
      </c>
      <c r="Y1081" s="327" t="str">
        <f t="shared" si="260"/>
        <v/>
      </c>
      <c r="Z1081" s="428" t="str">
        <f t="shared" si="261"/>
        <v/>
      </c>
    </row>
    <row r="1082" spans="1:26" x14ac:dyDescent="0.35">
      <c r="A1082" s="265"/>
      <c r="B1082" s="266"/>
      <c r="C1082" s="262"/>
      <c r="D1082" s="262"/>
      <c r="E1082" s="262"/>
      <c r="F1082" s="262"/>
      <c r="G1082" s="320"/>
      <c r="H1082" s="262"/>
      <c r="I1082" s="320"/>
      <c r="J1082" s="320"/>
      <c r="K1082" s="262"/>
      <c r="L1082" s="262"/>
      <c r="M1082" s="327" t="str">
        <f t="shared" si="248"/>
        <v/>
      </c>
      <c r="N1082" s="327" t="str">
        <f t="shared" si="249"/>
        <v/>
      </c>
      <c r="O1082" s="327" t="str">
        <f t="shared" si="250"/>
        <v/>
      </c>
      <c r="P1082" s="327" t="str">
        <f t="shared" si="251"/>
        <v/>
      </c>
      <c r="Q1082" s="327" t="str">
        <f t="shared" si="252"/>
        <v/>
      </c>
      <c r="R1082" s="327" t="str">
        <f t="shared" si="253"/>
        <v/>
      </c>
      <c r="S1082" s="421" t="str">
        <f t="shared" si="254"/>
        <v/>
      </c>
      <c r="T1082" s="327" t="str">
        <f t="shared" si="255"/>
        <v/>
      </c>
      <c r="U1082" s="327" t="str">
        <f t="shared" si="256"/>
        <v/>
      </c>
      <c r="V1082" s="327" t="str">
        <f t="shared" si="257"/>
        <v/>
      </c>
      <c r="W1082" s="327" t="str">
        <f t="shared" si="258"/>
        <v/>
      </c>
      <c r="X1082" s="327" t="str">
        <f t="shared" si="259"/>
        <v/>
      </c>
      <c r="Y1082" s="327" t="str">
        <f t="shared" si="260"/>
        <v/>
      </c>
      <c r="Z1082" s="428" t="str">
        <f t="shared" si="261"/>
        <v/>
      </c>
    </row>
    <row r="1083" spans="1:26" x14ac:dyDescent="0.35">
      <c r="A1083" s="265"/>
      <c r="B1083" s="266"/>
      <c r="C1083" s="262"/>
      <c r="D1083" s="262"/>
      <c r="E1083" s="262"/>
      <c r="F1083" s="262"/>
      <c r="G1083" s="320"/>
      <c r="H1083" s="262"/>
      <c r="I1083" s="320"/>
      <c r="J1083" s="320"/>
      <c r="K1083" s="262"/>
      <c r="L1083" s="262"/>
      <c r="M1083" s="327" t="str">
        <f t="shared" si="248"/>
        <v/>
      </c>
      <c r="N1083" s="327" t="str">
        <f t="shared" si="249"/>
        <v/>
      </c>
      <c r="O1083" s="327" t="str">
        <f t="shared" si="250"/>
        <v/>
      </c>
      <c r="P1083" s="327" t="str">
        <f t="shared" si="251"/>
        <v/>
      </c>
      <c r="Q1083" s="327" t="str">
        <f t="shared" si="252"/>
        <v/>
      </c>
      <c r="R1083" s="327" t="str">
        <f t="shared" si="253"/>
        <v/>
      </c>
      <c r="S1083" s="421" t="str">
        <f t="shared" si="254"/>
        <v/>
      </c>
      <c r="T1083" s="327" t="str">
        <f t="shared" si="255"/>
        <v/>
      </c>
      <c r="U1083" s="327" t="str">
        <f t="shared" si="256"/>
        <v/>
      </c>
      <c r="V1083" s="327" t="str">
        <f t="shared" si="257"/>
        <v/>
      </c>
      <c r="W1083" s="327" t="str">
        <f t="shared" si="258"/>
        <v/>
      </c>
      <c r="X1083" s="327" t="str">
        <f t="shared" si="259"/>
        <v/>
      </c>
      <c r="Y1083" s="327" t="str">
        <f t="shared" si="260"/>
        <v/>
      </c>
      <c r="Z1083" s="428" t="str">
        <f t="shared" si="261"/>
        <v/>
      </c>
    </row>
    <row r="1084" spans="1:26" x14ac:dyDescent="0.35">
      <c r="A1084" s="265"/>
      <c r="B1084" s="266"/>
      <c r="C1084" s="262"/>
      <c r="D1084" s="262"/>
      <c r="E1084" s="262"/>
      <c r="F1084" s="262"/>
      <c r="G1084" s="320"/>
      <c r="H1084" s="262"/>
      <c r="I1084" s="320"/>
      <c r="J1084" s="320"/>
      <c r="K1084" s="262"/>
      <c r="L1084" s="262"/>
      <c r="M1084" s="327" t="str">
        <f t="shared" si="248"/>
        <v/>
      </c>
      <c r="N1084" s="327" t="str">
        <f t="shared" si="249"/>
        <v/>
      </c>
      <c r="O1084" s="327" t="str">
        <f t="shared" si="250"/>
        <v/>
      </c>
      <c r="P1084" s="327" t="str">
        <f t="shared" si="251"/>
        <v/>
      </c>
      <c r="Q1084" s="327" t="str">
        <f t="shared" si="252"/>
        <v/>
      </c>
      <c r="R1084" s="327" t="str">
        <f t="shared" si="253"/>
        <v/>
      </c>
      <c r="S1084" s="421" t="str">
        <f t="shared" si="254"/>
        <v/>
      </c>
      <c r="T1084" s="327" t="str">
        <f t="shared" si="255"/>
        <v/>
      </c>
      <c r="U1084" s="327" t="str">
        <f t="shared" si="256"/>
        <v/>
      </c>
      <c r="V1084" s="327" t="str">
        <f t="shared" si="257"/>
        <v/>
      </c>
      <c r="W1084" s="327" t="str">
        <f t="shared" si="258"/>
        <v/>
      </c>
      <c r="X1084" s="327" t="str">
        <f t="shared" si="259"/>
        <v/>
      </c>
      <c r="Y1084" s="327" t="str">
        <f t="shared" si="260"/>
        <v/>
      </c>
      <c r="Z1084" s="428" t="str">
        <f t="shared" si="261"/>
        <v/>
      </c>
    </row>
    <row r="1085" spans="1:26" x14ac:dyDescent="0.35">
      <c r="A1085" s="265"/>
      <c r="B1085" s="266"/>
      <c r="C1085" s="262"/>
      <c r="D1085" s="262"/>
      <c r="E1085" s="262"/>
      <c r="F1085" s="262"/>
      <c r="G1085" s="320"/>
      <c r="H1085" s="262"/>
      <c r="I1085" s="320"/>
      <c r="J1085" s="320"/>
      <c r="K1085" s="262"/>
      <c r="L1085" s="262"/>
      <c r="M1085" s="327" t="str">
        <f t="shared" si="248"/>
        <v/>
      </c>
      <c r="N1085" s="327" t="str">
        <f t="shared" si="249"/>
        <v/>
      </c>
      <c r="O1085" s="327" t="str">
        <f t="shared" si="250"/>
        <v/>
      </c>
      <c r="P1085" s="327" t="str">
        <f t="shared" si="251"/>
        <v/>
      </c>
      <c r="Q1085" s="327" t="str">
        <f t="shared" si="252"/>
        <v/>
      </c>
      <c r="R1085" s="327" t="str">
        <f t="shared" si="253"/>
        <v/>
      </c>
      <c r="S1085" s="421" t="str">
        <f t="shared" si="254"/>
        <v/>
      </c>
      <c r="T1085" s="327" t="str">
        <f t="shared" si="255"/>
        <v/>
      </c>
      <c r="U1085" s="327" t="str">
        <f t="shared" si="256"/>
        <v/>
      </c>
      <c r="V1085" s="327" t="str">
        <f t="shared" si="257"/>
        <v/>
      </c>
      <c r="W1085" s="327" t="str">
        <f t="shared" si="258"/>
        <v/>
      </c>
      <c r="X1085" s="327" t="str">
        <f t="shared" si="259"/>
        <v/>
      </c>
      <c r="Y1085" s="327" t="str">
        <f t="shared" si="260"/>
        <v/>
      </c>
      <c r="Z1085" s="428" t="str">
        <f t="shared" si="261"/>
        <v/>
      </c>
    </row>
    <row r="1086" spans="1:26" x14ac:dyDescent="0.35">
      <c r="A1086" s="265"/>
      <c r="B1086" s="266"/>
      <c r="C1086" s="262"/>
      <c r="D1086" s="262"/>
      <c r="E1086" s="262"/>
      <c r="F1086" s="262"/>
      <c r="G1086" s="320"/>
      <c r="H1086" s="262"/>
      <c r="I1086" s="320"/>
      <c r="J1086" s="320"/>
      <c r="K1086" s="262"/>
      <c r="L1086" s="262"/>
      <c r="M1086" s="327" t="str">
        <f t="shared" si="248"/>
        <v/>
      </c>
      <c r="N1086" s="327" t="str">
        <f t="shared" si="249"/>
        <v/>
      </c>
      <c r="O1086" s="327" t="str">
        <f t="shared" si="250"/>
        <v/>
      </c>
      <c r="P1086" s="327" t="str">
        <f t="shared" si="251"/>
        <v/>
      </c>
      <c r="Q1086" s="327" t="str">
        <f t="shared" si="252"/>
        <v/>
      </c>
      <c r="R1086" s="327" t="str">
        <f t="shared" si="253"/>
        <v/>
      </c>
      <c r="S1086" s="421" t="str">
        <f t="shared" si="254"/>
        <v/>
      </c>
      <c r="T1086" s="327" t="str">
        <f t="shared" si="255"/>
        <v/>
      </c>
      <c r="U1086" s="327" t="str">
        <f t="shared" si="256"/>
        <v/>
      </c>
      <c r="V1086" s="327" t="str">
        <f t="shared" si="257"/>
        <v/>
      </c>
      <c r="W1086" s="327" t="str">
        <f t="shared" si="258"/>
        <v/>
      </c>
      <c r="X1086" s="327" t="str">
        <f t="shared" si="259"/>
        <v/>
      </c>
      <c r="Y1086" s="327" t="str">
        <f t="shared" si="260"/>
        <v/>
      </c>
      <c r="Z1086" s="428" t="str">
        <f t="shared" si="261"/>
        <v/>
      </c>
    </row>
    <row r="1087" spans="1:26" x14ac:dyDescent="0.35">
      <c r="A1087" s="265"/>
      <c r="B1087" s="266"/>
      <c r="C1087" s="262"/>
      <c r="D1087" s="262"/>
      <c r="E1087" s="262"/>
      <c r="F1087" s="262"/>
      <c r="G1087" s="320"/>
      <c r="H1087" s="262"/>
      <c r="I1087" s="320"/>
      <c r="J1087" s="320"/>
      <c r="K1087" s="262"/>
      <c r="L1087" s="262"/>
      <c r="M1087" s="327" t="str">
        <f t="shared" si="248"/>
        <v/>
      </c>
      <c r="N1087" s="327" t="str">
        <f t="shared" si="249"/>
        <v/>
      </c>
      <c r="O1087" s="327" t="str">
        <f t="shared" si="250"/>
        <v/>
      </c>
      <c r="P1087" s="327" t="str">
        <f t="shared" si="251"/>
        <v/>
      </c>
      <c r="Q1087" s="327" t="str">
        <f t="shared" si="252"/>
        <v/>
      </c>
      <c r="R1087" s="327" t="str">
        <f t="shared" si="253"/>
        <v/>
      </c>
      <c r="S1087" s="421" t="str">
        <f t="shared" si="254"/>
        <v/>
      </c>
      <c r="T1087" s="327" t="str">
        <f t="shared" si="255"/>
        <v/>
      </c>
      <c r="U1087" s="327" t="str">
        <f t="shared" si="256"/>
        <v/>
      </c>
      <c r="V1087" s="327" t="str">
        <f t="shared" si="257"/>
        <v/>
      </c>
      <c r="W1087" s="327" t="str">
        <f t="shared" si="258"/>
        <v/>
      </c>
      <c r="X1087" s="327" t="str">
        <f t="shared" si="259"/>
        <v/>
      </c>
      <c r="Y1087" s="327" t="str">
        <f t="shared" si="260"/>
        <v/>
      </c>
      <c r="Z1087" s="428" t="str">
        <f t="shared" si="261"/>
        <v/>
      </c>
    </row>
    <row r="1088" spans="1:26" x14ac:dyDescent="0.35">
      <c r="A1088" s="265"/>
      <c r="B1088" s="266"/>
      <c r="C1088" s="262"/>
      <c r="D1088" s="262"/>
      <c r="E1088" s="262"/>
      <c r="F1088" s="262"/>
      <c r="G1088" s="320"/>
      <c r="H1088" s="262"/>
      <c r="I1088" s="320"/>
      <c r="J1088" s="320"/>
      <c r="K1088" s="262"/>
      <c r="L1088" s="262"/>
      <c r="M1088" s="327" t="str">
        <f t="shared" si="248"/>
        <v/>
      </c>
      <c r="N1088" s="327" t="str">
        <f t="shared" si="249"/>
        <v/>
      </c>
      <c r="O1088" s="327" t="str">
        <f t="shared" si="250"/>
        <v/>
      </c>
      <c r="P1088" s="327" t="str">
        <f t="shared" si="251"/>
        <v/>
      </c>
      <c r="Q1088" s="327" t="str">
        <f t="shared" si="252"/>
        <v/>
      </c>
      <c r="R1088" s="327" t="str">
        <f t="shared" si="253"/>
        <v/>
      </c>
      <c r="S1088" s="421" t="str">
        <f t="shared" si="254"/>
        <v/>
      </c>
      <c r="T1088" s="327" t="str">
        <f t="shared" si="255"/>
        <v/>
      </c>
      <c r="U1088" s="327" t="str">
        <f t="shared" si="256"/>
        <v/>
      </c>
      <c r="V1088" s="327" t="str">
        <f t="shared" si="257"/>
        <v/>
      </c>
      <c r="W1088" s="327" t="str">
        <f t="shared" si="258"/>
        <v/>
      </c>
      <c r="X1088" s="327" t="str">
        <f t="shared" si="259"/>
        <v/>
      </c>
      <c r="Y1088" s="327" t="str">
        <f t="shared" si="260"/>
        <v/>
      </c>
      <c r="Z1088" s="428" t="str">
        <f t="shared" si="261"/>
        <v/>
      </c>
    </row>
    <row r="1089" spans="1:26" x14ac:dyDescent="0.35">
      <c r="A1089" s="265"/>
      <c r="B1089" s="266"/>
      <c r="C1089" s="262"/>
      <c r="D1089" s="262"/>
      <c r="E1089" s="262"/>
      <c r="F1089" s="262"/>
      <c r="G1089" s="320"/>
      <c r="H1089" s="262"/>
      <c r="I1089" s="320"/>
      <c r="J1089" s="320"/>
      <c r="K1089" s="262"/>
      <c r="L1089" s="262"/>
      <c r="M1089" s="327" t="str">
        <f t="shared" si="248"/>
        <v/>
      </c>
      <c r="N1089" s="327" t="str">
        <f t="shared" si="249"/>
        <v/>
      </c>
      <c r="O1089" s="327" t="str">
        <f t="shared" si="250"/>
        <v/>
      </c>
      <c r="P1089" s="327" t="str">
        <f t="shared" si="251"/>
        <v/>
      </c>
      <c r="Q1089" s="327" t="str">
        <f t="shared" si="252"/>
        <v/>
      </c>
      <c r="R1089" s="327" t="str">
        <f t="shared" si="253"/>
        <v/>
      </c>
      <c r="S1089" s="421" t="str">
        <f t="shared" si="254"/>
        <v/>
      </c>
      <c r="T1089" s="327" t="str">
        <f t="shared" si="255"/>
        <v/>
      </c>
      <c r="U1089" s="327" t="str">
        <f t="shared" si="256"/>
        <v/>
      </c>
      <c r="V1089" s="327" t="str">
        <f t="shared" si="257"/>
        <v/>
      </c>
      <c r="W1089" s="327" t="str">
        <f t="shared" si="258"/>
        <v/>
      </c>
      <c r="X1089" s="327" t="str">
        <f t="shared" si="259"/>
        <v/>
      </c>
      <c r="Y1089" s="327" t="str">
        <f t="shared" si="260"/>
        <v/>
      </c>
      <c r="Z1089" s="428" t="str">
        <f t="shared" si="261"/>
        <v/>
      </c>
    </row>
    <row r="1090" spans="1:26" x14ac:dyDescent="0.35">
      <c r="A1090" s="265"/>
      <c r="B1090" s="266"/>
      <c r="C1090" s="262"/>
      <c r="D1090" s="262"/>
      <c r="E1090" s="262"/>
      <c r="F1090" s="262"/>
      <c r="G1090" s="320"/>
      <c r="H1090" s="262"/>
      <c r="I1090" s="320"/>
      <c r="J1090" s="320"/>
      <c r="K1090" s="262"/>
      <c r="L1090" s="262"/>
      <c r="M1090" s="327" t="str">
        <f t="shared" si="248"/>
        <v/>
      </c>
      <c r="N1090" s="327" t="str">
        <f t="shared" si="249"/>
        <v/>
      </c>
      <c r="O1090" s="327" t="str">
        <f t="shared" si="250"/>
        <v/>
      </c>
      <c r="P1090" s="327" t="str">
        <f t="shared" si="251"/>
        <v/>
      </c>
      <c r="Q1090" s="327" t="str">
        <f t="shared" si="252"/>
        <v/>
      </c>
      <c r="R1090" s="327" t="str">
        <f t="shared" si="253"/>
        <v/>
      </c>
      <c r="S1090" s="421" t="str">
        <f t="shared" si="254"/>
        <v/>
      </c>
      <c r="T1090" s="327" t="str">
        <f t="shared" si="255"/>
        <v/>
      </c>
      <c r="U1090" s="327" t="str">
        <f t="shared" si="256"/>
        <v/>
      </c>
      <c r="V1090" s="327" t="str">
        <f t="shared" si="257"/>
        <v/>
      </c>
      <c r="W1090" s="327" t="str">
        <f t="shared" si="258"/>
        <v/>
      </c>
      <c r="X1090" s="327" t="str">
        <f t="shared" si="259"/>
        <v/>
      </c>
      <c r="Y1090" s="327" t="str">
        <f t="shared" si="260"/>
        <v/>
      </c>
      <c r="Z1090" s="428" t="str">
        <f t="shared" si="261"/>
        <v/>
      </c>
    </row>
    <row r="1091" spans="1:26" x14ac:dyDescent="0.35">
      <c r="A1091" s="265"/>
      <c r="B1091" s="266"/>
      <c r="C1091" s="262"/>
      <c r="D1091" s="262"/>
      <c r="E1091" s="262"/>
      <c r="F1091" s="262"/>
      <c r="G1091" s="320"/>
      <c r="H1091" s="262"/>
      <c r="I1091" s="320"/>
      <c r="J1091" s="320"/>
      <c r="K1091" s="262"/>
      <c r="L1091" s="262"/>
      <c r="M1091" s="327" t="str">
        <f t="shared" si="248"/>
        <v/>
      </c>
      <c r="N1091" s="327" t="str">
        <f t="shared" si="249"/>
        <v/>
      </c>
      <c r="O1091" s="327" t="str">
        <f t="shared" si="250"/>
        <v/>
      </c>
      <c r="P1091" s="327" t="str">
        <f t="shared" si="251"/>
        <v/>
      </c>
      <c r="Q1091" s="327" t="str">
        <f t="shared" si="252"/>
        <v/>
      </c>
      <c r="R1091" s="327" t="str">
        <f t="shared" si="253"/>
        <v/>
      </c>
      <c r="S1091" s="421" t="str">
        <f t="shared" si="254"/>
        <v/>
      </c>
      <c r="T1091" s="327" t="str">
        <f t="shared" si="255"/>
        <v/>
      </c>
      <c r="U1091" s="327" t="str">
        <f t="shared" si="256"/>
        <v/>
      </c>
      <c r="V1091" s="327" t="str">
        <f t="shared" si="257"/>
        <v/>
      </c>
      <c r="W1091" s="327" t="str">
        <f t="shared" si="258"/>
        <v/>
      </c>
      <c r="X1091" s="327" t="str">
        <f t="shared" si="259"/>
        <v/>
      </c>
      <c r="Y1091" s="327" t="str">
        <f t="shared" si="260"/>
        <v/>
      </c>
      <c r="Z1091" s="428" t="str">
        <f t="shared" si="261"/>
        <v/>
      </c>
    </row>
    <row r="1092" spans="1:26" x14ac:dyDescent="0.35">
      <c r="A1092" s="265"/>
      <c r="B1092" s="266"/>
      <c r="C1092" s="262"/>
      <c r="D1092" s="262"/>
      <c r="E1092" s="262"/>
      <c r="F1092" s="262"/>
      <c r="G1092" s="320"/>
      <c r="H1092" s="262"/>
      <c r="I1092" s="320"/>
      <c r="J1092" s="320"/>
      <c r="K1092" s="262"/>
      <c r="L1092" s="262"/>
      <c r="M1092" s="327" t="str">
        <f t="shared" si="248"/>
        <v/>
      </c>
      <c r="N1092" s="327" t="str">
        <f t="shared" si="249"/>
        <v/>
      </c>
      <c r="O1092" s="327" t="str">
        <f t="shared" si="250"/>
        <v/>
      </c>
      <c r="P1092" s="327" t="str">
        <f t="shared" si="251"/>
        <v/>
      </c>
      <c r="Q1092" s="327" t="str">
        <f t="shared" si="252"/>
        <v/>
      </c>
      <c r="R1092" s="327" t="str">
        <f t="shared" si="253"/>
        <v/>
      </c>
      <c r="S1092" s="421" t="str">
        <f t="shared" si="254"/>
        <v/>
      </c>
      <c r="T1092" s="327" t="str">
        <f t="shared" si="255"/>
        <v/>
      </c>
      <c r="U1092" s="327" t="str">
        <f t="shared" si="256"/>
        <v/>
      </c>
      <c r="V1092" s="327" t="str">
        <f t="shared" si="257"/>
        <v/>
      </c>
      <c r="W1092" s="327" t="str">
        <f t="shared" si="258"/>
        <v/>
      </c>
      <c r="X1092" s="327" t="str">
        <f t="shared" si="259"/>
        <v/>
      </c>
      <c r="Y1092" s="327" t="str">
        <f t="shared" si="260"/>
        <v/>
      </c>
      <c r="Z1092" s="428" t="str">
        <f t="shared" si="261"/>
        <v/>
      </c>
    </row>
    <row r="1093" spans="1:26" x14ac:dyDescent="0.35">
      <c r="A1093" s="265"/>
      <c r="B1093" s="266"/>
      <c r="C1093" s="262"/>
      <c r="D1093" s="262"/>
      <c r="E1093" s="262"/>
      <c r="F1093" s="262"/>
      <c r="G1093" s="320"/>
      <c r="H1093" s="262"/>
      <c r="I1093" s="320"/>
      <c r="J1093" s="320"/>
      <c r="K1093" s="262"/>
      <c r="L1093" s="262"/>
      <c r="M1093" s="327" t="str">
        <f t="shared" si="248"/>
        <v/>
      </c>
      <c r="N1093" s="327" t="str">
        <f t="shared" si="249"/>
        <v/>
      </c>
      <c r="O1093" s="327" t="str">
        <f t="shared" si="250"/>
        <v/>
      </c>
      <c r="P1093" s="327" t="str">
        <f t="shared" si="251"/>
        <v/>
      </c>
      <c r="Q1093" s="327" t="str">
        <f t="shared" si="252"/>
        <v/>
      </c>
      <c r="R1093" s="327" t="str">
        <f t="shared" si="253"/>
        <v/>
      </c>
      <c r="S1093" s="421" t="str">
        <f t="shared" si="254"/>
        <v/>
      </c>
      <c r="T1093" s="327" t="str">
        <f t="shared" si="255"/>
        <v/>
      </c>
      <c r="U1093" s="327" t="str">
        <f t="shared" si="256"/>
        <v/>
      </c>
      <c r="V1093" s="327" t="str">
        <f t="shared" si="257"/>
        <v/>
      </c>
      <c r="W1093" s="327" t="str">
        <f t="shared" si="258"/>
        <v/>
      </c>
      <c r="X1093" s="327" t="str">
        <f t="shared" si="259"/>
        <v/>
      </c>
      <c r="Y1093" s="327" t="str">
        <f t="shared" si="260"/>
        <v/>
      </c>
      <c r="Z1093" s="428" t="str">
        <f t="shared" si="261"/>
        <v/>
      </c>
    </row>
    <row r="1094" spans="1:26" x14ac:dyDescent="0.35">
      <c r="A1094" s="265"/>
      <c r="B1094" s="266"/>
      <c r="C1094" s="262"/>
      <c r="D1094" s="262"/>
      <c r="E1094" s="262"/>
      <c r="F1094" s="262"/>
      <c r="G1094" s="320"/>
      <c r="H1094" s="262"/>
      <c r="I1094" s="320"/>
      <c r="J1094" s="320"/>
      <c r="K1094" s="262"/>
      <c r="L1094" s="262"/>
      <c r="M1094" s="327" t="str">
        <f t="shared" si="248"/>
        <v/>
      </c>
      <c r="N1094" s="327" t="str">
        <f t="shared" si="249"/>
        <v/>
      </c>
      <c r="O1094" s="327" t="str">
        <f t="shared" si="250"/>
        <v/>
      </c>
      <c r="P1094" s="327" t="str">
        <f t="shared" si="251"/>
        <v/>
      </c>
      <c r="Q1094" s="327" t="str">
        <f t="shared" si="252"/>
        <v/>
      </c>
      <c r="R1094" s="327" t="str">
        <f t="shared" si="253"/>
        <v/>
      </c>
      <c r="S1094" s="421" t="str">
        <f t="shared" si="254"/>
        <v/>
      </c>
      <c r="T1094" s="327" t="str">
        <f t="shared" si="255"/>
        <v/>
      </c>
      <c r="U1094" s="327" t="str">
        <f t="shared" si="256"/>
        <v/>
      </c>
      <c r="V1094" s="327" t="str">
        <f t="shared" si="257"/>
        <v/>
      </c>
      <c r="W1094" s="327" t="str">
        <f t="shared" si="258"/>
        <v/>
      </c>
      <c r="X1094" s="327" t="str">
        <f t="shared" si="259"/>
        <v/>
      </c>
      <c r="Y1094" s="327" t="str">
        <f t="shared" si="260"/>
        <v/>
      </c>
      <c r="Z1094" s="428" t="str">
        <f t="shared" si="261"/>
        <v/>
      </c>
    </row>
    <row r="1095" spans="1:26" x14ac:dyDescent="0.35">
      <c r="A1095" s="265"/>
      <c r="B1095" s="266"/>
      <c r="C1095" s="262"/>
      <c r="D1095" s="262"/>
      <c r="E1095" s="262"/>
      <c r="F1095" s="262"/>
      <c r="G1095" s="320"/>
      <c r="H1095" s="262"/>
      <c r="I1095" s="320"/>
      <c r="J1095" s="320"/>
      <c r="K1095" s="262"/>
      <c r="L1095" s="262"/>
      <c r="M1095" s="327" t="str">
        <f t="shared" si="248"/>
        <v/>
      </c>
      <c r="N1095" s="327" t="str">
        <f t="shared" si="249"/>
        <v/>
      </c>
      <c r="O1095" s="327" t="str">
        <f t="shared" si="250"/>
        <v/>
      </c>
      <c r="P1095" s="327" t="str">
        <f t="shared" si="251"/>
        <v/>
      </c>
      <c r="Q1095" s="327" t="str">
        <f t="shared" si="252"/>
        <v/>
      </c>
      <c r="R1095" s="327" t="str">
        <f t="shared" si="253"/>
        <v/>
      </c>
      <c r="S1095" s="421" t="str">
        <f t="shared" si="254"/>
        <v/>
      </c>
      <c r="T1095" s="327" t="str">
        <f t="shared" si="255"/>
        <v/>
      </c>
      <c r="U1095" s="327" t="str">
        <f t="shared" si="256"/>
        <v/>
      </c>
      <c r="V1095" s="327" t="str">
        <f t="shared" si="257"/>
        <v/>
      </c>
      <c r="W1095" s="327" t="str">
        <f t="shared" si="258"/>
        <v/>
      </c>
      <c r="X1095" s="327" t="str">
        <f t="shared" si="259"/>
        <v/>
      </c>
      <c r="Y1095" s="327" t="str">
        <f t="shared" si="260"/>
        <v/>
      </c>
      <c r="Z1095" s="428" t="str">
        <f t="shared" si="261"/>
        <v/>
      </c>
    </row>
    <row r="1096" spans="1:26" x14ac:dyDescent="0.35">
      <c r="A1096" s="265"/>
      <c r="B1096" s="266"/>
      <c r="C1096" s="262"/>
      <c r="D1096" s="262"/>
      <c r="E1096" s="262"/>
      <c r="F1096" s="262"/>
      <c r="G1096" s="320"/>
      <c r="H1096" s="262"/>
      <c r="I1096" s="320"/>
      <c r="J1096" s="320"/>
      <c r="K1096" s="262"/>
      <c r="L1096" s="262"/>
      <c r="M1096" s="327" t="str">
        <f t="shared" si="248"/>
        <v/>
      </c>
      <c r="N1096" s="327" t="str">
        <f t="shared" si="249"/>
        <v/>
      </c>
      <c r="O1096" s="327" t="str">
        <f t="shared" si="250"/>
        <v/>
      </c>
      <c r="P1096" s="327" t="str">
        <f t="shared" si="251"/>
        <v/>
      </c>
      <c r="Q1096" s="327" t="str">
        <f t="shared" si="252"/>
        <v/>
      </c>
      <c r="R1096" s="327" t="str">
        <f t="shared" si="253"/>
        <v/>
      </c>
      <c r="S1096" s="421" t="str">
        <f t="shared" si="254"/>
        <v/>
      </c>
      <c r="T1096" s="327" t="str">
        <f t="shared" si="255"/>
        <v/>
      </c>
      <c r="U1096" s="327" t="str">
        <f t="shared" si="256"/>
        <v/>
      </c>
      <c r="V1096" s="327" t="str">
        <f t="shared" si="257"/>
        <v/>
      </c>
      <c r="W1096" s="327" t="str">
        <f t="shared" si="258"/>
        <v/>
      </c>
      <c r="X1096" s="327" t="str">
        <f t="shared" si="259"/>
        <v/>
      </c>
      <c r="Y1096" s="327" t="str">
        <f t="shared" si="260"/>
        <v/>
      </c>
      <c r="Z1096" s="428" t="str">
        <f t="shared" si="261"/>
        <v/>
      </c>
    </row>
    <row r="1097" spans="1:26" x14ac:dyDescent="0.35">
      <c r="A1097" s="265"/>
      <c r="B1097" s="266"/>
      <c r="C1097" s="262"/>
      <c r="D1097" s="262"/>
      <c r="E1097" s="262"/>
      <c r="F1097" s="262"/>
      <c r="G1097" s="320"/>
      <c r="H1097" s="262"/>
      <c r="I1097" s="320"/>
      <c r="J1097" s="320"/>
      <c r="K1097" s="262"/>
      <c r="L1097" s="262"/>
      <c r="M1097" s="327" t="str">
        <f t="shared" si="248"/>
        <v/>
      </c>
      <c r="N1097" s="327" t="str">
        <f t="shared" si="249"/>
        <v/>
      </c>
      <c r="O1097" s="327" t="str">
        <f t="shared" si="250"/>
        <v/>
      </c>
      <c r="P1097" s="327" t="str">
        <f t="shared" si="251"/>
        <v/>
      </c>
      <c r="Q1097" s="327" t="str">
        <f t="shared" si="252"/>
        <v/>
      </c>
      <c r="R1097" s="327" t="str">
        <f t="shared" si="253"/>
        <v/>
      </c>
      <c r="S1097" s="421" t="str">
        <f t="shared" si="254"/>
        <v/>
      </c>
      <c r="T1097" s="327" t="str">
        <f t="shared" si="255"/>
        <v/>
      </c>
      <c r="U1097" s="327" t="str">
        <f t="shared" si="256"/>
        <v/>
      </c>
      <c r="V1097" s="327" t="str">
        <f t="shared" si="257"/>
        <v/>
      </c>
      <c r="W1097" s="327" t="str">
        <f t="shared" si="258"/>
        <v/>
      </c>
      <c r="X1097" s="327" t="str">
        <f t="shared" si="259"/>
        <v/>
      </c>
      <c r="Y1097" s="327" t="str">
        <f t="shared" si="260"/>
        <v/>
      </c>
      <c r="Z1097" s="428" t="str">
        <f t="shared" si="261"/>
        <v/>
      </c>
    </row>
    <row r="1098" spans="1:26" x14ac:dyDescent="0.35">
      <c r="A1098" s="265"/>
      <c r="B1098" s="266"/>
      <c r="C1098" s="262"/>
      <c r="D1098" s="262"/>
      <c r="E1098" s="262"/>
      <c r="F1098" s="262"/>
      <c r="G1098" s="320"/>
      <c r="H1098" s="262"/>
      <c r="I1098" s="320"/>
      <c r="J1098" s="320"/>
      <c r="K1098" s="262"/>
      <c r="L1098" s="262"/>
      <c r="M1098" s="327" t="str">
        <f t="shared" si="248"/>
        <v/>
      </c>
      <c r="N1098" s="327" t="str">
        <f t="shared" si="249"/>
        <v/>
      </c>
      <c r="O1098" s="327" t="str">
        <f t="shared" si="250"/>
        <v/>
      </c>
      <c r="P1098" s="327" t="str">
        <f t="shared" si="251"/>
        <v/>
      </c>
      <c r="Q1098" s="327" t="str">
        <f t="shared" si="252"/>
        <v/>
      </c>
      <c r="R1098" s="327" t="str">
        <f t="shared" si="253"/>
        <v/>
      </c>
      <c r="S1098" s="421" t="str">
        <f t="shared" si="254"/>
        <v/>
      </c>
      <c r="T1098" s="327" t="str">
        <f t="shared" si="255"/>
        <v/>
      </c>
      <c r="U1098" s="327" t="str">
        <f t="shared" si="256"/>
        <v/>
      </c>
      <c r="V1098" s="327" t="str">
        <f t="shared" si="257"/>
        <v/>
      </c>
      <c r="W1098" s="327" t="str">
        <f t="shared" si="258"/>
        <v/>
      </c>
      <c r="X1098" s="327" t="str">
        <f t="shared" si="259"/>
        <v/>
      </c>
      <c r="Y1098" s="327" t="str">
        <f t="shared" si="260"/>
        <v/>
      </c>
      <c r="Z1098" s="428" t="str">
        <f t="shared" si="261"/>
        <v/>
      </c>
    </row>
    <row r="1099" spans="1:26" x14ac:dyDescent="0.35">
      <c r="A1099" s="265"/>
      <c r="B1099" s="266"/>
      <c r="C1099" s="262"/>
      <c r="D1099" s="262"/>
      <c r="E1099" s="262"/>
      <c r="F1099" s="262"/>
      <c r="G1099" s="320"/>
      <c r="H1099" s="262"/>
      <c r="I1099" s="320"/>
      <c r="J1099" s="320"/>
      <c r="K1099" s="262"/>
      <c r="L1099" s="262"/>
      <c r="M1099" s="327" t="str">
        <f t="shared" si="248"/>
        <v/>
      </c>
      <c r="N1099" s="327" t="str">
        <f t="shared" si="249"/>
        <v/>
      </c>
      <c r="O1099" s="327" t="str">
        <f t="shared" si="250"/>
        <v/>
      </c>
      <c r="P1099" s="327" t="str">
        <f t="shared" si="251"/>
        <v/>
      </c>
      <c r="Q1099" s="327" t="str">
        <f t="shared" si="252"/>
        <v/>
      </c>
      <c r="R1099" s="327" t="str">
        <f t="shared" si="253"/>
        <v/>
      </c>
      <c r="S1099" s="421" t="str">
        <f t="shared" si="254"/>
        <v/>
      </c>
      <c r="T1099" s="327" t="str">
        <f t="shared" si="255"/>
        <v/>
      </c>
      <c r="U1099" s="327" t="str">
        <f t="shared" si="256"/>
        <v/>
      </c>
      <c r="V1099" s="327" t="str">
        <f t="shared" si="257"/>
        <v/>
      </c>
      <c r="W1099" s="327" t="str">
        <f t="shared" si="258"/>
        <v/>
      </c>
      <c r="X1099" s="327" t="str">
        <f t="shared" si="259"/>
        <v/>
      </c>
      <c r="Y1099" s="327" t="str">
        <f t="shared" si="260"/>
        <v/>
      </c>
      <c r="Z1099" s="428" t="str">
        <f t="shared" si="261"/>
        <v/>
      </c>
    </row>
    <row r="1100" spans="1:26" x14ac:dyDescent="0.35">
      <c r="A1100" s="265"/>
      <c r="B1100" s="266"/>
      <c r="C1100" s="262"/>
      <c r="D1100" s="262"/>
      <c r="E1100" s="262"/>
      <c r="F1100" s="262"/>
      <c r="G1100" s="320"/>
      <c r="H1100" s="262"/>
      <c r="I1100" s="320"/>
      <c r="J1100" s="320"/>
      <c r="K1100" s="262"/>
      <c r="L1100" s="262"/>
      <c r="M1100" s="327" t="str">
        <f t="shared" si="248"/>
        <v/>
      </c>
      <c r="N1100" s="327" t="str">
        <f t="shared" si="249"/>
        <v/>
      </c>
      <c r="O1100" s="327" t="str">
        <f t="shared" si="250"/>
        <v/>
      </c>
      <c r="P1100" s="327" t="str">
        <f t="shared" si="251"/>
        <v/>
      </c>
      <c r="Q1100" s="327" t="str">
        <f t="shared" si="252"/>
        <v/>
      </c>
      <c r="R1100" s="327" t="str">
        <f t="shared" si="253"/>
        <v/>
      </c>
      <c r="S1100" s="421" t="str">
        <f t="shared" si="254"/>
        <v/>
      </c>
      <c r="T1100" s="327" t="str">
        <f t="shared" si="255"/>
        <v/>
      </c>
      <c r="U1100" s="327" t="str">
        <f t="shared" si="256"/>
        <v/>
      </c>
      <c r="V1100" s="327" t="str">
        <f t="shared" si="257"/>
        <v/>
      </c>
      <c r="W1100" s="327" t="str">
        <f t="shared" si="258"/>
        <v/>
      </c>
      <c r="X1100" s="327" t="str">
        <f t="shared" si="259"/>
        <v/>
      </c>
      <c r="Y1100" s="327" t="str">
        <f t="shared" si="260"/>
        <v/>
      </c>
      <c r="Z1100" s="428" t="str">
        <f t="shared" si="261"/>
        <v/>
      </c>
    </row>
    <row r="1101" spans="1:26" x14ac:dyDescent="0.35">
      <c r="A1101" s="265"/>
      <c r="B1101" s="266"/>
      <c r="C1101" s="262"/>
      <c r="D1101" s="262"/>
      <c r="E1101" s="262"/>
      <c r="F1101" s="262"/>
      <c r="G1101" s="320"/>
      <c r="H1101" s="262"/>
      <c r="I1101" s="320"/>
      <c r="J1101" s="320"/>
      <c r="K1101" s="262"/>
      <c r="L1101" s="262"/>
      <c r="M1101" s="327" t="str">
        <f t="shared" si="248"/>
        <v/>
      </c>
      <c r="N1101" s="327" t="str">
        <f t="shared" si="249"/>
        <v/>
      </c>
      <c r="O1101" s="327" t="str">
        <f t="shared" si="250"/>
        <v/>
      </c>
      <c r="P1101" s="327" t="str">
        <f t="shared" si="251"/>
        <v/>
      </c>
      <c r="Q1101" s="327" t="str">
        <f t="shared" si="252"/>
        <v/>
      </c>
      <c r="R1101" s="327" t="str">
        <f t="shared" si="253"/>
        <v/>
      </c>
      <c r="S1101" s="421" t="str">
        <f t="shared" si="254"/>
        <v/>
      </c>
      <c r="T1101" s="327" t="str">
        <f t="shared" si="255"/>
        <v/>
      </c>
      <c r="U1101" s="327" t="str">
        <f t="shared" si="256"/>
        <v/>
      </c>
      <c r="V1101" s="327" t="str">
        <f t="shared" si="257"/>
        <v/>
      </c>
      <c r="W1101" s="327" t="str">
        <f t="shared" si="258"/>
        <v/>
      </c>
      <c r="X1101" s="327" t="str">
        <f t="shared" si="259"/>
        <v/>
      </c>
      <c r="Y1101" s="327" t="str">
        <f t="shared" si="260"/>
        <v/>
      </c>
      <c r="Z1101" s="428" t="str">
        <f t="shared" si="261"/>
        <v/>
      </c>
    </row>
    <row r="1102" spans="1:26" x14ac:dyDescent="0.35">
      <c r="A1102" s="265"/>
      <c r="B1102" s="266"/>
      <c r="C1102" s="262"/>
      <c r="D1102" s="262"/>
      <c r="E1102" s="262"/>
      <c r="F1102" s="262"/>
      <c r="G1102" s="320"/>
      <c r="H1102" s="262"/>
      <c r="I1102" s="320"/>
      <c r="J1102" s="320"/>
      <c r="K1102" s="262"/>
      <c r="L1102" s="262"/>
      <c r="M1102" s="327" t="str">
        <f t="shared" si="248"/>
        <v/>
      </c>
      <c r="N1102" s="327" t="str">
        <f t="shared" si="249"/>
        <v/>
      </c>
      <c r="O1102" s="327" t="str">
        <f t="shared" si="250"/>
        <v/>
      </c>
      <c r="P1102" s="327" t="str">
        <f t="shared" si="251"/>
        <v/>
      </c>
      <c r="Q1102" s="327" t="str">
        <f t="shared" si="252"/>
        <v/>
      </c>
      <c r="R1102" s="327" t="str">
        <f t="shared" si="253"/>
        <v/>
      </c>
      <c r="S1102" s="421" t="str">
        <f t="shared" si="254"/>
        <v/>
      </c>
      <c r="T1102" s="327" t="str">
        <f t="shared" si="255"/>
        <v/>
      </c>
      <c r="U1102" s="327" t="str">
        <f t="shared" si="256"/>
        <v/>
      </c>
      <c r="V1102" s="327" t="str">
        <f t="shared" si="257"/>
        <v/>
      </c>
      <c r="W1102" s="327" t="str">
        <f t="shared" si="258"/>
        <v/>
      </c>
      <c r="X1102" s="327" t="str">
        <f t="shared" si="259"/>
        <v/>
      </c>
      <c r="Y1102" s="327" t="str">
        <f t="shared" si="260"/>
        <v/>
      </c>
      <c r="Z1102" s="428" t="str">
        <f t="shared" si="261"/>
        <v/>
      </c>
    </row>
    <row r="1103" spans="1:26" x14ac:dyDescent="0.35">
      <c r="A1103" s="265"/>
      <c r="B1103" s="266"/>
      <c r="C1103" s="262"/>
      <c r="D1103" s="262"/>
      <c r="E1103" s="262"/>
      <c r="F1103" s="262"/>
      <c r="G1103" s="320"/>
      <c r="H1103" s="262"/>
      <c r="I1103" s="320"/>
      <c r="J1103" s="320"/>
      <c r="K1103" s="262"/>
      <c r="L1103" s="262"/>
      <c r="M1103" s="327" t="str">
        <f t="shared" si="248"/>
        <v/>
      </c>
      <c r="N1103" s="327" t="str">
        <f t="shared" si="249"/>
        <v/>
      </c>
      <c r="O1103" s="327" t="str">
        <f t="shared" si="250"/>
        <v/>
      </c>
      <c r="P1103" s="327" t="str">
        <f t="shared" si="251"/>
        <v/>
      </c>
      <c r="Q1103" s="327" t="str">
        <f t="shared" si="252"/>
        <v/>
      </c>
      <c r="R1103" s="327" t="str">
        <f t="shared" si="253"/>
        <v/>
      </c>
      <c r="S1103" s="421" t="str">
        <f t="shared" si="254"/>
        <v/>
      </c>
      <c r="T1103" s="327" t="str">
        <f t="shared" si="255"/>
        <v/>
      </c>
      <c r="U1103" s="327" t="str">
        <f t="shared" si="256"/>
        <v/>
      </c>
      <c r="V1103" s="327" t="str">
        <f t="shared" si="257"/>
        <v/>
      </c>
      <c r="W1103" s="327" t="str">
        <f t="shared" si="258"/>
        <v/>
      </c>
      <c r="X1103" s="327" t="str">
        <f t="shared" si="259"/>
        <v/>
      </c>
      <c r="Y1103" s="327" t="str">
        <f t="shared" si="260"/>
        <v/>
      </c>
      <c r="Z1103" s="428" t="str">
        <f t="shared" si="261"/>
        <v/>
      </c>
    </row>
    <row r="1104" spans="1:26" x14ac:dyDescent="0.35">
      <c r="A1104" s="265"/>
      <c r="B1104" s="266"/>
      <c r="C1104" s="262"/>
      <c r="D1104" s="262"/>
      <c r="E1104" s="262"/>
      <c r="F1104" s="262"/>
      <c r="G1104" s="320"/>
      <c r="H1104" s="262"/>
      <c r="I1104" s="320"/>
      <c r="J1104" s="320"/>
      <c r="K1104" s="262"/>
      <c r="L1104" s="262"/>
      <c r="M1104" s="327" t="str">
        <f t="shared" si="248"/>
        <v/>
      </c>
      <c r="N1104" s="327" t="str">
        <f t="shared" si="249"/>
        <v/>
      </c>
      <c r="O1104" s="327" t="str">
        <f t="shared" si="250"/>
        <v/>
      </c>
      <c r="P1104" s="327" t="str">
        <f t="shared" si="251"/>
        <v/>
      </c>
      <c r="Q1104" s="327" t="str">
        <f t="shared" si="252"/>
        <v/>
      </c>
      <c r="R1104" s="327" t="str">
        <f t="shared" si="253"/>
        <v/>
      </c>
      <c r="S1104" s="421" t="str">
        <f t="shared" si="254"/>
        <v/>
      </c>
      <c r="T1104" s="327" t="str">
        <f t="shared" si="255"/>
        <v/>
      </c>
      <c r="U1104" s="327" t="str">
        <f t="shared" si="256"/>
        <v/>
      </c>
      <c r="V1104" s="327" t="str">
        <f t="shared" si="257"/>
        <v/>
      </c>
      <c r="W1104" s="327" t="str">
        <f t="shared" si="258"/>
        <v/>
      </c>
      <c r="X1104" s="327" t="str">
        <f t="shared" si="259"/>
        <v/>
      </c>
      <c r="Y1104" s="327" t="str">
        <f t="shared" si="260"/>
        <v/>
      </c>
      <c r="Z1104" s="428" t="str">
        <f t="shared" si="261"/>
        <v/>
      </c>
    </row>
    <row r="1105" spans="1:26" x14ac:dyDescent="0.35">
      <c r="A1105" s="265"/>
      <c r="B1105" s="266"/>
      <c r="C1105" s="262"/>
      <c r="D1105" s="262"/>
      <c r="E1105" s="262"/>
      <c r="F1105" s="262"/>
      <c r="G1105" s="320"/>
      <c r="H1105" s="262"/>
      <c r="I1105" s="320"/>
      <c r="J1105" s="320"/>
      <c r="K1105" s="262"/>
      <c r="L1105" s="262"/>
      <c r="M1105" s="327" t="str">
        <f t="shared" si="248"/>
        <v/>
      </c>
      <c r="N1105" s="327" t="str">
        <f t="shared" si="249"/>
        <v/>
      </c>
      <c r="O1105" s="327" t="str">
        <f t="shared" si="250"/>
        <v/>
      </c>
      <c r="P1105" s="327" t="str">
        <f t="shared" si="251"/>
        <v/>
      </c>
      <c r="Q1105" s="327" t="str">
        <f t="shared" si="252"/>
        <v/>
      </c>
      <c r="R1105" s="327" t="str">
        <f t="shared" si="253"/>
        <v/>
      </c>
      <c r="S1105" s="421" t="str">
        <f t="shared" si="254"/>
        <v/>
      </c>
      <c r="T1105" s="327" t="str">
        <f t="shared" si="255"/>
        <v/>
      </c>
      <c r="U1105" s="327" t="str">
        <f t="shared" si="256"/>
        <v/>
      </c>
      <c r="V1105" s="327" t="str">
        <f t="shared" si="257"/>
        <v/>
      </c>
      <c r="W1105" s="327" t="str">
        <f t="shared" si="258"/>
        <v/>
      </c>
      <c r="X1105" s="327" t="str">
        <f t="shared" si="259"/>
        <v/>
      </c>
      <c r="Y1105" s="327" t="str">
        <f t="shared" si="260"/>
        <v/>
      </c>
      <c r="Z1105" s="428" t="str">
        <f t="shared" si="261"/>
        <v/>
      </c>
    </row>
    <row r="1106" spans="1:26" x14ac:dyDescent="0.35">
      <c r="A1106" s="265"/>
      <c r="B1106" s="266"/>
      <c r="C1106" s="262"/>
      <c r="D1106" s="262"/>
      <c r="E1106" s="262"/>
      <c r="F1106" s="262"/>
      <c r="G1106" s="320"/>
      <c r="H1106" s="262"/>
      <c r="I1106" s="320"/>
      <c r="J1106" s="320"/>
      <c r="K1106" s="262"/>
      <c r="L1106" s="262"/>
      <c r="M1106" s="327" t="str">
        <f t="shared" si="248"/>
        <v/>
      </c>
      <c r="N1106" s="327" t="str">
        <f t="shared" si="249"/>
        <v/>
      </c>
      <c r="O1106" s="327" t="str">
        <f t="shared" si="250"/>
        <v/>
      </c>
      <c r="P1106" s="327" t="str">
        <f t="shared" si="251"/>
        <v/>
      </c>
      <c r="Q1106" s="327" t="str">
        <f t="shared" si="252"/>
        <v/>
      </c>
      <c r="R1106" s="327" t="str">
        <f t="shared" si="253"/>
        <v/>
      </c>
      <c r="S1106" s="421" t="str">
        <f t="shared" si="254"/>
        <v/>
      </c>
      <c r="T1106" s="327" t="str">
        <f t="shared" si="255"/>
        <v/>
      </c>
      <c r="U1106" s="327" t="str">
        <f t="shared" si="256"/>
        <v/>
      </c>
      <c r="V1106" s="327" t="str">
        <f t="shared" si="257"/>
        <v/>
      </c>
      <c r="W1106" s="327" t="str">
        <f t="shared" si="258"/>
        <v/>
      </c>
      <c r="X1106" s="327" t="str">
        <f t="shared" si="259"/>
        <v/>
      </c>
      <c r="Y1106" s="327" t="str">
        <f t="shared" si="260"/>
        <v/>
      </c>
      <c r="Z1106" s="428" t="str">
        <f t="shared" si="261"/>
        <v/>
      </c>
    </row>
    <row r="1107" spans="1:26" x14ac:dyDescent="0.35">
      <c r="A1107" s="265"/>
      <c r="B1107" s="266"/>
      <c r="C1107" s="262"/>
      <c r="D1107" s="262"/>
      <c r="E1107" s="262"/>
      <c r="F1107" s="262"/>
      <c r="G1107" s="320"/>
      <c r="H1107" s="262"/>
      <c r="I1107" s="320"/>
      <c r="J1107" s="320"/>
      <c r="K1107" s="262"/>
      <c r="L1107" s="262"/>
      <c r="M1107" s="327" t="str">
        <f t="shared" si="248"/>
        <v/>
      </c>
      <c r="N1107" s="327" t="str">
        <f t="shared" si="249"/>
        <v/>
      </c>
      <c r="O1107" s="327" t="str">
        <f t="shared" si="250"/>
        <v/>
      </c>
      <c r="P1107" s="327" t="str">
        <f t="shared" si="251"/>
        <v/>
      </c>
      <c r="Q1107" s="327" t="str">
        <f t="shared" si="252"/>
        <v/>
      </c>
      <c r="R1107" s="327" t="str">
        <f t="shared" si="253"/>
        <v/>
      </c>
      <c r="S1107" s="421" t="str">
        <f t="shared" si="254"/>
        <v/>
      </c>
      <c r="T1107" s="327" t="str">
        <f t="shared" si="255"/>
        <v/>
      </c>
      <c r="U1107" s="327" t="str">
        <f t="shared" si="256"/>
        <v/>
      </c>
      <c r="V1107" s="327" t="str">
        <f t="shared" si="257"/>
        <v/>
      </c>
      <c r="W1107" s="327" t="str">
        <f t="shared" si="258"/>
        <v/>
      </c>
      <c r="X1107" s="327" t="str">
        <f t="shared" si="259"/>
        <v/>
      </c>
      <c r="Y1107" s="327" t="str">
        <f t="shared" si="260"/>
        <v/>
      </c>
      <c r="Z1107" s="428" t="str">
        <f t="shared" si="261"/>
        <v/>
      </c>
    </row>
    <row r="1108" spans="1:26" x14ac:dyDescent="0.35">
      <c r="A1108" s="265"/>
      <c r="B1108" s="266"/>
      <c r="C1108" s="262"/>
      <c r="D1108" s="262"/>
      <c r="E1108" s="262"/>
      <c r="F1108" s="262"/>
      <c r="G1108" s="320"/>
      <c r="H1108" s="262"/>
      <c r="I1108" s="320"/>
      <c r="J1108" s="320"/>
      <c r="K1108" s="262"/>
      <c r="L1108" s="262"/>
      <c r="M1108" s="327" t="str">
        <f t="shared" si="248"/>
        <v/>
      </c>
      <c r="N1108" s="327" t="str">
        <f t="shared" si="249"/>
        <v/>
      </c>
      <c r="O1108" s="327" t="str">
        <f t="shared" si="250"/>
        <v/>
      </c>
      <c r="P1108" s="327" t="str">
        <f t="shared" si="251"/>
        <v/>
      </c>
      <c r="Q1108" s="327" t="str">
        <f t="shared" si="252"/>
        <v/>
      </c>
      <c r="R1108" s="327" t="str">
        <f t="shared" si="253"/>
        <v/>
      </c>
      <c r="S1108" s="421" t="str">
        <f t="shared" si="254"/>
        <v/>
      </c>
      <c r="T1108" s="327" t="str">
        <f t="shared" si="255"/>
        <v/>
      </c>
      <c r="U1108" s="327" t="str">
        <f t="shared" si="256"/>
        <v/>
      </c>
      <c r="V1108" s="327" t="str">
        <f t="shared" si="257"/>
        <v/>
      </c>
      <c r="W1108" s="327" t="str">
        <f t="shared" si="258"/>
        <v/>
      </c>
      <c r="X1108" s="327" t="str">
        <f t="shared" si="259"/>
        <v/>
      </c>
      <c r="Y1108" s="327" t="str">
        <f t="shared" si="260"/>
        <v/>
      </c>
      <c r="Z1108" s="428" t="str">
        <f t="shared" si="261"/>
        <v/>
      </c>
    </row>
    <row r="1109" spans="1:26" x14ac:dyDescent="0.35">
      <c r="A1109" s="265"/>
      <c r="B1109" s="266"/>
      <c r="C1109" s="262"/>
      <c r="D1109" s="262"/>
      <c r="E1109" s="262"/>
      <c r="F1109" s="262"/>
      <c r="G1109" s="320"/>
      <c r="H1109" s="262"/>
      <c r="I1109" s="320"/>
      <c r="J1109" s="320"/>
      <c r="K1109" s="262"/>
      <c r="L1109" s="262"/>
      <c r="M1109" s="327" t="str">
        <f t="shared" si="248"/>
        <v/>
      </c>
      <c r="N1109" s="327" t="str">
        <f t="shared" si="249"/>
        <v/>
      </c>
      <c r="O1109" s="327" t="str">
        <f t="shared" si="250"/>
        <v/>
      </c>
      <c r="P1109" s="327" t="str">
        <f t="shared" si="251"/>
        <v/>
      </c>
      <c r="Q1109" s="327" t="str">
        <f t="shared" si="252"/>
        <v/>
      </c>
      <c r="R1109" s="327" t="str">
        <f t="shared" si="253"/>
        <v/>
      </c>
      <c r="S1109" s="421" t="str">
        <f t="shared" si="254"/>
        <v/>
      </c>
      <c r="T1109" s="327" t="str">
        <f t="shared" si="255"/>
        <v/>
      </c>
      <c r="U1109" s="327" t="str">
        <f t="shared" si="256"/>
        <v/>
      </c>
      <c r="V1109" s="327" t="str">
        <f t="shared" si="257"/>
        <v/>
      </c>
      <c r="W1109" s="327" t="str">
        <f t="shared" si="258"/>
        <v/>
      </c>
      <c r="X1109" s="327" t="str">
        <f t="shared" si="259"/>
        <v/>
      </c>
      <c r="Y1109" s="327" t="str">
        <f t="shared" si="260"/>
        <v/>
      </c>
      <c r="Z1109" s="428" t="str">
        <f t="shared" si="261"/>
        <v/>
      </c>
    </row>
    <row r="1110" spans="1:26" x14ac:dyDescent="0.35">
      <c r="A1110" s="265"/>
      <c r="B1110" s="266"/>
      <c r="C1110" s="262"/>
      <c r="D1110" s="262"/>
      <c r="E1110" s="262"/>
      <c r="F1110" s="262"/>
      <c r="G1110" s="320"/>
      <c r="H1110" s="262"/>
      <c r="I1110" s="320"/>
      <c r="J1110" s="320"/>
      <c r="K1110" s="262"/>
      <c r="L1110" s="262"/>
      <c r="M1110" s="327" t="str">
        <f t="shared" si="248"/>
        <v/>
      </c>
      <c r="N1110" s="327" t="str">
        <f t="shared" si="249"/>
        <v/>
      </c>
      <c r="O1110" s="327" t="str">
        <f t="shared" si="250"/>
        <v/>
      </c>
      <c r="P1110" s="327" t="str">
        <f t="shared" si="251"/>
        <v/>
      </c>
      <c r="Q1110" s="327" t="str">
        <f t="shared" si="252"/>
        <v/>
      </c>
      <c r="R1110" s="327" t="str">
        <f t="shared" si="253"/>
        <v/>
      </c>
      <c r="S1110" s="421" t="str">
        <f t="shared" si="254"/>
        <v/>
      </c>
      <c r="T1110" s="327" t="str">
        <f t="shared" si="255"/>
        <v/>
      </c>
      <c r="U1110" s="327" t="str">
        <f t="shared" si="256"/>
        <v/>
      </c>
      <c r="V1110" s="327" t="str">
        <f t="shared" si="257"/>
        <v/>
      </c>
      <c r="W1110" s="327" t="str">
        <f t="shared" si="258"/>
        <v/>
      </c>
      <c r="X1110" s="327" t="str">
        <f t="shared" si="259"/>
        <v/>
      </c>
      <c r="Y1110" s="327" t="str">
        <f t="shared" si="260"/>
        <v/>
      </c>
      <c r="Z1110" s="428" t="str">
        <f t="shared" si="261"/>
        <v/>
      </c>
    </row>
    <row r="1111" spans="1:26" x14ac:dyDescent="0.35">
      <c r="A1111" s="265"/>
      <c r="B1111" s="266"/>
      <c r="C1111" s="262"/>
      <c r="D1111" s="262"/>
      <c r="E1111" s="262"/>
      <c r="F1111" s="262"/>
      <c r="G1111" s="320"/>
      <c r="H1111" s="262"/>
      <c r="I1111" s="320"/>
      <c r="J1111" s="320"/>
      <c r="K1111" s="262"/>
      <c r="L1111" s="262"/>
      <c r="M1111" s="327" t="str">
        <f t="shared" si="248"/>
        <v/>
      </c>
      <c r="N1111" s="327" t="str">
        <f t="shared" si="249"/>
        <v/>
      </c>
      <c r="O1111" s="327" t="str">
        <f t="shared" si="250"/>
        <v/>
      </c>
      <c r="P1111" s="327" t="str">
        <f t="shared" si="251"/>
        <v/>
      </c>
      <c r="Q1111" s="327" t="str">
        <f t="shared" si="252"/>
        <v/>
      </c>
      <c r="R1111" s="327" t="str">
        <f t="shared" si="253"/>
        <v/>
      </c>
      <c r="S1111" s="421" t="str">
        <f t="shared" si="254"/>
        <v/>
      </c>
      <c r="T1111" s="327" t="str">
        <f t="shared" si="255"/>
        <v/>
      </c>
      <c r="U1111" s="327" t="str">
        <f t="shared" si="256"/>
        <v/>
      </c>
      <c r="V1111" s="327" t="str">
        <f t="shared" si="257"/>
        <v/>
      </c>
      <c r="W1111" s="327" t="str">
        <f t="shared" si="258"/>
        <v/>
      </c>
      <c r="X1111" s="327" t="str">
        <f t="shared" si="259"/>
        <v/>
      </c>
      <c r="Y1111" s="327" t="str">
        <f t="shared" si="260"/>
        <v/>
      </c>
      <c r="Z1111" s="428" t="str">
        <f t="shared" si="261"/>
        <v/>
      </c>
    </row>
    <row r="1112" spans="1:26" x14ac:dyDescent="0.35">
      <c r="A1112" s="265"/>
      <c r="B1112" s="266"/>
      <c r="C1112" s="262"/>
      <c r="D1112" s="262"/>
      <c r="E1112" s="262"/>
      <c r="F1112" s="262"/>
      <c r="G1112" s="320"/>
      <c r="H1112" s="262"/>
      <c r="I1112" s="320"/>
      <c r="J1112" s="320"/>
      <c r="K1112" s="262"/>
      <c r="L1112" s="262"/>
      <c r="M1112" s="327" t="str">
        <f t="shared" si="248"/>
        <v/>
      </c>
      <c r="N1112" s="327" t="str">
        <f t="shared" si="249"/>
        <v/>
      </c>
      <c r="O1112" s="327" t="str">
        <f t="shared" si="250"/>
        <v/>
      </c>
      <c r="P1112" s="327" t="str">
        <f t="shared" si="251"/>
        <v/>
      </c>
      <c r="Q1112" s="327" t="str">
        <f t="shared" si="252"/>
        <v/>
      </c>
      <c r="R1112" s="327" t="str">
        <f t="shared" si="253"/>
        <v/>
      </c>
      <c r="S1112" s="421" t="str">
        <f t="shared" si="254"/>
        <v/>
      </c>
      <c r="T1112" s="327" t="str">
        <f t="shared" si="255"/>
        <v/>
      </c>
      <c r="U1112" s="327" t="str">
        <f t="shared" si="256"/>
        <v/>
      </c>
      <c r="V1112" s="327" t="str">
        <f t="shared" si="257"/>
        <v/>
      </c>
      <c r="W1112" s="327" t="str">
        <f t="shared" si="258"/>
        <v/>
      </c>
      <c r="X1112" s="327" t="str">
        <f t="shared" si="259"/>
        <v/>
      </c>
      <c r="Y1112" s="327" t="str">
        <f t="shared" si="260"/>
        <v/>
      </c>
      <c r="Z1112" s="428" t="str">
        <f t="shared" si="261"/>
        <v/>
      </c>
    </row>
    <row r="1113" spans="1:26" x14ac:dyDescent="0.35">
      <c r="A1113" s="265"/>
      <c r="B1113" s="266"/>
      <c r="C1113" s="262"/>
      <c r="D1113" s="262"/>
      <c r="E1113" s="262"/>
      <c r="F1113" s="262"/>
      <c r="G1113" s="320"/>
      <c r="H1113" s="262"/>
      <c r="I1113" s="320"/>
      <c r="J1113" s="320"/>
      <c r="K1113" s="262"/>
      <c r="L1113" s="262"/>
      <c r="M1113" s="327" t="str">
        <f t="shared" si="248"/>
        <v/>
      </c>
      <c r="N1113" s="327" t="str">
        <f t="shared" si="249"/>
        <v/>
      </c>
      <c r="O1113" s="327" t="str">
        <f t="shared" si="250"/>
        <v/>
      </c>
      <c r="P1113" s="327" t="str">
        <f t="shared" si="251"/>
        <v/>
      </c>
      <c r="Q1113" s="327" t="str">
        <f t="shared" si="252"/>
        <v/>
      </c>
      <c r="R1113" s="327" t="str">
        <f t="shared" si="253"/>
        <v/>
      </c>
      <c r="S1113" s="421" t="str">
        <f t="shared" si="254"/>
        <v/>
      </c>
      <c r="T1113" s="327" t="str">
        <f t="shared" si="255"/>
        <v/>
      </c>
      <c r="U1113" s="327" t="str">
        <f t="shared" si="256"/>
        <v/>
      </c>
      <c r="V1113" s="327" t="str">
        <f t="shared" si="257"/>
        <v/>
      </c>
      <c r="W1113" s="327" t="str">
        <f t="shared" si="258"/>
        <v/>
      </c>
      <c r="X1113" s="327" t="str">
        <f t="shared" si="259"/>
        <v/>
      </c>
      <c r="Y1113" s="327" t="str">
        <f t="shared" si="260"/>
        <v/>
      </c>
      <c r="Z1113" s="428" t="str">
        <f t="shared" si="261"/>
        <v/>
      </c>
    </row>
    <row r="1114" spans="1:26" x14ac:dyDescent="0.35">
      <c r="A1114" s="265"/>
      <c r="B1114" s="266"/>
      <c r="C1114" s="262"/>
      <c r="D1114" s="262"/>
      <c r="E1114" s="262"/>
      <c r="F1114" s="262"/>
      <c r="G1114" s="320"/>
      <c r="H1114" s="262"/>
      <c r="I1114" s="320"/>
      <c r="J1114" s="320"/>
      <c r="K1114" s="262"/>
      <c r="L1114" s="262"/>
      <c r="M1114" s="327" t="str">
        <f t="shared" si="248"/>
        <v/>
      </c>
      <c r="N1114" s="327" t="str">
        <f t="shared" si="249"/>
        <v/>
      </c>
      <c r="O1114" s="327" t="str">
        <f t="shared" si="250"/>
        <v/>
      </c>
      <c r="P1114" s="327" t="str">
        <f t="shared" si="251"/>
        <v/>
      </c>
      <c r="Q1114" s="327" t="str">
        <f t="shared" si="252"/>
        <v/>
      </c>
      <c r="R1114" s="327" t="str">
        <f t="shared" si="253"/>
        <v/>
      </c>
      <c r="S1114" s="421" t="str">
        <f t="shared" si="254"/>
        <v/>
      </c>
      <c r="T1114" s="327" t="str">
        <f t="shared" si="255"/>
        <v/>
      </c>
      <c r="U1114" s="327" t="str">
        <f t="shared" si="256"/>
        <v/>
      </c>
      <c r="V1114" s="327" t="str">
        <f t="shared" si="257"/>
        <v/>
      </c>
      <c r="W1114" s="327" t="str">
        <f t="shared" si="258"/>
        <v/>
      </c>
      <c r="X1114" s="327" t="str">
        <f t="shared" si="259"/>
        <v/>
      </c>
      <c r="Y1114" s="327" t="str">
        <f t="shared" si="260"/>
        <v/>
      </c>
      <c r="Z1114" s="428" t="str">
        <f t="shared" si="261"/>
        <v/>
      </c>
    </row>
    <row r="1115" spans="1:26" x14ac:dyDescent="0.35">
      <c r="A1115" s="265"/>
      <c r="B1115" s="266"/>
      <c r="C1115" s="262"/>
      <c r="D1115" s="262"/>
      <c r="E1115" s="262"/>
      <c r="F1115" s="262"/>
      <c r="G1115" s="320"/>
      <c r="H1115" s="262"/>
      <c r="I1115" s="320"/>
      <c r="J1115" s="320"/>
      <c r="K1115" s="262"/>
      <c r="L1115" s="262"/>
      <c r="M1115" s="327" t="str">
        <f t="shared" si="248"/>
        <v/>
      </c>
      <c r="N1115" s="327" t="str">
        <f t="shared" si="249"/>
        <v/>
      </c>
      <c r="O1115" s="327" t="str">
        <f t="shared" si="250"/>
        <v/>
      </c>
      <c r="P1115" s="327" t="str">
        <f t="shared" si="251"/>
        <v/>
      </c>
      <c r="Q1115" s="327" t="str">
        <f t="shared" si="252"/>
        <v/>
      </c>
      <c r="R1115" s="327" t="str">
        <f t="shared" si="253"/>
        <v/>
      </c>
      <c r="S1115" s="421" t="str">
        <f t="shared" si="254"/>
        <v/>
      </c>
      <c r="T1115" s="327" t="str">
        <f t="shared" si="255"/>
        <v/>
      </c>
      <c r="U1115" s="327" t="str">
        <f t="shared" si="256"/>
        <v/>
      </c>
      <c r="V1115" s="327" t="str">
        <f t="shared" si="257"/>
        <v/>
      </c>
      <c r="W1115" s="327" t="str">
        <f t="shared" si="258"/>
        <v/>
      </c>
      <c r="X1115" s="327" t="str">
        <f t="shared" si="259"/>
        <v/>
      </c>
      <c r="Y1115" s="327" t="str">
        <f t="shared" si="260"/>
        <v/>
      </c>
      <c r="Z1115" s="428" t="str">
        <f t="shared" si="261"/>
        <v/>
      </c>
    </row>
    <row r="1116" spans="1:26" x14ac:dyDescent="0.35">
      <c r="A1116" s="265"/>
      <c r="B1116" s="266"/>
      <c r="C1116" s="262"/>
      <c r="D1116" s="262"/>
      <c r="E1116" s="262"/>
      <c r="F1116" s="262"/>
      <c r="G1116" s="320"/>
      <c r="H1116" s="262"/>
      <c r="I1116" s="320"/>
      <c r="J1116" s="320"/>
      <c r="K1116" s="262"/>
      <c r="L1116" s="262"/>
      <c r="M1116" s="327" t="str">
        <f t="shared" si="248"/>
        <v/>
      </c>
      <c r="N1116" s="327" t="str">
        <f t="shared" si="249"/>
        <v/>
      </c>
      <c r="O1116" s="327" t="str">
        <f t="shared" si="250"/>
        <v/>
      </c>
      <c r="P1116" s="327" t="str">
        <f t="shared" si="251"/>
        <v/>
      </c>
      <c r="Q1116" s="327" t="str">
        <f t="shared" si="252"/>
        <v/>
      </c>
      <c r="R1116" s="327" t="str">
        <f t="shared" si="253"/>
        <v/>
      </c>
      <c r="S1116" s="421" t="str">
        <f t="shared" si="254"/>
        <v/>
      </c>
      <c r="T1116" s="327" t="str">
        <f t="shared" si="255"/>
        <v/>
      </c>
      <c r="U1116" s="327" t="str">
        <f t="shared" si="256"/>
        <v/>
      </c>
      <c r="V1116" s="327" t="str">
        <f t="shared" si="257"/>
        <v/>
      </c>
      <c r="W1116" s="327" t="str">
        <f t="shared" si="258"/>
        <v/>
      </c>
      <c r="X1116" s="327" t="str">
        <f t="shared" si="259"/>
        <v/>
      </c>
      <c r="Y1116" s="327" t="str">
        <f t="shared" si="260"/>
        <v/>
      </c>
      <c r="Z1116" s="428" t="str">
        <f t="shared" si="261"/>
        <v/>
      </c>
    </row>
    <row r="1117" spans="1:26" x14ac:dyDescent="0.35">
      <c r="A1117" s="265"/>
      <c r="B1117" s="266"/>
      <c r="C1117" s="262"/>
      <c r="D1117" s="262"/>
      <c r="E1117" s="262"/>
      <c r="F1117" s="262"/>
      <c r="G1117" s="320"/>
      <c r="H1117" s="262"/>
      <c r="I1117" s="320"/>
      <c r="J1117" s="320"/>
      <c r="K1117" s="262"/>
      <c r="L1117" s="262"/>
      <c r="M1117" s="327" t="str">
        <f t="shared" si="248"/>
        <v/>
      </c>
      <c r="N1117" s="327" t="str">
        <f t="shared" si="249"/>
        <v/>
      </c>
      <c r="O1117" s="327" t="str">
        <f t="shared" si="250"/>
        <v/>
      </c>
      <c r="P1117" s="327" t="str">
        <f t="shared" si="251"/>
        <v/>
      </c>
      <c r="Q1117" s="327" t="str">
        <f t="shared" si="252"/>
        <v/>
      </c>
      <c r="R1117" s="327" t="str">
        <f t="shared" si="253"/>
        <v/>
      </c>
      <c r="S1117" s="421" t="str">
        <f t="shared" si="254"/>
        <v/>
      </c>
      <c r="T1117" s="327" t="str">
        <f t="shared" si="255"/>
        <v/>
      </c>
      <c r="U1117" s="327" t="str">
        <f t="shared" si="256"/>
        <v/>
      </c>
      <c r="V1117" s="327" t="str">
        <f t="shared" si="257"/>
        <v/>
      </c>
      <c r="W1117" s="327" t="str">
        <f t="shared" si="258"/>
        <v/>
      </c>
      <c r="X1117" s="327" t="str">
        <f t="shared" si="259"/>
        <v/>
      </c>
      <c r="Y1117" s="327" t="str">
        <f t="shared" si="260"/>
        <v/>
      </c>
      <c r="Z1117" s="428" t="str">
        <f t="shared" si="261"/>
        <v/>
      </c>
    </row>
    <row r="1118" spans="1:26" x14ac:dyDescent="0.35">
      <c r="A1118" s="265"/>
      <c r="B1118" s="266"/>
      <c r="C1118" s="262"/>
      <c r="D1118" s="262"/>
      <c r="E1118" s="262"/>
      <c r="F1118" s="262"/>
      <c r="G1118" s="320"/>
      <c r="H1118" s="262"/>
      <c r="I1118" s="320"/>
      <c r="J1118" s="320"/>
      <c r="K1118" s="262"/>
      <c r="L1118" s="262"/>
      <c r="M1118" s="327" t="str">
        <f t="shared" si="248"/>
        <v/>
      </c>
      <c r="N1118" s="327" t="str">
        <f t="shared" si="249"/>
        <v/>
      </c>
      <c r="O1118" s="327" t="str">
        <f t="shared" si="250"/>
        <v/>
      </c>
      <c r="P1118" s="327" t="str">
        <f t="shared" si="251"/>
        <v/>
      </c>
      <c r="Q1118" s="327" t="str">
        <f t="shared" si="252"/>
        <v/>
      </c>
      <c r="R1118" s="327" t="str">
        <f t="shared" si="253"/>
        <v/>
      </c>
      <c r="S1118" s="421" t="str">
        <f t="shared" si="254"/>
        <v/>
      </c>
      <c r="T1118" s="327" t="str">
        <f t="shared" si="255"/>
        <v/>
      </c>
      <c r="U1118" s="327" t="str">
        <f t="shared" si="256"/>
        <v/>
      </c>
      <c r="V1118" s="327" t="str">
        <f t="shared" si="257"/>
        <v/>
      </c>
      <c r="W1118" s="327" t="str">
        <f t="shared" si="258"/>
        <v/>
      </c>
      <c r="X1118" s="327" t="str">
        <f t="shared" si="259"/>
        <v/>
      </c>
      <c r="Y1118" s="327" t="str">
        <f t="shared" si="260"/>
        <v/>
      </c>
      <c r="Z1118" s="428" t="str">
        <f t="shared" si="261"/>
        <v/>
      </c>
    </row>
    <row r="1119" spans="1:26" x14ac:dyDescent="0.35">
      <c r="A1119" s="265"/>
      <c r="B1119" s="266"/>
      <c r="C1119" s="262"/>
      <c r="D1119" s="262"/>
      <c r="E1119" s="262"/>
      <c r="F1119" s="262"/>
      <c r="G1119" s="320"/>
      <c r="H1119" s="262"/>
      <c r="I1119" s="320"/>
      <c r="J1119" s="320"/>
      <c r="K1119" s="262"/>
      <c r="L1119" s="262"/>
      <c r="M1119" s="327" t="str">
        <f t="shared" si="248"/>
        <v/>
      </c>
      <c r="N1119" s="327" t="str">
        <f t="shared" si="249"/>
        <v/>
      </c>
      <c r="O1119" s="327" t="str">
        <f t="shared" si="250"/>
        <v/>
      </c>
      <c r="P1119" s="327" t="str">
        <f t="shared" si="251"/>
        <v/>
      </c>
      <c r="Q1119" s="327" t="str">
        <f t="shared" si="252"/>
        <v/>
      </c>
      <c r="R1119" s="327" t="str">
        <f t="shared" si="253"/>
        <v/>
      </c>
      <c r="S1119" s="421" t="str">
        <f t="shared" si="254"/>
        <v/>
      </c>
      <c r="T1119" s="327" t="str">
        <f t="shared" si="255"/>
        <v/>
      </c>
      <c r="U1119" s="327" t="str">
        <f t="shared" si="256"/>
        <v/>
      </c>
      <c r="V1119" s="327" t="str">
        <f t="shared" si="257"/>
        <v/>
      </c>
      <c r="W1119" s="327" t="str">
        <f t="shared" si="258"/>
        <v/>
      </c>
      <c r="X1119" s="327" t="str">
        <f t="shared" si="259"/>
        <v/>
      </c>
      <c r="Y1119" s="327" t="str">
        <f t="shared" si="260"/>
        <v/>
      </c>
      <c r="Z1119" s="428" t="str">
        <f t="shared" si="261"/>
        <v/>
      </c>
    </row>
    <row r="1120" spans="1:26" x14ac:dyDescent="0.35">
      <c r="A1120" s="265"/>
      <c r="B1120" s="266"/>
      <c r="C1120" s="262"/>
      <c r="D1120" s="262"/>
      <c r="E1120" s="262"/>
      <c r="F1120" s="262"/>
      <c r="G1120" s="320"/>
      <c r="H1120" s="262"/>
      <c r="I1120" s="320"/>
      <c r="J1120" s="320"/>
      <c r="K1120" s="262"/>
      <c r="L1120" s="262"/>
      <c r="M1120" s="327" t="str">
        <f t="shared" si="248"/>
        <v/>
      </c>
      <c r="N1120" s="327" t="str">
        <f t="shared" si="249"/>
        <v/>
      </c>
      <c r="O1120" s="327" t="str">
        <f t="shared" si="250"/>
        <v/>
      </c>
      <c r="P1120" s="327" t="str">
        <f t="shared" si="251"/>
        <v/>
      </c>
      <c r="Q1120" s="327" t="str">
        <f t="shared" si="252"/>
        <v/>
      </c>
      <c r="R1120" s="327" t="str">
        <f t="shared" si="253"/>
        <v/>
      </c>
      <c r="S1120" s="421" t="str">
        <f t="shared" si="254"/>
        <v/>
      </c>
      <c r="T1120" s="327" t="str">
        <f t="shared" si="255"/>
        <v/>
      </c>
      <c r="U1120" s="327" t="str">
        <f t="shared" si="256"/>
        <v/>
      </c>
      <c r="V1120" s="327" t="str">
        <f t="shared" si="257"/>
        <v/>
      </c>
      <c r="W1120" s="327" t="str">
        <f t="shared" si="258"/>
        <v/>
      </c>
      <c r="X1120" s="327" t="str">
        <f t="shared" si="259"/>
        <v/>
      </c>
      <c r="Y1120" s="327" t="str">
        <f t="shared" si="260"/>
        <v/>
      </c>
      <c r="Z1120" s="428" t="str">
        <f t="shared" si="261"/>
        <v/>
      </c>
    </row>
    <row r="1121" spans="1:26" x14ac:dyDescent="0.35">
      <c r="A1121" s="265"/>
      <c r="B1121" s="266"/>
      <c r="C1121" s="262"/>
      <c r="D1121" s="262"/>
      <c r="E1121" s="262"/>
      <c r="F1121" s="262"/>
      <c r="G1121" s="320"/>
      <c r="H1121" s="262"/>
      <c r="I1121" s="320"/>
      <c r="J1121" s="320"/>
      <c r="K1121" s="262"/>
      <c r="L1121" s="262"/>
      <c r="M1121" s="327" t="str">
        <f t="shared" si="248"/>
        <v/>
      </c>
      <c r="N1121" s="327" t="str">
        <f t="shared" si="249"/>
        <v/>
      </c>
      <c r="O1121" s="327" t="str">
        <f t="shared" si="250"/>
        <v/>
      </c>
      <c r="P1121" s="327" t="str">
        <f t="shared" si="251"/>
        <v/>
      </c>
      <c r="Q1121" s="327" t="str">
        <f t="shared" si="252"/>
        <v/>
      </c>
      <c r="R1121" s="327" t="str">
        <f t="shared" si="253"/>
        <v/>
      </c>
      <c r="S1121" s="421" t="str">
        <f t="shared" si="254"/>
        <v/>
      </c>
      <c r="T1121" s="327" t="str">
        <f t="shared" si="255"/>
        <v/>
      </c>
      <c r="U1121" s="327" t="str">
        <f t="shared" si="256"/>
        <v/>
      </c>
      <c r="V1121" s="327" t="str">
        <f t="shared" si="257"/>
        <v/>
      </c>
      <c r="W1121" s="327" t="str">
        <f t="shared" si="258"/>
        <v/>
      </c>
      <c r="X1121" s="327" t="str">
        <f t="shared" si="259"/>
        <v/>
      </c>
      <c r="Y1121" s="327" t="str">
        <f t="shared" si="260"/>
        <v/>
      </c>
      <c r="Z1121" s="428" t="str">
        <f t="shared" si="261"/>
        <v/>
      </c>
    </row>
    <row r="1122" spans="1:26" x14ac:dyDescent="0.35">
      <c r="A1122" s="265"/>
      <c r="B1122" s="266"/>
      <c r="C1122" s="262"/>
      <c r="D1122" s="262"/>
      <c r="E1122" s="262"/>
      <c r="F1122" s="262"/>
      <c r="G1122" s="320"/>
      <c r="H1122" s="262"/>
      <c r="I1122" s="320"/>
      <c r="J1122" s="320"/>
      <c r="K1122" s="262"/>
      <c r="L1122" s="262"/>
      <c r="M1122" s="327" t="str">
        <f t="shared" si="248"/>
        <v/>
      </c>
      <c r="N1122" s="327" t="str">
        <f t="shared" si="249"/>
        <v/>
      </c>
      <c r="O1122" s="327" t="str">
        <f t="shared" si="250"/>
        <v/>
      </c>
      <c r="P1122" s="327" t="str">
        <f t="shared" si="251"/>
        <v/>
      </c>
      <c r="Q1122" s="327" t="str">
        <f t="shared" si="252"/>
        <v/>
      </c>
      <c r="R1122" s="327" t="str">
        <f t="shared" si="253"/>
        <v/>
      </c>
      <c r="S1122" s="421" t="str">
        <f t="shared" si="254"/>
        <v/>
      </c>
      <c r="T1122" s="327" t="str">
        <f t="shared" si="255"/>
        <v/>
      </c>
      <c r="U1122" s="327" t="str">
        <f t="shared" si="256"/>
        <v/>
      </c>
      <c r="V1122" s="327" t="str">
        <f t="shared" si="257"/>
        <v/>
      </c>
      <c r="W1122" s="327" t="str">
        <f t="shared" si="258"/>
        <v/>
      </c>
      <c r="X1122" s="327" t="str">
        <f t="shared" si="259"/>
        <v/>
      </c>
      <c r="Y1122" s="327" t="str">
        <f t="shared" si="260"/>
        <v/>
      </c>
      <c r="Z1122" s="428" t="str">
        <f t="shared" si="261"/>
        <v/>
      </c>
    </row>
    <row r="1123" spans="1:26" x14ac:dyDescent="0.35">
      <c r="A1123" s="265"/>
      <c r="B1123" s="266"/>
      <c r="C1123" s="262"/>
      <c r="D1123" s="262"/>
      <c r="E1123" s="262"/>
      <c r="F1123" s="262"/>
      <c r="G1123" s="320"/>
      <c r="H1123" s="262"/>
      <c r="I1123" s="320"/>
      <c r="J1123" s="320"/>
      <c r="K1123" s="262"/>
      <c r="L1123" s="262"/>
      <c r="M1123" s="327" t="str">
        <f t="shared" si="248"/>
        <v/>
      </c>
      <c r="N1123" s="327" t="str">
        <f t="shared" si="249"/>
        <v/>
      </c>
      <c r="O1123" s="327" t="str">
        <f t="shared" si="250"/>
        <v/>
      </c>
      <c r="P1123" s="327" t="str">
        <f t="shared" si="251"/>
        <v/>
      </c>
      <c r="Q1123" s="327" t="str">
        <f t="shared" si="252"/>
        <v/>
      </c>
      <c r="R1123" s="327" t="str">
        <f t="shared" si="253"/>
        <v/>
      </c>
      <c r="S1123" s="421" t="str">
        <f t="shared" si="254"/>
        <v/>
      </c>
      <c r="T1123" s="327" t="str">
        <f t="shared" si="255"/>
        <v/>
      </c>
      <c r="U1123" s="327" t="str">
        <f t="shared" si="256"/>
        <v/>
      </c>
      <c r="V1123" s="327" t="str">
        <f t="shared" si="257"/>
        <v/>
      </c>
      <c r="W1123" s="327" t="str">
        <f t="shared" si="258"/>
        <v/>
      </c>
      <c r="X1123" s="327" t="str">
        <f t="shared" si="259"/>
        <v/>
      </c>
      <c r="Y1123" s="327" t="str">
        <f t="shared" si="260"/>
        <v/>
      </c>
      <c r="Z1123" s="428" t="str">
        <f t="shared" si="261"/>
        <v/>
      </c>
    </row>
    <row r="1124" spans="1:26" x14ac:dyDescent="0.35">
      <c r="A1124" s="265"/>
      <c r="B1124" s="266"/>
      <c r="C1124" s="262"/>
      <c r="D1124" s="262"/>
      <c r="E1124" s="262"/>
      <c r="F1124" s="262"/>
      <c r="G1124" s="320"/>
      <c r="H1124" s="262"/>
      <c r="I1124" s="320"/>
      <c r="J1124" s="320"/>
      <c r="K1124" s="262"/>
      <c r="L1124" s="262"/>
      <c r="M1124" s="327" t="str">
        <f t="shared" si="248"/>
        <v/>
      </c>
      <c r="N1124" s="327" t="str">
        <f t="shared" si="249"/>
        <v/>
      </c>
      <c r="O1124" s="327" t="str">
        <f t="shared" si="250"/>
        <v/>
      </c>
      <c r="P1124" s="327" t="str">
        <f t="shared" si="251"/>
        <v/>
      </c>
      <c r="Q1124" s="327" t="str">
        <f t="shared" si="252"/>
        <v/>
      </c>
      <c r="R1124" s="327" t="str">
        <f t="shared" si="253"/>
        <v/>
      </c>
      <c r="S1124" s="421" t="str">
        <f t="shared" si="254"/>
        <v/>
      </c>
      <c r="T1124" s="327" t="str">
        <f t="shared" si="255"/>
        <v/>
      </c>
      <c r="U1124" s="327" t="str">
        <f t="shared" si="256"/>
        <v/>
      </c>
      <c r="V1124" s="327" t="str">
        <f t="shared" si="257"/>
        <v/>
      </c>
      <c r="W1124" s="327" t="str">
        <f t="shared" si="258"/>
        <v/>
      </c>
      <c r="X1124" s="327" t="str">
        <f t="shared" si="259"/>
        <v/>
      </c>
      <c r="Y1124" s="327" t="str">
        <f t="shared" si="260"/>
        <v/>
      </c>
      <c r="Z1124" s="428" t="str">
        <f t="shared" si="261"/>
        <v/>
      </c>
    </row>
    <row r="1125" spans="1:26" x14ac:dyDescent="0.35">
      <c r="A1125" s="265"/>
      <c r="B1125" s="266"/>
      <c r="C1125" s="262"/>
      <c r="D1125" s="262"/>
      <c r="E1125" s="262"/>
      <c r="F1125" s="262"/>
      <c r="G1125" s="320"/>
      <c r="H1125" s="262"/>
      <c r="I1125" s="320"/>
      <c r="J1125" s="320"/>
      <c r="K1125" s="262"/>
      <c r="L1125" s="262"/>
      <c r="M1125" s="327" t="str">
        <f t="shared" si="248"/>
        <v/>
      </c>
      <c r="N1125" s="327" t="str">
        <f t="shared" si="249"/>
        <v/>
      </c>
      <c r="O1125" s="327" t="str">
        <f t="shared" si="250"/>
        <v/>
      </c>
      <c r="P1125" s="327" t="str">
        <f t="shared" si="251"/>
        <v/>
      </c>
      <c r="Q1125" s="327" t="str">
        <f t="shared" si="252"/>
        <v/>
      </c>
      <c r="R1125" s="327" t="str">
        <f t="shared" si="253"/>
        <v/>
      </c>
      <c r="S1125" s="421" t="str">
        <f t="shared" si="254"/>
        <v/>
      </c>
      <c r="T1125" s="327" t="str">
        <f t="shared" si="255"/>
        <v/>
      </c>
      <c r="U1125" s="327" t="str">
        <f t="shared" si="256"/>
        <v/>
      </c>
      <c r="V1125" s="327" t="str">
        <f t="shared" si="257"/>
        <v/>
      </c>
      <c r="W1125" s="327" t="str">
        <f t="shared" si="258"/>
        <v/>
      </c>
      <c r="X1125" s="327" t="str">
        <f t="shared" si="259"/>
        <v/>
      </c>
      <c r="Y1125" s="327" t="str">
        <f t="shared" si="260"/>
        <v/>
      </c>
      <c r="Z1125" s="428" t="str">
        <f t="shared" si="261"/>
        <v/>
      </c>
    </row>
    <row r="1126" spans="1:26" x14ac:dyDescent="0.35">
      <c r="A1126" s="265"/>
      <c r="B1126" s="266"/>
      <c r="C1126" s="262"/>
      <c r="D1126" s="262"/>
      <c r="E1126" s="262"/>
      <c r="F1126" s="262"/>
      <c r="G1126" s="320"/>
      <c r="H1126" s="262"/>
      <c r="I1126" s="320"/>
      <c r="J1126" s="320"/>
      <c r="K1126" s="262"/>
      <c r="L1126" s="262"/>
      <c r="M1126" s="327" t="str">
        <f t="shared" si="248"/>
        <v/>
      </c>
      <c r="N1126" s="327" t="str">
        <f t="shared" si="249"/>
        <v/>
      </c>
      <c r="O1126" s="327" t="str">
        <f t="shared" si="250"/>
        <v/>
      </c>
      <c r="P1126" s="327" t="str">
        <f t="shared" si="251"/>
        <v/>
      </c>
      <c r="Q1126" s="327" t="str">
        <f t="shared" si="252"/>
        <v/>
      </c>
      <c r="R1126" s="327" t="str">
        <f t="shared" si="253"/>
        <v/>
      </c>
      <c r="S1126" s="421" t="str">
        <f t="shared" si="254"/>
        <v/>
      </c>
      <c r="T1126" s="327" t="str">
        <f t="shared" si="255"/>
        <v/>
      </c>
      <c r="U1126" s="327" t="str">
        <f t="shared" si="256"/>
        <v/>
      </c>
      <c r="V1126" s="327" t="str">
        <f t="shared" si="257"/>
        <v/>
      </c>
      <c r="W1126" s="327" t="str">
        <f t="shared" si="258"/>
        <v/>
      </c>
      <c r="X1126" s="327" t="str">
        <f t="shared" si="259"/>
        <v/>
      </c>
      <c r="Y1126" s="327" t="str">
        <f t="shared" si="260"/>
        <v/>
      </c>
      <c r="Z1126" s="428" t="str">
        <f t="shared" si="261"/>
        <v/>
      </c>
    </row>
    <row r="1127" spans="1:26" x14ac:dyDescent="0.35">
      <c r="A1127" s="265"/>
      <c r="B1127" s="266"/>
      <c r="C1127" s="262"/>
      <c r="D1127" s="262"/>
      <c r="E1127" s="262"/>
      <c r="F1127" s="262"/>
      <c r="G1127" s="320"/>
      <c r="H1127" s="262"/>
      <c r="I1127" s="320"/>
      <c r="J1127" s="320"/>
      <c r="K1127" s="262"/>
      <c r="L1127" s="262"/>
      <c r="M1127" s="327" t="str">
        <f t="shared" si="248"/>
        <v/>
      </c>
      <c r="N1127" s="327" t="str">
        <f t="shared" si="249"/>
        <v/>
      </c>
      <c r="O1127" s="327" t="str">
        <f t="shared" si="250"/>
        <v/>
      </c>
      <c r="P1127" s="327" t="str">
        <f t="shared" si="251"/>
        <v/>
      </c>
      <c r="Q1127" s="327" t="str">
        <f t="shared" si="252"/>
        <v/>
      </c>
      <c r="R1127" s="327" t="str">
        <f t="shared" si="253"/>
        <v/>
      </c>
      <c r="S1127" s="421" t="str">
        <f t="shared" si="254"/>
        <v/>
      </c>
      <c r="T1127" s="327" t="str">
        <f t="shared" si="255"/>
        <v/>
      </c>
      <c r="U1127" s="327" t="str">
        <f t="shared" si="256"/>
        <v/>
      </c>
      <c r="V1127" s="327" t="str">
        <f t="shared" si="257"/>
        <v/>
      </c>
      <c r="W1127" s="327" t="str">
        <f t="shared" si="258"/>
        <v/>
      </c>
      <c r="X1127" s="327" t="str">
        <f t="shared" si="259"/>
        <v/>
      </c>
      <c r="Y1127" s="327" t="str">
        <f t="shared" si="260"/>
        <v/>
      </c>
      <c r="Z1127" s="428" t="str">
        <f t="shared" si="261"/>
        <v/>
      </c>
    </row>
    <row r="1128" spans="1:26" x14ac:dyDescent="0.35">
      <c r="A1128" s="265"/>
      <c r="B1128" s="266"/>
      <c r="C1128" s="262"/>
      <c r="D1128" s="262"/>
      <c r="E1128" s="262"/>
      <c r="F1128" s="262"/>
      <c r="G1128" s="320"/>
      <c r="H1128" s="262"/>
      <c r="I1128" s="320"/>
      <c r="J1128" s="320"/>
      <c r="K1128" s="262"/>
      <c r="L1128" s="262"/>
      <c r="M1128" s="327" t="str">
        <f t="shared" si="248"/>
        <v/>
      </c>
      <c r="N1128" s="327" t="str">
        <f t="shared" si="249"/>
        <v/>
      </c>
      <c r="O1128" s="327" t="str">
        <f t="shared" si="250"/>
        <v/>
      </c>
      <c r="P1128" s="327" t="str">
        <f t="shared" si="251"/>
        <v/>
      </c>
      <c r="Q1128" s="327" t="str">
        <f t="shared" si="252"/>
        <v/>
      </c>
      <c r="R1128" s="327" t="str">
        <f t="shared" si="253"/>
        <v/>
      </c>
      <c r="S1128" s="421" t="str">
        <f t="shared" si="254"/>
        <v/>
      </c>
      <c r="T1128" s="327" t="str">
        <f t="shared" si="255"/>
        <v/>
      </c>
      <c r="U1128" s="327" t="str">
        <f t="shared" si="256"/>
        <v/>
      </c>
      <c r="V1128" s="327" t="str">
        <f t="shared" si="257"/>
        <v/>
      </c>
      <c r="W1128" s="327" t="str">
        <f t="shared" si="258"/>
        <v/>
      </c>
      <c r="X1128" s="327" t="str">
        <f t="shared" si="259"/>
        <v/>
      </c>
      <c r="Y1128" s="327" t="str">
        <f t="shared" si="260"/>
        <v/>
      </c>
      <c r="Z1128" s="428" t="str">
        <f t="shared" si="261"/>
        <v/>
      </c>
    </row>
    <row r="1129" spans="1:26" x14ac:dyDescent="0.35">
      <c r="A1129" s="265"/>
      <c r="B1129" s="266"/>
      <c r="C1129" s="262"/>
      <c r="D1129" s="262"/>
      <c r="E1129" s="262"/>
      <c r="F1129" s="262"/>
      <c r="G1129" s="320"/>
      <c r="H1129" s="262"/>
      <c r="I1129" s="320"/>
      <c r="J1129" s="320"/>
      <c r="K1129" s="262"/>
      <c r="L1129" s="262"/>
      <c r="M1129" s="327" t="str">
        <f t="shared" si="248"/>
        <v/>
      </c>
      <c r="N1129" s="327" t="str">
        <f t="shared" si="249"/>
        <v/>
      </c>
      <c r="O1129" s="327" t="str">
        <f t="shared" si="250"/>
        <v/>
      </c>
      <c r="P1129" s="327" t="str">
        <f t="shared" si="251"/>
        <v/>
      </c>
      <c r="Q1129" s="327" t="str">
        <f t="shared" si="252"/>
        <v/>
      </c>
      <c r="R1129" s="327" t="str">
        <f t="shared" si="253"/>
        <v/>
      </c>
      <c r="S1129" s="421" t="str">
        <f t="shared" si="254"/>
        <v/>
      </c>
      <c r="T1129" s="327" t="str">
        <f t="shared" si="255"/>
        <v/>
      </c>
      <c r="U1129" s="327" t="str">
        <f t="shared" si="256"/>
        <v/>
      </c>
      <c r="V1129" s="327" t="str">
        <f t="shared" si="257"/>
        <v/>
      </c>
      <c r="W1129" s="327" t="str">
        <f t="shared" si="258"/>
        <v/>
      </c>
      <c r="X1129" s="327" t="str">
        <f t="shared" si="259"/>
        <v/>
      </c>
      <c r="Y1129" s="327" t="str">
        <f t="shared" si="260"/>
        <v/>
      </c>
      <c r="Z1129" s="428" t="str">
        <f t="shared" si="261"/>
        <v/>
      </c>
    </row>
    <row r="1130" spans="1:26" x14ac:dyDescent="0.35">
      <c r="A1130" s="265"/>
      <c r="B1130" s="266"/>
      <c r="C1130" s="262"/>
      <c r="D1130" s="262"/>
      <c r="E1130" s="262"/>
      <c r="F1130" s="262"/>
      <c r="G1130" s="320"/>
      <c r="H1130" s="262"/>
      <c r="I1130" s="320"/>
      <c r="J1130" s="320"/>
      <c r="K1130" s="262"/>
      <c r="L1130" s="262"/>
      <c r="M1130" s="327" t="str">
        <f t="shared" si="248"/>
        <v/>
      </c>
      <c r="N1130" s="327" t="str">
        <f t="shared" si="249"/>
        <v/>
      </c>
      <c r="O1130" s="327" t="str">
        <f t="shared" si="250"/>
        <v/>
      </c>
      <c r="P1130" s="327" t="str">
        <f t="shared" si="251"/>
        <v/>
      </c>
      <c r="Q1130" s="327" t="str">
        <f t="shared" si="252"/>
        <v/>
      </c>
      <c r="R1130" s="327" t="str">
        <f t="shared" si="253"/>
        <v/>
      </c>
      <c r="S1130" s="421" t="str">
        <f t="shared" si="254"/>
        <v/>
      </c>
      <c r="T1130" s="327" t="str">
        <f t="shared" si="255"/>
        <v/>
      </c>
      <c r="U1130" s="327" t="str">
        <f t="shared" si="256"/>
        <v/>
      </c>
      <c r="V1130" s="327" t="str">
        <f t="shared" si="257"/>
        <v/>
      </c>
      <c r="W1130" s="327" t="str">
        <f t="shared" si="258"/>
        <v/>
      </c>
      <c r="X1130" s="327" t="str">
        <f t="shared" si="259"/>
        <v/>
      </c>
      <c r="Y1130" s="327" t="str">
        <f t="shared" si="260"/>
        <v/>
      </c>
      <c r="Z1130" s="428" t="str">
        <f t="shared" si="261"/>
        <v/>
      </c>
    </row>
    <row r="1131" spans="1:26" x14ac:dyDescent="0.35">
      <c r="A1131" s="265"/>
      <c r="B1131" s="266"/>
      <c r="C1131" s="262"/>
      <c r="D1131" s="262"/>
      <c r="E1131" s="262"/>
      <c r="F1131" s="262"/>
      <c r="G1131" s="320"/>
      <c r="H1131" s="262"/>
      <c r="I1131" s="320"/>
      <c r="J1131" s="320"/>
      <c r="K1131" s="262"/>
      <c r="L1131" s="262"/>
      <c r="M1131" s="327" t="str">
        <f t="shared" ref="M1131:M1150" si="262">IF(OR(A1131="", B1131=""), "", IF(H1131="Mitgliedsbeiträge", ABS(B1131), ""))</f>
        <v/>
      </c>
      <c r="N1131" s="327" t="str">
        <f t="shared" ref="N1131:N1150" si="263">IF(OR(A1131="", B1131=""), "", IF(H1131="Spenden", ABS(B1131), ""))</f>
        <v/>
      </c>
      <c r="O1131" s="327" t="str">
        <f t="shared" ref="O1131:O1150" si="264">IF(OR(A1131="", B1131=""), "", IF(H1131="Zuschüsse", ABS(B1131), ""))</f>
        <v/>
      </c>
      <c r="P1131" s="327" t="str">
        <f t="shared" ref="P1131:P1150" si="265">IF(OR(A1131="", B1131=""), "", IF(H1131="Verwaltung", ABS(B1131), ""))</f>
        <v/>
      </c>
      <c r="Q1131" s="327" t="str">
        <f t="shared" ref="Q1131:Q1150" si="266">IF(OR(A1131="", B1131=""), "", IF(H1131="Vermögen", ABS(B1131), ""))</f>
        <v/>
      </c>
      <c r="R1131" s="327" t="str">
        <f t="shared" ref="R1131:R1150" si="267">IF(OR(A1131="", B1131=""), "", IF(H1131="Vermögen", ABS(B1131), ""))</f>
        <v/>
      </c>
      <c r="S1131" s="421" t="str">
        <f t="shared" ref="S1131:S1150" si="268">IF(OR(A1131="", B1131=""), "", IF(H1131="Sonstige Einnahmen", ABS(B1131), ""))</f>
        <v/>
      </c>
      <c r="T1131" s="327" t="str">
        <f t="shared" ref="T1131:T1150" si="269">IF(OR(A1131="", B1131=""), "", IF(H1131="Unterhaltung", ABS(B1131), ""))</f>
        <v/>
      </c>
      <c r="U1131" s="327" t="str">
        <f t="shared" ref="U1131:U1150" si="270">IF(OR(A1131="", B1131=""), "", IF(H1131="Fortbildung", ABS(B1131), ""))</f>
        <v/>
      </c>
      <c r="V1131" s="327" t="str">
        <f t="shared" ref="V1131:V1150" si="271">IF(OR(A1131="", B1131=""), "", IF(H1131="Veranstaltungen Ausgabe", ABS(B1131), ""))</f>
        <v/>
      </c>
      <c r="W1131" s="327" t="str">
        <f t="shared" ref="W1131:W1150" si="272">IF(OR(A1131="", B1131=""), "", IF(H1131="Bürobetrieb", ABS(B1131), ""))</f>
        <v/>
      </c>
      <c r="X1131" s="327" t="str">
        <f t="shared" ref="X1131:X1150" si="273">IF(OR(A1131="", B1131=""), "", IF(H1131="Aufwandsentschädigungen", ABS(B1131), ""))</f>
        <v/>
      </c>
      <c r="Y1131" s="327" t="str">
        <f t="shared" ref="Y1131:Y1150" si="274">IF(OR(A1131="", B1131=""), "", IF(H1131="Sonstige Ausgaben", ABS(B1131), ""))</f>
        <v/>
      </c>
      <c r="Z1131" s="428" t="str">
        <f t="shared" ref="Z1131:Z1150" si="275">IF(OR(A1131="", B1131=""), "", IF(H1131="Kasse-Auszahlung", ABS(B1131), ""))</f>
        <v/>
      </c>
    </row>
    <row r="1132" spans="1:26" x14ac:dyDescent="0.35">
      <c r="A1132" s="265"/>
      <c r="B1132" s="266"/>
      <c r="C1132" s="262"/>
      <c r="D1132" s="262"/>
      <c r="E1132" s="262"/>
      <c r="F1132" s="262"/>
      <c r="G1132" s="320"/>
      <c r="H1132" s="262"/>
      <c r="I1132" s="320"/>
      <c r="J1132" s="320"/>
      <c r="K1132" s="262"/>
      <c r="L1132" s="262"/>
      <c r="M1132" s="327" t="str">
        <f t="shared" si="262"/>
        <v/>
      </c>
      <c r="N1132" s="327" t="str">
        <f t="shared" si="263"/>
        <v/>
      </c>
      <c r="O1132" s="327" t="str">
        <f t="shared" si="264"/>
        <v/>
      </c>
      <c r="P1132" s="327" t="str">
        <f t="shared" si="265"/>
        <v/>
      </c>
      <c r="Q1132" s="327" t="str">
        <f t="shared" si="266"/>
        <v/>
      </c>
      <c r="R1132" s="327" t="str">
        <f t="shared" si="267"/>
        <v/>
      </c>
      <c r="S1132" s="421" t="str">
        <f t="shared" si="268"/>
        <v/>
      </c>
      <c r="T1132" s="327" t="str">
        <f t="shared" si="269"/>
        <v/>
      </c>
      <c r="U1132" s="327" t="str">
        <f t="shared" si="270"/>
        <v/>
      </c>
      <c r="V1132" s="327" t="str">
        <f t="shared" si="271"/>
        <v/>
      </c>
      <c r="W1132" s="327" t="str">
        <f t="shared" si="272"/>
        <v/>
      </c>
      <c r="X1132" s="327" t="str">
        <f t="shared" si="273"/>
        <v/>
      </c>
      <c r="Y1132" s="327" t="str">
        <f t="shared" si="274"/>
        <v/>
      </c>
      <c r="Z1132" s="428" t="str">
        <f t="shared" si="275"/>
        <v/>
      </c>
    </row>
    <row r="1133" spans="1:26" x14ac:dyDescent="0.35">
      <c r="A1133" s="265"/>
      <c r="B1133" s="266"/>
      <c r="C1133" s="262"/>
      <c r="D1133" s="262"/>
      <c r="E1133" s="262"/>
      <c r="F1133" s="262"/>
      <c r="G1133" s="320"/>
      <c r="H1133" s="262"/>
      <c r="I1133" s="320"/>
      <c r="J1133" s="320"/>
      <c r="K1133" s="262"/>
      <c r="L1133" s="262"/>
      <c r="M1133" s="327" t="str">
        <f t="shared" si="262"/>
        <v/>
      </c>
      <c r="N1133" s="327" t="str">
        <f t="shared" si="263"/>
        <v/>
      </c>
      <c r="O1133" s="327" t="str">
        <f t="shared" si="264"/>
        <v/>
      </c>
      <c r="P1133" s="327" t="str">
        <f t="shared" si="265"/>
        <v/>
      </c>
      <c r="Q1133" s="327" t="str">
        <f t="shared" si="266"/>
        <v/>
      </c>
      <c r="R1133" s="327" t="str">
        <f t="shared" si="267"/>
        <v/>
      </c>
      <c r="S1133" s="421" t="str">
        <f t="shared" si="268"/>
        <v/>
      </c>
      <c r="T1133" s="327" t="str">
        <f t="shared" si="269"/>
        <v/>
      </c>
      <c r="U1133" s="327" t="str">
        <f t="shared" si="270"/>
        <v/>
      </c>
      <c r="V1133" s="327" t="str">
        <f t="shared" si="271"/>
        <v/>
      </c>
      <c r="W1133" s="327" t="str">
        <f t="shared" si="272"/>
        <v/>
      </c>
      <c r="X1133" s="327" t="str">
        <f t="shared" si="273"/>
        <v/>
      </c>
      <c r="Y1133" s="327" t="str">
        <f t="shared" si="274"/>
        <v/>
      </c>
      <c r="Z1133" s="428" t="str">
        <f t="shared" si="275"/>
        <v/>
      </c>
    </row>
    <row r="1134" spans="1:26" x14ac:dyDescent="0.35">
      <c r="A1134" s="265"/>
      <c r="B1134" s="266"/>
      <c r="C1134" s="262"/>
      <c r="D1134" s="262"/>
      <c r="E1134" s="262"/>
      <c r="F1134" s="262"/>
      <c r="G1134" s="320"/>
      <c r="H1134" s="262"/>
      <c r="I1134" s="320"/>
      <c r="J1134" s="320"/>
      <c r="K1134" s="262"/>
      <c r="L1134" s="262"/>
      <c r="M1134" s="327" t="str">
        <f t="shared" si="262"/>
        <v/>
      </c>
      <c r="N1134" s="327" t="str">
        <f t="shared" si="263"/>
        <v/>
      </c>
      <c r="O1134" s="327" t="str">
        <f t="shared" si="264"/>
        <v/>
      </c>
      <c r="P1134" s="327" t="str">
        <f t="shared" si="265"/>
        <v/>
      </c>
      <c r="Q1134" s="327" t="str">
        <f t="shared" si="266"/>
        <v/>
      </c>
      <c r="R1134" s="327" t="str">
        <f t="shared" si="267"/>
        <v/>
      </c>
      <c r="S1134" s="421" t="str">
        <f t="shared" si="268"/>
        <v/>
      </c>
      <c r="T1134" s="327" t="str">
        <f t="shared" si="269"/>
        <v/>
      </c>
      <c r="U1134" s="327" t="str">
        <f t="shared" si="270"/>
        <v/>
      </c>
      <c r="V1134" s="327" t="str">
        <f t="shared" si="271"/>
        <v/>
      </c>
      <c r="W1134" s="327" t="str">
        <f t="shared" si="272"/>
        <v/>
      </c>
      <c r="X1134" s="327" t="str">
        <f t="shared" si="273"/>
        <v/>
      </c>
      <c r="Y1134" s="327" t="str">
        <f t="shared" si="274"/>
        <v/>
      </c>
      <c r="Z1134" s="428" t="str">
        <f t="shared" si="275"/>
        <v/>
      </c>
    </row>
    <row r="1135" spans="1:26" x14ac:dyDescent="0.35">
      <c r="A1135" s="265"/>
      <c r="B1135" s="266"/>
      <c r="C1135" s="262"/>
      <c r="D1135" s="262"/>
      <c r="E1135" s="262"/>
      <c r="F1135" s="262"/>
      <c r="G1135" s="320"/>
      <c r="H1135" s="262"/>
      <c r="I1135" s="320"/>
      <c r="J1135" s="320"/>
      <c r="K1135" s="262"/>
      <c r="L1135" s="262"/>
      <c r="M1135" s="327" t="str">
        <f t="shared" si="262"/>
        <v/>
      </c>
      <c r="N1135" s="327" t="str">
        <f t="shared" si="263"/>
        <v/>
      </c>
      <c r="O1135" s="327" t="str">
        <f t="shared" si="264"/>
        <v/>
      </c>
      <c r="P1135" s="327" t="str">
        <f t="shared" si="265"/>
        <v/>
      </c>
      <c r="Q1135" s="327" t="str">
        <f t="shared" si="266"/>
        <v/>
      </c>
      <c r="R1135" s="327" t="str">
        <f t="shared" si="267"/>
        <v/>
      </c>
      <c r="S1135" s="421" t="str">
        <f t="shared" si="268"/>
        <v/>
      </c>
      <c r="T1135" s="327" t="str">
        <f t="shared" si="269"/>
        <v/>
      </c>
      <c r="U1135" s="327" t="str">
        <f t="shared" si="270"/>
        <v/>
      </c>
      <c r="V1135" s="327" t="str">
        <f t="shared" si="271"/>
        <v/>
      </c>
      <c r="W1135" s="327" t="str">
        <f t="shared" si="272"/>
        <v/>
      </c>
      <c r="X1135" s="327" t="str">
        <f t="shared" si="273"/>
        <v/>
      </c>
      <c r="Y1135" s="327" t="str">
        <f t="shared" si="274"/>
        <v/>
      </c>
      <c r="Z1135" s="428" t="str">
        <f t="shared" si="275"/>
        <v/>
      </c>
    </row>
    <row r="1136" spans="1:26" x14ac:dyDescent="0.35">
      <c r="A1136" s="265"/>
      <c r="B1136" s="266"/>
      <c r="C1136" s="262"/>
      <c r="D1136" s="262"/>
      <c r="E1136" s="262"/>
      <c r="F1136" s="262"/>
      <c r="G1136" s="320"/>
      <c r="H1136" s="262"/>
      <c r="I1136" s="320"/>
      <c r="J1136" s="320"/>
      <c r="K1136" s="262"/>
      <c r="L1136" s="262"/>
      <c r="M1136" s="327" t="str">
        <f t="shared" si="262"/>
        <v/>
      </c>
      <c r="N1136" s="327" t="str">
        <f t="shared" si="263"/>
        <v/>
      </c>
      <c r="O1136" s="327" t="str">
        <f t="shared" si="264"/>
        <v/>
      </c>
      <c r="P1136" s="327" t="str">
        <f t="shared" si="265"/>
        <v/>
      </c>
      <c r="Q1136" s="327" t="str">
        <f t="shared" si="266"/>
        <v/>
      </c>
      <c r="R1136" s="327" t="str">
        <f t="shared" si="267"/>
        <v/>
      </c>
      <c r="S1136" s="421" t="str">
        <f t="shared" si="268"/>
        <v/>
      </c>
      <c r="T1136" s="327" t="str">
        <f t="shared" si="269"/>
        <v/>
      </c>
      <c r="U1136" s="327" t="str">
        <f t="shared" si="270"/>
        <v/>
      </c>
      <c r="V1136" s="327" t="str">
        <f t="shared" si="271"/>
        <v/>
      </c>
      <c r="W1136" s="327" t="str">
        <f t="shared" si="272"/>
        <v/>
      </c>
      <c r="X1136" s="327" t="str">
        <f t="shared" si="273"/>
        <v/>
      </c>
      <c r="Y1136" s="327" t="str">
        <f t="shared" si="274"/>
        <v/>
      </c>
      <c r="Z1136" s="428" t="str">
        <f t="shared" si="275"/>
        <v/>
      </c>
    </row>
    <row r="1137" spans="1:26" x14ac:dyDescent="0.35">
      <c r="A1137" s="265"/>
      <c r="B1137" s="266"/>
      <c r="C1137" s="262"/>
      <c r="D1137" s="262"/>
      <c r="E1137" s="262"/>
      <c r="F1137" s="262"/>
      <c r="G1137" s="320"/>
      <c r="H1137" s="262"/>
      <c r="I1137" s="320"/>
      <c r="J1137" s="320"/>
      <c r="K1137" s="262"/>
      <c r="L1137" s="262"/>
      <c r="M1137" s="327" t="str">
        <f t="shared" si="262"/>
        <v/>
      </c>
      <c r="N1137" s="327" t="str">
        <f t="shared" si="263"/>
        <v/>
      </c>
      <c r="O1137" s="327" t="str">
        <f t="shared" si="264"/>
        <v/>
      </c>
      <c r="P1137" s="327" t="str">
        <f t="shared" si="265"/>
        <v/>
      </c>
      <c r="Q1137" s="327" t="str">
        <f t="shared" si="266"/>
        <v/>
      </c>
      <c r="R1137" s="327" t="str">
        <f t="shared" si="267"/>
        <v/>
      </c>
      <c r="S1137" s="421" t="str">
        <f t="shared" si="268"/>
        <v/>
      </c>
      <c r="T1137" s="327" t="str">
        <f t="shared" si="269"/>
        <v/>
      </c>
      <c r="U1137" s="327" t="str">
        <f t="shared" si="270"/>
        <v/>
      </c>
      <c r="V1137" s="327" t="str">
        <f t="shared" si="271"/>
        <v/>
      </c>
      <c r="W1137" s="327" t="str">
        <f t="shared" si="272"/>
        <v/>
      </c>
      <c r="X1137" s="327" t="str">
        <f t="shared" si="273"/>
        <v/>
      </c>
      <c r="Y1137" s="327" t="str">
        <f t="shared" si="274"/>
        <v/>
      </c>
      <c r="Z1137" s="428" t="str">
        <f t="shared" si="275"/>
        <v/>
      </c>
    </row>
    <row r="1138" spans="1:26" x14ac:dyDescent="0.35">
      <c r="A1138" s="265"/>
      <c r="B1138" s="266"/>
      <c r="C1138" s="262"/>
      <c r="D1138" s="262"/>
      <c r="E1138" s="262"/>
      <c r="F1138" s="262"/>
      <c r="G1138" s="320"/>
      <c r="H1138" s="262"/>
      <c r="I1138" s="320"/>
      <c r="J1138" s="320"/>
      <c r="K1138" s="262"/>
      <c r="L1138" s="262"/>
      <c r="M1138" s="327" t="str">
        <f t="shared" si="262"/>
        <v/>
      </c>
      <c r="N1138" s="327" t="str">
        <f t="shared" si="263"/>
        <v/>
      </c>
      <c r="O1138" s="327" t="str">
        <f t="shared" si="264"/>
        <v/>
      </c>
      <c r="P1138" s="327" t="str">
        <f t="shared" si="265"/>
        <v/>
      </c>
      <c r="Q1138" s="327" t="str">
        <f t="shared" si="266"/>
        <v/>
      </c>
      <c r="R1138" s="327" t="str">
        <f t="shared" si="267"/>
        <v/>
      </c>
      <c r="S1138" s="421" t="str">
        <f t="shared" si="268"/>
        <v/>
      </c>
      <c r="T1138" s="327" t="str">
        <f t="shared" si="269"/>
        <v/>
      </c>
      <c r="U1138" s="327" t="str">
        <f t="shared" si="270"/>
        <v/>
      </c>
      <c r="V1138" s="327" t="str">
        <f t="shared" si="271"/>
        <v/>
      </c>
      <c r="W1138" s="327" t="str">
        <f t="shared" si="272"/>
        <v/>
      </c>
      <c r="X1138" s="327" t="str">
        <f t="shared" si="273"/>
        <v/>
      </c>
      <c r="Y1138" s="327" t="str">
        <f t="shared" si="274"/>
        <v/>
      </c>
      <c r="Z1138" s="428" t="str">
        <f t="shared" si="275"/>
        <v/>
      </c>
    </row>
    <row r="1139" spans="1:26" x14ac:dyDescent="0.35">
      <c r="A1139" s="265"/>
      <c r="B1139" s="266"/>
      <c r="C1139" s="262"/>
      <c r="D1139" s="262"/>
      <c r="E1139" s="262"/>
      <c r="F1139" s="262"/>
      <c r="G1139" s="320"/>
      <c r="H1139" s="262"/>
      <c r="I1139" s="320"/>
      <c r="J1139" s="320"/>
      <c r="K1139" s="262"/>
      <c r="L1139" s="262"/>
      <c r="M1139" s="327" t="str">
        <f t="shared" si="262"/>
        <v/>
      </c>
      <c r="N1139" s="327" t="str">
        <f t="shared" si="263"/>
        <v/>
      </c>
      <c r="O1139" s="327" t="str">
        <f t="shared" si="264"/>
        <v/>
      </c>
      <c r="P1139" s="327" t="str">
        <f t="shared" si="265"/>
        <v/>
      </c>
      <c r="Q1139" s="327" t="str">
        <f t="shared" si="266"/>
        <v/>
      </c>
      <c r="R1139" s="327" t="str">
        <f t="shared" si="267"/>
        <v/>
      </c>
      <c r="S1139" s="421" t="str">
        <f t="shared" si="268"/>
        <v/>
      </c>
      <c r="T1139" s="327" t="str">
        <f t="shared" si="269"/>
        <v/>
      </c>
      <c r="U1139" s="327" t="str">
        <f t="shared" si="270"/>
        <v/>
      </c>
      <c r="V1139" s="327" t="str">
        <f t="shared" si="271"/>
        <v/>
      </c>
      <c r="W1139" s="327" t="str">
        <f t="shared" si="272"/>
        <v/>
      </c>
      <c r="X1139" s="327" t="str">
        <f t="shared" si="273"/>
        <v/>
      </c>
      <c r="Y1139" s="327" t="str">
        <f t="shared" si="274"/>
        <v/>
      </c>
      <c r="Z1139" s="428" t="str">
        <f t="shared" si="275"/>
        <v/>
      </c>
    </row>
    <row r="1140" spans="1:26" x14ac:dyDescent="0.35">
      <c r="A1140" s="265"/>
      <c r="B1140" s="266"/>
      <c r="C1140" s="262"/>
      <c r="D1140" s="262"/>
      <c r="E1140" s="262"/>
      <c r="F1140" s="262"/>
      <c r="G1140" s="320"/>
      <c r="H1140" s="262"/>
      <c r="I1140" s="320"/>
      <c r="J1140" s="320"/>
      <c r="K1140" s="262"/>
      <c r="L1140" s="262"/>
      <c r="M1140" s="327" t="str">
        <f t="shared" si="262"/>
        <v/>
      </c>
      <c r="N1140" s="327" t="str">
        <f t="shared" si="263"/>
        <v/>
      </c>
      <c r="O1140" s="327" t="str">
        <f t="shared" si="264"/>
        <v/>
      </c>
      <c r="P1140" s="327" t="str">
        <f t="shared" si="265"/>
        <v/>
      </c>
      <c r="Q1140" s="327" t="str">
        <f t="shared" si="266"/>
        <v/>
      </c>
      <c r="R1140" s="327" t="str">
        <f t="shared" si="267"/>
        <v/>
      </c>
      <c r="S1140" s="421" t="str">
        <f t="shared" si="268"/>
        <v/>
      </c>
      <c r="T1140" s="327" t="str">
        <f t="shared" si="269"/>
        <v/>
      </c>
      <c r="U1140" s="327" t="str">
        <f t="shared" si="270"/>
        <v/>
      </c>
      <c r="V1140" s="327" t="str">
        <f t="shared" si="271"/>
        <v/>
      </c>
      <c r="W1140" s="327" t="str">
        <f t="shared" si="272"/>
        <v/>
      </c>
      <c r="X1140" s="327" t="str">
        <f t="shared" si="273"/>
        <v/>
      </c>
      <c r="Y1140" s="327" t="str">
        <f t="shared" si="274"/>
        <v/>
      </c>
      <c r="Z1140" s="428" t="str">
        <f t="shared" si="275"/>
        <v/>
      </c>
    </row>
    <row r="1141" spans="1:26" x14ac:dyDescent="0.35">
      <c r="A1141" s="265"/>
      <c r="B1141" s="266"/>
      <c r="C1141" s="262"/>
      <c r="D1141" s="262"/>
      <c r="E1141" s="262"/>
      <c r="F1141" s="262"/>
      <c r="G1141" s="320"/>
      <c r="H1141" s="262"/>
      <c r="I1141" s="320"/>
      <c r="J1141" s="320"/>
      <c r="K1141" s="262"/>
      <c r="L1141" s="262"/>
      <c r="M1141" s="327" t="str">
        <f t="shared" si="262"/>
        <v/>
      </c>
      <c r="N1141" s="327" t="str">
        <f t="shared" si="263"/>
        <v/>
      </c>
      <c r="O1141" s="327" t="str">
        <f t="shared" si="264"/>
        <v/>
      </c>
      <c r="P1141" s="327" t="str">
        <f t="shared" si="265"/>
        <v/>
      </c>
      <c r="Q1141" s="327" t="str">
        <f t="shared" si="266"/>
        <v/>
      </c>
      <c r="R1141" s="327" t="str">
        <f t="shared" si="267"/>
        <v/>
      </c>
      <c r="S1141" s="421" t="str">
        <f t="shared" si="268"/>
        <v/>
      </c>
      <c r="T1141" s="327" t="str">
        <f t="shared" si="269"/>
        <v/>
      </c>
      <c r="U1141" s="327" t="str">
        <f t="shared" si="270"/>
        <v/>
      </c>
      <c r="V1141" s="327" t="str">
        <f t="shared" si="271"/>
        <v/>
      </c>
      <c r="W1141" s="327" t="str">
        <f t="shared" si="272"/>
        <v/>
      </c>
      <c r="X1141" s="327" t="str">
        <f t="shared" si="273"/>
        <v/>
      </c>
      <c r="Y1141" s="327" t="str">
        <f t="shared" si="274"/>
        <v/>
      </c>
      <c r="Z1141" s="428" t="str">
        <f t="shared" si="275"/>
        <v/>
      </c>
    </row>
    <row r="1142" spans="1:26" x14ac:dyDescent="0.35">
      <c r="A1142" s="265"/>
      <c r="B1142" s="266"/>
      <c r="C1142" s="262"/>
      <c r="D1142" s="262"/>
      <c r="E1142" s="262"/>
      <c r="F1142" s="262"/>
      <c r="G1142" s="320"/>
      <c r="H1142" s="262"/>
      <c r="I1142" s="320"/>
      <c r="J1142" s="320"/>
      <c r="K1142" s="262"/>
      <c r="L1142" s="262"/>
      <c r="M1142" s="327" t="str">
        <f t="shared" si="262"/>
        <v/>
      </c>
      <c r="N1142" s="327" t="str">
        <f t="shared" si="263"/>
        <v/>
      </c>
      <c r="O1142" s="327" t="str">
        <f t="shared" si="264"/>
        <v/>
      </c>
      <c r="P1142" s="327" t="str">
        <f t="shared" si="265"/>
        <v/>
      </c>
      <c r="Q1142" s="327" t="str">
        <f t="shared" si="266"/>
        <v/>
      </c>
      <c r="R1142" s="327" t="str">
        <f t="shared" si="267"/>
        <v/>
      </c>
      <c r="S1142" s="421" t="str">
        <f t="shared" si="268"/>
        <v/>
      </c>
      <c r="T1142" s="327" t="str">
        <f t="shared" si="269"/>
        <v/>
      </c>
      <c r="U1142" s="327" t="str">
        <f t="shared" si="270"/>
        <v/>
      </c>
      <c r="V1142" s="327" t="str">
        <f t="shared" si="271"/>
        <v/>
      </c>
      <c r="W1142" s="327" t="str">
        <f t="shared" si="272"/>
        <v/>
      </c>
      <c r="X1142" s="327" t="str">
        <f t="shared" si="273"/>
        <v/>
      </c>
      <c r="Y1142" s="327" t="str">
        <f t="shared" si="274"/>
        <v/>
      </c>
      <c r="Z1142" s="428" t="str">
        <f t="shared" si="275"/>
        <v/>
      </c>
    </row>
    <row r="1143" spans="1:26" x14ac:dyDescent="0.35">
      <c r="A1143" s="265"/>
      <c r="B1143" s="266"/>
      <c r="C1143" s="262"/>
      <c r="D1143" s="262"/>
      <c r="E1143" s="262"/>
      <c r="F1143" s="262"/>
      <c r="G1143" s="320"/>
      <c r="H1143" s="262"/>
      <c r="I1143" s="320"/>
      <c r="J1143" s="320"/>
      <c r="K1143" s="262"/>
      <c r="L1143" s="262"/>
      <c r="M1143" s="327" t="str">
        <f t="shared" si="262"/>
        <v/>
      </c>
      <c r="N1143" s="327" t="str">
        <f t="shared" si="263"/>
        <v/>
      </c>
      <c r="O1143" s="327" t="str">
        <f t="shared" si="264"/>
        <v/>
      </c>
      <c r="P1143" s="327" t="str">
        <f t="shared" si="265"/>
        <v/>
      </c>
      <c r="Q1143" s="327" t="str">
        <f t="shared" si="266"/>
        <v/>
      </c>
      <c r="R1143" s="327" t="str">
        <f t="shared" si="267"/>
        <v/>
      </c>
      <c r="S1143" s="421" t="str">
        <f t="shared" si="268"/>
        <v/>
      </c>
      <c r="T1143" s="327" t="str">
        <f t="shared" si="269"/>
        <v/>
      </c>
      <c r="U1143" s="327" t="str">
        <f t="shared" si="270"/>
        <v/>
      </c>
      <c r="V1143" s="327" t="str">
        <f t="shared" si="271"/>
        <v/>
      </c>
      <c r="W1143" s="327" t="str">
        <f t="shared" si="272"/>
        <v/>
      </c>
      <c r="X1143" s="327" t="str">
        <f t="shared" si="273"/>
        <v/>
      </c>
      <c r="Y1143" s="327" t="str">
        <f t="shared" si="274"/>
        <v/>
      </c>
      <c r="Z1143" s="428" t="str">
        <f t="shared" si="275"/>
        <v/>
      </c>
    </row>
    <row r="1144" spans="1:26" x14ac:dyDescent="0.35">
      <c r="A1144" s="265"/>
      <c r="B1144" s="266"/>
      <c r="C1144" s="262"/>
      <c r="D1144" s="262"/>
      <c r="E1144" s="262"/>
      <c r="F1144" s="262"/>
      <c r="G1144" s="320"/>
      <c r="H1144" s="262"/>
      <c r="I1144" s="320"/>
      <c r="J1144" s="320"/>
      <c r="K1144" s="262"/>
      <c r="L1144" s="262"/>
      <c r="M1144" s="327" t="str">
        <f t="shared" si="262"/>
        <v/>
      </c>
      <c r="N1144" s="327" t="str">
        <f t="shared" si="263"/>
        <v/>
      </c>
      <c r="O1144" s="327" t="str">
        <f t="shared" si="264"/>
        <v/>
      </c>
      <c r="P1144" s="327" t="str">
        <f t="shared" si="265"/>
        <v/>
      </c>
      <c r="Q1144" s="327" t="str">
        <f t="shared" si="266"/>
        <v/>
      </c>
      <c r="R1144" s="327" t="str">
        <f t="shared" si="267"/>
        <v/>
      </c>
      <c r="S1144" s="421" t="str">
        <f t="shared" si="268"/>
        <v/>
      </c>
      <c r="T1144" s="327" t="str">
        <f t="shared" si="269"/>
        <v/>
      </c>
      <c r="U1144" s="327" t="str">
        <f t="shared" si="270"/>
        <v/>
      </c>
      <c r="V1144" s="327" t="str">
        <f t="shared" si="271"/>
        <v/>
      </c>
      <c r="W1144" s="327" t="str">
        <f t="shared" si="272"/>
        <v/>
      </c>
      <c r="X1144" s="327" t="str">
        <f t="shared" si="273"/>
        <v/>
      </c>
      <c r="Y1144" s="327" t="str">
        <f t="shared" si="274"/>
        <v/>
      </c>
      <c r="Z1144" s="428" t="str">
        <f t="shared" si="275"/>
        <v/>
      </c>
    </row>
    <row r="1145" spans="1:26" x14ac:dyDescent="0.35">
      <c r="A1145" s="265"/>
      <c r="B1145" s="266"/>
      <c r="C1145" s="262"/>
      <c r="D1145" s="262"/>
      <c r="E1145" s="262"/>
      <c r="F1145" s="262"/>
      <c r="G1145" s="320"/>
      <c r="H1145" s="262"/>
      <c r="I1145" s="320"/>
      <c r="J1145" s="320"/>
      <c r="K1145" s="262"/>
      <c r="L1145" s="262"/>
      <c r="M1145" s="327" t="str">
        <f t="shared" si="262"/>
        <v/>
      </c>
      <c r="N1145" s="327" t="str">
        <f t="shared" si="263"/>
        <v/>
      </c>
      <c r="O1145" s="327" t="str">
        <f t="shared" si="264"/>
        <v/>
      </c>
      <c r="P1145" s="327" t="str">
        <f t="shared" si="265"/>
        <v/>
      </c>
      <c r="Q1145" s="327" t="str">
        <f t="shared" si="266"/>
        <v/>
      </c>
      <c r="R1145" s="327" t="str">
        <f t="shared" si="267"/>
        <v/>
      </c>
      <c r="S1145" s="421" t="str">
        <f t="shared" si="268"/>
        <v/>
      </c>
      <c r="T1145" s="327" t="str">
        <f t="shared" si="269"/>
        <v/>
      </c>
      <c r="U1145" s="327" t="str">
        <f t="shared" si="270"/>
        <v/>
      </c>
      <c r="V1145" s="327" t="str">
        <f t="shared" si="271"/>
        <v/>
      </c>
      <c r="W1145" s="327" t="str">
        <f t="shared" si="272"/>
        <v/>
      </c>
      <c r="X1145" s="327" t="str">
        <f t="shared" si="273"/>
        <v/>
      </c>
      <c r="Y1145" s="327" t="str">
        <f t="shared" si="274"/>
        <v/>
      </c>
      <c r="Z1145" s="428" t="str">
        <f t="shared" si="275"/>
        <v/>
      </c>
    </row>
    <row r="1146" spans="1:26" x14ac:dyDescent="0.35">
      <c r="A1146" s="265"/>
      <c r="B1146" s="266"/>
      <c r="C1146" s="262"/>
      <c r="D1146" s="262"/>
      <c r="E1146" s="262"/>
      <c r="F1146" s="262"/>
      <c r="G1146" s="320"/>
      <c r="H1146" s="262"/>
      <c r="I1146" s="320"/>
      <c r="J1146" s="320"/>
      <c r="K1146" s="262"/>
      <c r="L1146" s="262"/>
      <c r="M1146" s="327" t="str">
        <f t="shared" si="262"/>
        <v/>
      </c>
      <c r="N1146" s="327" t="str">
        <f t="shared" si="263"/>
        <v/>
      </c>
      <c r="O1146" s="327" t="str">
        <f t="shared" si="264"/>
        <v/>
      </c>
      <c r="P1146" s="327" t="str">
        <f t="shared" si="265"/>
        <v/>
      </c>
      <c r="Q1146" s="327" t="str">
        <f t="shared" si="266"/>
        <v/>
      </c>
      <c r="R1146" s="327" t="str">
        <f t="shared" si="267"/>
        <v/>
      </c>
      <c r="S1146" s="421" t="str">
        <f t="shared" si="268"/>
        <v/>
      </c>
      <c r="T1146" s="327" t="str">
        <f t="shared" si="269"/>
        <v/>
      </c>
      <c r="U1146" s="327" t="str">
        <f t="shared" si="270"/>
        <v/>
      </c>
      <c r="V1146" s="327" t="str">
        <f t="shared" si="271"/>
        <v/>
      </c>
      <c r="W1146" s="327" t="str">
        <f t="shared" si="272"/>
        <v/>
      </c>
      <c r="X1146" s="327" t="str">
        <f t="shared" si="273"/>
        <v/>
      </c>
      <c r="Y1146" s="327" t="str">
        <f t="shared" si="274"/>
        <v/>
      </c>
      <c r="Z1146" s="428" t="str">
        <f t="shared" si="275"/>
        <v/>
      </c>
    </row>
    <row r="1147" spans="1:26" x14ac:dyDescent="0.35">
      <c r="A1147" s="265"/>
      <c r="B1147" s="266"/>
      <c r="C1147" s="262"/>
      <c r="D1147" s="262"/>
      <c r="E1147" s="262"/>
      <c r="F1147" s="262"/>
      <c r="G1147" s="320"/>
      <c r="H1147" s="262"/>
      <c r="I1147" s="320"/>
      <c r="J1147" s="320"/>
      <c r="K1147" s="262"/>
      <c r="L1147" s="262"/>
      <c r="M1147" s="327" t="str">
        <f t="shared" si="262"/>
        <v/>
      </c>
      <c r="N1147" s="327" t="str">
        <f t="shared" si="263"/>
        <v/>
      </c>
      <c r="O1147" s="327" t="str">
        <f t="shared" si="264"/>
        <v/>
      </c>
      <c r="P1147" s="327" t="str">
        <f t="shared" si="265"/>
        <v/>
      </c>
      <c r="Q1147" s="327" t="str">
        <f t="shared" si="266"/>
        <v/>
      </c>
      <c r="R1147" s="327" t="str">
        <f t="shared" si="267"/>
        <v/>
      </c>
      <c r="S1147" s="421" t="str">
        <f t="shared" si="268"/>
        <v/>
      </c>
      <c r="T1147" s="327" t="str">
        <f t="shared" si="269"/>
        <v/>
      </c>
      <c r="U1147" s="327" t="str">
        <f t="shared" si="270"/>
        <v/>
      </c>
      <c r="V1147" s="327" t="str">
        <f t="shared" si="271"/>
        <v/>
      </c>
      <c r="W1147" s="327" t="str">
        <f t="shared" si="272"/>
        <v/>
      </c>
      <c r="X1147" s="327" t="str">
        <f t="shared" si="273"/>
        <v/>
      </c>
      <c r="Y1147" s="327" t="str">
        <f t="shared" si="274"/>
        <v/>
      </c>
      <c r="Z1147" s="428" t="str">
        <f t="shared" si="275"/>
        <v/>
      </c>
    </row>
    <row r="1148" spans="1:26" x14ac:dyDescent="0.35">
      <c r="A1148" s="265"/>
      <c r="B1148" s="266"/>
      <c r="C1148" s="262"/>
      <c r="D1148" s="262"/>
      <c r="E1148" s="262"/>
      <c r="F1148" s="262"/>
      <c r="G1148" s="320"/>
      <c r="H1148" s="262"/>
      <c r="I1148" s="320"/>
      <c r="J1148" s="320"/>
      <c r="K1148" s="262"/>
      <c r="L1148" s="262"/>
      <c r="M1148" s="327" t="str">
        <f t="shared" si="262"/>
        <v/>
      </c>
      <c r="N1148" s="327" t="str">
        <f t="shared" si="263"/>
        <v/>
      </c>
      <c r="O1148" s="327" t="str">
        <f t="shared" si="264"/>
        <v/>
      </c>
      <c r="P1148" s="327" t="str">
        <f t="shared" si="265"/>
        <v/>
      </c>
      <c r="Q1148" s="327" t="str">
        <f t="shared" si="266"/>
        <v/>
      </c>
      <c r="R1148" s="327" t="str">
        <f t="shared" si="267"/>
        <v/>
      </c>
      <c r="S1148" s="421" t="str">
        <f t="shared" si="268"/>
        <v/>
      </c>
      <c r="T1148" s="327" t="str">
        <f t="shared" si="269"/>
        <v/>
      </c>
      <c r="U1148" s="327" t="str">
        <f t="shared" si="270"/>
        <v/>
      </c>
      <c r="V1148" s="327" t="str">
        <f t="shared" si="271"/>
        <v/>
      </c>
      <c r="W1148" s="327" t="str">
        <f t="shared" si="272"/>
        <v/>
      </c>
      <c r="X1148" s="327" t="str">
        <f t="shared" si="273"/>
        <v/>
      </c>
      <c r="Y1148" s="327" t="str">
        <f t="shared" si="274"/>
        <v/>
      </c>
      <c r="Z1148" s="428" t="str">
        <f t="shared" si="275"/>
        <v/>
      </c>
    </row>
    <row r="1149" spans="1:26" x14ac:dyDescent="0.35">
      <c r="A1149" s="265"/>
      <c r="B1149" s="266"/>
      <c r="C1149" s="262"/>
      <c r="D1149" s="262"/>
      <c r="E1149" s="262"/>
      <c r="F1149" s="262"/>
      <c r="G1149" s="320"/>
      <c r="H1149" s="262"/>
      <c r="I1149" s="320"/>
      <c r="J1149" s="320"/>
      <c r="K1149" s="262"/>
      <c r="L1149" s="262"/>
      <c r="M1149" s="327" t="str">
        <f t="shared" si="262"/>
        <v/>
      </c>
      <c r="N1149" s="327" t="str">
        <f t="shared" si="263"/>
        <v/>
      </c>
      <c r="O1149" s="327" t="str">
        <f t="shared" si="264"/>
        <v/>
      </c>
      <c r="P1149" s="327" t="str">
        <f t="shared" si="265"/>
        <v/>
      </c>
      <c r="Q1149" s="327" t="str">
        <f t="shared" si="266"/>
        <v/>
      </c>
      <c r="R1149" s="327" t="str">
        <f t="shared" si="267"/>
        <v/>
      </c>
      <c r="S1149" s="421" t="str">
        <f t="shared" si="268"/>
        <v/>
      </c>
      <c r="T1149" s="327" t="str">
        <f t="shared" si="269"/>
        <v/>
      </c>
      <c r="U1149" s="327" t="str">
        <f t="shared" si="270"/>
        <v/>
      </c>
      <c r="V1149" s="327" t="str">
        <f t="shared" si="271"/>
        <v/>
      </c>
      <c r="W1149" s="327" t="str">
        <f t="shared" si="272"/>
        <v/>
      </c>
      <c r="X1149" s="327" t="str">
        <f t="shared" si="273"/>
        <v/>
      </c>
      <c r="Y1149" s="327" t="str">
        <f t="shared" si="274"/>
        <v/>
      </c>
      <c r="Z1149" s="428" t="str">
        <f t="shared" si="275"/>
        <v/>
      </c>
    </row>
    <row r="1150" spans="1:26" x14ac:dyDescent="0.35">
      <c r="A1150" s="265"/>
      <c r="B1150" s="266"/>
      <c r="C1150" s="262"/>
      <c r="D1150" s="262"/>
      <c r="E1150" s="262"/>
      <c r="F1150" s="262"/>
      <c r="G1150" s="320"/>
      <c r="H1150" s="262"/>
      <c r="I1150" s="320"/>
      <c r="J1150" s="320"/>
      <c r="K1150" s="262"/>
      <c r="L1150" s="262"/>
      <c r="M1150" s="327" t="str">
        <f t="shared" si="262"/>
        <v/>
      </c>
      <c r="N1150" s="327" t="str">
        <f t="shared" si="263"/>
        <v/>
      </c>
      <c r="O1150" s="327" t="str">
        <f t="shared" si="264"/>
        <v/>
      </c>
      <c r="P1150" s="327" t="str">
        <f t="shared" si="265"/>
        <v/>
      </c>
      <c r="Q1150" s="327" t="str">
        <f t="shared" si="266"/>
        <v/>
      </c>
      <c r="R1150" s="327" t="str">
        <f t="shared" si="267"/>
        <v/>
      </c>
      <c r="S1150" s="421" t="str">
        <f t="shared" si="268"/>
        <v/>
      </c>
      <c r="T1150" s="327" t="str">
        <f t="shared" si="269"/>
        <v/>
      </c>
      <c r="U1150" s="327" t="str">
        <f t="shared" si="270"/>
        <v/>
      </c>
      <c r="V1150" s="327" t="str">
        <f t="shared" si="271"/>
        <v/>
      </c>
      <c r="W1150" s="327" t="str">
        <f t="shared" si="272"/>
        <v/>
      </c>
      <c r="X1150" s="327" t="str">
        <f t="shared" si="273"/>
        <v/>
      </c>
      <c r="Y1150" s="327" t="str">
        <f t="shared" si="274"/>
        <v/>
      </c>
      <c r="Z1150" s="428" t="str">
        <f t="shared" si="275"/>
        <v/>
      </c>
    </row>
    <row r="1151" spans="1:26" x14ac:dyDescent="0.35">
      <c r="L1151" s="274"/>
      <c r="S1151" s="421"/>
    </row>
    <row r="1152" spans="1:26" x14ac:dyDescent="0.35">
      <c r="L1152" s="274"/>
      <c r="S1152" s="421"/>
    </row>
    <row r="1153" spans="12:19" x14ac:dyDescent="0.35">
      <c r="L1153" s="274"/>
      <c r="S1153" s="421"/>
    </row>
    <row r="1154" spans="12:19" x14ac:dyDescent="0.35">
      <c r="L1154" s="274"/>
      <c r="S1154" s="421"/>
    </row>
    <row r="1155" spans="12:19" x14ac:dyDescent="0.35">
      <c r="L1155" s="274"/>
      <c r="S1155" s="421"/>
    </row>
    <row r="1156" spans="12:19" x14ac:dyDescent="0.35">
      <c r="L1156" s="274"/>
      <c r="S1156" s="421"/>
    </row>
    <row r="1157" spans="12:19" x14ac:dyDescent="0.35">
      <c r="L1157" s="274"/>
      <c r="S1157" s="421"/>
    </row>
    <row r="1158" spans="12:19" x14ac:dyDescent="0.35">
      <c r="L1158" s="274"/>
    </row>
    <row r="1159" spans="12:19" x14ac:dyDescent="0.35">
      <c r="L1159" s="274"/>
    </row>
    <row r="1160" spans="12:19" x14ac:dyDescent="0.35">
      <c r="L1160" s="274"/>
    </row>
    <row r="1161" spans="12:19" x14ac:dyDescent="0.35">
      <c r="L1161" s="274"/>
    </row>
    <row r="1162" spans="12:19" x14ac:dyDescent="0.35">
      <c r="L1162" s="274"/>
    </row>
    <row r="1163" spans="12:19" x14ac:dyDescent="0.35">
      <c r="L1163" s="274"/>
    </row>
    <row r="1164" spans="12:19" x14ac:dyDescent="0.35">
      <c r="L1164" s="274"/>
    </row>
    <row r="1165" spans="12:19" x14ac:dyDescent="0.35">
      <c r="L1165" s="274"/>
    </row>
    <row r="1166" spans="12:19" x14ac:dyDescent="0.35">
      <c r="L1166" s="274"/>
    </row>
    <row r="1167" spans="12:19" x14ac:dyDescent="0.35">
      <c r="L1167" s="274"/>
    </row>
    <row r="1168" spans="12:19" x14ac:dyDescent="0.35">
      <c r="L1168" s="274"/>
    </row>
    <row r="1169" spans="12:12" x14ac:dyDescent="0.35">
      <c r="L1169" s="274"/>
    </row>
    <row r="1170" spans="12:12" x14ac:dyDescent="0.35">
      <c r="L1170" s="274"/>
    </row>
    <row r="1171" spans="12:12" x14ac:dyDescent="0.35">
      <c r="L1171" s="274"/>
    </row>
    <row r="1172" spans="12:12" x14ac:dyDescent="0.35">
      <c r="L1172" s="274"/>
    </row>
    <row r="1173" spans="12:12" x14ac:dyDescent="0.35">
      <c r="L1173" s="274"/>
    </row>
    <row r="1174" spans="12:12" x14ac:dyDescent="0.35">
      <c r="L1174" s="274"/>
    </row>
    <row r="1175" spans="12:12" x14ac:dyDescent="0.35">
      <c r="L1175" s="274"/>
    </row>
    <row r="1176" spans="12:12" x14ac:dyDescent="0.35">
      <c r="L1176" s="274"/>
    </row>
    <row r="1177" spans="12:12" x14ac:dyDescent="0.35">
      <c r="L1177" s="274"/>
    </row>
    <row r="1178" spans="12:12" x14ac:dyDescent="0.35">
      <c r="L1178" s="274"/>
    </row>
    <row r="1179" spans="12:12" x14ac:dyDescent="0.35">
      <c r="L1179" s="274"/>
    </row>
    <row r="1180" spans="12:12" x14ac:dyDescent="0.35">
      <c r="L1180" s="274"/>
    </row>
    <row r="1181" spans="12:12" x14ac:dyDescent="0.35">
      <c r="L1181" s="274"/>
    </row>
    <row r="1182" spans="12:12" x14ac:dyDescent="0.35">
      <c r="L1182" s="274"/>
    </row>
    <row r="1183" spans="12:12" x14ac:dyDescent="0.35">
      <c r="L1183" s="274"/>
    </row>
    <row r="1184" spans="12:12" x14ac:dyDescent="0.35">
      <c r="L1184" s="274"/>
    </row>
    <row r="1185" spans="12:12" x14ac:dyDescent="0.35">
      <c r="L1185" s="274"/>
    </row>
    <row r="1186" spans="12:12" x14ac:dyDescent="0.35">
      <c r="L1186" s="274"/>
    </row>
    <row r="1187" spans="12:12" x14ac:dyDescent="0.35">
      <c r="L1187" s="274"/>
    </row>
    <row r="1188" spans="12:12" x14ac:dyDescent="0.35">
      <c r="L1188" s="274"/>
    </row>
    <row r="1189" spans="12:12" x14ac:dyDescent="0.35">
      <c r="L1189" s="274"/>
    </row>
    <row r="1190" spans="12:12" x14ac:dyDescent="0.35">
      <c r="L1190" s="274"/>
    </row>
    <row r="1191" spans="12:12" x14ac:dyDescent="0.35">
      <c r="L1191" s="274"/>
    </row>
    <row r="1192" spans="12:12" x14ac:dyDescent="0.35">
      <c r="L1192" s="274"/>
    </row>
    <row r="1193" spans="12:12" x14ac:dyDescent="0.35">
      <c r="L1193" s="274"/>
    </row>
    <row r="1194" spans="12:12" x14ac:dyDescent="0.35">
      <c r="L1194" s="274"/>
    </row>
    <row r="1195" spans="12:12" x14ac:dyDescent="0.35">
      <c r="L1195" s="274"/>
    </row>
    <row r="1196" spans="12:12" x14ac:dyDescent="0.35">
      <c r="L1196" s="274"/>
    </row>
    <row r="1197" spans="12:12" x14ac:dyDescent="0.35">
      <c r="L1197" s="274"/>
    </row>
    <row r="1198" spans="12:12" x14ac:dyDescent="0.35">
      <c r="L1198" s="274"/>
    </row>
    <row r="1199" spans="12:12" x14ac:dyDescent="0.35">
      <c r="L1199" s="274"/>
    </row>
    <row r="1200" spans="12:12" x14ac:dyDescent="0.35">
      <c r="L1200" s="274"/>
    </row>
    <row r="1201" spans="12:12" x14ac:dyDescent="0.35">
      <c r="L1201" s="274"/>
    </row>
    <row r="1202" spans="12:12" x14ac:dyDescent="0.35">
      <c r="L1202" s="274"/>
    </row>
    <row r="1203" spans="12:12" x14ac:dyDescent="0.35">
      <c r="L1203" s="274"/>
    </row>
    <row r="1204" spans="12:12" x14ac:dyDescent="0.35">
      <c r="L1204" s="274"/>
    </row>
    <row r="1205" spans="12:12" x14ac:dyDescent="0.35">
      <c r="L1205" s="274"/>
    </row>
    <row r="1206" spans="12:12" x14ac:dyDescent="0.35">
      <c r="L1206" s="274"/>
    </row>
    <row r="1207" spans="12:12" x14ac:dyDescent="0.35">
      <c r="L1207" s="274"/>
    </row>
    <row r="1208" spans="12:12" x14ac:dyDescent="0.35">
      <c r="L1208" s="274"/>
    </row>
    <row r="1209" spans="12:12" x14ac:dyDescent="0.35">
      <c r="L1209" s="274"/>
    </row>
    <row r="1210" spans="12:12" x14ac:dyDescent="0.35">
      <c r="L1210" s="274"/>
    </row>
    <row r="1211" spans="12:12" x14ac:dyDescent="0.35">
      <c r="L1211" s="274"/>
    </row>
    <row r="1212" spans="12:12" x14ac:dyDescent="0.35">
      <c r="L1212" s="274"/>
    </row>
    <row r="1213" spans="12:12" x14ac:dyDescent="0.35">
      <c r="L1213" s="274"/>
    </row>
    <row r="1214" spans="12:12" x14ac:dyDescent="0.35">
      <c r="L1214" s="274"/>
    </row>
    <row r="1215" spans="12:12" x14ac:dyDescent="0.35">
      <c r="L1215" s="274"/>
    </row>
    <row r="1216" spans="12:12" x14ac:dyDescent="0.35">
      <c r="L1216" s="274"/>
    </row>
    <row r="1217" spans="12:12" x14ac:dyDescent="0.35">
      <c r="L1217" s="274"/>
    </row>
    <row r="1218" spans="12:12" x14ac:dyDescent="0.35">
      <c r="L1218" s="274"/>
    </row>
    <row r="1219" spans="12:12" x14ac:dyDescent="0.35">
      <c r="L1219" s="274"/>
    </row>
    <row r="1220" spans="12:12" x14ac:dyDescent="0.35">
      <c r="L1220" s="274"/>
    </row>
    <row r="1221" spans="12:12" x14ac:dyDescent="0.35">
      <c r="L1221" s="274"/>
    </row>
    <row r="1222" spans="12:12" x14ac:dyDescent="0.35">
      <c r="L1222" s="274"/>
    </row>
    <row r="1223" spans="12:12" x14ac:dyDescent="0.35">
      <c r="L1223" s="274"/>
    </row>
    <row r="1224" spans="12:12" x14ac:dyDescent="0.35">
      <c r="L1224" s="274"/>
    </row>
    <row r="1225" spans="12:12" x14ac:dyDescent="0.35">
      <c r="L1225" s="274"/>
    </row>
    <row r="1226" spans="12:12" x14ac:dyDescent="0.35">
      <c r="L1226" s="274"/>
    </row>
    <row r="1227" spans="12:12" x14ac:dyDescent="0.35">
      <c r="L1227" s="274"/>
    </row>
    <row r="1228" spans="12:12" x14ac:dyDescent="0.35">
      <c r="L1228" s="274"/>
    </row>
    <row r="1229" spans="12:12" x14ac:dyDescent="0.35">
      <c r="L1229" s="274"/>
    </row>
    <row r="1230" spans="12:12" x14ac:dyDescent="0.35">
      <c r="L1230" s="274"/>
    </row>
    <row r="1231" spans="12:12" x14ac:dyDescent="0.35">
      <c r="L1231" s="274"/>
    </row>
    <row r="1232" spans="12:12" x14ac:dyDescent="0.35">
      <c r="L1232" s="274"/>
    </row>
    <row r="1233" spans="12:12" x14ac:dyDescent="0.35">
      <c r="L1233" s="274"/>
    </row>
    <row r="1234" spans="12:12" x14ac:dyDescent="0.35">
      <c r="L1234" s="274"/>
    </row>
    <row r="1235" spans="12:12" x14ac:dyDescent="0.35">
      <c r="L1235" s="274"/>
    </row>
    <row r="1236" spans="12:12" x14ac:dyDescent="0.35">
      <c r="L1236" s="274"/>
    </row>
    <row r="1237" spans="12:12" x14ac:dyDescent="0.35">
      <c r="L1237" s="274"/>
    </row>
    <row r="1238" spans="12:12" x14ac:dyDescent="0.35">
      <c r="L1238" s="274"/>
    </row>
    <row r="1239" spans="12:12" x14ac:dyDescent="0.35">
      <c r="L1239" s="274"/>
    </row>
    <row r="1240" spans="12:12" x14ac:dyDescent="0.35">
      <c r="L1240" s="274"/>
    </row>
    <row r="1241" spans="12:12" x14ac:dyDescent="0.35">
      <c r="L1241" s="274"/>
    </row>
    <row r="1242" spans="12:12" x14ac:dyDescent="0.35">
      <c r="L1242" s="274"/>
    </row>
    <row r="1243" spans="12:12" x14ac:dyDescent="0.35">
      <c r="L1243" s="274"/>
    </row>
    <row r="1244" spans="12:12" x14ac:dyDescent="0.35">
      <c r="L1244" s="274"/>
    </row>
    <row r="1245" spans="12:12" x14ac:dyDescent="0.35">
      <c r="L1245" s="274"/>
    </row>
    <row r="1246" spans="12:12" x14ac:dyDescent="0.35">
      <c r="L1246" s="274"/>
    </row>
    <row r="1247" spans="12:12" x14ac:dyDescent="0.35">
      <c r="L1247" s="274"/>
    </row>
    <row r="1248" spans="12:12" x14ac:dyDescent="0.35">
      <c r="L1248" s="274"/>
    </row>
    <row r="1249" spans="12:12" x14ac:dyDescent="0.35">
      <c r="L1249" s="274"/>
    </row>
    <row r="1250" spans="12:12" x14ac:dyDescent="0.35">
      <c r="L1250" s="274"/>
    </row>
    <row r="1251" spans="12:12" x14ac:dyDescent="0.35">
      <c r="L1251" s="274"/>
    </row>
    <row r="1252" spans="12:12" x14ac:dyDescent="0.35">
      <c r="L1252" s="274"/>
    </row>
    <row r="1253" spans="12:12" x14ac:dyDescent="0.35">
      <c r="L1253" s="274"/>
    </row>
    <row r="1254" spans="12:12" x14ac:dyDescent="0.35">
      <c r="L1254" s="274"/>
    </row>
    <row r="1255" spans="12:12" x14ac:dyDescent="0.35">
      <c r="L1255" s="274"/>
    </row>
    <row r="1256" spans="12:12" x14ac:dyDescent="0.35">
      <c r="L1256" s="274"/>
    </row>
    <row r="1257" spans="12:12" x14ac:dyDescent="0.35">
      <c r="L1257" s="274"/>
    </row>
    <row r="1258" spans="12:12" x14ac:dyDescent="0.35">
      <c r="L1258" s="274"/>
    </row>
    <row r="1259" spans="12:12" x14ac:dyDescent="0.35">
      <c r="L1259" s="274"/>
    </row>
    <row r="1260" spans="12:12" x14ac:dyDescent="0.35">
      <c r="L1260" s="274"/>
    </row>
    <row r="1261" spans="12:12" x14ac:dyDescent="0.35">
      <c r="L1261" s="274"/>
    </row>
    <row r="1262" spans="12:12" x14ac:dyDescent="0.35">
      <c r="L1262" s="274"/>
    </row>
    <row r="1263" spans="12:12" x14ac:dyDescent="0.35">
      <c r="L1263" s="274"/>
    </row>
    <row r="1264" spans="12:12" x14ac:dyDescent="0.35">
      <c r="L1264" s="274"/>
    </row>
    <row r="1265" spans="12:12" x14ac:dyDescent="0.35">
      <c r="L1265" s="274"/>
    </row>
    <row r="1266" spans="12:12" x14ac:dyDescent="0.35">
      <c r="L1266" s="274"/>
    </row>
    <row r="1267" spans="12:12" x14ac:dyDescent="0.35">
      <c r="L1267" s="274"/>
    </row>
    <row r="1268" spans="12:12" x14ac:dyDescent="0.35">
      <c r="L1268" s="274"/>
    </row>
    <row r="1269" spans="12:12" x14ac:dyDescent="0.35">
      <c r="L1269" s="274"/>
    </row>
    <row r="1270" spans="12:12" x14ac:dyDescent="0.35">
      <c r="L1270" s="274"/>
    </row>
    <row r="1271" spans="12:12" x14ac:dyDescent="0.35">
      <c r="L1271" s="274"/>
    </row>
    <row r="1272" spans="12:12" x14ac:dyDescent="0.35">
      <c r="L1272" s="274"/>
    </row>
    <row r="1273" spans="12:12" x14ac:dyDescent="0.35">
      <c r="L1273" s="274"/>
    </row>
    <row r="1274" spans="12:12" x14ac:dyDescent="0.35">
      <c r="L1274" s="274"/>
    </row>
    <row r="1275" spans="12:12" x14ac:dyDescent="0.35">
      <c r="L1275" s="274"/>
    </row>
    <row r="1276" spans="12:12" x14ac:dyDescent="0.35">
      <c r="L1276" s="274"/>
    </row>
    <row r="1277" spans="12:12" x14ac:dyDescent="0.35">
      <c r="L1277" s="274"/>
    </row>
    <row r="1278" spans="12:12" x14ac:dyDescent="0.35">
      <c r="L1278" s="274"/>
    </row>
    <row r="1279" spans="12:12" x14ac:dyDescent="0.35">
      <c r="L1279" s="274"/>
    </row>
    <row r="1280" spans="12:12" x14ac:dyDescent="0.35">
      <c r="L1280" s="274"/>
    </row>
    <row r="1281" spans="12:12" x14ac:dyDescent="0.35">
      <c r="L1281" s="274"/>
    </row>
    <row r="1282" spans="12:12" x14ac:dyDescent="0.35">
      <c r="L1282" s="274"/>
    </row>
    <row r="1283" spans="12:12" x14ac:dyDescent="0.35">
      <c r="L1283" s="274"/>
    </row>
    <row r="1284" spans="12:12" x14ac:dyDescent="0.35">
      <c r="L1284" s="274"/>
    </row>
    <row r="1285" spans="12:12" x14ac:dyDescent="0.35">
      <c r="L1285" s="274"/>
    </row>
    <row r="1286" spans="12:12" x14ac:dyDescent="0.35">
      <c r="L1286" s="274"/>
    </row>
    <row r="1287" spans="12:12" x14ac:dyDescent="0.35">
      <c r="L1287" s="274"/>
    </row>
    <row r="1288" spans="12:12" x14ac:dyDescent="0.35">
      <c r="L1288" s="274"/>
    </row>
    <row r="1289" spans="12:12" x14ac:dyDescent="0.35">
      <c r="L1289" s="274"/>
    </row>
    <row r="1290" spans="12:12" x14ac:dyDescent="0.35">
      <c r="L1290" s="274"/>
    </row>
    <row r="1291" spans="12:12" x14ac:dyDescent="0.35">
      <c r="L1291" s="274"/>
    </row>
    <row r="1292" spans="12:12" x14ac:dyDescent="0.35">
      <c r="L1292" s="274"/>
    </row>
    <row r="1293" spans="12:12" x14ac:dyDescent="0.35">
      <c r="L1293" s="274"/>
    </row>
    <row r="1294" spans="12:12" x14ac:dyDescent="0.35">
      <c r="L1294" s="274"/>
    </row>
    <row r="1295" spans="12:12" x14ac:dyDescent="0.35">
      <c r="L1295" s="274"/>
    </row>
    <row r="1296" spans="12:12" x14ac:dyDescent="0.35">
      <c r="L1296" s="274"/>
    </row>
    <row r="1297" spans="12:12" x14ac:dyDescent="0.35">
      <c r="L1297" s="274"/>
    </row>
    <row r="1298" spans="12:12" x14ac:dyDescent="0.35">
      <c r="L1298" s="274"/>
    </row>
    <row r="1299" spans="12:12" x14ac:dyDescent="0.35">
      <c r="L1299" s="274"/>
    </row>
    <row r="1300" spans="12:12" x14ac:dyDescent="0.35">
      <c r="L1300" s="274"/>
    </row>
    <row r="1301" spans="12:12" x14ac:dyDescent="0.35">
      <c r="L1301" s="274"/>
    </row>
    <row r="1302" spans="12:12" x14ac:dyDescent="0.35">
      <c r="L1302" s="274"/>
    </row>
    <row r="1303" spans="12:12" x14ac:dyDescent="0.35">
      <c r="L1303" s="274"/>
    </row>
    <row r="1304" spans="12:12" x14ac:dyDescent="0.35">
      <c r="L1304" s="274"/>
    </row>
    <row r="1305" spans="12:12" x14ac:dyDescent="0.35">
      <c r="L1305" s="274"/>
    </row>
    <row r="1306" spans="12:12" x14ac:dyDescent="0.35">
      <c r="L1306" s="274"/>
    </row>
    <row r="1307" spans="12:12" x14ac:dyDescent="0.35">
      <c r="L1307" s="274"/>
    </row>
    <row r="1308" spans="12:12" x14ac:dyDescent="0.35">
      <c r="L1308" s="274"/>
    </row>
    <row r="1309" spans="12:12" x14ac:dyDescent="0.35">
      <c r="L1309" s="274"/>
    </row>
    <row r="1310" spans="12:12" x14ac:dyDescent="0.35">
      <c r="L1310" s="274"/>
    </row>
    <row r="1311" spans="12:12" x14ac:dyDescent="0.35">
      <c r="L1311" s="274"/>
    </row>
    <row r="1312" spans="12:12" x14ac:dyDescent="0.35">
      <c r="L1312" s="274"/>
    </row>
    <row r="1313" spans="12:12" x14ac:dyDescent="0.35">
      <c r="L1313" s="274"/>
    </row>
    <row r="1314" spans="12:12" x14ac:dyDescent="0.35">
      <c r="L1314" s="274"/>
    </row>
    <row r="1315" spans="12:12" x14ac:dyDescent="0.35">
      <c r="L1315" s="274"/>
    </row>
    <row r="1316" spans="12:12" x14ac:dyDescent="0.35">
      <c r="L1316" s="274"/>
    </row>
    <row r="1317" spans="12:12" x14ac:dyDescent="0.35">
      <c r="L1317" s="274"/>
    </row>
    <row r="1318" spans="12:12" x14ac:dyDescent="0.35">
      <c r="L1318" s="274"/>
    </row>
    <row r="1319" spans="12:12" x14ac:dyDescent="0.35">
      <c r="L1319" s="274"/>
    </row>
    <row r="1320" spans="12:12" x14ac:dyDescent="0.35">
      <c r="L1320" s="274"/>
    </row>
    <row r="1321" spans="12:12" x14ac:dyDescent="0.35">
      <c r="L1321" s="274"/>
    </row>
    <row r="1322" spans="12:12" x14ac:dyDescent="0.35">
      <c r="L1322" s="274"/>
    </row>
    <row r="1323" spans="12:12" x14ac:dyDescent="0.35">
      <c r="L1323" s="274"/>
    </row>
    <row r="1324" spans="12:12" x14ac:dyDescent="0.35">
      <c r="L1324" s="274"/>
    </row>
    <row r="1325" spans="12:12" x14ac:dyDescent="0.35">
      <c r="L1325" s="274"/>
    </row>
    <row r="1326" spans="12:12" x14ac:dyDescent="0.35">
      <c r="L1326" s="274"/>
    </row>
    <row r="1327" spans="12:12" x14ac:dyDescent="0.35">
      <c r="L1327" s="274"/>
    </row>
    <row r="1328" spans="12:12" x14ac:dyDescent="0.35">
      <c r="L1328" s="274"/>
    </row>
    <row r="1329" spans="12:12" x14ac:dyDescent="0.35">
      <c r="L1329" s="274"/>
    </row>
    <row r="1330" spans="12:12" x14ac:dyDescent="0.35">
      <c r="L1330" s="274"/>
    </row>
    <row r="1331" spans="12:12" x14ac:dyDescent="0.35">
      <c r="L1331" s="274"/>
    </row>
    <row r="1332" spans="12:12" x14ac:dyDescent="0.35">
      <c r="L1332" s="274"/>
    </row>
    <row r="1333" spans="12:12" x14ac:dyDescent="0.35">
      <c r="L1333" s="274"/>
    </row>
    <row r="1334" spans="12:12" x14ac:dyDescent="0.35">
      <c r="L1334" s="274"/>
    </row>
    <row r="1335" spans="12:12" x14ac:dyDescent="0.35">
      <c r="L1335" s="274"/>
    </row>
    <row r="1336" spans="12:12" x14ac:dyDescent="0.35">
      <c r="L1336" s="274"/>
    </row>
    <row r="1337" spans="12:12" x14ac:dyDescent="0.35">
      <c r="L1337" s="274"/>
    </row>
    <row r="1338" spans="12:12" x14ac:dyDescent="0.35">
      <c r="L1338" s="274"/>
    </row>
    <row r="1339" spans="12:12" x14ac:dyDescent="0.35">
      <c r="L1339" s="274"/>
    </row>
    <row r="1340" spans="12:12" x14ac:dyDescent="0.35">
      <c r="L1340" s="274"/>
    </row>
    <row r="1341" spans="12:12" x14ac:dyDescent="0.35">
      <c r="L1341" s="274"/>
    </row>
    <row r="1342" spans="12:12" x14ac:dyDescent="0.35">
      <c r="L1342" s="274"/>
    </row>
    <row r="1343" spans="12:12" x14ac:dyDescent="0.35">
      <c r="L1343" s="274"/>
    </row>
    <row r="1344" spans="12:12" x14ac:dyDescent="0.35">
      <c r="L1344" s="274"/>
    </row>
    <row r="1345" spans="12:12" x14ac:dyDescent="0.35">
      <c r="L1345" s="274"/>
    </row>
    <row r="1346" spans="12:12" x14ac:dyDescent="0.35">
      <c r="L1346" s="274"/>
    </row>
    <row r="1347" spans="12:12" x14ac:dyDescent="0.35">
      <c r="L1347" s="274"/>
    </row>
    <row r="1348" spans="12:12" x14ac:dyDescent="0.35">
      <c r="L1348" s="274"/>
    </row>
    <row r="1349" spans="12:12" x14ac:dyDescent="0.35">
      <c r="L1349" s="274"/>
    </row>
    <row r="1350" spans="12:12" x14ac:dyDescent="0.35">
      <c r="L1350" s="274"/>
    </row>
    <row r="1351" spans="12:12" x14ac:dyDescent="0.35">
      <c r="L1351" s="274"/>
    </row>
    <row r="1352" spans="12:12" x14ac:dyDescent="0.35">
      <c r="L1352" s="274"/>
    </row>
    <row r="1353" spans="12:12" x14ac:dyDescent="0.35">
      <c r="L1353" s="274"/>
    </row>
    <row r="1354" spans="12:12" x14ac:dyDescent="0.35">
      <c r="L1354" s="274"/>
    </row>
    <row r="1355" spans="12:12" x14ac:dyDescent="0.35">
      <c r="L1355" s="274"/>
    </row>
    <row r="1356" spans="12:12" x14ac:dyDescent="0.35">
      <c r="L1356" s="274"/>
    </row>
    <row r="1357" spans="12:12" x14ac:dyDescent="0.35">
      <c r="L1357" s="274"/>
    </row>
    <row r="1358" spans="12:12" x14ac:dyDescent="0.35">
      <c r="L1358" s="274"/>
    </row>
    <row r="1359" spans="12:12" x14ac:dyDescent="0.35">
      <c r="L1359" s="274"/>
    </row>
    <row r="1360" spans="12:12" x14ac:dyDescent="0.35">
      <c r="L1360" s="274"/>
    </row>
    <row r="1361" spans="12:12" x14ac:dyDescent="0.35">
      <c r="L1361" s="274"/>
    </row>
    <row r="1362" spans="12:12" x14ac:dyDescent="0.35">
      <c r="L1362" s="274"/>
    </row>
    <row r="1363" spans="12:12" x14ac:dyDescent="0.35">
      <c r="L1363" s="274"/>
    </row>
    <row r="1364" spans="12:12" x14ac:dyDescent="0.35">
      <c r="L1364" s="274"/>
    </row>
    <row r="1365" spans="12:12" x14ac:dyDescent="0.35">
      <c r="L1365" s="274"/>
    </row>
    <row r="1366" spans="12:12" x14ac:dyDescent="0.35">
      <c r="L1366" s="274"/>
    </row>
    <row r="1367" spans="12:12" x14ac:dyDescent="0.35">
      <c r="L1367" s="274"/>
    </row>
    <row r="1368" spans="12:12" x14ac:dyDescent="0.35">
      <c r="L1368" s="274"/>
    </row>
    <row r="1369" spans="12:12" x14ac:dyDescent="0.35">
      <c r="L1369" s="274"/>
    </row>
    <row r="1370" spans="12:12" x14ac:dyDescent="0.35">
      <c r="L1370" s="274"/>
    </row>
    <row r="1371" spans="12:12" x14ac:dyDescent="0.35">
      <c r="L1371" s="274"/>
    </row>
    <row r="1372" spans="12:12" x14ac:dyDescent="0.35">
      <c r="L1372" s="274"/>
    </row>
    <row r="1373" spans="12:12" x14ac:dyDescent="0.35">
      <c r="L1373" s="274"/>
    </row>
    <row r="1374" spans="12:12" x14ac:dyDescent="0.35">
      <c r="L1374" s="274"/>
    </row>
    <row r="1375" spans="12:12" x14ac:dyDescent="0.35">
      <c r="L1375" s="274"/>
    </row>
    <row r="1376" spans="12:12" x14ac:dyDescent="0.35">
      <c r="L1376" s="274"/>
    </row>
    <row r="1377" spans="12:12" x14ac:dyDescent="0.35">
      <c r="L1377" s="274"/>
    </row>
    <row r="1378" spans="12:12" x14ac:dyDescent="0.35">
      <c r="L1378" s="274"/>
    </row>
    <row r="1379" spans="12:12" x14ac:dyDescent="0.35">
      <c r="L1379" s="274"/>
    </row>
    <row r="1380" spans="12:12" x14ac:dyDescent="0.35">
      <c r="L1380" s="274"/>
    </row>
    <row r="1381" spans="12:12" x14ac:dyDescent="0.35">
      <c r="L1381" s="274"/>
    </row>
    <row r="1382" spans="12:12" x14ac:dyDescent="0.35">
      <c r="L1382" s="274"/>
    </row>
    <row r="1383" spans="12:12" x14ac:dyDescent="0.35">
      <c r="L1383" s="274"/>
    </row>
    <row r="1384" spans="12:12" x14ac:dyDescent="0.35">
      <c r="L1384" s="274"/>
    </row>
    <row r="1385" spans="12:12" x14ac:dyDescent="0.35">
      <c r="L1385" s="274"/>
    </row>
    <row r="1386" spans="12:12" x14ac:dyDescent="0.35">
      <c r="L1386" s="274"/>
    </row>
    <row r="1387" spans="12:12" x14ac:dyDescent="0.35">
      <c r="L1387" s="274"/>
    </row>
    <row r="1388" spans="12:12" x14ac:dyDescent="0.35">
      <c r="L1388" s="274"/>
    </row>
    <row r="1389" spans="12:12" x14ac:dyDescent="0.35">
      <c r="L1389" s="274"/>
    </row>
    <row r="1390" spans="12:12" x14ac:dyDescent="0.35">
      <c r="L1390" s="274"/>
    </row>
    <row r="1391" spans="12:12" x14ac:dyDescent="0.35">
      <c r="L1391" s="274"/>
    </row>
    <row r="1392" spans="12:12" x14ac:dyDescent="0.35">
      <c r="L1392" s="274"/>
    </row>
    <row r="1393" spans="12:12" x14ac:dyDescent="0.35">
      <c r="L1393" s="274"/>
    </row>
    <row r="1394" spans="12:12" x14ac:dyDescent="0.35">
      <c r="L1394" s="274"/>
    </row>
    <row r="1395" spans="12:12" x14ac:dyDescent="0.35">
      <c r="L1395" s="274"/>
    </row>
    <row r="1396" spans="12:12" x14ac:dyDescent="0.35">
      <c r="L1396" s="274"/>
    </row>
    <row r="1397" spans="12:12" x14ac:dyDescent="0.35">
      <c r="L1397" s="274"/>
    </row>
    <row r="1398" spans="12:12" x14ac:dyDescent="0.35">
      <c r="L1398" s="274"/>
    </row>
    <row r="1399" spans="12:12" x14ac:dyDescent="0.35">
      <c r="L1399" s="274"/>
    </row>
    <row r="1400" spans="12:12" x14ac:dyDescent="0.35">
      <c r="L1400" s="274"/>
    </row>
    <row r="1401" spans="12:12" x14ac:dyDescent="0.35">
      <c r="L1401" s="274"/>
    </row>
    <row r="1402" spans="12:12" x14ac:dyDescent="0.35">
      <c r="L1402" s="274"/>
    </row>
    <row r="1403" spans="12:12" x14ac:dyDescent="0.35">
      <c r="L1403" s="274"/>
    </row>
    <row r="1404" spans="12:12" x14ac:dyDescent="0.35">
      <c r="L1404" s="274"/>
    </row>
    <row r="1405" spans="12:12" x14ac:dyDescent="0.35">
      <c r="L1405" s="274"/>
    </row>
    <row r="1406" spans="12:12" x14ac:dyDescent="0.35">
      <c r="L1406" s="274"/>
    </row>
    <row r="1407" spans="12:12" x14ac:dyDescent="0.35">
      <c r="L1407" s="274"/>
    </row>
    <row r="1408" spans="12:12" x14ac:dyDescent="0.35">
      <c r="L1408" s="274"/>
    </row>
    <row r="1409" spans="12:12" x14ac:dyDescent="0.35">
      <c r="L1409" s="274"/>
    </row>
    <row r="1410" spans="12:12" x14ac:dyDescent="0.35">
      <c r="L1410" s="274"/>
    </row>
    <row r="1411" spans="12:12" x14ac:dyDescent="0.35">
      <c r="L1411" s="274"/>
    </row>
    <row r="1412" spans="12:12" x14ac:dyDescent="0.35">
      <c r="L1412" s="274"/>
    </row>
    <row r="1413" spans="12:12" x14ac:dyDescent="0.35">
      <c r="L1413" s="274"/>
    </row>
    <row r="1414" spans="12:12" x14ac:dyDescent="0.35">
      <c r="L1414" s="274"/>
    </row>
    <row r="1415" spans="12:12" x14ac:dyDescent="0.35">
      <c r="L1415" s="274"/>
    </row>
    <row r="1416" spans="12:12" x14ac:dyDescent="0.35">
      <c r="L1416" s="274"/>
    </row>
    <row r="1417" spans="12:12" x14ac:dyDescent="0.35">
      <c r="L1417" s="274"/>
    </row>
    <row r="1418" spans="12:12" x14ac:dyDescent="0.35">
      <c r="L1418" s="274"/>
    </row>
    <row r="1419" spans="12:12" x14ac:dyDescent="0.35">
      <c r="L1419" s="274"/>
    </row>
    <row r="1420" spans="12:12" x14ac:dyDescent="0.35">
      <c r="L1420" s="274"/>
    </row>
    <row r="1421" spans="12:12" x14ac:dyDescent="0.35">
      <c r="L1421" s="274"/>
    </row>
    <row r="1422" spans="12:12" x14ac:dyDescent="0.35">
      <c r="L1422" s="274"/>
    </row>
    <row r="1423" spans="12:12" x14ac:dyDescent="0.35">
      <c r="L1423" s="274"/>
    </row>
    <row r="1424" spans="12:12" x14ac:dyDescent="0.35">
      <c r="L1424" s="274"/>
    </row>
    <row r="1425" spans="12:12" x14ac:dyDescent="0.35">
      <c r="L1425" s="274"/>
    </row>
    <row r="1426" spans="12:12" x14ac:dyDescent="0.35">
      <c r="L1426" s="274"/>
    </row>
    <row r="1427" spans="12:12" x14ac:dyDescent="0.35">
      <c r="L1427" s="274"/>
    </row>
    <row r="1428" spans="12:12" x14ac:dyDescent="0.35">
      <c r="L1428" s="274"/>
    </row>
    <row r="1429" spans="12:12" x14ac:dyDescent="0.35">
      <c r="L1429" s="274"/>
    </row>
    <row r="1430" spans="12:12" x14ac:dyDescent="0.35">
      <c r="L1430" s="274"/>
    </row>
    <row r="1431" spans="12:12" x14ac:dyDescent="0.35">
      <c r="L1431" s="274"/>
    </row>
    <row r="1432" spans="12:12" x14ac:dyDescent="0.35">
      <c r="L1432" s="274"/>
    </row>
    <row r="1433" spans="12:12" x14ac:dyDescent="0.35">
      <c r="L1433" s="274"/>
    </row>
    <row r="1434" spans="12:12" x14ac:dyDescent="0.35">
      <c r="L1434" s="274"/>
    </row>
    <row r="1435" spans="12:12" x14ac:dyDescent="0.35">
      <c r="L1435" s="274"/>
    </row>
    <row r="1436" spans="12:12" x14ac:dyDescent="0.35">
      <c r="L1436" s="274"/>
    </row>
    <row r="1437" spans="12:12" x14ac:dyDescent="0.35">
      <c r="L1437" s="274"/>
    </row>
    <row r="1438" spans="12:12" x14ac:dyDescent="0.35">
      <c r="L1438" s="274"/>
    </row>
    <row r="1439" spans="12:12" x14ac:dyDescent="0.35">
      <c r="L1439" s="274"/>
    </row>
    <row r="1440" spans="12:12" x14ac:dyDescent="0.35">
      <c r="L1440" s="274"/>
    </row>
    <row r="1441" spans="12:12" x14ac:dyDescent="0.35">
      <c r="L1441" s="274"/>
    </row>
    <row r="1442" spans="12:12" x14ac:dyDescent="0.35">
      <c r="L1442" s="274"/>
    </row>
    <row r="1443" spans="12:12" x14ac:dyDescent="0.35">
      <c r="L1443" s="274"/>
    </row>
    <row r="1444" spans="12:12" x14ac:dyDescent="0.35">
      <c r="L1444" s="274"/>
    </row>
    <row r="1445" spans="12:12" x14ac:dyDescent="0.35">
      <c r="L1445" s="274"/>
    </row>
    <row r="1446" spans="12:12" x14ac:dyDescent="0.35">
      <c r="L1446" s="274"/>
    </row>
    <row r="1447" spans="12:12" x14ac:dyDescent="0.35">
      <c r="L1447" s="274"/>
    </row>
    <row r="1448" spans="12:12" x14ac:dyDescent="0.35">
      <c r="L1448" s="274"/>
    </row>
    <row r="1449" spans="12:12" x14ac:dyDescent="0.35">
      <c r="L1449" s="274"/>
    </row>
    <row r="1450" spans="12:12" x14ac:dyDescent="0.35">
      <c r="L1450" s="274"/>
    </row>
    <row r="1451" spans="12:12" x14ac:dyDescent="0.35">
      <c r="L1451" s="274"/>
    </row>
    <row r="1452" spans="12:12" x14ac:dyDescent="0.35">
      <c r="L1452" s="274"/>
    </row>
    <row r="1453" spans="12:12" x14ac:dyDescent="0.35">
      <c r="L1453" s="274"/>
    </row>
    <row r="1454" spans="12:12" x14ac:dyDescent="0.35">
      <c r="L1454" s="274"/>
    </row>
    <row r="1455" spans="12:12" x14ac:dyDescent="0.35">
      <c r="L1455" s="274"/>
    </row>
    <row r="1456" spans="12:12" x14ac:dyDescent="0.35">
      <c r="L1456" s="274"/>
    </row>
    <row r="1457" spans="12:12" x14ac:dyDescent="0.35">
      <c r="L1457" s="274"/>
    </row>
    <row r="1458" spans="12:12" x14ac:dyDescent="0.35">
      <c r="L1458" s="274"/>
    </row>
    <row r="1459" spans="12:12" x14ac:dyDescent="0.35">
      <c r="L1459" s="274"/>
    </row>
    <row r="1460" spans="12:12" x14ac:dyDescent="0.35">
      <c r="L1460" s="274"/>
    </row>
    <row r="1461" spans="12:12" x14ac:dyDescent="0.35">
      <c r="L1461" s="274"/>
    </row>
    <row r="1462" spans="12:12" x14ac:dyDescent="0.35">
      <c r="L1462" s="274"/>
    </row>
    <row r="1463" spans="12:12" x14ac:dyDescent="0.35">
      <c r="L1463" s="274"/>
    </row>
    <row r="1464" spans="12:12" x14ac:dyDescent="0.35">
      <c r="L1464" s="274"/>
    </row>
    <row r="1465" spans="12:12" x14ac:dyDescent="0.35">
      <c r="L1465" s="274"/>
    </row>
    <row r="1466" spans="12:12" x14ac:dyDescent="0.35">
      <c r="L1466" s="274"/>
    </row>
    <row r="1467" spans="12:12" x14ac:dyDescent="0.35">
      <c r="L1467" s="274"/>
    </row>
    <row r="1468" spans="12:12" x14ac:dyDescent="0.35">
      <c r="L1468" s="274"/>
    </row>
    <row r="1469" spans="12:12" x14ac:dyDescent="0.35">
      <c r="L1469" s="274"/>
    </row>
    <row r="1470" spans="12:12" x14ac:dyDescent="0.35">
      <c r="L1470" s="274"/>
    </row>
    <row r="1471" spans="12:12" x14ac:dyDescent="0.35">
      <c r="L1471" s="274"/>
    </row>
    <row r="1472" spans="12:12" x14ac:dyDescent="0.35">
      <c r="L1472" s="274"/>
    </row>
    <row r="1473" spans="12:12" x14ac:dyDescent="0.35">
      <c r="L1473" s="274"/>
    </row>
    <row r="1474" spans="12:12" x14ac:dyDescent="0.35">
      <c r="L1474" s="274"/>
    </row>
    <row r="1475" spans="12:12" x14ac:dyDescent="0.35">
      <c r="L1475" s="274"/>
    </row>
    <row r="1476" spans="12:12" x14ac:dyDescent="0.35">
      <c r="L1476" s="274"/>
    </row>
    <row r="1477" spans="12:12" x14ac:dyDescent="0.35">
      <c r="L1477" s="274"/>
    </row>
    <row r="1478" spans="12:12" x14ac:dyDescent="0.35">
      <c r="L1478" s="274"/>
    </row>
    <row r="1479" spans="12:12" x14ac:dyDescent="0.35">
      <c r="L1479" s="274"/>
    </row>
    <row r="1480" spans="12:12" x14ac:dyDescent="0.35">
      <c r="L1480" s="274"/>
    </row>
    <row r="1481" spans="12:12" x14ac:dyDescent="0.35">
      <c r="L1481" s="274"/>
    </row>
    <row r="1482" spans="12:12" x14ac:dyDescent="0.35">
      <c r="L1482" s="274"/>
    </row>
    <row r="1483" spans="12:12" x14ac:dyDescent="0.35">
      <c r="L1483" s="274"/>
    </row>
    <row r="1484" spans="12:12" x14ac:dyDescent="0.35">
      <c r="L1484" s="274"/>
    </row>
    <row r="1485" spans="12:12" x14ac:dyDescent="0.35">
      <c r="L1485" s="274"/>
    </row>
    <row r="1486" spans="12:12" x14ac:dyDescent="0.35">
      <c r="L1486" s="274"/>
    </row>
    <row r="1487" spans="12:12" x14ac:dyDescent="0.35">
      <c r="L1487" s="274"/>
    </row>
    <row r="1488" spans="12:12" x14ac:dyDescent="0.35">
      <c r="L1488" s="274"/>
    </row>
    <row r="1489" spans="12:12" x14ac:dyDescent="0.35">
      <c r="L1489" s="274"/>
    </row>
    <row r="1490" spans="12:12" x14ac:dyDescent="0.35">
      <c r="L1490" s="274"/>
    </row>
    <row r="1491" spans="12:12" x14ac:dyDescent="0.35">
      <c r="L1491" s="274"/>
    </row>
    <row r="1492" spans="12:12" x14ac:dyDescent="0.35">
      <c r="L1492" s="274"/>
    </row>
    <row r="1493" spans="12:12" x14ac:dyDescent="0.35">
      <c r="L1493" s="274"/>
    </row>
    <row r="1494" spans="12:12" x14ac:dyDescent="0.35">
      <c r="L1494" s="274"/>
    </row>
    <row r="1495" spans="12:12" x14ac:dyDescent="0.35">
      <c r="L1495" s="274"/>
    </row>
    <row r="1496" spans="12:12" x14ac:dyDescent="0.35">
      <c r="L1496" s="274"/>
    </row>
    <row r="1497" spans="12:12" x14ac:dyDescent="0.35">
      <c r="L1497" s="274"/>
    </row>
    <row r="1498" spans="12:12" x14ac:dyDescent="0.35">
      <c r="L1498" s="274"/>
    </row>
    <row r="1499" spans="12:12" x14ac:dyDescent="0.35">
      <c r="L1499" s="274"/>
    </row>
    <row r="1500" spans="12:12" x14ac:dyDescent="0.35">
      <c r="L1500" s="274"/>
    </row>
    <row r="1501" spans="12:12" x14ac:dyDescent="0.35">
      <c r="L1501" s="274"/>
    </row>
    <row r="1502" spans="12:12" x14ac:dyDescent="0.35">
      <c r="L1502" s="274"/>
    </row>
    <row r="1503" spans="12:12" x14ac:dyDescent="0.35">
      <c r="L1503" s="274"/>
    </row>
    <row r="1504" spans="12:12" x14ac:dyDescent="0.35">
      <c r="L1504" s="274"/>
    </row>
    <row r="1505" spans="12:12" x14ac:dyDescent="0.35">
      <c r="L1505" s="274"/>
    </row>
    <row r="1506" spans="12:12" x14ac:dyDescent="0.35">
      <c r="L1506" s="274"/>
    </row>
    <row r="1507" spans="12:12" x14ac:dyDescent="0.35">
      <c r="L1507" s="274"/>
    </row>
    <row r="1508" spans="12:12" x14ac:dyDescent="0.35">
      <c r="L1508" s="274"/>
    </row>
    <row r="1509" spans="12:12" x14ac:dyDescent="0.35">
      <c r="L1509" s="274"/>
    </row>
    <row r="1510" spans="12:12" x14ac:dyDescent="0.35">
      <c r="L1510" s="274"/>
    </row>
    <row r="1511" spans="12:12" x14ac:dyDescent="0.35">
      <c r="L1511" s="274"/>
    </row>
    <row r="1512" spans="12:12" x14ac:dyDescent="0.35">
      <c r="L1512" s="274"/>
    </row>
    <row r="1513" spans="12:12" x14ac:dyDescent="0.35">
      <c r="L1513" s="274"/>
    </row>
    <row r="1514" spans="12:12" x14ac:dyDescent="0.35">
      <c r="L1514" s="274"/>
    </row>
    <row r="1515" spans="12:12" x14ac:dyDescent="0.35">
      <c r="L1515" s="274"/>
    </row>
    <row r="1516" spans="12:12" x14ac:dyDescent="0.35">
      <c r="L1516" s="274"/>
    </row>
    <row r="1517" spans="12:12" x14ac:dyDescent="0.35">
      <c r="L1517" s="274"/>
    </row>
    <row r="1518" spans="12:12" x14ac:dyDescent="0.35">
      <c r="L1518" s="274"/>
    </row>
    <row r="1519" spans="12:12" x14ac:dyDescent="0.35">
      <c r="L1519" s="274"/>
    </row>
    <row r="1520" spans="12:12" x14ac:dyDescent="0.35">
      <c r="L1520" s="274"/>
    </row>
    <row r="1521" spans="12:12" x14ac:dyDescent="0.35">
      <c r="L1521" s="274"/>
    </row>
    <row r="1522" spans="12:12" x14ac:dyDescent="0.35">
      <c r="L1522" s="274"/>
    </row>
    <row r="1523" spans="12:12" x14ac:dyDescent="0.35">
      <c r="L1523" s="274"/>
    </row>
    <row r="1524" spans="12:12" x14ac:dyDescent="0.35">
      <c r="L1524" s="274"/>
    </row>
    <row r="1525" spans="12:12" x14ac:dyDescent="0.35">
      <c r="L1525" s="274"/>
    </row>
    <row r="1526" spans="12:12" x14ac:dyDescent="0.35">
      <c r="L1526" s="274"/>
    </row>
    <row r="1527" spans="12:12" x14ac:dyDescent="0.35">
      <c r="L1527" s="274"/>
    </row>
    <row r="1528" spans="12:12" x14ac:dyDescent="0.35">
      <c r="L1528" s="274"/>
    </row>
    <row r="1529" spans="12:12" x14ac:dyDescent="0.35">
      <c r="L1529" s="274"/>
    </row>
    <row r="1530" spans="12:12" x14ac:dyDescent="0.35">
      <c r="L1530" s="274"/>
    </row>
    <row r="1531" spans="12:12" x14ac:dyDescent="0.35">
      <c r="L1531" s="274"/>
    </row>
    <row r="1532" spans="12:12" x14ac:dyDescent="0.35">
      <c r="L1532" s="274"/>
    </row>
    <row r="1533" spans="12:12" x14ac:dyDescent="0.35">
      <c r="L1533" s="274"/>
    </row>
    <row r="1534" spans="12:12" x14ac:dyDescent="0.35">
      <c r="L1534" s="274"/>
    </row>
    <row r="1535" spans="12:12" x14ac:dyDescent="0.35">
      <c r="L1535" s="274"/>
    </row>
    <row r="1536" spans="12:12" x14ac:dyDescent="0.35">
      <c r="L1536" s="274"/>
    </row>
    <row r="1537" spans="12:12" x14ac:dyDescent="0.35">
      <c r="L1537" s="274"/>
    </row>
    <row r="1538" spans="12:12" x14ac:dyDescent="0.35">
      <c r="L1538" s="274"/>
    </row>
    <row r="1539" spans="12:12" x14ac:dyDescent="0.35">
      <c r="L1539" s="274"/>
    </row>
    <row r="1540" spans="12:12" x14ac:dyDescent="0.35">
      <c r="L1540" s="274"/>
    </row>
    <row r="1541" spans="12:12" x14ac:dyDescent="0.35">
      <c r="L1541" s="274"/>
    </row>
    <row r="1542" spans="12:12" x14ac:dyDescent="0.35">
      <c r="L1542" s="274"/>
    </row>
    <row r="1543" spans="12:12" x14ac:dyDescent="0.35">
      <c r="L1543" s="274"/>
    </row>
    <row r="1544" spans="12:12" x14ac:dyDescent="0.35">
      <c r="L1544" s="274"/>
    </row>
    <row r="1545" spans="12:12" x14ac:dyDescent="0.35">
      <c r="L1545" s="274"/>
    </row>
    <row r="1546" spans="12:12" x14ac:dyDescent="0.35">
      <c r="L1546" s="274"/>
    </row>
    <row r="1547" spans="12:12" x14ac:dyDescent="0.35">
      <c r="L1547" s="274"/>
    </row>
    <row r="1548" spans="12:12" x14ac:dyDescent="0.35">
      <c r="L1548" s="274"/>
    </row>
    <row r="1549" spans="12:12" x14ac:dyDescent="0.35">
      <c r="L1549" s="274"/>
    </row>
    <row r="1550" spans="12:12" x14ac:dyDescent="0.35">
      <c r="L1550" s="274"/>
    </row>
    <row r="1551" spans="12:12" x14ac:dyDescent="0.35">
      <c r="L1551" s="274"/>
    </row>
    <row r="1552" spans="12:12" x14ac:dyDescent="0.35">
      <c r="L1552" s="274"/>
    </row>
    <row r="1553" spans="12:12" x14ac:dyDescent="0.35">
      <c r="L1553" s="274"/>
    </row>
    <row r="1554" spans="12:12" x14ac:dyDescent="0.35">
      <c r="L1554" s="274"/>
    </row>
    <row r="1555" spans="12:12" x14ac:dyDescent="0.35">
      <c r="L1555" s="274"/>
    </row>
    <row r="1556" spans="12:12" x14ac:dyDescent="0.35">
      <c r="L1556" s="274"/>
    </row>
    <row r="1557" spans="12:12" x14ac:dyDescent="0.35">
      <c r="L1557" s="274"/>
    </row>
    <row r="1558" spans="12:12" x14ac:dyDescent="0.35">
      <c r="L1558" s="274"/>
    </row>
    <row r="1559" spans="12:12" x14ac:dyDescent="0.35">
      <c r="L1559" s="274"/>
    </row>
    <row r="1560" spans="12:12" x14ac:dyDescent="0.35">
      <c r="L1560" s="274"/>
    </row>
    <row r="1561" spans="12:12" x14ac:dyDescent="0.35">
      <c r="L1561" s="274"/>
    </row>
    <row r="1562" spans="12:12" x14ac:dyDescent="0.35">
      <c r="L1562" s="274"/>
    </row>
    <row r="1563" spans="12:12" x14ac:dyDescent="0.35">
      <c r="L1563" s="274"/>
    </row>
    <row r="1564" spans="12:12" x14ac:dyDescent="0.35">
      <c r="L1564" s="274"/>
    </row>
    <row r="1565" spans="12:12" x14ac:dyDescent="0.35">
      <c r="L1565" s="274"/>
    </row>
    <row r="1566" spans="12:12" x14ac:dyDescent="0.35">
      <c r="L1566" s="274"/>
    </row>
    <row r="1567" spans="12:12" x14ac:dyDescent="0.35">
      <c r="L1567" s="274"/>
    </row>
    <row r="1568" spans="12:12" x14ac:dyDescent="0.35">
      <c r="L1568" s="274"/>
    </row>
    <row r="1569" spans="12:12" x14ac:dyDescent="0.35">
      <c r="L1569" s="274"/>
    </row>
    <row r="1570" spans="12:12" x14ac:dyDescent="0.35">
      <c r="L1570" s="274"/>
    </row>
    <row r="1571" spans="12:12" x14ac:dyDescent="0.35">
      <c r="L1571" s="274"/>
    </row>
    <row r="1572" spans="12:12" x14ac:dyDescent="0.35">
      <c r="L1572" s="274"/>
    </row>
    <row r="1573" spans="12:12" x14ac:dyDescent="0.35">
      <c r="L1573" s="274"/>
    </row>
    <row r="1574" spans="12:12" x14ac:dyDescent="0.35">
      <c r="L1574" s="274"/>
    </row>
    <row r="1575" spans="12:12" x14ac:dyDescent="0.35">
      <c r="L1575" s="274"/>
    </row>
    <row r="1576" spans="12:12" x14ac:dyDescent="0.35">
      <c r="L1576" s="274"/>
    </row>
    <row r="1577" spans="12:12" x14ac:dyDescent="0.35">
      <c r="L1577" s="274"/>
    </row>
    <row r="1578" spans="12:12" x14ac:dyDescent="0.35">
      <c r="L1578" s="274"/>
    </row>
    <row r="1579" spans="12:12" x14ac:dyDescent="0.35">
      <c r="L1579" s="274"/>
    </row>
    <row r="1580" spans="12:12" x14ac:dyDescent="0.35">
      <c r="L1580" s="274"/>
    </row>
    <row r="1581" spans="12:12" x14ac:dyDescent="0.35">
      <c r="L1581" s="274"/>
    </row>
    <row r="1582" spans="12:12" x14ac:dyDescent="0.35">
      <c r="L1582" s="274"/>
    </row>
    <row r="1583" spans="12:12" x14ac:dyDescent="0.35">
      <c r="L1583" s="274"/>
    </row>
    <row r="1584" spans="12:12" x14ac:dyDescent="0.35">
      <c r="L1584" s="274"/>
    </row>
    <row r="1585" spans="12:12" x14ac:dyDescent="0.35">
      <c r="L1585" s="274"/>
    </row>
    <row r="1586" spans="12:12" x14ac:dyDescent="0.35">
      <c r="L1586" s="274"/>
    </row>
    <row r="1587" spans="12:12" x14ac:dyDescent="0.35">
      <c r="L1587" s="274"/>
    </row>
    <row r="1588" spans="12:12" x14ac:dyDescent="0.35">
      <c r="L1588" s="274"/>
    </row>
    <row r="1589" spans="12:12" x14ac:dyDescent="0.35">
      <c r="L1589" s="274"/>
    </row>
    <row r="1590" spans="12:12" x14ac:dyDescent="0.35">
      <c r="L1590" s="274"/>
    </row>
    <row r="1591" spans="12:12" x14ac:dyDescent="0.35">
      <c r="L1591" s="274"/>
    </row>
    <row r="1592" spans="12:12" x14ac:dyDescent="0.35">
      <c r="L1592" s="274"/>
    </row>
    <row r="1593" spans="12:12" x14ac:dyDescent="0.35">
      <c r="L1593" s="274"/>
    </row>
    <row r="1594" spans="12:12" x14ac:dyDescent="0.35">
      <c r="L1594" s="274"/>
    </row>
    <row r="1595" spans="12:12" x14ac:dyDescent="0.35">
      <c r="L1595" s="274"/>
    </row>
    <row r="1596" spans="12:12" x14ac:dyDescent="0.35">
      <c r="L1596" s="274"/>
    </row>
    <row r="1597" spans="12:12" x14ac:dyDescent="0.35">
      <c r="L1597" s="274"/>
    </row>
    <row r="1598" spans="12:12" x14ac:dyDescent="0.35">
      <c r="L1598" s="274"/>
    </row>
    <row r="1599" spans="12:12" x14ac:dyDescent="0.35">
      <c r="L1599" s="274"/>
    </row>
    <row r="1600" spans="12:12" x14ac:dyDescent="0.35">
      <c r="L1600" s="274"/>
    </row>
    <row r="1601" spans="12:12" x14ac:dyDescent="0.35">
      <c r="L1601" s="274"/>
    </row>
    <row r="1602" spans="12:12" x14ac:dyDescent="0.35">
      <c r="L1602" s="274"/>
    </row>
    <row r="1603" spans="12:12" x14ac:dyDescent="0.35">
      <c r="L1603" s="274"/>
    </row>
    <row r="1604" spans="12:12" x14ac:dyDescent="0.35">
      <c r="L1604" s="274"/>
    </row>
    <row r="1605" spans="12:12" x14ac:dyDescent="0.35">
      <c r="L1605" s="274"/>
    </row>
    <row r="1606" spans="12:12" x14ac:dyDescent="0.35">
      <c r="L1606" s="274"/>
    </row>
    <row r="1607" spans="12:12" x14ac:dyDescent="0.35">
      <c r="L1607" s="274"/>
    </row>
    <row r="1608" spans="12:12" x14ac:dyDescent="0.35">
      <c r="L1608" s="274"/>
    </row>
    <row r="1609" spans="12:12" x14ac:dyDescent="0.35">
      <c r="L1609" s="274"/>
    </row>
    <row r="1610" spans="12:12" x14ac:dyDescent="0.35">
      <c r="L1610" s="274"/>
    </row>
    <row r="1611" spans="12:12" x14ac:dyDescent="0.35">
      <c r="L1611" s="274"/>
    </row>
    <row r="1612" spans="12:12" x14ac:dyDescent="0.35">
      <c r="L1612" s="274"/>
    </row>
    <row r="1613" spans="12:12" x14ac:dyDescent="0.35">
      <c r="L1613" s="274"/>
    </row>
    <row r="1614" spans="12:12" x14ac:dyDescent="0.35">
      <c r="L1614" s="274"/>
    </row>
    <row r="1615" spans="12:12" x14ac:dyDescent="0.35">
      <c r="L1615" s="274"/>
    </row>
    <row r="1616" spans="12:12" x14ac:dyDescent="0.35">
      <c r="L1616" s="274"/>
    </row>
    <row r="1617" spans="12:12" x14ac:dyDescent="0.35">
      <c r="L1617" s="274"/>
    </row>
    <row r="1618" spans="12:12" x14ac:dyDescent="0.35">
      <c r="L1618" s="274"/>
    </row>
    <row r="1619" spans="12:12" x14ac:dyDescent="0.35">
      <c r="L1619" s="274"/>
    </row>
    <row r="1620" spans="12:12" x14ac:dyDescent="0.35">
      <c r="L1620" s="274"/>
    </row>
    <row r="1621" spans="12:12" x14ac:dyDescent="0.35">
      <c r="L1621" s="274"/>
    </row>
    <row r="1622" spans="12:12" x14ac:dyDescent="0.35">
      <c r="L1622" s="274"/>
    </row>
    <row r="1623" spans="12:12" x14ac:dyDescent="0.35">
      <c r="L1623" s="274"/>
    </row>
    <row r="1624" spans="12:12" x14ac:dyDescent="0.35">
      <c r="L1624" s="274"/>
    </row>
    <row r="1625" spans="12:12" x14ac:dyDescent="0.35">
      <c r="L1625" s="274"/>
    </row>
    <row r="1626" spans="12:12" x14ac:dyDescent="0.35">
      <c r="L1626" s="274"/>
    </row>
    <row r="1627" spans="12:12" x14ac:dyDescent="0.35">
      <c r="L1627" s="274"/>
    </row>
    <row r="1628" spans="12:12" x14ac:dyDescent="0.35">
      <c r="L1628" s="274"/>
    </row>
    <row r="1629" spans="12:12" x14ac:dyDescent="0.35">
      <c r="L1629" s="274"/>
    </row>
    <row r="1630" spans="12:12" x14ac:dyDescent="0.35">
      <c r="L1630" s="274"/>
    </row>
    <row r="1631" spans="12:12" x14ac:dyDescent="0.35">
      <c r="L1631" s="274"/>
    </row>
    <row r="1632" spans="12:12" x14ac:dyDescent="0.35">
      <c r="L1632" s="274"/>
    </row>
    <row r="1633" spans="12:12" x14ac:dyDescent="0.35">
      <c r="L1633" s="274"/>
    </row>
    <row r="1634" spans="12:12" x14ac:dyDescent="0.35">
      <c r="L1634" s="274"/>
    </row>
    <row r="1635" spans="12:12" x14ac:dyDescent="0.35">
      <c r="L1635" s="274"/>
    </row>
    <row r="1636" spans="12:12" x14ac:dyDescent="0.35">
      <c r="L1636" s="274"/>
    </row>
    <row r="1637" spans="12:12" x14ac:dyDescent="0.35">
      <c r="L1637" s="274"/>
    </row>
    <row r="1638" spans="12:12" x14ac:dyDescent="0.35">
      <c r="L1638" s="274"/>
    </row>
    <row r="1639" spans="12:12" x14ac:dyDescent="0.35">
      <c r="L1639" s="274"/>
    </row>
    <row r="1640" spans="12:12" x14ac:dyDescent="0.35">
      <c r="L1640" s="274"/>
    </row>
    <row r="1641" spans="12:12" x14ac:dyDescent="0.35">
      <c r="L1641" s="274"/>
    </row>
    <row r="1642" spans="12:12" x14ac:dyDescent="0.35">
      <c r="L1642" s="274"/>
    </row>
    <row r="1643" spans="12:12" x14ac:dyDescent="0.35">
      <c r="L1643" s="274"/>
    </row>
    <row r="1644" spans="12:12" x14ac:dyDescent="0.35">
      <c r="L1644" s="274"/>
    </row>
    <row r="1645" spans="12:12" x14ac:dyDescent="0.35">
      <c r="L1645" s="274"/>
    </row>
    <row r="1646" spans="12:12" x14ac:dyDescent="0.35">
      <c r="L1646" s="274"/>
    </row>
    <row r="1647" spans="12:12" x14ac:dyDescent="0.35">
      <c r="L1647" s="274"/>
    </row>
    <row r="1648" spans="12:12" x14ac:dyDescent="0.35">
      <c r="L1648" s="274"/>
    </row>
    <row r="1649" spans="12:12" x14ac:dyDescent="0.35">
      <c r="L1649" s="274"/>
    </row>
    <row r="1650" spans="12:12" x14ac:dyDescent="0.35">
      <c r="L1650" s="274"/>
    </row>
    <row r="1651" spans="12:12" x14ac:dyDescent="0.35">
      <c r="L1651" s="274"/>
    </row>
    <row r="1652" spans="12:12" x14ac:dyDescent="0.35">
      <c r="L1652" s="274"/>
    </row>
    <row r="1653" spans="12:12" x14ac:dyDescent="0.35">
      <c r="L1653" s="274"/>
    </row>
    <row r="1654" spans="12:12" x14ac:dyDescent="0.35">
      <c r="L1654" s="274"/>
    </row>
    <row r="1655" spans="12:12" x14ac:dyDescent="0.35">
      <c r="L1655" s="274"/>
    </row>
    <row r="1656" spans="12:12" x14ac:dyDescent="0.35">
      <c r="L1656" s="274"/>
    </row>
    <row r="1657" spans="12:12" x14ac:dyDescent="0.35">
      <c r="L1657" s="274"/>
    </row>
    <row r="1658" spans="12:12" x14ac:dyDescent="0.35">
      <c r="L1658" s="274"/>
    </row>
    <row r="1659" spans="12:12" x14ac:dyDescent="0.35">
      <c r="L1659" s="274"/>
    </row>
    <row r="1660" spans="12:12" x14ac:dyDescent="0.35">
      <c r="L1660" s="274"/>
    </row>
    <row r="1661" spans="12:12" x14ac:dyDescent="0.35">
      <c r="L1661" s="274"/>
    </row>
    <row r="1662" spans="12:12" x14ac:dyDescent="0.35">
      <c r="L1662" s="274"/>
    </row>
    <row r="1663" spans="12:12" x14ac:dyDescent="0.35">
      <c r="L1663" s="274"/>
    </row>
    <row r="1664" spans="12:12" x14ac:dyDescent="0.35">
      <c r="L1664" s="274"/>
    </row>
    <row r="1665" spans="12:12" x14ac:dyDescent="0.35">
      <c r="L1665" s="274"/>
    </row>
    <row r="1666" spans="12:12" x14ac:dyDescent="0.35">
      <c r="L1666" s="274"/>
    </row>
    <row r="1667" spans="12:12" x14ac:dyDescent="0.35">
      <c r="L1667" s="274"/>
    </row>
    <row r="1668" spans="12:12" x14ac:dyDescent="0.35">
      <c r="L1668" s="274"/>
    </row>
    <row r="1669" spans="12:12" x14ac:dyDescent="0.35">
      <c r="L1669" s="274"/>
    </row>
    <row r="1670" spans="12:12" x14ac:dyDescent="0.35">
      <c r="L1670" s="274"/>
    </row>
    <row r="1671" spans="12:12" x14ac:dyDescent="0.35">
      <c r="L1671" s="274"/>
    </row>
    <row r="1672" spans="12:12" x14ac:dyDescent="0.35">
      <c r="L1672" s="274"/>
    </row>
    <row r="1673" spans="12:12" x14ac:dyDescent="0.35">
      <c r="L1673" s="274"/>
    </row>
    <row r="1674" spans="12:12" x14ac:dyDescent="0.35">
      <c r="L1674" s="274"/>
    </row>
    <row r="1675" spans="12:12" x14ac:dyDescent="0.35">
      <c r="L1675" s="274"/>
    </row>
    <row r="1676" spans="12:12" x14ac:dyDescent="0.35">
      <c r="L1676" s="274"/>
    </row>
    <row r="1677" spans="12:12" x14ac:dyDescent="0.35">
      <c r="L1677" s="274"/>
    </row>
    <row r="1678" spans="12:12" x14ac:dyDescent="0.35">
      <c r="L1678" s="274"/>
    </row>
    <row r="1679" spans="12:12" x14ac:dyDescent="0.35">
      <c r="L1679" s="274"/>
    </row>
    <row r="1680" spans="12:12" x14ac:dyDescent="0.35">
      <c r="L1680" s="274"/>
    </row>
    <row r="1681" spans="12:12" x14ac:dyDescent="0.35">
      <c r="L1681" s="274"/>
    </row>
    <row r="1682" spans="12:12" x14ac:dyDescent="0.35">
      <c r="L1682" s="274"/>
    </row>
    <row r="1683" spans="12:12" x14ac:dyDescent="0.35">
      <c r="L1683" s="274"/>
    </row>
    <row r="1684" spans="12:12" x14ac:dyDescent="0.35">
      <c r="L1684" s="274"/>
    </row>
    <row r="1685" spans="12:12" x14ac:dyDescent="0.35">
      <c r="L1685" s="274"/>
    </row>
    <row r="1686" spans="12:12" x14ac:dyDescent="0.35">
      <c r="L1686" s="274"/>
    </row>
    <row r="1687" spans="12:12" x14ac:dyDescent="0.35">
      <c r="L1687" s="274"/>
    </row>
    <row r="1688" spans="12:12" x14ac:dyDescent="0.35">
      <c r="L1688" s="274"/>
    </row>
    <row r="1689" spans="12:12" x14ac:dyDescent="0.35">
      <c r="L1689" s="274"/>
    </row>
    <row r="1690" spans="12:12" x14ac:dyDescent="0.35">
      <c r="L1690" s="274"/>
    </row>
    <row r="1691" spans="12:12" x14ac:dyDescent="0.35">
      <c r="L1691" s="274"/>
    </row>
    <row r="1692" spans="12:12" x14ac:dyDescent="0.35">
      <c r="L1692" s="274"/>
    </row>
    <row r="1693" spans="12:12" x14ac:dyDescent="0.35">
      <c r="L1693" s="274"/>
    </row>
    <row r="1694" spans="12:12" x14ac:dyDescent="0.35">
      <c r="L1694" s="274"/>
    </row>
    <row r="1695" spans="12:12" x14ac:dyDescent="0.35">
      <c r="L1695" s="274"/>
    </row>
    <row r="1696" spans="12:12" x14ac:dyDescent="0.35">
      <c r="L1696" s="274"/>
    </row>
    <row r="1697" spans="12:12" x14ac:dyDescent="0.35">
      <c r="L1697" s="274"/>
    </row>
    <row r="1698" spans="12:12" x14ac:dyDescent="0.35">
      <c r="L1698" s="274"/>
    </row>
    <row r="1699" spans="12:12" x14ac:dyDescent="0.35">
      <c r="L1699" s="274"/>
    </row>
    <row r="1700" spans="12:12" x14ac:dyDescent="0.35">
      <c r="L1700" s="274"/>
    </row>
    <row r="1701" spans="12:12" x14ac:dyDescent="0.35">
      <c r="L1701" s="274"/>
    </row>
    <row r="1702" spans="12:12" x14ac:dyDescent="0.35">
      <c r="L1702" s="274"/>
    </row>
    <row r="1703" spans="12:12" x14ac:dyDescent="0.35">
      <c r="L1703" s="274"/>
    </row>
    <row r="1704" spans="12:12" x14ac:dyDescent="0.35">
      <c r="L1704" s="274"/>
    </row>
    <row r="1705" spans="12:12" x14ac:dyDescent="0.35">
      <c r="L1705" s="274"/>
    </row>
    <row r="1706" spans="12:12" x14ac:dyDescent="0.35">
      <c r="L1706" s="274"/>
    </row>
    <row r="1707" spans="12:12" x14ac:dyDescent="0.35">
      <c r="L1707" s="274"/>
    </row>
    <row r="1708" spans="12:12" x14ac:dyDescent="0.35">
      <c r="L1708" s="274"/>
    </row>
    <row r="1709" spans="12:12" x14ac:dyDescent="0.35">
      <c r="L1709" s="274"/>
    </row>
    <row r="1710" spans="12:12" x14ac:dyDescent="0.35">
      <c r="L1710" s="274"/>
    </row>
    <row r="1711" spans="12:12" x14ac:dyDescent="0.35">
      <c r="L1711" s="274"/>
    </row>
    <row r="1712" spans="12:12" x14ac:dyDescent="0.35">
      <c r="L1712" s="274"/>
    </row>
    <row r="1713" spans="12:12" x14ac:dyDescent="0.35">
      <c r="L1713" s="274"/>
    </row>
    <row r="1714" spans="12:12" x14ac:dyDescent="0.35">
      <c r="L1714" s="274"/>
    </row>
    <row r="1715" spans="12:12" x14ac:dyDescent="0.35">
      <c r="L1715" s="274"/>
    </row>
    <row r="1716" spans="12:12" x14ac:dyDescent="0.35">
      <c r="L1716" s="274"/>
    </row>
    <row r="1717" spans="12:12" x14ac:dyDescent="0.35">
      <c r="L1717" s="274"/>
    </row>
    <row r="1718" spans="12:12" x14ac:dyDescent="0.35">
      <c r="L1718" s="274"/>
    </row>
    <row r="1719" spans="12:12" x14ac:dyDescent="0.35">
      <c r="L1719" s="274"/>
    </row>
    <row r="1720" spans="12:12" x14ac:dyDescent="0.35">
      <c r="L1720" s="274"/>
    </row>
    <row r="1721" spans="12:12" x14ac:dyDescent="0.35">
      <c r="L1721" s="274"/>
    </row>
    <row r="1722" spans="12:12" x14ac:dyDescent="0.35">
      <c r="L1722" s="274"/>
    </row>
    <row r="1723" spans="12:12" x14ac:dyDescent="0.35">
      <c r="L1723" s="274"/>
    </row>
    <row r="1724" spans="12:12" x14ac:dyDescent="0.35">
      <c r="L1724" s="274"/>
    </row>
    <row r="1725" spans="12:12" x14ac:dyDescent="0.35">
      <c r="L1725" s="274"/>
    </row>
    <row r="1726" spans="12:12" x14ac:dyDescent="0.35">
      <c r="L1726" s="274"/>
    </row>
    <row r="1727" spans="12:12" x14ac:dyDescent="0.35">
      <c r="L1727" s="274"/>
    </row>
    <row r="1728" spans="12:12" x14ac:dyDescent="0.35">
      <c r="L1728" s="274"/>
    </row>
    <row r="1729" spans="12:12" x14ac:dyDescent="0.35">
      <c r="L1729" s="274"/>
    </row>
    <row r="1730" spans="12:12" x14ac:dyDescent="0.35">
      <c r="L1730" s="274"/>
    </row>
    <row r="1731" spans="12:12" x14ac:dyDescent="0.35">
      <c r="L1731" s="274"/>
    </row>
    <row r="1732" spans="12:12" x14ac:dyDescent="0.35">
      <c r="L1732" s="274"/>
    </row>
    <row r="1733" spans="12:12" x14ac:dyDescent="0.35">
      <c r="L1733" s="274"/>
    </row>
    <row r="1734" spans="12:12" x14ac:dyDescent="0.35">
      <c r="L1734" s="274"/>
    </row>
    <row r="1735" spans="12:12" x14ac:dyDescent="0.35">
      <c r="L1735" s="274"/>
    </row>
    <row r="1736" spans="12:12" x14ac:dyDescent="0.35">
      <c r="L1736" s="274"/>
    </row>
    <row r="1737" spans="12:12" x14ac:dyDescent="0.35">
      <c r="L1737" s="274"/>
    </row>
    <row r="1738" spans="12:12" x14ac:dyDescent="0.35">
      <c r="L1738" s="274"/>
    </row>
    <row r="1739" spans="12:12" x14ac:dyDescent="0.35">
      <c r="L1739" s="274"/>
    </row>
    <row r="1740" spans="12:12" x14ac:dyDescent="0.35">
      <c r="L1740" s="274"/>
    </row>
    <row r="1741" spans="12:12" x14ac:dyDescent="0.35">
      <c r="L1741" s="274"/>
    </row>
    <row r="1742" spans="12:12" x14ac:dyDescent="0.35">
      <c r="L1742" s="274"/>
    </row>
    <row r="1743" spans="12:12" x14ac:dyDescent="0.35">
      <c r="L1743" s="274"/>
    </row>
    <row r="1744" spans="12:12" x14ac:dyDescent="0.35">
      <c r="L1744" s="274"/>
    </row>
    <row r="1745" spans="12:12" x14ac:dyDescent="0.35">
      <c r="L1745" s="274"/>
    </row>
    <row r="1746" spans="12:12" x14ac:dyDescent="0.35">
      <c r="L1746" s="274"/>
    </row>
    <row r="1747" spans="12:12" x14ac:dyDescent="0.35">
      <c r="L1747" s="274"/>
    </row>
    <row r="1748" spans="12:12" x14ac:dyDescent="0.35">
      <c r="L1748" s="274"/>
    </row>
    <row r="1749" spans="12:12" x14ac:dyDescent="0.35">
      <c r="L1749" s="274"/>
    </row>
    <row r="1750" spans="12:12" x14ac:dyDescent="0.35">
      <c r="L1750" s="274"/>
    </row>
    <row r="1751" spans="12:12" x14ac:dyDescent="0.35">
      <c r="L1751" s="274"/>
    </row>
    <row r="1752" spans="12:12" x14ac:dyDescent="0.35">
      <c r="L1752" s="274"/>
    </row>
    <row r="1753" spans="12:12" x14ac:dyDescent="0.35">
      <c r="L1753" s="274"/>
    </row>
    <row r="1754" spans="12:12" x14ac:dyDescent="0.35">
      <c r="L1754" s="274"/>
    </row>
    <row r="1755" spans="12:12" x14ac:dyDescent="0.35">
      <c r="L1755" s="274"/>
    </row>
    <row r="1756" spans="12:12" x14ac:dyDescent="0.35">
      <c r="L1756" s="274"/>
    </row>
    <row r="1757" spans="12:12" x14ac:dyDescent="0.35">
      <c r="L1757" s="274"/>
    </row>
    <row r="1758" spans="12:12" x14ac:dyDescent="0.35">
      <c r="L1758" s="274"/>
    </row>
    <row r="1759" spans="12:12" x14ac:dyDescent="0.35">
      <c r="L1759" s="274"/>
    </row>
    <row r="1760" spans="12:12" x14ac:dyDescent="0.35">
      <c r="L1760" s="274"/>
    </row>
    <row r="1761" spans="12:12" x14ac:dyDescent="0.35">
      <c r="L1761" s="274"/>
    </row>
    <row r="1762" spans="12:12" x14ac:dyDescent="0.35">
      <c r="L1762" s="274"/>
    </row>
    <row r="1763" spans="12:12" x14ac:dyDescent="0.35">
      <c r="L1763" s="274"/>
    </row>
    <row r="1764" spans="12:12" x14ac:dyDescent="0.35">
      <c r="L1764" s="274"/>
    </row>
    <row r="1765" spans="12:12" x14ac:dyDescent="0.35">
      <c r="L1765" s="274"/>
    </row>
    <row r="1766" spans="12:12" x14ac:dyDescent="0.35">
      <c r="L1766" s="274"/>
    </row>
    <row r="1767" spans="12:12" x14ac:dyDescent="0.35">
      <c r="L1767" s="274"/>
    </row>
    <row r="1768" spans="12:12" x14ac:dyDescent="0.35">
      <c r="L1768" s="274"/>
    </row>
    <row r="1769" spans="12:12" x14ac:dyDescent="0.35">
      <c r="L1769" s="274"/>
    </row>
    <row r="1770" spans="12:12" x14ac:dyDescent="0.35">
      <c r="L1770" s="274"/>
    </row>
    <row r="1771" spans="12:12" x14ac:dyDescent="0.35">
      <c r="L1771" s="274"/>
    </row>
    <row r="1772" spans="12:12" x14ac:dyDescent="0.35">
      <c r="L1772" s="274"/>
    </row>
    <row r="1773" spans="12:12" x14ac:dyDescent="0.35">
      <c r="L1773" s="274"/>
    </row>
    <row r="1774" spans="12:12" x14ac:dyDescent="0.35">
      <c r="L1774" s="274"/>
    </row>
    <row r="1775" spans="12:12" x14ac:dyDescent="0.35">
      <c r="L1775" s="274"/>
    </row>
    <row r="1776" spans="12:12" x14ac:dyDescent="0.35">
      <c r="L1776" s="274"/>
    </row>
    <row r="1777" spans="12:12" x14ac:dyDescent="0.35">
      <c r="L1777" s="274"/>
    </row>
    <row r="1778" spans="12:12" x14ac:dyDescent="0.35">
      <c r="L1778" s="274"/>
    </row>
    <row r="1779" spans="12:12" x14ac:dyDescent="0.35">
      <c r="L1779" s="274"/>
    </row>
    <row r="1780" spans="12:12" x14ac:dyDescent="0.35">
      <c r="L1780" s="274"/>
    </row>
    <row r="1781" spans="12:12" x14ac:dyDescent="0.35">
      <c r="L1781" s="274"/>
    </row>
    <row r="1782" spans="12:12" x14ac:dyDescent="0.35">
      <c r="L1782" s="274"/>
    </row>
    <row r="1783" spans="12:12" x14ac:dyDescent="0.35">
      <c r="L1783" s="274"/>
    </row>
    <row r="1784" spans="12:12" x14ac:dyDescent="0.35">
      <c r="L1784" s="274"/>
    </row>
    <row r="1785" spans="12:12" x14ac:dyDescent="0.35">
      <c r="L1785" s="274"/>
    </row>
    <row r="1786" spans="12:12" x14ac:dyDescent="0.35">
      <c r="L1786" s="274"/>
    </row>
    <row r="1787" spans="12:12" x14ac:dyDescent="0.35">
      <c r="L1787" s="274"/>
    </row>
    <row r="1788" spans="12:12" x14ac:dyDescent="0.35">
      <c r="L1788" s="274"/>
    </row>
    <row r="1789" spans="12:12" x14ac:dyDescent="0.35">
      <c r="L1789" s="274"/>
    </row>
    <row r="1790" spans="12:12" x14ac:dyDescent="0.35">
      <c r="L1790" s="274"/>
    </row>
    <row r="1791" spans="12:12" x14ac:dyDescent="0.35">
      <c r="L1791" s="274"/>
    </row>
    <row r="1792" spans="12:12" x14ac:dyDescent="0.35">
      <c r="L1792" s="274"/>
    </row>
    <row r="1793" spans="12:12" x14ac:dyDescent="0.35">
      <c r="L1793" s="274"/>
    </row>
    <row r="1794" spans="12:12" x14ac:dyDescent="0.35">
      <c r="L1794" s="274"/>
    </row>
    <row r="1795" spans="12:12" x14ac:dyDescent="0.35">
      <c r="L1795" s="274"/>
    </row>
    <row r="1796" spans="12:12" x14ac:dyDescent="0.35">
      <c r="L1796" s="274"/>
    </row>
    <row r="1797" spans="12:12" x14ac:dyDescent="0.35">
      <c r="L1797" s="274"/>
    </row>
    <row r="1798" spans="12:12" x14ac:dyDescent="0.35">
      <c r="L1798" s="274"/>
    </row>
    <row r="1799" spans="12:12" x14ac:dyDescent="0.35">
      <c r="L1799" s="274"/>
    </row>
    <row r="1800" spans="12:12" x14ac:dyDescent="0.35">
      <c r="L1800" s="274"/>
    </row>
    <row r="1801" spans="12:12" x14ac:dyDescent="0.35">
      <c r="L1801" s="274"/>
    </row>
    <row r="1802" spans="12:12" x14ac:dyDescent="0.35">
      <c r="L1802" s="274"/>
    </row>
    <row r="1803" spans="12:12" x14ac:dyDescent="0.35">
      <c r="L1803" s="274"/>
    </row>
    <row r="1804" spans="12:12" x14ac:dyDescent="0.35">
      <c r="L1804" s="274"/>
    </row>
    <row r="1805" spans="12:12" x14ac:dyDescent="0.35">
      <c r="L1805" s="274"/>
    </row>
    <row r="1806" spans="12:12" x14ac:dyDescent="0.35">
      <c r="L1806" s="274"/>
    </row>
    <row r="1807" spans="12:12" x14ac:dyDescent="0.35">
      <c r="L1807" s="274"/>
    </row>
    <row r="1808" spans="12:12" x14ac:dyDescent="0.35">
      <c r="L1808" s="274"/>
    </row>
    <row r="1809" spans="12:12" x14ac:dyDescent="0.35">
      <c r="L1809" s="274"/>
    </row>
    <row r="1810" spans="12:12" x14ac:dyDescent="0.35">
      <c r="L1810" s="274"/>
    </row>
    <row r="1811" spans="12:12" x14ac:dyDescent="0.35">
      <c r="L1811" s="274"/>
    </row>
    <row r="1812" spans="12:12" x14ac:dyDescent="0.35">
      <c r="L1812" s="274"/>
    </row>
    <row r="1813" spans="12:12" x14ac:dyDescent="0.35">
      <c r="L1813" s="274"/>
    </row>
    <row r="1814" spans="12:12" x14ac:dyDescent="0.35">
      <c r="L1814" s="274"/>
    </row>
    <row r="1815" spans="12:12" x14ac:dyDescent="0.35">
      <c r="L1815" s="274"/>
    </row>
    <row r="1816" spans="12:12" x14ac:dyDescent="0.35">
      <c r="L1816" s="274"/>
    </row>
    <row r="1817" spans="12:12" x14ac:dyDescent="0.35">
      <c r="L1817" s="274"/>
    </row>
    <row r="1818" spans="12:12" x14ac:dyDescent="0.35">
      <c r="L1818" s="274"/>
    </row>
    <row r="1819" spans="12:12" x14ac:dyDescent="0.35">
      <c r="L1819" s="274"/>
    </row>
    <row r="1820" spans="12:12" x14ac:dyDescent="0.35">
      <c r="L1820" s="274"/>
    </row>
    <row r="1821" spans="12:12" x14ac:dyDescent="0.35">
      <c r="L1821" s="274"/>
    </row>
    <row r="1822" spans="12:12" x14ac:dyDescent="0.35">
      <c r="L1822" s="274"/>
    </row>
    <row r="1823" spans="12:12" x14ac:dyDescent="0.35">
      <c r="L1823" s="274"/>
    </row>
    <row r="1824" spans="12:12" x14ac:dyDescent="0.35">
      <c r="L1824" s="274"/>
    </row>
    <row r="1825" spans="12:12" x14ac:dyDescent="0.35">
      <c r="L1825" s="274"/>
    </row>
    <row r="1826" spans="12:12" x14ac:dyDescent="0.35">
      <c r="L1826" s="274"/>
    </row>
    <row r="1827" spans="12:12" x14ac:dyDescent="0.35">
      <c r="L1827" s="274"/>
    </row>
    <row r="1828" spans="12:12" x14ac:dyDescent="0.35">
      <c r="L1828" s="274"/>
    </row>
    <row r="1829" spans="12:12" x14ac:dyDescent="0.35">
      <c r="L1829" s="274"/>
    </row>
    <row r="1830" spans="12:12" x14ac:dyDescent="0.35">
      <c r="L1830" s="274"/>
    </row>
    <row r="1831" spans="12:12" x14ac:dyDescent="0.35">
      <c r="L1831" s="274"/>
    </row>
    <row r="1832" spans="12:12" x14ac:dyDescent="0.35">
      <c r="L1832" s="274"/>
    </row>
    <row r="1833" spans="12:12" x14ac:dyDescent="0.35">
      <c r="L1833" s="274"/>
    </row>
    <row r="1834" spans="12:12" x14ac:dyDescent="0.35">
      <c r="L1834" s="274"/>
    </row>
    <row r="1835" spans="12:12" x14ac:dyDescent="0.35">
      <c r="L1835" s="274"/>
    </row>
    <row r="1836" spans="12:12" x14ac:dyDescent="0.35">
      <c r="L1836" s="274"/>
    </row>
    <row r="1837" spans="12:12" x14ac:dyDescent="0.35">
      <c r="L1837" s="274"/>
    </row>
    <row r="1838" spans="12:12" x14ac:dyDescent="0.35">
      <c r="L1838" s="274"/>
    </row>
    <row r="1839" spans="12:12" x14ac:dyDescent="0.35">
      <c r="L1839" s="274"/>
    </row>
    <row r="1840" spans="12:12" x14ac:dyDescent="0.35">
      <c r="L1840" s="274"/>
    </row>
    <row r="1841" spans="12:12" x14ac:dyDescent="0.35">
      <c r="L1841" s="274"/>
    </row>
    <row r="1842" spans="12:12" x14ac:dyDescent="0.35">
      <c r="L1842" s="274"/>
    </row>
    <row r="1843" spans="12:12" x14ac:dyDescent="0.35">
      <c r="L1843" s="274"/>
    </row>
    <row r="1844" spans="12:12" x14ac:dyDescent="0.35">
      <c r="L1844" s="274"/>
    </row>
    <row r="1845" spans="12:12" x14ac:dyDescent="0.35">
      <c r="L1845" s="274"/>
    </row>
    <row r="1846" spans="12:12" x14ac:dyDescent="0.35">
      <c r="L1846" s="274"/>
    </row>
    <row r="1847" spans="12:12" x14ac:dyDescent="0.35">
      <c r="L1847" s="274"/>
    </row>
    <row r="1848" spans="12:12" x14ac:dyDescent="0.35">
      <c r="L1848" s="274"/>
    </row>
    <row r="1849" spans="12:12" x14ac:dyDescent="0.35">
      <c r="L1849" s="274"/>
    </row>
    <row r="1850" spans="12:12" x14ac:dyDescent="0.35">
      <c r="L1850" s="274"/>
    </row>
    <row r="1851" spans="12:12" x14ac:dyDescent="0.35">
      <c r="L1851" s="274"/>
    </row>
    <row r="1852" spans="12:12" x14ac:dyDescent="0.35">
      <c r="L1852" s="274"/>
    </row>
    <row r="1853" spans="12:12" x14ac:dyDescent="0.35">
      <c r="L1853" s="274"/>
    </row>
    <row r="1854" spans="12:12" x14ac:dyDescent="0.35">
      <c r="L1854" s="274"/>
    </row>
    <row r="1855" spans="12:12" x14ac:dyDescent="0.35">
      <c r="L1855" s="274"/>
    </row>
    <row r="1856" spans="12:12" x14ac:dyDescent="0.35">
      <c r="L1856" s="274"/>
    </row>
    <row r="1857" spans="12:12" x14ac:dyDescent="0.35">
      <c r="L1857" s="274"/>
    </row>
    <row r="1858" spans="12:12" x14ac:dyDescent="0.35">
      <c r="L1858" s="274"/>
    </row>
    <row r="1859" spans="12:12" x14ac:dyDescent="0.35">
      <c r="L1859" s="274"/>
    </row>
    <row r="1860" spans="12:12" x14ac:dyDescent="0.35">
      <c r="L1860" s="274"/>
    </row>
    <row r="1861" spans="12:12" x14ac:dyDescent="0.35">
      <c r="L1861" s="274"/>
    </row>
    <row r="1862" spans="12:12" x14ac:dyDescent="0.35">
      <c r="L1862" s="274"/>
    </row>
    <row r="1863" spans="12:12" x14ac:dyDescent="0.35">
      <c r="L1863" s="274"/>
    </row>
    <row r="1864" spans="12:12" x14ac:dyDescent="0.35">
      <c r="L1864" s="274"/>
    </row>
    <row r="1865" spans="12:12" x14ac:dyDescent="0.35">
      <c r="L1865" s="274"/>
    </row>
    <row r="1866" spans="12:12" x14ac:dyDescent="0.35">
      <c r="L1866" s="274"/>
    </row>
    <row r="1867" spans="12:12" x14ac:dyDescent="0.35">
      <c r="L1867" s="274"/>
    </row>
    <row r="1868" spans="12:12" x14ac:dyDescent="0.35">
      <c r="L1868" s="274"/>
    </row>
    <row r="1869" spans="12:12" x14ac:dyDescent="0.35">
      <c r="L1869" s="274"/>
    </row>
    <row r="1870" spans="12:12" x14ac:dyDescent="0.35">
      <c r="L1870" s="274"/>
    </row>
    <row r="1871" spans="12:12" x14ac:dyDescent="0.35">
      <c r="L1871" s="274"/>
    </row>
    <row r="1872" spans="12:12" x14ac:dyDescent="0.35">
      <c r="L1872" s="274"/>
    </row>
    <row r="1873" spans="12:12" x14ac:dyDescent="0.35">
      <c r="L1873" s="274"/>
    </row>
    <row r="1874" spans="12:12" x14ac:dyDescent="0.35">
      <c r="L1874" s="274"/>
    </row>
    <row r="1875" spans="12:12" x14ac:dyDescent="0.35">
      <c r="L1875" s="274"/>
    </row>
    <row r="1876" spans="12:12" x14ac:dyDescent="0.35">
      <c r="L1876" s="274"/>
    </row>
    <row r="1877" spans="12:12" x14ac:dyDescent="0.35">
      <c r="L1877" s="274"/>
    </row>
    <row r="1878" spans="12:12" x14ac:dyDescent="0.35">
      <c r="L1878" s="274"/>
    </row>
    <row r="1879" spans="12:12" x14ac:dyDescent="0.35">
      <c r="L1879" s="274"/>
    </row>
    <row r="1880" spans="12:12" x14ac:dyDescent="0.35">
      <c r="L1880" s="274"/>
    </row>
    <row r="1881" spans="12:12" x14ac:dyDescent="0.35">
      <c r="L1881" s="274"/>
    </row>
    <row r="1882" spans="12:12" x14ac:dyDescent="0.35">
      <c r="L1882" s="274"/>
    </row>
    <row r="1883" spans="12:12" x14ac:dyDescent="0.35">
      <c r="L1883" s="274"/>
    </row>
    <row r="1884" spans="12:12" x14ac:dyDescent="0.35">
      <c r="L1884" s="274"/>
    </row>
    <row r="1885" spans="12:12" x14ac:dyDescent="0.35">
      <c r="L1885" s="274"/>
    </row>
    <row r="1886" spans="12:12" x14ac:dyDescent="0.35">
      <c r="L1886" s="274"/>
    </row>
    <row r="1887" spans="12:12" x14ac:dyDescent="0.35">
      <c r="L1887" s="274"/>
    </row>
    <row r="1888" spans="12:12" x14ac:dyDescent="0.35">
      <c r="L1888" s="274"/>
    </row>
    <row r="1889" spans="12:12" x14ac:dyDescent="0.35">
      <c r="L1889" s="274"/>
    </row>
    <row r="1890" spans="12:12" x14ac:dyDescent="0.35">
      <c r="L1890" s="274"/>
    </row>
    <row r="1891" spans="12:12" x14ac:dyDescent="0.35">
      <c r="L1891" s="274"/>
    </row>
    <row r="1892" spans="12:12" x14ac:dyDescent="0.35">
      <c r="L1892" s="274"/>
    </row>
    <row r="1893" spans="12:12" x14ac:dyDescent="0.35">
      <c r="L1893" s="274"/>
    </row>
    <row r="1894" spans="12:12" x14ac:dyDescent="0.35">
      <c r="L1894" s="274"/>
    </row>
    <row r="1895" spans="12:12" x14ac:dyDescent="0.35">
      <c r="L1895" s="274"/>
    </row>
    <row r="1896" spans="12:12" x14ac:dyDescent="0.35">
      <c r="L1896" s="274"/>
    </row>
    <row r="1897" spans="12:12" x14ac:dyDescent="0.35">
      <c r="L1897" s="274"/>
    </row>
    <row r="1898" spans="12:12" x14ac:dyDescent="0.35">
      <c r="L1898" s="274"/>
    </row>
    <row r="1899" spans="12:12" x14ac:dyDescent="0.35">
      <c r="L1899" s="274"/>
    </row>
    <row r="1900" spans="12:12" x14ac:dyDescent="0.35">
      <c r="L1900" s="274"/>
    </row>
    <row r="1901" spans="12:12" x14ac:dyDescent="0.35">
      <c r="L1901" s="274"/>
    </row>
    <row r="1902" spans="12:12" x14ac:dyDescent="0.35">
      <c r="L1902" s="274"/>
    </row>
    <row r="1903" spans="12:12" x14ac:dyDescent="0.35">
      <c r="L1903" s="274"/>
    </row>
    <row r="1904" spans="12:12" x14ac:dyDescent="0.35">
      <c r="L1904" s="274"/>
    </row>
    <row r="1905" spans="12:12" x14ac:dyDescent="0.35">
      <c r="L1905" s="274"/>
    </row>
    <row r="1906" spans="12:12" x14ac:dyDescent="0.35">
      <c r="L1906" s="274"/>
    </row>
    <row r="1907" spans="12:12" x14ac:dyDescent="0.35">
      <c r="L1907" s="274"/>
    </row>
    <row r="1908" spans="12:12" x14ac:dyDescent="0.35">
      <c r="L1908" s="274"/>
    </row>
    <row r="1909" spans="12:12" x14ac:dyDescent="0.35">
      <c r="L1909" s="274"/>
    </row>
    <row r="1910" spans="12:12" x14ac:dyDescent="0.35">
      <c r="L1910" s="274"/>
    </row>
    <row r="1911" spans="12:12" x14ac:dyDescent="0.35">
      <c r="L1911" s="274"/>
    </row>
    <row r="1912" spans="12:12" x14ac:dyDescent="0.35">
      <c r="L1912" s="274"/>
    </row>
    <row r="1913" spans="12:12" x14ac:dyDescent="0.35">
      <c r="L1913" s="274"/>
    </row>
    <row r="1914" spans="12:12" x14ac:dyDescent="0.35">
      <c r="L1914" s="274"/>
    </row>
    <row r="1915" spans="12:12" x14ac:dyDescent="0.35">
      <c r="L1915" s="274"/>
    </row>
    <row r="1916" spans="12:12" x14ac:dyDescent="0.35">
      <c r="L1916" s="274"/>
    </row>
    <row r="1917" spans="12:12" x14ac:dyDescent="0.35">
      <c r="L1917" s="274"/>
    </row>
    <row r="1918" spans="12:12" x14ac:dyDescent="0.35">
      <c r="L1918" s="274"/>
    </row>
    <row r="1919" spans="12:12" x14ac:dyDescent="0.35">
      <c r="L1919" s="274"/>
    </row>
    <row r="1920" spans="12:12" x14ac:dyDescent="0.35">
      <c r="L1920" s="274"/>
    </row>
    <row r="1921" spans="12:12" x14ac:dyDescent="0.35">
      <c r="L1921" s="274"/>
    </row>
    <row r="1922" spans="12:12" x14ac:dyDescent="0.35">
      <c r="L1922" s="274"/>
    </row>
    <row r="1923" spans="12:12" x14ac:dyDescent="0.35">
      <c r="L1923" s="274"/>
    </row>
    <row r="1924" spans="12:12" x14ac:dyDescent="0.35">
      <c r="L1924" s="274"/>
    </row>
    <row r="1925" spans="12:12" x14ac:dyDescent="0.35">
      <c r="L1925" s="274"/>
    </row>
    <row r="1926" spans="12:12" x14ac:dyDescent="0.35">
      <c r="L1926" s="274"/>
    </row>
    <row r="1927" spans="12:12" x14ac:dyDescent="0.35">
      <c r="L1927" s="274"/>
    </row>
    <row r="1928" spans="12:12" x14ac:dyDescent="0.35">
      <c r="L1928" s="274"/>
    </row>
    <row r="1929" spans="12:12" x14ac:dyDescent="0.35">
      <c r="L1929" s="274"/>
    </row>
    <row r="1930" spans="12:12" x14ac:dyDescent="0.35">
      <c r="L1930" s="274"/>
    </row>
    <row r="1931" spans="12:12" x14ac:dyDescent="0.35">
      <c r="L1931" s="274"/>
    </row>
    <row r="1932" spans="12:12" x14ac:dyDescent="0.35">
      <c r="L1932" s="274"/>
    </row>
    <row r="1933" spans="12:12" x14ac:dyDescent="0.35">
      <c r="L1933" s="274"/>
    </row>
    <row r="1934" spans="12:12" x14ac:dyDescent="0.35">
      <c r="L1934" s="274"/>
    </row>
    <row r="1935" spans="12:12" x14ac:dyDescent="0.35">
      <c r="L1935" s="274"/>
    </row>
    <row r="1936" spans="12:12" x14ac:dyDescent="0.35">
      <c r="L1936" s="274"/>
    </row>
    <row r="1937" spans="12:12" x14ac:dyDescent="0.35">
      <c r="L1937" s="274"/>
    </row>
    <row r="1938" spans="12:12" x14ac:dyDescent="0.35">
      <c r="L1938" s="274"/>
    </row>
    <row r="1939" spans="12:12" x14ac:dyDescent="0.35">
      <c r="L1939" s="274"/>
    </row>
    <row r="1940" spans="12:12" x14ac:dyDescent="0.35">
      <c r="L1940" s="274"/>
    </row>
    <row r="1941" spans="12:12" x14ac:dyDescent="0.35">
      <c r="L1941" s="274"/>
    </row>
    <row r="1942" spans="12:12" x14ac:dyDescent="0.35">
      <c r="L1942" s="274"/>
    </row>
    <row r="1943" spans="12:12" x14ac:dyDescent="0.35">
      <c r="L1943" s="274"/>
    </row>
    <row r="1944" spans="12:12" x14ac:dyDescent="0.35">
      <c r="L1944" s="274"/>
    </row>
    <row r="1945" spans="12:12" x14ac:dyDescent="0.35">
      <c r="L1945" s="274"/>
    </row>
    <row r="1946" spans="12:12" x14ac:dyDescent="0.35">
      <c r="L1946" s="274"/>
    </row>
    <row r="1947" spans="12:12" x14ac:dyDescent="0.35">
      <c r="L1947" s="274"/>
    </row>
    <row r="1948" spans="12:12" x14ac:dyDescent="0.35">
      <c r="L1948" s="274"/>
    </row>
    <row r="1949" spans="12:12" x14ac:dyDescent="0.35">
      <c r="L1949" s="274"/>
    </row>
    <row r="1950" spans="12:12" x14ac:dyDescent="0.35">
      <c r="L1950" s="274"/>
    </row>
    <row r="1951" spans="12:12" x14ac:dyDescent="0.35">
      <c r="L1951" s="274"/>
    </row>
    <row r="1952" spans="12:12" x14ac:dyDescent="0.35">
      <c r="L1952" s="274"/>
    </row>
    <row r="1953" spans="12:12" x14ac:dyDescent="0.35">
      <c r="L1953" s="274"/>
    </row>
    <row r="1954" spans="12:12" x14ac:dyDescent="0.35">
      <c r="L1954" s="274"/>
    </row>
    <row r="1955" spans="12:12" x14ac:dyDescent="0.35">
      <c r="L1955" s="274"/>
    </row>
    <row r="1956" spans="12:12" x14ac:dyDescent="0.35">
      <c r="L1956" s="274"/>
    </row>
    <row r="1957" spans="12:12" x14ac:dyDescent="0.35">
      <c r="L1957" s="274"/>
    </row>
    <row r="1958" spans="12:12" x14ac:dyDescent="0.35">
      <c r="L1958" s="274"/>
    </row>
    <row r="1959" spans="12:12" x14ac:dyDescent="0.35">
      <c r="L1959" s="274"/>
    </row>
    <row r="1960" spans="12:12" x14ac:dyDescent="0.35">
      <c r="L1960" s="274"/>
    </row>
    <row r="1961" spans="12:12" x14ac:dyDescent="0.35">
      <c r="L1961" s="274"/>
    </row>
    <row r="1962" spans="12:12" x14ac:dyDescent="0.35">
      <c r="L1962" s="274"/>
    </row>
    <row r="1963" spans="12:12" x14ac:dyDescent="0.35">
      <c r="L1963" s="274"/>
    </row>
    <row r="1964" spans="12:12" x14ac:dyDescent="0.35">
      <c r="L1964" s="274"/>
    </row>
    <row r="1965" spans="12:12" x14ac:dyDescent="0.35">
      <c r="L1965" s="274"/>
    </row>
    <row r="1966" spans="12:12" x14ac:dyDescent="0.35">
      <c r="L1966" s="274"/>
    </row>
    <row r="1967" spans="12:12" x14ac:dyDescent="0.35">
      <c r="L1967" s="274"/>
    </row>
    <row r="1968" spans="12:12" x14ac:dyDescent="0.35">
      <c r="L1968" s="274"/>
    </row>
    <row r="1969" spans="12:12" x14ac:dyDescent="0.35">
      <c r="L1969" s="274"/>
    </row>
    <row r="1970" spans="12:12" x14ac:dyDescent="0.35">
      <c r="L1970" s="274"/>
    </row>
    <row r="1971" spans="12:12" x14ac:dyDescent="0.35">
      <c r="L1971" s="274"/>
    </row>
    <row r="1972" spans="12:12" x14ac:dyDescent="0.35">
      <c r="L1972" s="274"/>
    </row>
    <row r="1973" spans="12:12" x14ac:dyDescent="0.35">
      <c r="L1973" s="274"/>
    </row>
    <row r="1974" spans="12:12" x14ac:dyDescent="0.35">
      <c r="L1974" s="274"/>
    </row>
    <row r="1975" spans="12:12" x14ac:dyDescent="0.35">
      <c r="L1975" s="274"/>
    </row>
    <row r="1976" spans="12:12" x14ac:dyDescent="0.35">
      <c r="L1976" s="274"/>
    </row>
    <row r="1977" spans="12:12" x14ac:dyDescent="0.35">
      <c r="L1977" s="274"/>
    </row>
    <row r="1978" spans="12:12" x14ac:dyDescent="0.35">
      <c r="L1978" s="274"/>
    </row>
    <row r="1979" spans="12:12" x14ac:dyDescent="0.35">
      <c r="L1979" s="274"/>
    </row>
    <row r="1980" spans="12:12" x14ac:dyDescent="0.35">
      <c r="L1980" s="274"/>
    </row>
    <row r="1981" spans="12:12" x14ac:dyDescent="0.35">
      <c r="L1981" s="274"/>
    </row>
    <row r="1982" spans="12:12" x14ac:dyDescent="0.35">
      <c r="L1982" s="274"/>
    </row>
    <row r="1983" spans="12:12" x14ac:dyDescent="0.35">
      <c r="L1983" s="274"/>
    </row>
    <row r="1984" spans="12:12" x14ac:dyDescent="0.35">
      <c r="L1984" s="274"/>
    </row>
    <row r="1985" spans="12:12" x14ac:dyDescent="0.35">
      <c r="L1985" s="274"/>
    </row>
    <row r="1986" spans="12:12" x14ac:dyDescent="0.35">
      <c r="L1986" s="274"/>
    </row>
    <row r="1987" spans="12:12" x14ac:dyDescent="0.35">
      <c r="L1987" s="274"/>
    </row>
    <row r="1988" spans="12:12" x14ac:dyDescent="0.35">
      <c r="L1988" s="274"/>
    </row>
    <row r="1989" spans="12:12" x14ac:dyDescent="0.35">
      <c r="L1989" s="274"/>
    </row>
    <row r="1990" spans="12:12" x14ac:dyDescent="0.35">
      <c r="L1990" s="274"/>
    </row>
    <row r="1991" spans="12:12" x14ac:dyDescent="0.35">
      <c r="L1991" s="274"/>
    </row>
    <row r="1992" spans="12:12" x14ac:dyDescent="0.35">
      <c r="L1992" s="274"/>
    </row>
    <row r="1993" spans="12:12" x14ac:dyDescent="0.35">
      <c r="L1993" s="274"/>
    </row>
    <row r="1994" spans="12:12" x14ac:dyDescent="0.35">
      <c r="L1994" s="274"/>
    </row>
    <row r="1995" spans="12:12" x14ac:dyDescent="0.35">
      <c r="L1995" s="274"/>
    </row>
    <row r="1996" spans="12:12" x14ac:dyDescent="0.35">
      <c r="L1996" s="274"/>
    </row>
    <row r="1997" spans="12:12" x14ac:dyDescent="0.35">
      <c r="L1997" s="274"/>
    </row>
    <row r="1998" spans="12:12" x14ac:dyDescent="0.35">
      <c r="L1998" s="274"/>
    </row>
    <row r="1999" spans="12:12" x14ac:dyDescent="0.35">
      <c r="L1999" s="274"/>
    </row>
    <row r="2000" spans="12:12" x14ac:dyDescent="0.35">
      <c r="L2000" s="274"/>
    </row>
    <row r="2001" spans="12:12" x14ac:dyDescent="0.35">
      <c r="L2001" s="274"/>
    </row>
    <row r="2002" spans="12:12" x14ac:dyDescent="0.35">
      <c r="L2002" s="274"/>
    </row>
    <row r="2003" spans="12:12" x14ac:dyDescent="0.35">
      <c r="L2003" s="274"/>
    </row>
    <row r="2004" spans="12:12" x14ac:dyDescent="0.35">
      <c r="L2004" s="274"/>
    </row>
    <row r="2005" spans="12:12" x14ac:dyDescent="0.35">
      <c r="L2005" s="274"/>
    </row>
    <row r="2006" spans="12:12" x14ac:dyDescent="0.35">
      <c r="L2006" s="274"/>
    </row>
    <row r="2007" spans="12:12" x14ac:dyDescent="0.35">
      <c r="L2007" s="274"/>
    </row>
    <row r="2008" spans="12:12" x14ac:dyDescent="0.35">
      <c r="L2008" s="274"/>
    </row>
    <row r="2009" spans="12:12" x14ac:dyDescent="0.35">
      <c r="L2009" s="274"/>
    </row>
    <row r="2010" spans="12:12" x14ac:dyDescent="0.35">
      <c r="L2010" s="274"/>
    </row>
    <row r="2011" spans="12:12" x14ac:dyDescent="0.35">
      <c r="L2011" s="274"/>
    </row>
    <row r="2012" spans="12:12" x14ac:dyDescent="0.35">
      <c r="L2012" s="274"/>
    </row>
    <row r="2013" spans="12:12" x14ac:dyDescent="0.35">
      <c r="L2013" s="274"/>
    </row>
    <row r="2014" spans="12:12" x14ac:dyDescent="0.35">
      <c r="L2014" s="274"/>
    </row>
    <row r="2015" spans="12:12" x14ac:dyDescent="0.35">
      <c r="L2015" s="274"/>
    </row>
    <row r="2016" spans="12:12" x14ac:dyDescent="0.35">
      <c r="L2016" s="274"/>
    </row>
    <row r="2017" spans="12:12" x14ac:dyDescent="0.35">
      <c r="L2017" s="274"/>
    </row>
    <row r="2018" spans="12:12" x14ac:dyDescent="0.35">
      <c r="L2018" s="274"/>
    </row>
    <row r="2019" spans="12:12" x14ac:dyDescent="0.35">
      <c r="L2019" s="274"/>
    </row>
    <row r="2020" spans="12:12" x14ac:dyDescent="0.35">
      <c r="L2020" s="274"/>
    </row>
    <row r="2021" spans="12:12" x14ac:dyDescent="0.35">
      <c r="L2021" s="274"/>
    </row>
    <row r="2022" spans="12:12" x14ac:dyDescent="0.35">
      <c r="L2022" s="274"/>
    </row>
    <row r="2023" spans="12:12" x14ac:dyDescent="0.35">
      <c r="L2023" s="274"/>
    </row>
    <row r="2024" spans="12:12" x14ac:dyDescent="0.35">
      <c r="L2024" s="274"/>
    </row>
    <row r="2025" spans="12:12" x14ac:dyDescent="0.35">
      <c r="L2025" s="274"/>
    </row>
    <row r="2026" spans="12:12" x14ac:dyDescent="0.35">
      <c r="L2026" s="274"/>
    </row>
    <row r="2027" spans="12:12" x14ac:dyDescent="0.35">
      <c r="L2027" s="274"/>
    </row>
    <row r="2028" spans="12:12" x14ac:dyDescent="0.35">
      <c r="L2028" s="274"/>
    </row>
    <row r="2029" spans="12:12" x14ac:dyDescent="0.35">
      <c r="L2029" s="274"/>
    </row>
    <row r="2030" spans="12:12" x14ac:dyDescent="0.35">
      <c r="L2030" s="274"/>
    </row>
    <row r="2031" spans="12:12" x14ac:dyDescent="0.35">
      <c r="L2031" s="274"/>
    </row>
    <row r="2032" spans="12:12" x14ac:dyDescent="0.35">
      <c r="L2032" s="274"/>
    </row>
    <row r="2033" spans="12:12" x14ac:dyDescent="0.35">
      <c r="L2033" s="274"/>
    </row>
    <row r="2034" spans="12:12" x14ac:dyDescent="0.35">
      <c r="L2034" s="274"/>
    </row>
    <row r="2035" spans="12:12" x14ac:dyDescent="0.35">
      <c r="L2035" s="274"/>
    </row>
    <row r="2036" spans="12:12" x14ac:dyDescent="0.35">
      <c r="L2036" s="274"/>
    </row>
    <row r="2037" spans="12:12" x14ac:dyDescent="0.35">
      <c r="L2037" s="274"/>
    </row>
    <row r="2038" spans="12:12" x14ac:dyDescent="0.35">
      <c r="L2038" s="274"/>
    </row>
    <row r="2039" spans="12:12" x14ac:dyDescent="0.35">
      <c r="L2039" s="274"/>
    </row>
    <row r="2040" spans="12:12" x14ac:dyDescent="0.35">
      <c r="L2040" s="274"/>
    </row>
    <row r="2041" spans="12:12" x14ac:dyDescent="0.35">
      <c r="L2041" s="274"/>
    </row>
    <row r="2042" spans="12:12" x14ac:dyDescent="0.35">
      <c r="L2042" s="274"/>
    </row>
    <row r="2043" spans="12:12" x14ac:dyDescent="0.35">
      <c r="L2043" s="274"/>
    </row>
    <row r="2044" spans="12:12" x14ac:dyDescent="0.35">
      <c r="L2044" s="274"/>
    </row>
    <row r="2045" spans="12:12" x14ac:dyDescent="0.35">
      <c r="L2045" s="274"/>
    </row>
    <row r="2046" spans="12:12" x14ac:dyDescent="0.35">
      <c r="L2046" s="274"/>
    </row>
    <row r="2047" spans="12:12" x14ac:dyDescent="0.35">
      <c r="L2047" s="274"/>
    </row>
    <row r="2048" spans="12:12" x14ac:dyDescent="0.35">
      <c r="L2048" s="274"/>
    </row>
    <row r="2049" spans="12:12" x14ac:dyDescent="0.35">
      <c r="L2049" s="274"/>
    </row>
    <row r="2050" spans="12:12" x14ac:dyDescent="0.35">
      <c r="L2050" s="274"/>
    </row>
    <row r="2051" spans="12:12" x14ac:dyDescent="0.35">
      <c r="L2051" s="274"/>
    </row>
    <row r="2052" spans="12:12" x14ac:dyDescent="0.35">
      <c r="L2052" s="274"/>
    </row>
    <row r="2053" spans="12:12" x14ac:dyDescent="0.35">
      <c r="L2053" s="274"/>
    </row>
    <row r="2054" spans="12:12" x14ac:dyDescent="0.35">
      <c r="L2054" s="274"/>
    </row>
    <row r="2055" spans="12:12" x14ac:dyDescent="0.35">
      <c r="L2055" s="274"/>
    </row>
    <row r="2056" spans="12:12" x14ac:dyDescent="0.35">
      <c r="L2056" s="274"/>
    </row>
    <row r="2057" spans="12:12" x14ac:dyDescent="0.35">
      <c r="L2057" s="274"/>
    </row>
    <row r="2058" spans="12:12" x14ac:dyDescent="0.35">
      <c r="L2058" s="274"/>
    </row>
    <row r="2059" spans="12:12" x14ac:dyDescent="0.35">
      <c r="L2059" s="274"/>
    </row>
    <row r="2060" spans="12:12" x14ac:dyDescent="0.35">
      <c r="L2060" s="274"/>
    </row>
    <row r="2061" spans="12:12" x14ac:dyDescent="0.35">
      <c r="L2061" s="274"/>
    </row>
    <row r="2062" spans="12:12" x14ac:dyDescent="0.35">
      <c r="L2062" s="274"/>
    </row>
    <row r="2063" spans="12:12" x14ac:dyDescent="0.35">
      <c r="L2063" s="274"/>
    </row>
    <row r="2064" spans="12:12" x14ac:dyDescent="0.35">
      <c r="L2064" s="274"/>
    </row>
    <row r="2065" spans="12:12" x14ac:dyDescent="0.35">
      <c r="L2065" s="274"/>
    </row>
    <row r="2066" spans="12:12" x14ac:dyDescent="0.35">
      <c r="L2066" s="274"/>
    </row>
    <row r="2067" spans="12:12" x14ac:dyDescent="0.35">
      <c r="L2067" s="274"/>
    </row>
    <row r="2068" spans="12:12" x14ac:dyDescent="0.35">
      <c r="L2068" s="274"/>
    </row>
    <row r="2069" spans="12:12" x14ac:dyDescent="0.35">
      <c r="L2069" s="274"/>
    </row>
    <row r="2070" spans="12:12" x14ac:dyDescent="0.35">
      <c r="L2070" s="274"/>
    </row>
    <row r="2071" spans="12:12" x14ac:dyDescent="0.35">
      <c r="L2071" s="274"/>
    </row>
    <row r="2072" spans="12:12" x14ac:dyDescent="0.35">
      <c r="L2072" s="274"/>
    </row>
    <row r="2073" spans="12:12" x14ac:dyDescent="0.35">
      <c r="L2073" s="274"/>
    </row>
    <row r="2074" spans="12:12" x14ac:dyDescent="0.35">
      <c r="L2074" s="274"/>
    </row>
    <row r="2075" spans="12:12" x14ac:dyDescent="0.35">
      <c r="L2075" s="274"/>
    </row>
    <row r="2076" spans="12:12" x14ac:dyDescent="0.35">
      <c r="L2076" s="274"/>
    </row>
    <row r="2077" spans="12:12" x14ac:dyDescent="0.35">
      <c r="L2077" s="274"/>
    </row>
    <row r="2078" spans="12:12" x14ac:dyDescent="0.35">
      <c r="L2078" s="274"/>
    </row>
    <row r="2079" spans="12:12" x14ac:dyDescent="0.35">
      <c r="L2079" s="274"/>
    </row>
    <row r="2080" spans="12:12" x14ac:dyDescent="0.35">
      <c r="L2080" s="274"/>
    </row>
    <row r="2081" spans="12:12" x14ac:dyDescent="0.35">
      <c r="L2081" s="274"/>
    </row>
    <row r="2082" spans="12:12" x14ac:dyDescent="0.35">
      <c r="L2082" s="274"/>
    </row>
    <row r="2083" spans="12:12" x14ac:dyDescent="0.35">
      <c r="L2083" s="274"/>
    </row>
    <row r="2084" spans="12:12" x14ac:dyDescent="0.35">
      <c r="L2084" s="274"/>
    </row>
    <row r="2085" spans="12:12" x14ac:dyDescent="0.35">
      <c r="L2085" s="274"/>
    </row>
    <row r="2086" spans="12:12" x14ac:dyDescent="0.35">
      <c r="L2086" s="274"/>
    </row>
    <row r="2087" spans="12:12" x14ac:dyDescent="0.35">
      <c r="L2087" s="274"/>
    </row>
    <row r="2088" spans="12:12" x14ac:dyDescent="0.35">
      <c r="L2088" s="274"/>
    </row>
    <row r="2089" spans="12:12" x14ac:dyDescent="0.35">
      <c r="L2089" s="274"/>
    </row>
    <row r="2090" spans="12:12" x14ac:dyDescent="0.35">
      <c r="L2090" s="274"/>
    </row>
    <row r="2091" spans="12:12" x14ac:dyDescent="0.35">
      <c r="L2091" s="274"/>
    </row>
    <row r="2092" spans="12:12" x14ac:dyDescent="0.35">
      <c r="L2092" s="274"/>
    </row>
    <row r="2093" spans="12:12" x14ac:dyDescent="0.35">
      <c r="L2093" s="274"/>
    </row>
    <row r="2094" spans="12:12" x14ac:dyDescent="0.35">
      <c r="L2094" s="274"/>
    </row>
    <row r="2095" spans="12:12" x14ac:dyDescent="0.35">
      <c r="L2095" s="274"/>
    </row>
    <row r="2096" spans="12:12" x14ac:dyDescent="0.35">
      <c r="L2096" s="274"/>
    </row>
    <row r="2097" spans="12:12" x14ac:dyDescent="0.35">
      <c r="L2097" s="274"/>
    </row>
    <row r="2098" spans="12:12" x14ac:dyDescent="0.35">
      <c r="L2098" s="274"/>
    </row>
    <row r="2099" spans="12:12" x14ac:dyDescent="0.35">
      <c r="L2099" s="274"/>
    </row>
    <row r="2100" spans="12:12" x14ac:dyDescent="0.35">
      <c r="L2100" s="274"/>
    </row>
    <row r="2101" spans="12:12" x14ac:dyDescent="0.35">
      <c r="L2101" s="274"/>
    </row>
    <row r="2102" spans="12:12" x14ac:dyDescent="0.35">
      <c r="L2102" s="274"/>
    </row>
    <row r="2103" spans="12:12" x14ac:dyDescent="0.35">
      <c r="L2103" s="274"/>
    </row>
    <row r="2104" spans="12:12" x14ac:dyDescent="0.35">
      <c r="L2104" s="274"/>
    </row>
    <row r="2105" spans="12:12" x14ac:dyDescent="0.35">
      <c r="L2105" s="274"/>
    </row>
    <row r="2106" spans="12:12" x14ac:dyDescent="0.35">
      <c r="L2106" s="274"/>
    </row>
    <row r="2107" spans="12:12" x14ac:dyDescent="0.35">
      <c r="L2107" s="274"/>
    </row>
    <row r="2108" spans="12:12" x14ac:dyDescent="0.35">
      <c r="L2108" s="274"/>
    </row>
    <row r="2109" spans="12:12" x14ac:dyDescent="0.35">
      <c r="L2109" s="274"/>
    </row>
    <row r="2110" spans="12:12" x14ac:dyDescent="0.35">
      <c r="L2110" s="274"/>
    </row>
    <row r="2111" spans="12:12" x14ac:dyDescent="0.35">
      <c r="L2111" s="274"/>
    </row>
    <row r="2112" spans="12:12" x14ac:dyDescent="0.35">
      <c r="L2112" s="274"/>
    </row>
    <row r="2113" spans="12:12" x14ac:dyDescent="0.35">
      <c r="L2113" s="274"/>
    </row>
    <row r="2114" spans="12:12" x14ac:dyDescent="0.35">
      <c r="L2114" s="274"/>
    </row>
    <row r="2115" spans="12:12" x14ac:dyDescent="0.35">
      <c r="L2115" s="274"/>
    </row>
    <row r="2116" spans="12:12" x14ac:dyDescent="0.35">
      <c r="L2116" s="274"/>
    </row>
    <row r="2117" spans="12:12" x14ac:dyDescent="0.35">
      <c r="L2117" s="274"/>
    </row>
    <row r="2118" spans="12:12" x14ac:dyDescent="0.35">
      <c r="L2118" s="274"/>
    </row>
    <row r="2119" spans="12:12" x14ac:dyDescent="0.35">
      <c r="L2119" s="274"/>
    </row>
    <row r="2120" spans="12:12" x14ac:dyDescent="0.35">
      <c r="L2120" s="274"/>
    </row>
    <row r="2121" spans="12:12" x14ac:dyDescent="0.35">
      <c r="L2121" s="274"/>
    </row>
    <row r="2122" spans="12:12" x14ac:dyDescent="0.35">
      <c r="L2122" s="274"/>
    </row>
    <row r="2123" spans="12:12" x14ac:dyDescent="0.35">
      <c r="L2123" s="274"/>
    </row>
    <row r="2124" spans="12:12" x14ac:dyDescent="0.35">
      <c r="L2124" s="274"/>
    </row>
    <row r="2125" spans="12:12" x14ac:dyDescent="0.35">
      <c r="L2125" s="274"/>
    </row>
    <row r="2126" spans="12:12" x14ac:dyDescent="0.35">
      <c r="L2126" s="274"/>
    </row>
    <row r="2127" spans="12:12" x14ac:dyDescent="0.35">
      <c r="L2127" s="274"/>
    </row>
    <row r="2128" spans="12:12" x14ac:dyDescent="0.35">
      <c r="L2128" s="274"/>
    </row>
    <row r="2129" spans="12:12" x14ac:dyDescent="0.35">
      <c r="L2129" s="274"/>
    </row>
    <row r="2130" spans="12:12" x14ac:dyDescent="0.35">
      <c r="L2130" s="274"/>
    </row>
    <row r="2131" spans="12:12" x14ac:dyDescent="0.35">
      <c r="L2131" s="274"/>
    </row>
    <row r="2132" spans="12:12" x14ac:dyDescent="0.35">
      <c r="L2132" s="274"/>
    </row>
    <row r="2133" spans="12:12" x14ac:dyDescent="0.35">
      <c r="L2133" s="274"/>
    </row>
    <row r="2134" spans="12:12" x14ac:dyDescent="0.35">
      <c r="L2134" s="274"/>
    </row>
    <row r="2135" spans="12:12" x14ac:dyDescent="0.35">
      <c r="L2135" s="274"/>
    </row>
    <row r="2136" spans="12:12" x14ac:dyDescent="0.35">
      <c r="L2136" s="274"/>
    </row>
    <row r="2137" spans="12:12" x14ac:dyDescent="0.35">
      <c r="L2137" s="274"/>
    </row>
    <row r="2138" spans="12:12" x14ac:dyDescent="0.35">
      <c r="L2138" s="274"/>
    </row>
    <row r="2139" spans="12:12" x14ac:dyDescent="0.35">
      <c r="L2139" s="274"/>
    </row>
    <row r="2140" spans="12:12" x14ac:dyDescent="0.35">
      <c r="L2140" s="274"/>
    </row>
    <row r="2141" spans="12:12" x14ac:dyDescent="0.35">
      <c r="L2141" s="274"/>
    </row>
    <row r="2142" spans="12:12" x14ac:dyDescent="0.35">
      <c r="L2142" s="274"/>
    </row>
    <row r="2143" spans="12:12" x14ac:dyDescent="0.35">
      <c r="L2143" s="274"/>
    </row>
    <row r="2144" spans="12:12" x14ac:dyDescent="0.35">
      <c r="L2144" s="274"/>
    </row>
    <row r="2145" spans="12:12" x14ac:dyDescent="0.35">
      <c r="L2145" s="274"/>
    </row>
    <row r="2146" spans="12:12" x14ac:dyDescent="0.35">
      <c r="L2146" s="274"/>
    </row>
    <row r="2147" spans="12:12" x14ac:dyDescent="0.35">
      <c r="L2147" s="274"/>
    </row>
    <row r="2148" spans="12:12" x14ac:dyDescent="0.35">
      <c r="L2148" s="274"/>
    </row>
    <row r="2149" spans="12:12" x14ac:dyDescent="0.35">
      <c r="L2149" s="274"/>
    </row>
    <row r="2150" spans="12:12" x14ac:dyDescent="0.35">
      <c r="L2150" s="274"/>
    </row>
    <row r="2151" spans="12:12" x14ac:dyDescent="0.35">
      <c r="L2151" s="274"/>
    </row>
    <row r="2152" spans="12:12" x14ac:dyDescent="0.35">
      <c r="L2152" s="274"/>
    </row>
    <row r="2153" spans="12:12" x14ac:dyDescent="0.35">
      <c r="L2153" s="274"/>
    </row>
    <row r="2154" spans="12:12" x14ac:dyDescent="0.35">
      <c r="L2154" s="274"/>
    </row>
    <row r="2155" spans="12:12" x14ac:dyDescent="0.35">
      <c r="L2155" s="274"/>
    </row>
    <row r="2156" spans="12:12" x14ac:dyDescent="0.35">
      <c r="L2156" s="274"/>
    </row>
    <row r="2157" spans="12:12" x14ac:dyDescent="0.35">
      <c r="L2157" s="274"/>
    </row>
    <row r="2158" spans="12:12" x14ac:dyDescent="0.35">
      <c r="L2158" s="274"/>
    </row>
    <row r="2159" spans="12:12" x14ac:dyDescent="0.35">
      <c r="L2159" s="274"/>
    </row>
    <row r="2160" spans="12:12" x14ac:dyDescent="0.35">
      <c r="L2160" s="274"/>
    </row>
    <row r="2161" spans="12:12" x14ac:dyDescent="0.35">
      <c r="L2161" s="274"/>
    </row>
    <row r="2162" spans="12:12" x14ac:dyDescent="0.35">
      <c r="L2162" s="274"/>
    </row>
    <row r="2163" spans="12:12" x14ac:dyDescent="0.35">
      <c r="L2163" s="274"/>
    </row>
    <row r="2164" spans="12:12" x14ac:dyDescent="0.35">
      <c r="L2164" s="274"/>
    </row>
    <row r="2165" spans="12:12" x14ac:dyDescent="0.35">
      <c r="L2165" s="274"/>
    </row>
    <row r="2166" spans="12:12" x14ac:dyDescent="0.35">
      <c r="L2166" s="274"/>
    </row>
    <row r="2167" spans="12:12" x14ac:dyDescent="0.35">
      <c r="L2167" s="274"/>
    </row>
    <row r="2168" spans="12:12" x14ac:dyDescent="0.35">
      <c r="L2168" s="274"/>
    </row>
    <row r="2169" spans="12:12" x14ac:dyDescent="0.35">
      <c r="L2169" s="274"/>
    </row>
    <row r="2170" spans="12:12" x14ac:dyDescent="0.35">
      <c r="L2170" s="274"/>
    </row>
    <row r="2171" spans="12:12" x14ac:dyDescent="0.35">
      <c r="L2171" s="274"/>
    </row>
    <row r="2172" spans="12:12" x14ac:dyDescent="0.35">
      <c r="L2172" s="274"/>
    </row>
    <row r="2173" spans="12:12" x14ac:dyDescent="0.35">
      <c r="L2173" s="274"/>
    </row>
    <row r="2174" spans="12:12" x14ac:dyDescent="0.35">
      <c r="L2174" s="274"/>
    </row>
    <row r="2175" spans="12:12" x14ac:dyDescent="0.35">
      <c r="L2175" s="274"/>
    </row>
    <row r="2176" spans="12:12" x14ac:dyDescent="0.35">
      <c r="L2176" s="274"/>
    </row>
    <row r="2177" spans="12:12" x14ac:dyDescent="0.35">
      <c r="L2177" s="274"/>
    </row>
    <row r="2178" spans="12:12" x14ac:dyDescent="0.35">
      <c r="L2178" s="274"/>
    </row>
    <row r="2179" spans="12:12" x14ac:dyDescent="0.35">
      <c r="L2179" s="274"/>
    </row>
    <row r="2180" spans="12:12" x14ac:dyDescent="0.35">
      <c r="L2180" s="274"/>
    </row>
    <row r="2181" spans="12:12" x14ac:dyDescent="0.35">
      <c r="L2181" s="274"/>
    </row>
    <row r="2182" spans="12:12" x14ac:dyDescent="0.35">
      <c r="L2182" s="274"/>
    </row>
  </sheetData>
  <sheetProtection sheet="1" objects="1" scenarios="1"/>
  <autoFilter ref="A27:Z1150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1" r:id="rId9" name="lst_ImportReport">
          <controlPr defaultSize="0" autoLine="0" autoPict="0">
            <anchor moveWithCells="1">
              <from>
                <xdr:col>5</xdr:col>
                <xdr:colOff>1676400</xdr:colOff>
                <xdr:row>8</xdr:row>
                <xdr:rowOff>0</xdr:rowOff>
              </from>
              <to>
                <xdr:col>6</xdr:col>
                <xdr:colOff>1276350</xdr:colOff>
                <xdr:row>12</xdr:row>
                <xdr:rowOff>114300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L13" sqref="L13"/>
    </sheetView>
  </sheetViews>
  <sheetFormatPr baseColWidth="10" defaultColWidth="11.453125" defaultRowHeight="14.5" x14ac:dyDescent="0.35"/>
  <cols>
    <col min="1" max="1" width="4" style="428" customWidth="1"/>
    <col min="2" max="2" width="11.26953125" style="423" customWidth="1"/>
    <col min="3" max="3" width="28.7265625" style="428" customWidth="1"/>
    <col min="4" max="4" width="20.453125" style="428" customWidth="1"/>
    <col min="5" max="5" width="12.26953125" style="428" customWidth="1"/>
    <col min="6" max="6" width="16" style="340" customWidth="1"/>
    <col min="7" max="7" width="18" style="428" customWidth="1"/>
    <col min="8" max="8" width="11.453125" style="428" customWidth="1"/>
    <col min="9" max="9" width="12.7265625" style="428" customWidth="1"/>
    <col min="10" max="10" width="13.54296875" style="428" customWidth="1"/>
    <col min="11" max="11" width="12.453125" style="428" customWidth="1"/>
    <col min="12" max="12" width="18.453125" style="428" customWidth="1"/>
    <col min="13" max="13" width="19.7265625" style="428" customWidth="1"/>
    <col min="14" max="14" width="23.1796875" style="428" customWidth="1"/>
    <col min="15" max="15" width="15.26953125" style="428" customWidth="1"/>
    <col min="16" max="16" width="13.7265625" style="428" customWidth="1"/>
    <col min="17" max="17" width="16.54296875" style="428" customWidth="1"/>
    <col min="18" max="18" width="14.1796875" style="428" customWidth="1"/>
    <col min="19" max="19" width="25.26953125" style="428" customWidth="1"/>
    <col min="20" max="20" width="20.7265625" style="428" customWidth="1"/>
    <col min="21" max="16384" width="11.453125" style="428"/>
  </cols>
  <sheetData>
    <row r="1" spans="1:13" ht="15" thickBot="1" x14ac:dyDescent="0.4">
      <c r="F1" s="428"/>
    </row>
    <row r="2" spans="1:13" ht="21.75" customHeight="1" x14ac:dyDescent="0.35">
      <c r="B2" s="541" t="s">
        <v>484</v>
      </c>
      <c r="C2" s="542"/>
      <c r="D2" s="57">
        <v>0</v>
      </c>
      <c r="F2" s="428"/>
    </row>
    <row r="3" spans="1:13" ht="21.75" customHeight="1" thickBot="1" x14ac:dyDescent="0.4">
      <c r="B3" s="543" t="s">
        <v>485</v>
      </c>
      <c r="C3" s="544"/>
      <c r="D3" s="56" t="s">
        <v>486</v>
      </c>
      <c r="F3" s="428"/>
    </row>
    <row r="4" spans="1:13" x14ac:dyDescent="0.35">
      <c r="F4" s="428"/>
    </row>
    <row r="5" spans="1:13" ht="50.25" customHeight="1" x14ac:dyDescent="0.35">
      <c r="B5" s="545" t="s">
        <v>86</v>
      </c>
      <c r="C5" s="545"/>
      <c r="D5" s="545"/>
      <c r="F5" s="428"/>
      <c r="M5" s="55" t="str">
        <f>C24</f>
        <v>xxx  2024</v>
      </c>
    </row>
    <row r="6" spans="1:13" ht="10.5" customHeight="1" x14ac:dyDescent="0.35">
      <c r="F6" s="428"/>
    </row>
    <row r="7" spans="1:13" x14ac:dyDescent="0.35">
      <c r="A7" s="529" t="s">
        <v>24</v>
      </c>
      <c r="B7" s="12" t="s">
        <v>40</v>
      </c>
      <c r="C7" s="331"/>
      <c r="D7" s="332" t="str">
        <f>IF(SUM(G27:G1048576)=0,"",SUM(G27:G1048576))</f>
        <v/>
      </c>
      <c r="F7" s="428"/>
    </row>
    <row r="8" spans="1:13" x14ac:dyDescent="0.35">
      <c r="A8" s="529"/>
      <c r="B8" s="13" t="s">
        <v>39</v>
      </c>
      <c r="C8" s="333"/>
      <c r="D8" s="334" t="str">
        <f>IF(SUM(H27:H1048576)=0,"",SUM(H27:H1048576))</f>
        <v/>
      </c>
      <c r="F8" s="428"/>
      <c r="I8" s="329"/>
    </row>
    <row r="9" spans="1:13" x14ac:dyDescent="0.35">
      <c r="A9" s="529"/>
      <c r="B9" s="12" t="s">
        <v>38</v>
      </c>
      <c r="C9" s="331"/>
      <c r="D9" s="332" t="str">
        <f>IF(SUM(I27:I1048576)=0,"",SUM(I27:I1048576))</f>
        <v/>
      </c>
      <c r="F9" s="428"/>
      <c r="I9" s="329"/>
    </row>
    <row r="10" spans="1:13" x14ac:dyDescent="0.35">
      <c r="A10" s="529"/>
      <c r="B10" s="13" t="s">
        <v>37</v>
      </c>
      <c r="C10" s="333"/>
      <c r="D10" s="334" t="str">
        <f>IF(SUM(J27:J1048576)=0,"",SUM(J27:J1048576))</f>
        <v/>
      </c>
      <c r="F10" s="428"/>
    </row>
    <row r="11" spans="1:13" x14ac:dyDescent="0.35">
      <c r="A11" s="529"/>
      <c r="B11" s="12" t="s">
        <v>36</v>
      </c>
      <c r="C11" s="331"/>
      <c r="D11" s="332" t="str">
        <f>IF(SUM(K27:K1048576)=0,"",SUM(K27:K1048576))</f>
        <v/>
      </c>
      <c r="F11" s="428"/>
      <c r="I11" s="329"/>
    </row>
    <row r="12" spans="1:13" x14ac:dyDescent="0.35">
      <c r="A12" s="529"/>
      <c r="B12" s="13" t="s">
        <v>32</v>
      </c>
      <c r="C12" s="333"/>
      <c r="D12" s="334" t="str">
        <f>IF(SUM(L27:L1048576)=0,"",SUM(L27:L1048576))</f>
        <v/>
      </c>
      <c r="F12" s="428"/>
      <c r="I12" s="329"/>
    </row>
    <row r="13" spans="1:13" ht="15" thickBot="1" x14ac:dyDescent="0.4">
      <c r="A13" s="529"/>
      <c r="B13" s="12" t="s">
        <v>35</v>
      </c>
      <c r="C13" s="331"/>
      <c r="D13" s="332" t="str">
        <f>IF(SUM(N27:N1048576)=0,"",SUM(N27:N1048576))</f>
        <v/>
      </c>
      <c r="F13" s="428"/>
      <c r="I13" s="329"/>
    </row>
    <row r="14" spans="1:13" ht="19" thickTop="1" x14ac:dyDescent="0.35">
      <c r="A14" s="529"/>
      <c r="B14" s="11" t="s">
        <v>28</v>
      </c>
      <c r="C14" s="335"/>
      <c r="D14" s="336">
        <f>SUM(D7:D13)</f>
        <v>0</v>
      </c>
      <c r="F14" s="428"/>
    </row>
    <row r="15" spans="1:13" ht="15" thickBot="1" x14ac:dyDescent="0.4">
      <c r="A15" s="427"/>
      <c r="B15" s="13" t="s">
        <v>27</v>
      </c>
      <c r="C15" s="333"/>
      <c r="D15" s="334" t="str">
        <f>IF(SUM(N27:N1048576)=0,"",SUM(N27:N1048576))</f>
        <v/>
      </c>
      <c r="F15" s="428"/>
    </row>
    <row r="16" spans="1:13" x14ac:dyDescent="0.35">
      <c r="A16" s="530" t="s">
        <v>23</v>
      </c>
      <c r="B16" s="10" t="s">
        <v>34</v>
      </c>
      <c r="C16" s="9"/>
      <c r="D16" s="8" t="str">
        <f>IF(SUM(O27:O1048576)=0,"",SUM(O27:O1048576))</f>
        <v/>
      </c>
      <c r="F16" s="428"/>
    </row>
    <row r="17" spans="1:20" x14ac:dyDescent="0.35">
      <c r="A17" s="531"/>
      <c r="B17" s="5" t="s">
        <v>33</v>
      </c>
      <c r="C17" s="4"/>
      <c r="D17" s="3" t="str">
        <f>IF(SUM(P27:P1048576)=0,"",SUM(P27:P1048576))</f>
        <v/>
      </c>
      <c r="F17" s="428"/>
    </row>
    <row r="18" spans="1:20" x14ac:dyDescent="0.35">
      <c r="A18" s="531"/>
      <c r="B18" s="1" t="s">
        <v>32</v>
      </c>
      <c r="C18" s="7"/>
      <c r="D18" s="6" t="str">
        <f>IF(SUM(Q27:Q1048576)=0,"",SUM(Q27:Q1048576))</f>
        <v/>
      </c>
      <c r="F18" s="428"/>
    </row>
    <row r="19" spans="1:20" x14ac:dyDescent="0.35">
      <c r="A19" s="531"/>
      <c r="B19" s="5" t="s">
        <v>31</v>
      </c>
      <c r="C19" s="4"/>
      <c r="D19" s="3" t="str">
        <f>IF(SUM(R27:R1048576)=0,"",SUM(R27:R1048576))</f>
        <v/>
      </c>
      <c r="F19" s="428"/>
    </row>
    <row r="20" spans="1:20" x14ac:dyDescent="0.35">
      <c r="A20" s="531"/>
      <c r="B20" s="1" t="s">
        <v>30</v>
      </c>
      <c r="C20" s="7"/>
      <c r="D20" s="6" t="str">
        <f>IF(SUM(S27:S1048576)=0,"",SUM(S27:S1048576))</f>
        <v/>
      </c>
      <c r="F20" s="428"/>
    </row>
    <row r="21" spans="1:20" x14ac:dyDescent="0.35">
      <c r="A21" s="531"/>
      <c r="B21" s="5" t="s">
        <v>29</v>
      </c>
      <c r="C21" s="4"/>
      <c r="D21" s="3" t="str">
        <f>IF(SUM(T27:T1048576)=0,"",SUM(T27:T1048576))</f>
        <v/>
      </c>
      <c r="F21" s="428"/>
    </row>
    <row r="22" spans="1:20" ht="18.5" x14ac:dyDescent="0.35">
      <c r="A22" s="531"/>
      <c r="B22" s="2" t="s">
        <v>28</v>
      </c>
      <c r="C22" s="337"/>
      <c r="D22" s="338">
        <f>SUM(D16:D21)</f>
        <v>0</v>
      </c>
      <c r="F22" s="428"/>
    </row>
    <row r="23" spans="1:20" x14ac:dyDescent="0.35">
      <c r="F23" s="428"/>
    </row>
    <row r="24" spans="1:20" ht="26" x14ac:dyDescent="0.35">
      <c r="B24" s="424" t="s">
        <v>85</v>
      </c>
      <c r="C24" s="532" t="s">
        <v>487</v>
      </c>
      <c r="D24" s="510"/>
      <c r="E24" s="510"/>
      <c r="F24" s="533"/>
      <c r="G24" s="534" t="str">
        <f>B5</f>
        <v>Vereinskasse</v>
      </c>
      <c r="H24" s="535"/>
      <c r="I24" s="535"/>
      <c r="J24" s="535"/>
      <c r="K24" s="535"/>
      <c r="L24" s="535"/>
      <c r="M24" s="535"/>
      <c r="N24" s="535"/>
      <c r="O24" s="535"/>
      <c r="P24" s="535"/>
      <c r="Q24" s="535"/>
      <c r="R24" s="535"/>
      <c r="S24" s="535"/>
      <c r="T24" s="535"/>
    </row>
    <row r="25" spans="1:20" s="330" customFormat="1" ht="21" x14ac:dyDescent="0.35">
      <c r="B25" s="217"/>
      <c r="C25" s="339"/>
      <c r="D25" s="339"/>
      <c r="E25" s="339"/>
      <c r="F25" s="339"/>
      <c r="G25" s="536" t="s">
        <v>24</v>
      </c>
      <c r="H25" s="537"/>
      <c r="I25" s="537"/>
      <c r="J25" s="537"/>
      <c r="K25" s="537"/>
      <c r="L25" s="537"/>
      <c r="M25" s="537"/>
      <c r="N25" s="538"/>
      <c r="O25" s="539" t="s">
        <v>23</v>
      </c>
      <c r="P25" s="540"/>
      <c r="Q25" s="540"/>
      <c r="R25" s="540"/>
      <c r="S25" s="540"/>
      <c r="T25" s="540"/>
    </row>
    <row r="26" spans="1:20" ht="31.5" customHeight="1" x14ac:dyDescent="0.35">
      <c r="B26" s="322" t="s">
        <v>21</v>
      </c>
      <c r="C26" s="323" t="s">
        <v>84</v>
      </c>
      <c r="D26" s="323" t="s">
        <v>19</v>
      </c>
      <c r="E26" s="323" t="s">
        <v>18</v>
      </c>
      <c r="F26" s="323" t="s">
        <v>558</v>
      </c>
      <c r="G26" s="324" t="s">
        <v>17</v>
      </c>
      <c r="H26" s="324" t="s">
        <v>16</v>
      </c>
      <c r="I26" s="324" t="s">
        <v>15</v>
      </c>
      <c r="J26" s="324" t="s">
        <v>14</v>
      </c>
      <c r="K26" s="324" t="s">
        <v>13</v>
      </c>
      <c r="L26" s="324" t="s">
        <v>12</v>
      </c>
      <c r="M26" s="324" t="s">
        <v>11</v>
      </c>
      <c r="N26" s="324" t="s">
        <v>83</v>
      </c>
      <c r="O26" s="325" t="s">
        <v>10</v>
      </c>
      <c r="P26" s="325" t="s">
        <v>9</v>
      </c>
      <c r="Q26" s="325" t="s">
        <v>8</v>
      </c>
      <c r="R26" s="325" t="s">
        <v>7</v>
      </c>
      <c r="S26" s="325" t="s">
        <v>6</v>
      </c>
      <c r="T26" s="326" t="s">
        <v>5</v>
      </c>
    </row>
    <row r="27" spans="1:20" x14ac:dyDescent="0.35">
      <c r="F27" s="435"/>
    </row>
    <row r="28" spans="1:20" x14ac:dyDescent="0.35">
      <c r="F28" s="435"/>
    </row>
    <row r="29" spans="1:20" x14ac:dyDescent="0.35">
      <c r="F29" s="435"/>
    </row>
    <row r="30" spans="1:20" x14ac:dyDescent="0.35">
      <c r="F30" s="435"/>
    </row>
    <row r="31" spans="1:20" x14ac:dyDescent="0.35">
      <c r="F31" s="435"/>
    </row>
    <row r="32" spans="1:20" x14ac:dyDescent="0.35">
      <c r="F32" s="435"/>
    </row>
    <row r="33" spans="6:6" x14ac:dyDescent="0.35">
      <c r="F33" s="435"/>
    </row>
    <row r="34" spans="6:6" x14ac:dyDescent="0.35">
      <c r="F34" s="435"/>
    </row>
    <row r="35" spans="6:6" x14ac:dyDescent="0.35">
      <c r="F35" s="435"/>
    </row>
    <row r="36" spans="6:6" x14ac:dyDescent="0.35">
      <c r="F36" s="435"/>
    </row>
    <row r="37" spans="6:6" x14ac:dyDescent="0.35">
      <c r="F37" s="435"/>
    </row>
    <row r="38" spans="6:6" x14ac:dyDescent="0.35">
      <c r="F38" s="435"/>
    </row>
    <row r="39" spans="6:6" x14ac:dyDescent="0.35">
      <c r="F39" s="435"/>
    </row>
    <row r="40" spans="6:6" x14ac:dyDescent="0.35">
      <c r="F40" s="435"/>
    </row>
    <row r="41" spans="6:6" x14ac:dyDescent="0.35">
      <c r="F41" s="435"/>
    </row>
    <row r="42" spans="6:6" x14ac:dyDescent="0.35">
      <c r="F42" s="435"/>
    </row>
    <row r="43" spans="6:6" x14ac:dyDescent="0.35">
      <c r="F43" s="435"/>
    </row>
    <row r="44" spans="6:6" x14ac:dyDescent="0.35">
      <c r="F44" s="435"/>
    </row>
    <row r="45" spans="6:6" x14ac:dyDescent="0.35">
      <c r="F45" s="435"/>
    </row>
    <row r="46" spans="6:6" x14ac:dyDescent="0.35">
      <c r="F46" s="435"/>
    </row>
    <row r="47" spans="6:6" x14ac:dyDescent="0.35">
      <c r="F47" s="435"/>
    </row>
    <row r="48" spans="6:6" x14ac:dyDescent="0.35">
      <c r="F48" s="435"/>
    </row>
    <row r="49" spans="6:6" x14ac:dyDescent="0.35">
      <c r="F49" s="435"/>
    </row>
    <row r="50" spans="6:6" x14ac:dyDescent="0.35">
      <c r="F50" s="435"/>
    </row>
    <row r="51" spans="6:6" x14ac:dyDescent="0.35">
      <c r="F51" s="435"/>
    </row>
    <row r="52" spans="6:6" x14ac:dyDescent="0.35">
      <c r="F52" s="435"/>
    </row>
    <row r="53" spans="6:6" x14ac:dyDescent="0.35">
      <c r="F53" s="435"/>
    </row>
    <row r="54" spans="6:6" x14ac:dyDescent="0.35">
      <c r="F54" s="435"/>
    </row>
    <row r="55" spans="6:6" x14ac:dyDescent="0.35">
      <c r="F55" s="435"/>
    </row>
    <row r="56" spans="6:6" x14ac:dyDescent="0.35">
      <c r="F56" s="435"/>
    </row>
    <row r="57" spans="6:6" x14ac:dyDescent="0.35">
      <c r="F57" s="435"/>
    </row>
    <row r="58" spans="6:6" x14ac:dyDescent="0.35">
      <c r="F58" s="435"/>
    </row>
    <row r="59" spans="6:6" x14ac:dyDescent="0.35">
      <c r="F59" s="435"/>
    </row>
    <row r="60" spans="6:6" x14ac:dyDescent="0.35">
      <c r="F60" s="435"/>
    </row>
    <row r="61" spans="6:6" x14ac:dyDescent="0.35">
      <c r="F61" s="435"/>
    </row>
    <row r="62" spans="6:6" x14ac:dyDescent="0.35">
      <c r="F62" s="435"/>
    </row>
    <row r="63" spans="6:6" x14ac:dyDescent="0.35">
      <c r="F63" s="435"/>
    </row>
    <row r="64" spans="6:6" x14ac:dyDescent="0.35">
      <c r="F64" s="435"/>
    </row>
    <row r="65" spans="6:6" x14ac:dyDescent="0.35">
      <c r="F65" s="435"/>
    </row>
    <row r="66" spans="6:6" x14ac:dyDescent="0.35">
      <c r="F66" s="435"/>
    </row>
    <row r="67" spans="6:6" x14ac:dyDescent="0.35">
      <c r="F67" s="435"/>
    </row>
    <row r="68" spans="6:6" x14ac:dyDescent="0.35">
      <c r="F68" s="435"/>
    </row>
    <row r="69" spans="6:6" x14ac:dyDescent="0.35">
      <c r="F69" s="435"/>
    </row>
    <row r="70" spans="6:6" x14ac:dyDescent="0.35">
      <c r="F70" s="435"/>
    </row>
    <row r="71" spans="6:6" x14ac:dyDescent="0.35">
      <c r="F71" s="435"/>
    </row>
    <row r="72" spans="6:6" x14ac:dyDescent="0.35">
      <c r="F72" s="435"/>
    </row>
    <row r="73" spans="6:6" x14ac:dyDescent="0.35">
      <c r="F73" s="435"/>
    </row>
    <row r="74" spans="6:6" x14ac:dyDescent="0.35">
      <c r="F74" s="435"/>
    </row>
    <row r="75" spans="6:6" x14ac:dyDescent="0.35">
      <c r="F75" s="435"/>
    </row>
    <row r="76" spans="6:6" x14ac:dyDescent="0.35">
      <c r="F76" s="435"/>
    </row>
    <row r="77" spans="6:6" x14ac:dyDescent="0.35">
      <c r="F77" s="435"/>
    </row>
    <row r="78" spans="6:6" x14ac:dyDescent="0.35">
      <c r="F78" s="435"/>
    </row>
    <row r="79" spans="6:6" x14ac:dyDescent="0.35">
      <c r="F79" s="435"/>
    </row>
    <row r="80" spans="6:6" x14ac:dyDescent="0.35">
      <c r="F80" s="435"/>
    </row>
    <row r="81" spans="6:6" x14ac:dyDescent="0.35">
      <c r="F81" s="435"/>
    </row>
    <row r="82" spans="6:6" x14ac:dyDescent="0.35">
      <c r="F82" s="435"/>
    </row>
    <row r="83" spans="6:6" x14ac:dyDescent="0.35">
      <c r="F83" s="435"/>
    </row>
    <row r="84" spans="6:6" x14ac:dyDescent="0.35">
      <c r="F84" s="435"/>
    </row>
    <row r="85" spans="6:6" x14ac:dyDescent="0.35">
      <c r="F85" s="435"/>
    </row>
    <row r="86" spans="6:6" x14ac:dyDescent="0.35">
      <c r="F86" s="435"/>
    </row>
    <row r="87" spans="6:6" x14ac:dyDescent="0.35">
      <c r="F87" s="435"/>
    </row>
    <row r="88" spans="6:6" x14ac:dyDescent="0.35">
      <c r="F88" s="435"/>
    </row>
    <row r="89" spans="6:6" x14ac:dyDescent="0.35">
      <c r="F89" s="435"/>
    </row>
    <row r="90" spans="6:6" x14ac:dyDescent="0.35">
      <c r="F90" s="435"/>
    </row>
    <row r="91" spans="6:6" x14ac:dyDescent="0.35">
      <c r="F91" s="435"/>
    </row>
    <row r="92" spans="6:6" x14ac:dyDescent="0.35">
      <c r="F92" s="435"/>
    </row>
    <row r="93" spans="6:6" x14ac:dyDescent="0.35">
      <c r="F93" s="435"/>
    </row>
    <row r="94" spans="6:6" x14ac:dyDescent="0.35">
      <c r="F94" s="435"/>
    </row>
    <row r="95" spans="6:6" x14ac:dyDescent="0.35">
      <c r="F95" s="435"/>
    </row>
    <row r="96" spans="6:6" x14ac:dyDescent="0.35">
      <c r="F96" s="435"/>
    </row>
    <row r="97" spans="6:6" x14ac:dyDescent="0.35">
      <c r="F97" s="435"/>
    </row>
    <row r="98" spans="6:6" x14ac:dyDescent="0.35">
      <c r="F98" s="435"/>
    </row>
    <row r="99" spans="6:6" x14ac:dyDescent="0.35">
      <c r="F99" s="435"/>
    </row>
    <row r="100" spans="6:6" x14ac:dyDescent="0.35">
      <c r="F100" s="435"/>
    </row>
    <row r="101" spans="6:6" x14ac:dyDescent="0.35">
      <c r="F101" s="435"/>
    </row>
    <row r="102" spans="6:6" x14ac:dyDescent="0.35">
      <c r="F102" s="435"/>
    </row>
    <row r="103" spans="6:6" x14ac:dyDescent="0.35">
      <c r="F103" s="435"/>
    </row>
    <row r="104" spans="6:6" x14ac:dyDescent="0.35">
      <c r="F104" s="435"/>
    </row>
    <row r="105" spans="6:6" x14ac:dyDescent="0.35">
      <c r="F105" s="435"/>
    </row>
    <row r="106" spans="6:6" x14ac:dyDescent="0.35">
      <c r="F106" s="435"/>
    </row>
    <row r="107" spans="6:6" x14ac:dyDescent="0.35">
      <c r="F107" s="435"/>
    </row>
    <row r="108" spans="6:6" x14ac:dyDescent="0.35">
      <c r="F108" s="435"/>
    </row>
    <row r="109" spans="6:6" x14ac:dyDescent="0.35">
      <c r="F109" s="435"/>
    </row>
    <row r="110" spans="6:6" x14ac:dyDescent="0.35">
      <c r="F110" s="435"/>
    </row>
    <row r="111" spans="6:6" x14ac:dyDescent="0.35">
      <c r="F111" s="435"/>
    </row>
    <row r="112" spans="6:6" x14ac:dyDescent="0.35">
      <c r="F112" s="435"/>
    </row>
    <row r="113" spans="6:6" x14ac:dyDescent="0.35">
      <c r="F113" s="435"/>
    </row>
    <row r="114" spans="6:6" x14ac:dyDescent="0.35">
      <c r="F114" s="435"/>
    </row>
    <row r="115" spans="6:6" x14ac:dyDescent="0.35">
      <c r="F115" s="435"/>
    </row>
    <row r="116" spans="6:6" x14ac:dyDescent="0.35">
      <c r="F116" s="435"/>
    </row>
    <row r="117" spans="6:6" x14ac:dyDescent="0.35">
      <c r="F117" s="435"/>
    </row>
    <row r="118" spans="6:6" x14ac:dyDescent="0.35">
      <c r="F118" s="435"/>
    </row>
    <row r="119" spans="6:6" x14ac:dyDescent="0.35">
      <c r="F119" s="435"/>
    </row>
    <row r="120" spans="6:6" x14ac:dyDescent="0.35">
      <c r="F120" s="435"/>
    </row>
    <row r="121" spans="6:6" x14ac:dyDescent="0.35">
      <c r="F121" s="435"/>
    </row>
    <row r="122" spans="6:6" x14ac:dyDescent="0.35">
      <c r="F122" s="435"/>
    </row>
    <row r="123" spans="6:6" x14ac:dyDescent="0.35">
      <c r="F123" s="435"/>
    </row>
    <row r="124" spans="6:6" x14ac:dyDescent="0.35">
      <c r="F124" s="435"/>
    </row>
    <row r="125" spans="6:6" x14ac:dyDescent="0.35">
      <c r="F125" s="435"/>
    </row>
    <row r="126" spans="6:6" x14ac:dyDescent="0.35">
      <c r="F126" s="435"/>
    </row>
    <row r="127" spans="6:6" x14ac:dyDescent="0.35">
      <c r="F127" s="435"/>
    </row>
    <row r="128" spans="6:6" x14ac:dyDescent="0.35">
      <c r="F128" s="435"/>
    </row>
    <row r="129" spans="6:6" x14ac:dyDescent="0.35">
      <c r="F129" s="435"/>
    </row>
    <row r="130" spans="6:6" x14ac:dyDescent="0.35">
      <c r="F130" s="435"/>
    </row>
    <row r="131" spans="6:6" x14ac:dyDescent="0.35">
      <c r="F131" s="435"/>
    </row>
    <row r="132" spans="6:6" x14ac:dyDescent="0.35">
      <c r="F132" s="435"/>
    </row>
    <row r="133" spans="6:6" x14ac:dyDescent="0.35">
      <c r="F133" s="435"/>
    </row>
    <row r="134" spans="6:6" x14ac:dyDescent="0.35">
      <c r="F134" s="435"/>
    </row>
    <row r="135" spans="6:6" x14ac:dyDescent="0.35">
      <c r="F135" s="435"/>
    </row>
    <row r="136" spans="6:6" x14ac:dyDescent="0.35">
      <c r="F136" s="435"/>
    </row>
    <row r="137" spans="6:6" x14ac:dyDescent="0.35">
      <c r="F137" s="435"/>
    </row>
    <row r="138" spans="6:6" x14ac:dyDescent="0.35">
      <c r="F138" s="435"/>
    </row>
    <row r="139" spans="6:6" x14ac:dyDescent="0.35">
      <c r="F139" s="435"/>
    </row>
    <row r="140" spans="6:6" x14ac:dyDescent="0.35">
      <c r="F140" s="435"/>
    </row>
    <row r="141" spans="6:6" x14ac:dyDescent="0.35">
      <c r="F141" s="435"/>
    </row>
    <row r="142" spans="6:6" x14ac:dyDescent="0.35">
      <c r="F142" s="435"/>
    </row>
    <row r="143" spans="6:6" x14ac:dyDescent="0.35">
      <c r="F143" s="435"/>
    </row>
    <row r="144" spans="6:6" x14ac:dyDescent="0.35">
      <c r="F144" s="435"/>
    </row>
    <row r="145" spans="6:6" x14ac:dyDescent="0.35">
      <c r="F145" s="435"/>
    </row>
    <row r="146" spans="6:6" x14ac:dyDescent="0.35">
      <c r="F146" s="435"/>
    </row>
    <row r="147" spans="6:6" x14ac:dyDescent="0.35">
      <c r="F147" s="435"/>
    </row>
    <row r="148" spans="6:6" x14ac:dyDescent="0.35">
      <c r="F148" s="435"/>
    </row>
    <row r="149" spans="6:6" x14ac:dyDescent="0.35">
      <c r="F149" s="435"/>
    </row>
    <row r="150" spans="6:6" x14ac:dyDescent="0.35">
      <c r="F150" s="435"/>
    </row>
    <row r="151" spans="6:6" x14ac:dyDescent="0.35">
      <c r="F151" s="435"/>
    </row>
    <row r="152" spans="6:6" x14ac:dyDescent="0.35">
      <c r="F152" s="435"/>
    </row>
    <row r="153" spans="6:6" x14ac:dyDescent="0.35">
      <c r="F153" s="435"/>
    </row>
    <row r="154" spans="6:6" x14ac:dyDescent="0.35">
      <c r="F154" s="435"/>
    </row>
    <row r="155" spans="6:6" x14ac:dyDescent="0.35">
      <c r="F155" s="435"/>
    </row>
    <row r="156" spans="6:6" x14ac:dyDescent="0.35">
      <c r="F156" s="435"/>
    </row>
    <row r="157" spans="6:6" x14ac:dyDescent="0.35">
      <c r="F157" s="435"/>
    </row>
    <row r="158" spans="6:6" x14ac:dyDescent="0.35">
      <c r="F158" s="435"/>
    </row>
    <row r="159" spans="6:6" x14ac:dyDescent="0.35">
      <c r="F159" s="435"/>
    </row>
    <row r="160" spans="6:6" x14ac:dyDescent="0.35">
      <c r="F160" s="435"/>
    </row>
    <row r="161" spans="6:6" x14ac:dyDescent="0.35">
      <c r="F161" s="435"/>
    </row>
    <row r="162" spans="6:6" x14ac:dyDescent="0.35">
      <c r="F162" s="435"/>
    </row>
    <row r="163" spans="6:6" x14ac:dyDescent="0.35">
      <c r="F163" s="435"/>
    </row>
    <row r="164" spans="6:6" x14ac:dyDescent="0.35">
      <c r="F164" s="435"/>
    </row>
    <row r="165" spans="6:6" x14ac:dyDescent="0.35">
      <c r="F165" s="435"/>
    </row>
    <row r="166" spans="6:6" x14ac:dyDescent="0.35">
      <c r="F166" s="435"/>
    </row>
    <row r="167" spans="6:6" x14ac:dyDescent="0.35">
      <c r="F167" s="435"/>
    </row>
    <row r="168" spans="6:6" x14ac:dyDescent="0.35">
      <c r="F168" s="435"/>
    </row>
    <row r="169" spans="6:6" x14ac:dyDescent="0.35">
      <c r="F169" s="435"/>
    </row>
    <row r="170" spans="6:6" x14ac:dyDescent="0.35">
      <c r="F170" s="435"/>
    </row>
    <row r="171" spans="6:6" x14ac:dyDescent="0.35">
      <c r="F171" s="435"/>
    </row>
    <row r="172" spans="6:6" x14ac:dyDescent="0.35">
      <c r="F172" s="435"/>
    </row>
    <row r="173" spans="6:6" x14ac:dyDescent="0.35">
      <c r="F173" s="435"/>
    </row>
    <row r="174" spans="6:6" x14ac:dyDescent="0.35">
      <c r="F174" s="435"/>
    </row>
    <row r="175" spans="6:6" x14ac:dyDescent="0.35">
      <c r="F175" s="435"/>
    </row>
    <row r="176" spans="6:6" x14ac:dyDescent="0.35">
      <c r="F176" s="435"/>
    </row>
    <row r="177" spans="6:6" x14ac:dyDescent="0.35">
      <c r="F177" s="435"/>
    </row>
    <row r="178" spans="6:6" x14ac:dyDescent="0.35">
      <c r="F178" s="435"/>
    </row>
    <row r="179" spans="6:6" x14ac:dyDescent="0.35">
      <c r="F179" s="435"/>
    </row>
    <row r="180" spans="6:6" x14ac:dyDescent="0.35">
      <c r="F180" s="435"/>
    </row>
    <row r="181" spans="6:6" x14ac:dyDescent="0.35">
      <c r="F181" s="435"/>
    </row>
    <row r="182" spans="6:6" x14ac:dyDescent="0.35">
      <c r="F182" s="435"/>
    </row>
    <row r="183" spans="6:6" x14ac:dyDescent="0.35">
      <c r="F183" s="435"/>
    </row>
    <row r="184" spans="6:6" x14ac:dyDescent="0.35">
      <c r="F184" s="435"/>
    </row>
    <row r="185" spans="6:6" x14ac:dyDescent="0.35">
      <c r="F185" s="435"/>
    </row>
    <row r="186" spans="6:6" x14ac:dyDescent="0.35">
      <c r="F186" s="435"/>
    </row>
    <row r="187" spans="6:6" x14ac:dyDescent="0.35">
      <c r="F187" s="435"/>
    </row>
    <row r="188" spans="6:6" x14ac:dyDescent="0.35">
      <c r="F188" s="435"/>
    </row>
    <row r="189" spans="6:6" x14ac:dyDescent="0.35">
      <c r="F189" s="435"/>
    </row>
    <row r="190" spans="6:6" x14ac:dyDescent="0.35">
      <c r="F190" s="435"/>
    </row>
    <row r="191" spans="6:6" x14ac:dyDescent="0.35">
      <c r="F191" s="435"/>
    </row>
    <row r="192" spans="6:6" x14ac:dyDescent="0.35">
      <c r="F192" s="435"/>
    </row>
    <row r="193" spans="6:6" x14ac:dyDescent="0.35">
      <c r="F193" s="435"/>
    </row>
    <row r="194" spans="6:6" x14ac:dyDescent="0.35">
      <c r="F194" s="435"/>
    </row>
    <row r="195" spans="6:6" x14ac:dyDescent="0.35">
      <c r="F195" s="435"/>
    </row>
    <row r="196" spans="6:6" x14ac:dyDescent="0.35">
      <c r="F196" s="435"/>
    </row>
    <row r="197" spans="6:6" x14ac:dyDescent="0.35">
      <c r="F197" s="435"/>
    </row>
    <row r="198" spans="6:6" x14ac:dyDescent="0.35">
      <c r="F198" s="435"/>
    </row>
    <row r="199" spans="6:6" x14ac:dyDescent="0.35">
      <c r="F199" s="435"/>
    </row>
    <row r="200" spans="6:6" x14ac:dyDescent="0.35">
      <c r="F200" s="435"/>
    </row>
    <row r="201" spans="6:6" x14ac:dyDescent="0.35">
      <c r="F201" s="435"/>
    </row>
    <row r="202" spans="6:6" x14ac:dyDescent="0.35">
      <c r="F202" s="435"/>
    </row>
    <row r="203" spans="6:6" x14ac:dyDescent="0.35">
      <c r="F203" s="435"/>
    </row>
    <row r="204" spans="6:6" x14ac:dyDescent="0.35">
      <c r="F204" s="435"/>
    </row>
    <row r="205" spans="6:6" x14ac:dyDescent="0.35">
      <c r="F205" s="435"/>
    </row>
    <row r="206" spans="6:6" x14ac:dyDescent="0.35">
      <c r="F206" s="435"/>
    </row>
    <row r="207" spans="6:6" x14ac:dyDescent="0.35">
      <c r="F207" s="435"/>
    </row>
    <row r="208" spans="6:6" x14ac:dyDescent="0.35">
      <c r="F208" s="435"/>
    </row>
    <row r="209" spans="6:6" x14ac:dyDescent="0.35">
      <c r="F209" s="435"/>
    </row>
    <row r="210" spans="6:6" x14ac:dyDescent="0.35">
      <c r="F210" s="435"/>
    </row>
    <row r="211" spans="6:6" x14ac:dyDescent="0.35">
      <c r="F211" s="435"/>
    </row>
    <row r="212" spans="6:6" x14ac:dyDescent="0.35">
      <c r="F212" s="435"/>
    </row>
    <row r="213" spans="6:6" x14ac:dyDescent="0.35">
      <c r="F213" s="435"/>
    </row>
    <row r="214" spans="6:6" x14ac:dyDescent="0.35">
      <c r="F214" s="435"/>
    </row>
    <row r="215" spans="6:6" x14ac:dyDescent="0.35">
      <c r="F215" s="435"/>
    </row>
    <row r="216" spans="6:6" x14ac:dyDescent="0.35">
      <c r="F216" s="435"/>
    </row>
    <row r="217" spans="6:6" x14ac:dyDescent="0.35">
      <c r="F217" s="435"/>
    </row>
    <row r="218" spans="6:6" x14ac:dyDescent="0.35">
      <c r="F218" s="435"/>
    </row>
    <row r="219" spans="6:6" x14ac:dyDescent="0.35">
      <c r="F219" s="435"/>
    </row>
    <row r="220" spans="6:6" x14ac:dyDescent="0.35">
      <c r="F220" s="435"/>
    </row>
    <row r="221" spans="6:6" x14ac:dyDescent="0.35">
      <c r="F221" s="435"/>
    </row>
    <row r="222" spans="6:6" x14ac:dyDescent="0.35">
      <c r="F222" s="435"/>
    </row>
    <row r="223" spans="6:6" x14ac:dyDescent="0.35">
      <c r="F223" s="435"/>
    </row>
    <row r="224" spans="6:6" x14ac:dyDescent="0.35">
      <c r="F224" s="435"/>
    </row>
    <row r="225" spans="6:6" x14ac:dyDescent="0.35">
      <c r="F225" s="435"/>
    </row>
    <row r="226" spans="6:6" x14ac:dyDescent="0.35">
      <c r="F226" s="435"/>
    </row>
    <row r="227" spans="6:6" x14ac:dyDescent="0.35">
      <c r="F227" s="435"/>
    </row>
    <row r="228" spans="6:6" x14ac:dyDescent="0.35">
      <c r="F228" s="435"/>
    </row>
    <row r="229" spans="6:6" x14ac:dyDescent="0.35">
      <c r="F229" s="435"/>
    </row>
    <row r="230" spans="6:6" x14ac:dyDescent="0.35">
      <c r="F230" s="435"/>
    </row>
    <row r="231" spans="6:6" x14ac:dyDescent="0.35">
      <c r="F231" s="435"/>
    </row>
    <row r="232" spans="6:6" x14ac:dyDescent="0.35">
      <c r="F232" s="435"/>
    </row>
    <row r="233" spans="6:6" x14ac:dyDescent="0.35">
      <c r="F233" s="435"/>
    </row>
    <row r="234" spans="6:6" x14ac:dyDescent="0.35">
      <c r="F234" s="435"/>
    </row>
    <row r="235" spans="6:6" x14ac:dyDescent="0.35">
      <c r="F235" s="435"/>
    </row>
    <row r="236" spans="6:6" x14ac:dyDescent="0.35">
      <c r="F236" s="435"/>
    </row>
    <row r="237" spans="6:6" x14ac:dyDescent="0.35">
      <c r="F237" s="435"/>
    </row>
    <row r="238" spans="6:6" x14ac:dyDescent="0.35">
      <c r="F238" s="435"/>
    </row>
    <row r="239" spans="6:6" x14ac:dyDescent="0.35">
      <c r="F239" s="435"/>
    </row>
    <row r="240" spans="6:6" x14ac:dyDescent="0.35">
      <c r="F240" s="435"/>
    </row>
    <row r="241" spans="6:6" x14ac:dyDescent="0.35">
      <c r="F241" s="435"/>
    </row>
    <row r="242" spans="6:6" x14ac:dyDescent="0.35">
      <c r="F242" s="435"/>
    </row>
    <row r="243" spans="6:6" x14ac:dyDescent="0.35">
      <c r="F243" s="435"/>
    </row>
    <row r="244" spans="6:6" x14ac:dyDescent="0.35">
      <c r="F244" s="435"/>
    </row>
    <row r="245" spans="6:6" x14ac:dyDescent="0.35">
      <c r="F245" s="435"/>
    </row>
    <row r="246" spans="6:6" x14ac:dyDescent="0.35">
      <c r="F246" s="435"/>
    </row>
    <row r="247" spans="6:6" x14ac:dyDescent="0.35">
      <c r="F247" s="435"/>
    </row>
    <row r="248" spans="6:6" x14ac:dyDescent="0.35">
      <c r="F248" s="435"/>
    </row>
    <row r="249" spans="6:6" x14ac:dyDescent="0.35">
      <c r="F249" s="435"/>
    </row>
    <row r="250" spans="6:6" x14ac:dyDescent="0.35">
      <c r="F250" s="435"/>
    </row>
    <row r="251" spans="6:6" x14ac:dyDescent="0.35">
      <c r="F251" s="435"/>
    </row>
    <row r="252" spans="6:6" x14ac:dyDescent="0.35">
      <c r="F252" s="435"/>
    </row>
    <row r="253" spans="6:6" x14ac:dyDescent="0.35">
      <c r="F253" s="435"/>
    </row>
    <row r="254" spans="6:6" x14ac:dyDescent="0.35">
      <c r="F254" s="435"/>
    </row>
    <row r="255" spans="6:6" x14ac:dyDescent="0.35">
      <c r="F255" s="435"/>
    </row>
    <row r="256" spans="6:6" x14ac:dyDescent="0.35">
      <c r="F256" s="435"/>
    </row>
    <row r="257" spans="6:6" x14ac:dyDescent="0.35">
      <c r="F257" s="435"/>
    </row>
    <row r="258" spans="6:6" x14ac:dyDescent="0.35">
      <c r="F258" s="435"/>
    </row>
    <row r="259" spans="6:6" x14ac:dyDescent="0.35">
      <c r="F259" s="435"/>
    </row>
    <row r="260" spans="6:6" x14ac:dyDescent="0.35">
      <c r="F260" s="435"/>
    </row>
    <row r="261" spans="6:6" x14ac:dyDescent="0.35">
      <c r="F261" s="435"/>
    </row>
    <row r="262" spans="6:6" x14ac:dyDescent="0.35">
      <c r="F262" s="435"/>
    </row>
    <row r="263" spans="6:6" x14ac:dyDescent="0.35">
      <c r="F263" s="435"/>
    </row>
    <row r="264" spans="6:6" x14ac:dyDescent="0.35">
      <c r="F264" s="435"/>
    </row>
    <row r="265" spans="6:6" x14ac:dyDescent="0.35">
      <c r="F265" s="435"/>
    </row>
    <row r="266" spans="6:6" x14ac:dyDescent="0.35">
      <c r="F266" s="435"/>
    </row>
    <row r="267" spans="6:6" x14ac:dyDescent="0.35">
      <c r="F267" s="435"/>
    </row>
    <row r="268" spans="6:6" x14ac:dyDescent="0.35">
      <c r="F268" s="435"/>
    </row>
    <row r="269" spans="6:6" x14ac:dyDescent="0.35">
      <c r="F269" s="435"/>
    </row>
    <row r="270" spans="6:6" x14ac:dyDescent="0.35">
      <c r="F270" s="435"/>
    </row>
    <row r="271" spans="6:6" x14ac:dyDescent="0.35">
      <c r="F271" s="435"/>
    </row>
    <row r="272" spans="6:6" x14ac:dyDescent="0.35">
      <c r="F272" s="435"/>
    </row>
    <row r="273" spans="6:6" x14ac:dyDescent="0.35">
      <c r="F273" s="435"/>
    </row>
    <row r="274" spans="6:6" x14ac:dyDescent="0.35">
      <c r="F274" s="435"/>
    </row>
    <row r="275" spans="6:6" x14ac:dyDescent="0.35">
      <c r="F275" s="435"/>
    </row>
    <row r="276" spans="6:6" x14ac:dyDescent="0.35">
      <c r="F276" s="435"/>
    </row>
    <row r="277" spans="6:6" x14ac:dyDescent="0.35">
      <c r="F277" s="435"/>
    </row>
    <row r="278" spans="6:6" x14ac:dyDescent="0.35">
      <c r="F278" s="435"/>
    </row>
    <row r="279" spans="6:6" x14ac:dyDescent="0.35">
      <c r="F279" s="435"/>
    </row>
    <row r="280" spans="6:6" x14ac:dyDescent="0.35">
      <c r="F280" s="435"/>
    </row>
    <row r="281" spans="6:6" x14ac:dyDescent="0.35">
      <c r="F281" s="435"/>
    </row>
    <row r="282" spans="6:6" x14ac:dyDescent="0.35">
      <c r="F282" s="435"/>
    </row>
    <row r="283" spans="6:6" x14ac:dyDescent="0.35">
      <c r="F283" s="435"/>
    </row>
    <row r="284" spans="6:6" x14ac:dyDescent="0.35">
      <c r="F284" s="435"/>
    </row>
    <row r="285" spans="6:6" x14ac:dyDescent="0.35">
      <c r="F285" s="435"/>
    </row>
    <row r="286" spans="6:6" x14ac:dyDescent="0.35">
      <c r="F286" s="435"/>
    </row>
    <row r="287" spans="6:6" x14ac:dyDescent="0.35">
      <c r="F287" s="435"/>
    </row>
    <row r="288" spans="6:6" x14ac:dyDescent="0.35">
      <c r="F288" s="435"/>
    </row>
    <row r="289" spans="6:6" x14ac:dyDescent="0.35">
      <c r="F289" s="435"/>
    </row>
    <row r="290" spans="6:6" x14ac:dyDescent="0.35">
      <c r="F290" s="435"/>
    </row>
    <row r="291" spans="6:6" x14ac:dyDescent="0.35">
      <c r="F291" s="435"/>
    </row>
    <row r="292" spans="6:6" x14ac:dyDescent="0.35">
      <c r="F292" s="435"/>
    </row>
    <row r="293" spans="6:6" x14ac:dyDescent="0.35">
      <c r="F293" s="435"/>
    </row>
    <row r="294" spans="6:6" x14ac:dyDescent="0.35">
      <c r="F294" s="435"/>
    </row>
    <row r="295" spans="6:6" x14ac:dyDescent="0.35">
      <c r="F295" s="435"/>
    </row>
    <row r="296" spans="6:6" x14ac:dyDescent="0.35">
      <c r="F296" s="435"/>
    </row>
    <row r="297" spans="6:6" x14ac:dyDescent="0.35">
      <c r="F297" s="435"/>
    </row>
    <row r="298" spans="6:6" x14ac:dyDescent="0.35">
      <c r="F298" s="435"/>
    </row>
    <row r="299" spans="6:6" x14ac:dyDescent="0.35">
      <c r="F299" s="435"/>
    </row>
    <row r="300" spans="6:6" x14ac:dyDescent="0.35">
      <c r="F300" s="435"/>
    </row>
    <row r="301" spans="6:6" x14ac:dyDescent="0.35">
      <c r="F301" s="435"/>
    </row>
    <row r="302" spans="6:6" x14ac:dyDescent="0.35">
      <c r="F302" s="435"/>
    </row>
    <row r="303" spans="6:6" x14ac:dyDescent="0.35">
      <c r="F303" s="435"/>
    </row>
    <row r="304" spans="6:6" x14ac:dyDescent="0.35">
      <c r="F304" s="435"/>
    </row>
    <row r="305" spans="6:6" x14ac:dyDescent="0.35">
      <c r="F305" s="435"/>
    </row>
    <row r="306" spans="6:6" x14ac:dyDescent="0.35">
      <c r="F306" s="435"/>
    </row>
    <row r="307" spans="6:6" x14ac:dyDescent="0.35">
      <c r="F307" s="435"/>
    </row>
    <row r="308" spans="6:6" x14ac:dyDescent="0.35">
      <c r="F308" s="435"/>
    </row>
    <row r="309" spans="6:6" x14ac:dyDescent="0.35">
      <c r="F309" s="435"/>
    </row>
    <row r="310" spans="6:6" x14ac:dyDescent="0.35">
      <c r="F310" s="435"/>
    </row>
    <row r="311" spans="6:6" x14ac:dyDescent="0.35">
      <c r="F311" s="435"/>
    </row>
    <row r="312" spans="6:6" x14ac:dyDescent="0.35">
      <c r="F312" s="435"/>
    </row>
    <row r="313" spans="6:6" x14ac:dyDescent="0.35">
      <c r="F313" s="435"/>
    </row>
    <row r="314" spans="6:6" x14ac:dyDescent="0.35">
      <c r="F314" s="435"/>
    </row>
    <row r="315" spans="6:6" x14ac:dyDescent="0.35">
      <c r="F315" s="435"/>
    </row>
    <row r="316" spans="6:6" x14ac:dyDescent="0.35">
      <c r="F316" s="435"/>
    </row>
    <row r="317" spans="6:6" x14ac:dyDescent="0.35">
      <c r="F317" s="435"/>
    </row>
    <row r="318" spans="6:6" x14ac:dyDescent="0.35">
      <c r="F318" s="435"/>
    </row>
    <row r="319" spans="6:6" x14ac:dyDescent="0.35">
      <c r="F319" s="435"/>
    </row>
    <row r="320" spans="6:6" x14ac:dyDescent="0.35">
      <c r="F320" s="435"/>
    </row>
    <row r="321" spans="6:6" x14ac:dyDescent="0.35">
      <c r="F321" s="435"/>
    </row>
    <row r="322" spans="6:6" x14ac:dyDescent="0.35">
      <c r="F322" s="435"/>
    </row>
    <row r="323" spans="6:6" x14ac:dyDescent="0.35">
      <c r="F323" s="435"/>
    </row>
    <row r="324" spans="6:6" x14ac:dyDescent="0.35">
      <c r="F324" s="435"/>
    </row>
    <row r="325" spans="6:6" x14ac:dyDescent="0.35">
      <c r="F325" s="435"/>
    </row>
    <row r="326" spans="6:6" x14ac:dyDescent="0.35">
      <c r="F326" s="435"/>
    </row>
    <row r="327" spans="6:6" x14ac:dyDescent="0.35">
      <c r="F327" s="435"/>
    </row>
    <row r="328" spans="6:6" x14ac:dyDescent="0.35">
      <c r="F328" s="435"/>
    </row>
    <row r="329" spans="6:6" x14ac:dyDescent="0.35">
      <c r="F329" s="435"/>
    </row>
    <row r="330" spans="6:6" x14ac:dyDescent="0.35">
      <c r="F330" s="435"/>
    </row>
    <row r="331" spans="6:6" x14ac:dyDescent="0.35">
      <c r="F331" s="435"/>
    </row>
    <row r="332" spans="6:6" x14ac:dyDescent="0.35">
      <c r="F332" s="435"/>
    </row>
    <row r="333" spans="6:6" x14ac:dyDescent="0.35">
      <c r="F333" s="435"/>
    </row>
    <row r="334" spans="6:6" x14ac:dyDescent="0.35">
      <c r="F334" s="435"/>
    </row>
    <row r="335" spans="6:6" x14ac:dyDescent="0.35">
      <c r="F335" s="435"/>
    </row>
    <row r="336" spans="6:6" x14ac:dyDescent="0.35">
      <c r="F336" s="435"/>
    </row>
    <row r="337" spans="6:6" x14ac:dyDescent="0.35">
      <c r="F337" s="435"/>
    </row>
    <row r="338" spans="6:6" x14ac:dyDescent="0.35">
      <c r="F338" s="435"/>
    </row>
    <row r="339" spans="6:6" x14ac:dyDescent="0.35">
      <c r="F339" s="435"/>
    </row>
    <row r="340" spans="6:6" x14ac:dyDescent="0.35">
      <c r="F340" s="435"/>
    </row>
    <row r="341" spans="6:6" x14ac:dyDescent="0.35">
      <c r="F341" s="435"/>
    </row>
    <row r="342" spans="6:6" x14ac:dyDescent="0.35">
      <c r="F342" s="435"/>
    </row>
    <row r="343" spans="6:6" x14ac:dyDescent="0.35">
      <c r="F343" s="435"/>
    </row>
    <row r="344" spans="6:6" x14ac:dyDescent="0.35">
      <c r="F344" s="435"/>
    </row>
    <row r="345" spans="6:6" x14ac:dyDescent="0.35">
      <c r="F345" s="435"/>
    </row>
    <row r="346" spans="6:6" x14ac:dyDescent="0.35">
      <c r="F346" s="435"/>
    </row>
    <row r="347" spans="6:6" x14ac:dyDescent="0.35">
      <c r="F347" s="435"/>
    </row>
    <row r="348" spans="6:6" x14ac:dyDescent="0.35">
      <c r="F348" s="435"/>
    </row>
    <row r="349" spans="6:6" x14ac:dyDescent="0.35">
      <c r="F349" s="435"/>
    </row>
    <row r="350" spans="6:6" x14ac:dyDescent="0.35">
      <c r="F350" s="435"/>
    </row>
    <row r="351" spans="6:6" x14ac:dyDescent="0.35">
      <c r="F351" s="435"/>
    </row>
    <row r="352" spans="6:6" x14ac:dyDescent="0.35">
      <c r="F352" s="435"/>
    </row>
    <row r="353" spans="6:6" x14ac:dyDescent="0.35">
      <c r="F353" s="435"/>
    </row>
    <row r="354" spans="6:6" x14ac:dyDescent="0.35">
      <c r="F354" s="435"/>
    </row>
    <row r="355" spans="6:6" x14ac:dyDescent="0.35">
      <c r="F355" s="435"/>
    </row>
    <row r="356" spans="6:6" x14ac:dyDescent="0.35">
      <c r="F356" s="435"/>
    </row>
    <row r="357" spans="6:6" x14ac:dyDescent="0.35">
      <c r="F357" s="435"/>
    </row>
    <row r="358" spans="6:6" x14ac:dyDescent="0.35">
      <c r="F358" s="435"/>
    </row>
    <row r="359" spans="6:6" x14ac:dyDescent="0.35">
      <c r="F359" s="435"/>
    </row>
    <row r="360" spans="6:6" x14ac:dyDescent="0.35">
      <c r="F360" s="435"/>
    </row>
    <row r="361" spans="6:6" x14ac:dyDescent="0.35">
      <c r="F361" s="435"/>
    </row>
    <row r="362" spans="6:6" x14ac:dyDescent="0.35">
      <c r="F362" s="435"/>
    </row>
    <row r="363" spans="6:6" x14ac:dyDescent="0.35">
      <c r="F363" s="435"/>
    </row>
    <row r="364" spans="6:6" x14ac:dyDescent="0.35">
      <c r="F364" s="435"/>
    </row>
    <row r="365" spans="6:6" x14ac:dyDescent="0.35">
      <c r="F365" s="435"/>
    </row>
    <row r="366" spans="6:6" x14ac:dyDescent="0.35">
      <c r="F366" s="435"/>
    </row>
    <row r="367" spans="6:6" x14ac:dyDescent="0.35">
      <c r="F367" s="435"/>
    </row>
    <row r="368" spans="6:6" x14ac:dyDescent="0.35">
      <c r="F368" s="435"/>
    </row>
    <row r="369" spans="6:6" x14ac:dyDescent="0.35">
      <c r="F369" s="435"/>
    </row>
    <row r="370" spans="6:6" x14ac:dyDescent="0.35">
      <c r="F370" s="435"/>
    </row>
    <row r="371" spans="6:6" x14ac:dyDescent="0.35">
      <c r="F371" s="435"/>
    </row>
    <row r="372" spans="6:6" x14ac:dyDescent="0.35">
      <c r="F372" s="435"/>
    </row>
    <row r="373" spans="6:6" x14ac:dyDescent="0.35">
      <c r="F373" s="435"/>
    </row>
    <row r="374" spans="6:6" x14ac:dyDescent="0.35">
      <c r="F374" s="435"/>
    </row>
    <row r="375" spans="6:6" x14ac:dyDescent="0.35">
      <c r="F375" s="435"/>
    </row>
    <row r="376" spans="6:6" x14ac:dyDescent="0.35">
      <c r="F376" s="435"/>
    </row>
    <row r="377" spans="6:6" x14ac:dyDescent="0.35">
      <c r="F377" s="435"/>
    </row>
    <row r="378" spans="6:6" x14ac:dyDescent="0.35">
      <c r="F378" s="435"/>
    </row>
    <row r="379" spans="6:6" x14ac:dyDescent="0.35">
      <c r="F379" s="435"/>
    </row>
    <row r="380" spans="6:6" x14ac:dyDescent="0.35">
      <c r="F380" s="435"/>
    </row>
    <row r="381" spans="6:6" x14ac:dyDescent="0.35">
      <c r="F381" s="435"/>
    </row>
    <row r="382" spans="6:6" x14ac:dyDescent="0.35">
      <c r="F382" s="435"/>
    </row>
    <row r="383" spans="6:6" x14ac:dyDescent="0.35">
      <c r="F383" s="435"/>
    </row>
    <row r="384" spans="6:6" x14ac:dyDescent="0.35">
      <c r="F384" s="435"/>
    </row>
    <row r="385" spans="6:6" x14ac:dyDescent="0.35">
      <c r="F385" s="435"/>
    </row>
    <row r="386" spans="6:6" x14ac:dyDescent="0.35">
      <c r="F386" s="435"/>
    </row>
    <row r="387" spans="6:6" x14ac:dyDescent="0.35">
      <c r="F387" s="435"/>
    </row>
    <row r="388" spans="6:6" x14ac:dyDescent="0.35">
      <c r="F388" s="435"/>
    </row>
    <row r="389" spans="6:6" x14ac:dyDescent="0.35">
      <c r="F389" s="435"/>
    </row>
    <row r="390" spans="6:6" x14ac:dyDescent="0.35">
      <c r="F390" s="435"/>
    </row>
    <row r="391" spans="6:6" x14ac:dyDescent="0.35">
      <c r="F391" s="435"/>
    </row>
    <row r="392" spans="6:6" x14ac:dyDescent="0.35">
      <c r="F392" s="435"/>
    </row>
    <row r="393" spans="6:6" x14ac:dyDescent="0.35">
      <c r="F393" s="435"/>
    </row>
    <row r="394" spans="6:6" x14ac:dyDescent="0.35">
      <c r="F394" s="435"/>
    </row>
    <row r="395" spans="6:6" x14ac:dyDescent="0.35">
      <c r="F395" s="435"/>
    </row>
    <row r="396" spans="6:6" x14ac:dyDescent="0.35">
      <c r="F396" s="435"/>
    </row>
    <row r="397" spans="6:6" x14ac:dyDescent="0.35">
      <c r="F397" s="435"/>
    </row>
    <row r="398" spans="6:6" x14ac:dyDescent="0.35">
      <c r="F398" s="435"/>
    </row>
    <row r="399" spans="6:6" x14ac:dyDescent="0.35">
      <c r="F399" s="435"/>
    </row>
    <row r="400" spans="6:6" x14ac:dyDescent="0.35">
      <c r="F400" s="435"/>
    </row>
    <row r="401" spans="6:6" x14ac:dyDescent="0.35">
      <c r="F401" s="435"/>
    </row>
    <row r="402" spans="6:6" x14ac:dyDescent="0.35">
      <c r="F402" s="435"/>
    </row>
    <row r="403" spans="6:6" x14ac:dyDescent="0.35">
      <c r="F403" s="435"/>
    </row>
    <row r="404" spans="6:6" x14ac:dyDescent="0.35">
      <c r="F404" s="435"/>
    </row>
    <row r="405" spans="6:6" x14ac:dyDescent="0.35">
      <c r="F405" s="435"/>
    </row>
    <row r="406" spans="6:6" x14ac:dyDescent="0.35">
      <c r="F406" s="435"/>
    </row>
    <row r="407" spans="6:6" x14ac:dyDescent="0.35">
      <c r="F407" s="435"/>
    </row>
    <row r="408" spans="6:6" x14ac:dyDescent="0.35">
      <c r="F408" s="435"/>
    </row>
    <row r="409" spans="6:6" x14ac:dyDescent="0.35">
      <c r="F409" s="435"/>
    </row>
    <row r="410" spans="6:6" x14ac:dyDescent="0.35">
      <c r="F410" s="435"/>
    </row>
    <row r="411" spans="6:6" x14ac:dyDescent="0.35">
      <c r="F411" s="435"/>
    </row>
    <row r="412" spans="6:6" x14ac:dyDescent="0.35">
      <c r="F412" s="435"/>
    </row>
    <row r="413" spans="6:6" x14ac:dyDescent="0.35">
      <c r="F413" s="435"/>
    </row>
    <row r="414" spans="6:6" x14ac:dyDescent="0.35">
      <c r="F414" s="435"/>
    </row>
    <row r="415" spans="6:6" x14ac:dyDescent="0.35">
      <c r="F415" s="435"/>
    </row>
    <row r="416" spans="6:6" x14ac:dyDescent="0.35">
      <c r="F416" s="435"/>
    </row>
    <row r="417" spans="6:6" x14ac:dyDescent="0.35">
      <c r="F417" s="435"/>
    </row>
    <row r="418" spans="6:6" x14ac:dyDescent="0.35">
      <c r="F418" s="435"/>
    </row>
    <row r="419" spans="6:6" x14ac:dyDescent="0.35">
      <c r="F419" s="435"/>
    </row>
    <row r="420" spans="6:6" x14ac:dyDescent="0.35">
      <c r="F420" s="435"/>
    </row>
    <row r="421" spans="6:6" x14ac:dyDescent="0.35">
      <c r="F421" s="435"/>
    </row>
    <row r="422" spans="6:6" x14ac:dyDescent="0.35">
      <c r="F422" s="435"/>
    </row>
    <row r="423" spans="6:6" x14ac:dyDescent="0.35">
      <c r="F423" s="435"/>
    </row>
    <row r="424" spans="6:6" x14ac:dyDescent="0.35">
      <c r="F424" s="435"/>
    </row>
    <row r="425" spans="6:6" x14ac:dyDescent="0.35">
      <c r="F425" s="435"/>
    </row>
    <row r="426" spans="6:6" x14ac:dyDescent="0.35">
      <c r="F426" s="435"/>
    </row>
    <row r="427" spans="6:6" x14ac:dyDescent="0.35">
      <c r="F427" s="435"/>
    </row>
    <row r="428" spans="6:6" x14ac:dyDescent="0.35">
      <c r="F428" s="435"/>
    </row>
    <row r="429" spans="6:6" x14ac:dyDescent="0.35">
      <c r="F429" s="435"/>
    </row>
    <row r="430" spans="6:6" x14ac:dyDescent="0.35">
      <c r="F430" s="435"/>
    </row>
    <row r="431" spans="6:6" x14ac:dyDescent="0.35">
      <c r="F431" s="435"/>
    </row>
    <row r="432" spans="6:6" x14ac:dyDescent="0.35">
      <c r="F432" s="435"/>
    </row>
    <row r="433" spans="6:6" x14ac:dyDescent="0.35">
      <c r="F433" s="435"/>
    </row>
    <row r="434" spans="6:6" x14ac:dyDescent="0.35">
      <c r="F434" s="435"/>
    </row>
    <row r="435" spans="6:6" x14ac:dyDescent="0.35">
      <c r="F435" s="435"/>
    </row>
    <row r="436" spans="6:6" x14ac:dyDescent="0.35">
      <c r="F436" s="435"/>
    </row>
    <row r="437" spans="6:6" x14ac:dyDescent="0.35">
      <c r="F437" s="435"/>
    </row>
    <row r="438" spans="6:6" x14ac:dyDescent="0.35">
      <c r="F438" s="435"/>
    </row>
    <row r="439" spans="6:6" x14ac:dyDescent="0.35">
      <c r="F439" s="435"/>
    </row>
    <row r="440" spans="6:6" x14ac:dyDescent="0.35">
      <c r="F440" s="435"/>
    </row>
    <row r="441" spans="6:6" x14ac:dyDescent="0.35">
      <c r="F441" s="435"/>
    </row>
    <row r="442" spans="6:6" x14ac:dyDescent="0.35">
      <c r="F442" s="435"/>
    </row>
    <row r="443" spans="6:6" x14ac:dyDescent="0.35">
      <c r="F443" s="435"/>
    </row>
    <row r="444" spans="6:6" x14ac:dyDescent="0.35">
      <c r="F444" s="435"/>
    </row>
    <row r="445" spans="6:6" x14ac:dyDescent="0.35">
      <c r="F445" s="435"/>
    </row>
    <row r="446" spans="6:6" x14ac:dyDescent="0.35">
      <c r="F446" s="435"/>
    </row>
    <row r="447" spans="6:6" x14ac:dyDescent="0.35">
      <c r="F447" s="435"/>
    </row>
    <row r="448" spans="6:6" x14ac:dyDescent="0.35">
      <c r="F448" s="435"/>
    </row>
    <row r="449" spans="6:6" x14ac:dyDescent="0.35">
      <c r="F449" s="435"/>
    </row>
    <row r="450" spans="6:6" x14ac:dyDescent="0.35">
      <c r="F450" s="435"/>
    </row>
    <row r="451" spans="6:6" x14ac:dyDescent="0.35">
      <c r="F451" s="435"/>
    </row>
    <row r="452" spans="6:6" x14ac:dyDescent="0.35">
      <c r="F452" s="435"/>
    </row>
    <row r="453" spans="6:6" x14ac:dyDescent="0.35">
      <c r="F453" s="435"/>
    </row>
    <row r="454" spans="6:6" x14ac:dyDescent="0.35">
      <c r="F454" s="435"/>
    </row>
    <row r="455" spans="6:6" x14ac:dyDescent="0.35">
      <c r="F455" s="435"/>
    </row>
    <row r="456" spans="6:6" x14ac:dyDescent="0.35">
      <c r="F456" s="435"/>
    </row>
    <row r="457" spans="6:6" x14ac:dyDescent="0.35">
      <c r="F457" s="435"/>
    </row>
    <row r="458" spans="6:6" x14ac:dyDescent="0.35">
      <c r="F458" s="435"/>
    </row>
    <row r="459" spans="6:6" x14ac:dyDescent="0.35">
      <c r="F459" s="435"/>
    </row>
    <row r="460" spans="6:6" x14ac:dyDescent="0.35">
      <c r="F460" s="435"/>
    </row>
    <row r="461" spans="6:6" x14ac:dyDescent="0.35">
      <c r="F461" s="435"/>
    </row>
    <row r="462" spans="6:6" x14ac:dyDescent="0.35">
      <c r="F462" s="435"/>
    </row>
    <row r="463" spans="6:6" x14ac:dyDescent="0.35">
      <c r="F463" s="435"/>
    </row>
    <row r="464" spans="6:6" x14ac:dyDescent="0.35">
      <c r="F464" s="435"/>
    </row>
    <row r="465" spans="6:6" x14ac:dyDescent="0.35">
      <c r="F465" s="435"/>
    </row>
    <row r="466" spans="6:6" x14ac:dyDescent="0.35">
      <c r="F466" s="435"/>
    </row>
    <row r="467" spans="6:6" x14ac:dyDescent="0.35">
      <c r="F467" s="435"/>
    </row>
    <row r="468" spans="6:6" x14ac:dyDescent="0.35">
      <c r="F468" s="435"/>
    </row>
    <row r="469" spans="6:6" x14ac:dyDescent="0.35">
      <c r="F469" s="435"/>
    </row>
    <row r="470" spans="6:6" x14ac:dyDescent="0.35">
      <c r="F470" s="435"/>
    </row>
    <row r="471" spans="6:6" x14ac:dyDescent="0.35">
      <c r="F471" s="435"/>
    </row>
    <row r="472" spans="6:6" x14ac:dyDescent="0.35">
      <c r="F472" s="435"/>
    </row>
    <row r="473" spans="6:6" x14ac:dyDescent="0.35">
      <c r="F473" s="435"/>
    </row>
    <row r="474" spans="6:6" x14ac:dyDescent="0.35">
      <c r="F474" s="435"/>
    </row>
    <row r="475" spans="6:6" x14ac:dyDescent="0.35">
      <c r="F475" s="435"/>
    </row>
    <row r="476" spans="6:6" x14ac:dyDescent="0.35">
      <c r="F476" s="435"/>
    </row>
    <row r="477" spans="6:6" x14ac:dyDescent="0.35">
      <c r="F477" s="435"/>
    </row>
    <row r="478" spans="6:6" x14ac:dyDescent="0.35">
      <c r="F478" s="435"/>
    </row>
    <row r="479" spans="6:6" x14ac:dyDescent="0.35">
      <c r="F479" s="435"/>
    </row>
    <row r="480" spans="6:6" x14ac:dyDescent="0.35">
      <c r="F480" s="435"/>
    </row>
    <row r="481" spans="6:6" x14ac:dyDescent="0.35">
      <c r="F481" s="435"/>
    </row>
    <row r="482" spans="6:6" x14ac:dyDescent="0.35">
      <c r="F482" s="435"/>
    </row>
    <row r="483" spans="6:6" x14ac:dyDescent="0.35">
      <c r="F483" s="435"/>
    </row>
    <row r="484" spans="6:6" x14ac:dyDescent="0.35">
      <c r="F484" s="435"/>
    </row>
    <row r="485" spans="6:6" x14ac:dyDescent="0.35">
      <c r="F485" s="435"/>
    </row>
    <row r="486" spans="6:6" x14ac:dyDescent="0.35">
      <c r="F486" s="435"/>
    </row>
    <row r="487" spans="6:6" x14ac:dyDescent="0.35">
      <c r="F487" s="435"/>
    </row>
    <row r="488" spans="6:6" x14ac:dyDescent="0.35">
      <c r="F488" s="435"/>
    </row>
    <row r="489" spans="6:6" x14ac:dyDescent="0.35">
      <c r="F489" s="435"/>
    </row>
    <row r="490" spans="6:6" x14ac:dyDescent="0.35">
      <c r="F490" s="435"/>
    </row>
    <row r="491" spans="6:6" x14ac:dyDescent="0.35">
      <c r="F491" s="435"/>
    </row>
    <row r="492" spans="6:6" x14ac:dyDescent="0.35">
      <c r="F492" s="435"/>
    </row>
    <row r="493" spans="6:6" x14ac:dyDescent="0.35">
      <c r="F493" s="435"/>
    </row>
    <row r="494" spans="6:6" x14ac:dyDescent="0.35">
      <c r="F494" s="435"/>
    </row>
    <row r="495" spans="6:6" x14ac:dyDescent="0.35">
      <c r="F495" s="435"/>
    </row>
    <row r="496" spans="6:6" x14ac:dyDescent="0.35">
      <c r="F496" s="435"/>
    </row>
    <row r="497" spans="6:6" x14ac:dyDescent="0.35">
      <c r="F497" s="435"/>
    </row>
    <row r="498" spans="6:6" x14ac:dyDescent="0.35">
      <c r="F498" s="435"/>
    </row>
    <row r="499" spans="6:6" x14ac:dyDescent="0.35">
      <c r="F499" s="435"/>
    </row>
    <row r="500" spans="6:6" x14ac:dyDescent="0.35">
      <c r="F500" s="435"/>
    </row>
    <row r="501" spans="6:6" x14ac:dyDescent="0.35">
      <c r="F501" s="435"/>
    </row>
    <row r="502" spans="6:6" x14ac:dyDescent="0.35">
      <c r="F502" s="435"/>
    </row>
    <row r="503" spans="6:6" x14ac:dyDescent="0.35">
      <c r="F503" s="435"/>
    </row>
    <row r="504" spans="6:6" x14ac:dyDescent="0.35">
      <c r="F504" s="435"/>
    </row>
    <row r="505" spans="6:6" x14ac:dyDescent="0.35">
      <c r="F505" s="435"/>
    </row>
    <row r="506" spans="6:6" x14ac:dyDescent="0.35">
      <c r="F506" s="435"/>
    </row>
    <row r="507" spans="6:6" x14ac:dyDescent="0.35">
      <c r="F507" s="435"/>
    </row>
    <row r="508" spans="6:6" x14ac:dyDescent="0.35">
      <c r="F508" s="435"/>
    </row>
    <row r="509" spans="6:6" x14ac:dyDescent="0.35">
      <c r="F509" s="435"/>
    </row>
    <row r="510" spans="6:6" x14ac:dyDescent="0.35">
      <c r="F510" s="435"/>
    </row>
    <row r="511" spans="6:6" x14ac:dyDescent="0.35">
      <c r="F511" s="435"/>
    </row>
    <row r="512" spans="6:6" x14ac:dyDescent="0.35">
      <c r="F512" s="435"/>
    </row>
    <row r="513" spans="6:6" x14ac:dyDescent="0.35">
      <c r="F513" s="435"/>
    </row>
    <row r="514" spans="6:6" x14ac:dyDescent="0.35">
      <c r="F514" s="435"/>
    </row>
    <row r="515" spans="6:6" x14ac:dyDescent="0.35">
      <c r="F515" s="435"/>
    </row>
    <row r="516" spans="6:6" x14ac:dyDescent="0.35">
      <c r="F516" s="435"/>
    </row>
    <row r="517" spans="6:6" x14ac:dyDescent="0.35">
      <c r="F517" s="435"/>
    </row>
    <row r="518" spans="6:6" x14ac:dyDescent="0.35">
      <c r="F518" s="435"/>
    </row>
    <row r="519" spans="6:6" x14ac:dyDescent="0.35">
      <c r="F519" s="435"/>
    </row>
    <row r="520" spans="6:6" x14ac:dyDescent="0.35">
      <c r="F520" s="435"/>
    </row>
    <row r="521" spans="6:6" x14ac:dyDescent="0.35">
      <c r="F521" s="435"/>
    </row>
    <row r="522" spans="6:6" x14ac:dyDescent="0.35">
      <c r="F522" s="435"/>
    </row>
    <row r="523" spans="6:6" x14ac:dyDescent="0.35">
      <c r="F523" s="435"/>
    </row>
    <row r="524" spans="6:6" x14ac:dyDescent="0.35">
      <c r="F524" s="435"/>
    </row>
    <row r="525" spans="6:6" x14ac:dyDescent="0.35">
      <c r="F525" s="435"/>
    </row>
    <row r="526" spans="6:6" x14ac:dyDescent="0.35">
      <c r="F526" s="435"/>
    </row>
    <row r="527" spans="6:6" x14ac:dyDescent="0.35">
      <c r="F527" s="435"/>
    </row>
    <row r="528" spans="6:6" x14ac:dyDescent="0.35">
      <c r="F528" s="435"/>
    </row>
    <row r="529" spans="6:6" x14ac:dyDescent="0.35">
      <c r="F529" s="435"/>
    </row>
    <row r="530" spans="6:6" x14ac:dyDescent="0.35">
      <c r="F530" s="435"/>
    </row>
    <row r="531" spans="6:6" x14ac:dyDescent="0.35">
      <c r="F531" s="435"/>
    </row>
    <row r="532" spans="6:6" x14ac:dyDescent="0.35">
      <c r="F532" s="435"/>
    </row>
    <row r="533" spans="6:6" x14ac:dyDescent="0.35">
      <c r="F533" s="435"/>
    </row>
    <row r="534" spans="6:6" x14ac:dyDescent="0.35">
      <c r="F534" s="435"/>
    </row>
    <row r="535" spans="6:6" x14ac:dyDescent="0.35">
      <c r="F535" s="435"/>
    </row>
    <row r="536" spans="6:6" x14ac:dyDescent="0.35">
      <c r="F536" s="435"/>
    </row>
    <row r="537" spans="6:6" x14ac:dyDescent="0.35">
      <c r="F537" s="435"/>
    </row>
    <row r="538" spans="6:6" x14ac:dyDescent="0.35">
      <c r="F538" s="435"/>
    </row>
    <row r="539" spans="6:6" x14ac:dyDescent="0.35">
      <c r="F539" s="435"/>
    </row>
    <row r="540" spans="6:6" x14ac:dyDescent="0.35">
      <c r="F540" s="435"/>
    </row>
    <row r="541" spans="6:6" x14ac:dyDescent="0.35">
      <c r="F541" s="435"/>
    </row>
    <row r="542" spans="6:6" x14ac:dyDescent="0.35">
      <c r="F542" s="435"/>
    </row>
    <row r="543" spans="6:6" x14ac:dyDescent="0.35">
      <c r="F543" s="435"/>
    </row>
    <row r="544" spans="6:6" x14ac:dyDescent="0.35">
      <c r="F544" s="435"/>
    </row>
    <row r="545" spans="6:6" x14ac:dyDescent="0.35">
      <c r="F545" s="435"/>
    </row>
    <row r="546" spans="6:6" x14ac:dyDescent="0.35">
      <c r="F546" s="435"/>
    </row>
    <row r="547" spans="6:6" x14ac:dyDescent="0.35">
      <c r="F547" s="435"/>
    </row>
    <row r="548" spans="6:6" x14ac:dyDescent="0.35">
      <c r="F548" s="435"/>
    </row>
    <row r="549" spans="6:6" x14ac:dyDescent="0.35">
      <c r="F549" s="435"/>
    </row>
    <row r="550" spans="6:6" x14ac:dyDescent="0.35">
      <c r="F550" s="435"/>
    </row>
    <row r="551" spans="6:6" x14ac:dyDescent="0.35">
      <c r="F551" s="435"/>
    </row>
    <row r="552" spans="6:6" x14ac:dyDescent="0.35">
      <c r="F552" s="435"/>
    </row>
    <row r="553" spans="6:6" x14ac:dyDescent="0.35">
      <c r="F553" s="435"/>
    </row>
    <row r="554" spans="6:6" x14ac:dyDescent="0.35">
      <c r="F554" s="435"/>
    </row>
    <row r="555" spans="6:6" x14ac:dyDescent="0.35">
      <c r="F555" s="435"/>
    </row>
    <row r="556" spans="6:6" x14ac:dyDescent="0.35">
      <c r="F556" s="435"/>
    </row>
    <row r="557" spans="6:6" x14ac:dyDescent="0.35">
      <c r="F557" s="435"/>
    </row>
    <row r="558" spans="6:6" x14ac:dyDescent="0.35">
      <c r="F558" s="435"/>
    </row>
    <row r="559" spans="6:6" x14ac:dyDescent="0.35">
      <c r="F559" s="435"/>
    </row>
    <row r="560" spans="6:6" x14ac:dyDescent="0.35">
      <c r="F560" s="435"/>
    </row>
    <row r="561" spans="6:6" x14ac:dyDescent="0.35">
      <c r="F561" s="435"/>
    </row>
    <row r="562" spans="6:6" x14ac:dyDescent="0.35">
      <c r="F562" s="435"/>
    </row>
    <row r="563" spans="6:6" x14ac:dyDescent="0.35">
      <c r="F563" s="435"/>
    </row>
    <row r="564" spans="6:6" x14ac:dyDescent="0.35">
      <c r="F564" s="435"/>
    </row>
    <row r="565" spans="6:6" x14ac:dyDescent="0.35">
      <c r="F565" s="435"/>
    </row>
    <row r="566" spans="6:6" x14ac:dyDescent="0.35">
      <c r="F566" s="435"/>
    </row>
    <row r="567" spans="6:6" x14ac:dyDescent="0.35">
      <c r="F567" s="435"/>
    </row>
    <row r="568" spans="6:6" x14ac:dyDescent="0.35">
      <c r="F568" s="435"/>
    </row>
    <row r="569" spans="6:6" x14ac:dyDescent="0.35">
      <c r="F569" s="435"/>
    </row>
    <row r="570" spans="6:6" x14ac:dyDescent="0.35">
      <c r="F570" s="435"/>
    </row>
    <row r="571" spans="6:6" x14ac:dyDescent="0.35">
      <c r="F571" s="435"/>
    </row>
    <row r="572" spans="6:6" x14ac:dyDescent="0.35">
      <c r="F572" s="435"/>
    </row>
    <row r="573" spans="6:6" x14ac:dyDescent="0.35">
      <c r="F573" s="435"/>
    </row>
    <row r="574" spans="6:6" x14ac:dyDescent="0.35">
      <c r="F574" s="435"/>
    </row>
    <row r="575" spans="6:6" x14ac:dyDescent="0.35">
      <c r="F575" s="435"/>
    </row>
    <row r="576" spans="6:6" x14ac:dyDescent="0.35">
      <c r="F576" s="435"/>
    </row>
    <row r="577" spans="6:6" x14ac:dyDescent="0.35">
      <c r="F577" s="435"/>
    </row>
    <row r="578" spans="6:6" x14ac:dyDescent="0.35">
      <c r="F578" s="435"/>
    </row>
    <row r="579" spans="6:6" x14ac:dyDescent="0.35">
      <c r="F579" s="435"/>
    </row>
    <row r="580" spans="6:6" x14ac:dyDescent="0.35">
      <c r="F580" s="435"/>
    </row>
    <row r="581" spans="6:6" x14ac:dyDescent="0.35">
      <c r="F581" s="435"/>
    </row>
    <row r="582" spans="6:6" x14ac:dyDescent="0.35">
      <c r="F582" s="435"/>
    </row>
    <row r="583" spans="6:6" x14ac:dyDescent="0.35">
      <c r="F583" s="435"/>
    </row>
    <row r="584" spans="6:6" x14ac:dyDescent="0.35">
      <c r="F584" s="435"/>
    </row>
    <row r="585" spans="6:6" x14ac:dyDescent="0.35">
      <c r="F585" s="435"/>
    </row>
    <row r="586" spans="6:6" x14ac:dyDescent="0.35">
      <c r="F586" s="435"/>
    </row>
    <row r="587" spans="6:6" x14ac:dyDescent="0.35">
      <c r="F587" s="435"/>
    </row>
    <row r="588" spans="6:6" x14ac:dyDescent="0.35">
      <c r="F588" s="435"/>
    </row>
    <row r="589" spans="6:6" x14ac:dyDescent="0.35">
      <c r="F589" s="435"/>
    </row>
    <row r="590" spans="6:6" x14ac:dyDescent="0.35">
      <c r="F590" s="435"/>
    </row>
    <row r="591" spans="6:6" x14ac:dyDescent="0.35">
      <c r="F591" s="435"/>
    </row>
    <row r="592" spans="6:6" x14ac:dyDescent="0.35">
      <c r="F592" s="435"/>
    </row>
    <row r="593" spans="6:6" x14ac:dyDescent="0.35">
      <c r="F593" s="435"/>
    </row>
    <row r="594" spans="6:6" x14ac:dyDescent="0.35">
      <c r="F594" s="435"/>
    </row>
    <row r="595" spans="6:6" x14ac:dyDescent="0.35">
      <c r="F595" s="435"/>
    </row>
    <row r="596" spans="6:6" x14ac:dyDescent="0.35">
      <c r="F596" s="435"/>
    </row>
    <row r="597" spans="6:6" x14ac:dyDescent="0.35">
      <c r="F597" s="435"/>
    </row>
    <row r="598" spans="6:6" x14ac:dyDescent="0.35">
      <c r="F598" s="435"/>
    </row>
    <row r="599" spans="6:6" x14ac:dyDescent="0.35">
      <c r="F599" s="435"/>
    </row>
    <row r="600" spans="6:6" x14ac:dyDescent="0.35">
      <c r="F600" s="435"/>
    </row>
    <row r="601" spans="6:6" x14ac:dyDescent="0.35">
      <c r="F601" s="435"/>
    </row>
    <row r="602" spans="6:6" x14ac:dyDescent="0.35">
      <c r="F602" s="435"/>
    </row>
    <row r="603" spans="6:6" x14ac:dyDescent="0.35">
      <c r="F603" s="435"/>
    </row>
    <row r="604" spans="6:6" x14ac:dyDescent="0.35">
      <c r="F604" s="435"/>
    </row>
    <row r="605" spans="6:6" x14ac:dyDescent="0.35">
      <c r="F605" s="435"/>
    </row>
    <row r="606" spans="6:6" x14ac:dyDescent="0.35">
      <c r="F606" s="435"/>
    </row>
    <row r="607" spans="6:6" x14ac:dyDescent="0.35">
      <c r="F607" s="435"/>
    </row>
    <row r="608" spans="6:6" x14ac:dyDescent="0.35">
      <c r="F608" s="435"/>
    </row>
    <row r="609" spans="6:6" x14ac:dyDescent="0.35">
      <c r="F609" s="435"/>
    </row>
    <row r="610" spans="6:6" x14ac:dyDescent="0.35">
      <c r="F610" s="435"/>
    </row>
    <row r="611" spans="6:6" x14ac:dyDescent="0.35">
      <c r="F611" s="435"/>
    </row>
    <row r="612" spans="6:6" x14ac:dyDescent="0.35">
      <c r="F612" s="435"/>
    </row>
    <row r="613" spans="6:6" x14ac:dyDescent="0.35">
      <c r="F613" s="435"/>
    </row>
    <row r="614" spans="6:6" x14ac:dyDescent="0.35">
      <c r="F614" s="435"/>
    </row>
    <row r="615" spans="6:6" x14ac:dyDescent="0.35">
      <c r="F615" s="435"/>
    </row>
    <row r="616" spans="6:6" x14ac:dyDescent="0.35">
      <c r="F616" s="435"/>
    </row>
    <row r="617" spans="6:6" x14ac:dyDescent="0.35">
      <c r="F617" s="435"/>
    </row>
    <row r="618" spans="6:6" x14ac:dyDescent="0.35">
      <c r="F618" s="435"/>
    </row>
    <row r="619" spans="6:6" x14ac:dyDescent="0.35">
      <c r="F619" s="435"/>
    </row>
    <row r="620" spans="6:6" x14ac:dyDescent="0.35">
      <c r="F620" s="435"/>
    </row>
    <row r="621" spans="6:6" x14ac:dyDescent="0.35">
      <c r="F621" s="435"/>
    </row>
    <row r="622" spans="6:6" x14ac:dyDescent="0.35">
      <c r="F622" s="435"/>
    </row>
    <row r="623" spans="6:6" x14ac:dyDescent="0.35">
      <c r="F623" s="435"/>
    </row>
    <row r="624" spans="6:6" x14ac:dyDescent="0.35">
      <c r="F624" s="435"/>
    </row>
    <row r="625" spans="6:6" x14ac:dyDescent="0.35">
      <c r="F625" s="435"/>
    </row>
    <row r="626" spans="6:6" x14ac:dyDescent="0.35">
      <c r="F626" s="435"/>
    </row>
    <row r="627" spans="6:6" x14ac:dyDescent="0.35">
      <c r="F627" s="435"/>
    </row>
    <row r="628" spans="6:6" x14ac:dyDescent="0.35">
      <c r="F628" s="435"/>
    </row>
    <row r="629" spans="6:6" x14ac:dyDescent="0.35">
      <c r="F629" s="435"/>
    </row>
    <row r="630" spans="6:6" x14ac:dyDescent="0.35">
      <c r="F630" s="435"/>
    </row>
    <row r="631" spans="6:6" x14ac:dyDescent="0.35">
      <c r="F631" s="435"/>
    </row>
    <row r="632" spans="6:6" x14ac:dyDescent="0.35">
      <c r="F632" s="435"/>
    </row>
    <row r="633" spans="6:6" x14ac:dyDescent="0.35">
      <c r="F633" s="435"/>
    </row>
    <row r="634" spans="6:6" x14ac:dyDescent="0.35">
      <c r="F634" s="435"/>
    </row>
    <row r="635" spans="6:6" x14ac:dyDescent="0.35">
      <c r="F635" s="435"/>
    </row>
    <row r="636" spans="6:6" x14ac:dyDescent="0.35">
      <c r="F636" s="435"/>
    </row>
    <row r="637" spans="6:6" x14ac:dyDescent="0.35">
      <c r="F637" s="435"/>
    </row>
    <row r="638" spans="6:6" x14ac:dyDescent="0.35">
      <c r="F638" s="435"/>
    </row>
    <row r="639" spans="6:6" x14ac:dyDescent="0.35">
      <c r="F639" s="435"/>
    </row>
    <row r="640" spans="6:6" x14ac:dyDescent="0.35">
      <c r="F640" s="435"/>
    </row>
    <row r="641" spans="6:6" x14ac:dyDescent="0.35">
      <c r="F641" s="435"/>
    </row>
    <row r="642" spans="6:6" x14ac:dyDescent="0.35">
      <c r="F642" s="435"/>
    </row>
    <row r="643" spans="6:6" x14ac:dyDescent="0.35">
      <c r="F643" s="435"/>
    </row>
    <row r="644" spans="6:6" x14ac:dyDescent="0.35">
      <c r="F644" s="435"/>
    </row>
    <row r="645" spans="6:6" x14ac:dyDescent="0.35">
      <c r="F645" s="435"/>
    </row>
    <row r="646" spans="6:6" x14ac:dyDescent="0.35">
      <c r="F646" s="435"/>
    </row>
    <row r="647" spans="6:6" x14ac:dyDescent="0.35">
      <c r="F647" s="435"/>
    </row>
    <row r="648" spans="6:6" x14ac:dyDescent="0.35">
      <c r="F648" s="435"/>
    </row>
    <row r="649" spans="6:6" x14ac:dyDescent="0.35">
      <c r="F649" s="435"/>
    </row>
    <row r="650" spans="6:6" x14ac:dyDescent="0.35">
      <c r="F650" s="435"/>
    </row>
    <row r="651" spans="6:6" x14ac:dyDescent="0.35">
      <c r="F651" s="435"/>
    </row>
    <row r="652" spans="6:6" x14ac:dyDescent="0.35">
      <c r="F652" s="435"/>
    </row>
    <row r="653" spans="6:6" x14ac:dyDescent="0.35">
      <c r="F653" s="435"/>
    </row>
    <row r="654" spans="6:6" x14ac:dyDescent="0.35">
      <c r="F654" s="435"/>
    </row>
    <row r="655" spans="6:6" x14ac:dyDescent="0.35">
      <c r="F655" s="435"/>
    </row>
    <row r="656" spans="6:6" x14ac:dyDescent="0.35">
      <c r="F656" s="435"/>
    </row>
    <row r="657" spans="6:6" x14ac:dyDescent="0.35">
      <c r="F657" s="435"/>
    </row>
    <row r="658" spans="6:6" x14ac:dyDescent="0.35">
      <c r="F658" s="435"/>
    </row>
    <row r="659" spans="6:6" x14ac:dyDescent="0.35">
      <c r="F659" s="435"/>
    </row>
    <row r="660" spans="6:6" x14ac:dyDescent="0.35">
      <c r="F660" s="435"/>
    </row>
    <row r="661" spans="6:6" x14ac:dyDescent="0.35">
      <c r="F661" s="435"/>
    </row>
    <row r="662" spans="6:6" x14ac:dyDescent="0.35">
      <c r="F662" s="435"/>
    </row>
    <row r="663" spans="6:6" x14ac:dyDescent="0.35">
      <c r="F663" s="435"/>
    </row>
    <row r="664" spans="6:6" x14ac:dyDescent="0.35">
      <c r="F664" s="435"/>
    </row>
    <row r="665" spans="6:6" x14ac:dyDescent="0.35">
      <c r="F665" s="435"/>
    </row>
    <row r="666" spans="6:6" x14ac:dyDescent="0.35">
      <c r="F666" s="435"/>
    </row>
    <row r="667" spans="6:6" x14ac:dyDescent="0.35">
      <c r="F667" s="435"/>
    </row>
    <row r="668" spans="6:6" x14ac:dyDescent="0.35">
      <c r="F668" s="435"/>
    </row>
    <row r="669" spans="6:6" x14ac:dyDescent="0.35">
      <c r="F669" s="435"/>
    </row>
    <row r="670" spans="6:6" x14ac:dyDescent="0.35">
      <c r="F670" s="435"/>
    </row>
    <row r="671" spans="6:6" x14ac:dyDescent="0.35">
      <c r="F671" s="435"/>
    </row>
    <row r="672" spans="6:6" x14ac:dyDescent="0.35">
      <c r="F672" s="435"/>
    </row>
    <row r="673" spans="6:6" x14ac:dyDescent="0.35">
      <c r="F673" s="435"/>
    </row>
    <row r="674" spans="6:6" x14ac:dyDescent="0.35">
      <c r="F674" s="435"/>
    </row>
    <row r="675" spans="6:6" x14ac:dyDescent="0.35">
      <c r="F675" s="435"/>
    </row>
    <row r="676" spans="6:6" x14ac:dyDescent="0.35">
      <c r="F676" s="435"/>
    </row>
    <row r="677" spans="6:6" x14ac:dyDescent="0.35">
      <c r="F677" s="435"/>
    </row>
    <row r="678" spans="6:6" x14ac:dyDescent="0.35">
      <c r="F678" s="435"/>
    </row>
    <row r="679" spans="6:6" x14ac:dyDescent="0.35">
      <c r="F679" s="435"/>
    </row>
    <row r="680" spans="6:6" x14ac:dyDescent="0.35">
      <c r="F680" s="435"/>
    </row>
    <row r="681" spans="6:6" x14ac:dyDescent="0.35">
      <c r="F681" s="435"/>
    </row>
    <row r="682" spans="6:6" x14ac:dyDescent="0.35">
      <c r="F682" s="435"/>
    </row>
    <row r="683" spans="6:6" x14ac:dyDescent="0.35">
      <c r="F683" s="435"/>
    </row>
    <row r="684" spans="6:6" x14ac:dyDescent="0.35">
      <c r="F684" s="435"/>
    </row>
    <row r="685" spans="6:6" x14ac:dyDescent="0.35">
      <c r="F685" s="435"/>
    </row>
    <row r="686" spans="6:6" x14ac:dyDescent="0.35">
      <c r="F686" s="435"/>
    </row>
    <row r="687" spans="6:6" x14ac:dyDescent="0.35">
      <c r="F687" s="435"/>
    </row>
    <row r="688" spans="6:6" x14ac:dyDescent="0.35">
      <c r="F688" s="435"/>
    </row>
    <row r="689" spans="6:6" x14ac:dyDescent="0.35">
      <c r="F689" s="435"/>
    </row>
    <row r="690" spans="6:6" x14ac:dyDescent="0.35">
      <c r="F690" s="435"/>
    </row>
    <row r="691" spans="6:6" x14ac:dyDescent="0.35">
      <c r="F691" s="435"/>
    </row>
    <row r="692" spans="6:6" x14ac:dyDescent="0.35">
      <c r="F692" s="435"/>
    </row>
    <row r="693" spans="6:6" x14ac:dyDescent="0.35">
      <c r="F693" s="435"/>
    </row>
    <row r="694" spans="6:6" x14ac:dyDescent="0.35">
      <c r="F694" s="435"/>
    </row>
    <row r="695" spans="6:6" x14ac:dyDescent="0.35">
      <c r="F695" s="435"/>
    </row>
    <row r="696" spans="6:6" x14ac:dyDescent="0.35">
      <c r="F696" s="435"/>
    </row>
    <row r="697" spans="6:6" x14ac:dyDescent="0.35">
      <c r="F697" s="435"/>
    </row>
    <row r="698" spans="6:6" x14ac:dyDescent="0.35">
      <c r="F698" s="435"/>
    </row>
    <row r="699" spans="6:6" x14ac:dyDescent="0.35">
      <c r="F699" s="435"/>
    </row>
    <row r="700" spans="6:6" x14ac:dyDescent="0.35">
      <c r="F700" s="435"/>
    </row>
    <row r="701" spans="6:6" x14ac:dyDescent="0.35">
      <c r="F701" s="435"/>
    </row>
    <row r="702" spans="6:6" x14ac:dyDescent="0.35">
      <c r="F702" s="435"/>
    </row>
    <row r="703" spans="6:6" x14ac:dyDescent="0.35">
      <c r="F703" s="435"/>
    </row>
    <row r="704" spans="6:6" x14ac:dyDescent="0.35">
      <c r="F704" s="435"/>
    </row>
    <row r="705" spans="6:6" x14ac:dyDescent="0.35">
      <c r="F705" s="435"/>
    </row>
    <row r="706" spans="6:6" x14ac:dyDescent="0.35">
      <c r="F706" s="435"/>
    </row>
    <row r="707" spans="6:6" x14ac:dyDescent="0.35">
      <c r="F707" s="435"/>
    </row>
    <row r="708" spans="6:6" x14ac:dyDescent="0.35">
      <c r="F708" s="435"/>
    </row>
    <row r="709" spans="6:6" x14ac:dyDescent="0.35">
      <c r="F709" s="435"/>
    </row>
    <row r="710" spans="6:6" x14ac:dyDescent="0.35">
      <c r="F710" s="435"/>
    </row>
    <row r="711" spans="6:6" x14ac:dyDescent="0.35">
      <c r="F711" s="435"/>
    </row>
    <row r="712" spans="6:6" x14ac:dyDescent="0.35">
      <c r="F712" s="435"/>
    </row>
    <row r="713" spans="6:6" x14ac:dyDescent="0.35">
      <c r="F713" s="435"/>
    </row>
    <row r="714" spans="6:6" x14ac:dyDescent="0.35">
      <c r="F714" s="435"/>
    </row>
    <row r="715" spans="6:6" x14ac:dyDescent="0.35">
      <c r="F715" s="435"/>
    </row>
    <row r="716" spans="6:6" x14ac:dyDescent="0.35">
      <c r="F716" s="435"/>
    </row>
    <row r="717" spans="6:6" x14ac:dyDescent="0.35">
      <c r="F717" s="435"/>
    </row>
    <row r="718" spans="6:6" x14ac:dyDescent="0.35">
      <c r="F718" s="435"/>
    </row>
    <row r="719" spans="6:6" x14ac:dyDescent="0.35">
      <c r="F719" s="435"/>
    </row>
    <row r="720" spans="6:6" x14ac:dyDescent="0.35">
      <c r="F720" s="435"/>
    </row>
    <row r="721" spans="6:6" x14ac:dyDescent="0.35">
      <c r="F721" s="435"/>
    </row>
    <row r="722" spans="6:6" x14ac:dyDescent="0.35">
      <c r="F722" s="435"/>
    </row>
    <row r="723" spans="6:6" x14ac:dyDescent="0.35">
      <c r="F723" s="435"/>
    </row>
    <row r="724" spans="6:6" x14ac:dyDescent="0.35">
      <c r="F724" s="435"/>
    </row>
    <row r="725" spans="6:6" x14ac:dyDescent="0.35">
      <c r="F725" s="435"/>
    </row>
    <row r="726" spans="6:6" x14ac:dyDescent="0.35">
      <c r="F726" s="435"/>
    </row>
    <row r="727" spans="6:6" x14ac:dyDescent="0.35">
      <c r="F727" s="435"/>
    </row>
    <row r="728" spans="6:6" x14ac:dyDescent="0.35">
      <c r="F728" s="435"/>
    </row>
    <row r="729" spans="6:6" x14ac:dyDescent="0.35">
      <c r="F729" s="435"/>
    </row>
    <row r="730" spans="6:6" x14ac:dyDescent="0.35">
      <c r="F730" s="435"/>
    </row>
    <row r="731" spans="6:6" x14ac:dyDescent="0.35">
      <c r="F731" s="435"/>
    </row>
    <row r="732" spans="6:6" x14ac:dyDescent="0.35">
      <c r="F732" s="435"/>
    </row>
    <row r="733" spans="6:6" x14ac:dyDescent="0.35">
      <c r="F733" s="435"/>
    </row>
    <row r="734" spans="6:6" x14ac:dyDescent="0.35">
      <c r="F734" s="435"/>
    </row>
    <row r="735" spans="6:6" x14ac:dyDescent="0.35">
      <c r="F735" s="435"/>
    </row>
    <row r="736" spans="6:6" x14ac:dyDescent="0.35">
      <c r="F736" s="435"/>
    </row>
    <row r="737" spans="6:6" x14ac:dyDescent="0.35">
      <c r="F737" s="435"/>
    </row>
    <row r="738" spans="6:6" x14ac:dyDescent="0.35">
      <c r="F738" s="435"/>
    </row>
    <row r="739" spans="6:6" x14ac:dyDescent="0.35">
      <c r="F739" s="435"/>
    </row>
    <row r="740" spans="6:6" x14ac:dyDescent="0.35">
      <c r="F740" s="435"/>
    </row>
    <row r="741" spans="6:6" x14ac:dyDescent="0.35">
      <c r="F741" s="435"/>
    </row>
    <row r="742" spans="6:6" x14ac:dyDescent="0.35">
      <c r="F742" s="435"/>
    </row>
    <row r="743" spans="6:6" x14ac:dyDescent="0.35">
      <c r="F743" s="435"/>
    </row>
    <row r="744" spans="6:6" x14ac:dyDescent="0.35">
      <c r="F744" s="435"/>
    </row>
    <row r="745" spans="6:6" x14ac:dyDescent="0.35">
      <c r="F745" s="435"/>
    </row>
    <row r="746" spans="6:6" x14ac:dyDescent="0.35">
      <c r="F746" s="435"/>
    </row>
    <row r="747" spans="6:6" x14ac:dyDescent="0.35">
      <c r="F747" s="435"/>
    </row>
    <row r="748" spans="6:6" x14ac:dyDescent="0.35">
      <c r="F748" s="435"/>
    </row>
    <row r="749" spans="6:6" x14ac:dyDescent="0.35">
      <c r="F749" s="435"/>
    </row>
    <row r="750" spans="6:6" x14ac:dyDescent="0.35">
      <c r="F750" s="435"/>
    </row>
    <row r="751" spans="6:6" x14ac:dyDescent="0.35">
      <c r="F751" s="435"/>
    </row>
    <row r="752" spans="6:6" x14ac:dyDescent="0.35">
      <c r="F752" s="435"/>
    </row>
    <row r="753" spans="6:6" x14ac:dyDescent="0.35">
      <c r="F753" s="435"/>
    </row>
    <row r="754" spans="6:6" x14ac:dyDescent="0.35">
      <c r="F754" s="435"/>
    </row>
    <row r="755" spans="6:6" x14ac:dyDescent="0.35">
      <c r="F755" s="435"/>
    </row>
    <row r="756" spans="6:6" x14ac:dyDescent="0.35">
      <c r="F756" s="435"/>
    </row>
    <row r="757" spans="6:6" x14ac:dyDescent="0.35">
      <c r="F757" s="435"/>
    </row>
    <row r="758" spans="6:6" x14ac:dyDescent="0.35">
      <c r="F758" s="435"/>
    </row>
    <row r="759" spans="6:6" x14ac:dyDescent="0.35">
      <c r="F759" s="435"/>
    </row>
    <row r="760" spans="6:6" x14ac:dyDescent="0.35">
      <c r="F760" s="435"/>
    </row>
    <row r="761" spans="6:6" x14ac:dyDescent="0.35">
      <c r="F761" s="435"/>
    </row>
    <row r="762" spans="6:6" x14ac:dyDescent="0.35">
      <c r="F762" s="435"/>
    </row>
    <row r="763" spans="6:6" x14ac:dyDescent="0.35">
      <c r="F763" s="435"/>
    </row>
    <row r="764" spans="6:6" x14ac:dyDescent="0.35">
      <c r="F764" s="435"/>
    </row>
    <row r="765" spans="6:6" x14ac:dyDescent="0.35">
      <c r="F765" s="435"/>
    </row>
    <row r="766" spans="6:6" x14ac:dyDescent="0.35">
      <c r="F766" s="435"/>
    </row>
    <row r="767" spans="6:6" x14ac:dyDescent="0.35">
      <c r="F767" s="435"/>
    </row>
    <row r="768" spans="6:6" x14ac:dyDescent="0.35">
      <c r="F768" s="435"/>
    </row>
    <row r="769" spans="6:6" x14ac:dyDescent="0.35">
      <c r="F769" s="435"/>
    </row>
    <row r="770" spans="6:6" x14ac:dyDescent="0.35">
      <c r="F770" s="435"/>
    </row>
    <row r="771" spans="6:6" x14ac:dyDescent="0.35">
      <c r="F771" s="435"/>
    </row>
    <row r="772" spans="6:6" x14ac:dyDescent="0.35">
      <c r="F772" s="435"/>
    </row>
    <row r="773" spans="6:6" x14ac:dyDescent="0.35">
      <c r="F773" s="435"/>
    </row>
    <row r="774" spans="6:6" x14ac:dyDescent="0.35">
      <c r="F774" s="435"/>
    </row>
    <row r="775" spans="6:6" x14ac:dyDescent="0.35">
      <c r="F775" s="435"/>
    </row>
    <row r="776" spans="6:6" x14ac:dyDescent="0.35">
      <c r="F776" s="435"/>
    </row>
    <row r="777" spans="6:6" x14ac:dyDescent="0.35">
      <c r="F777" s="435"/>
    </row>
    <row r="778" spans="6:6" x14ac:dyDescent="0.35">
      <c r="F778" s="435"/>
    </row>
    <row r="779" spans="6:6" x14ac:dyDescent="0.35">
      <c r="F779" s="435"/>
    </row>
    <row r="780" spans="6:6" x14ac:dyDescent="0.35">
      <c r="F780" s="435"/>
    </row>
    <row r="781" spans="6:6" x14ac:dyDescent="0.35">
      <c r="F781" s="435"/>
    </row>
    <row r="782" spans="6:6" x14ac:dyDescent="0.35">
      <c r="F782" s="435"/>
    </row>
    <row r="783" spans="6:6" x14ac:dyDescent="0.35">
      <c r="F783" s="435"/>
    </row>
    <row r="784" spans="6:6" x14ac:dyDescent="0.35">
      <c r="F784" s="435"/>
    </row>
    <row r="785" spans="6:6" x14ac:dyDescent="0.35">
      <c r="F785" s="435"/>
    </row>
    <row r="786" spans="6:6" x14ac:dyDescent="0.35">
      <c r="F786" s="435"/>
    </row>
    <row r="787" spans="6:6" x14ac:dyDescent="0.35">
      <c r="F787" s="435"/>
    </row>
    <row r="788" spans="6:6" x14ac:dyDescent="0.35">
      <c r="F788" s="435"/>
    </row>
    <row r="789" spans="6:6" x14ac:dyDescent="0.35">
      <c r="F789" s="435"/>
    </row>
    <row r="790" spans="6:6" x14ac:dyDescent="0.35">
      <c r="F790" s="435"/>
    </row>
    <row r="791" spans="6:6" x14ac:dyDescent="0.35">
      <c r="F791" s="435"/>
    </row>
    <row r="792" spans="6:6" x14ac:dyDescent="0.35">
      <c r="F792" s="435"/>
    </row>
    <row r="793" spans="6:6" x14ac:dyDescent="0.35">
      <c r="F793" s="435"/>
    </row>
    <row r="794" spans="6:6" x14ac:dyDescent="0.35">
      <c r="F794" s="435"/>
    </row>
    <row r="795" spans="6:6" x14ac:dyDescent="0.35">
      <c r="F795" s="435"/>
    </row>
    <row r="796" spans="6:6" x14ac:dyDescent="0.35">
      <c r="F796" s="435"/>
    </row>
    <row r="797" spans="6:6" x14ac:dyDescent="0.35">
      <c r="F797" s="435"/>
    </row>
    <row r="798" spans="6:6" x14ac:dyDescent="0.35">
      <c r="F798" s="435"/>
    </row>
    <row r="799" spans="6:6" x14ac:dyDescent="0.35">
      <c r="F799" s="435"/>
    </row>
    <row r="800" spans="6:6" x14ac:dyDescent="0.35">
      <c r="F800" s="435"/>
    </row>
    <row r="801" spans="6:6" x14ac:dyDescent="0.35">
      <c r="F801" s="435"/>
    </row>
    <row r="802" spans="6:6" x14ac:dyDescent="0.35">
      <c r="F802" s="435"/>
    </row>
    <row r="803" spans="6:6" x14ac:dyDescent="0.35">
      <c r="F803" s="435"/>
    </row>
    <row r="804" spans="6:6" x14ac:dyDescent="0.35">
      <c r="F804" s="435"/>
    </row>
    <row r="805" spans="6:6" x14ac:dyDescent="0.35">
      <c r="F805" s="435"/>
    </row>
    <row r="806" spans="6:6" x14ac:dyDescent="0.35">
      <c r="F806" s="435"/>
    </row>
    <row r="807" spans="6:6" x14ac:dyDescent="0.35">
      <c r="F807" s="435"/>
    </row>
    <row r="808" spans="6:6" x14ac:dyDescent="0.35">
      <c r="F808" s="435"/>
    </row>
    <row r="809" spans="6:6" x14ac:dyDescent="0.35">
      <c r="F809" s="435"/>
    </row>
    <row r="810" spans="6:6" x14ac:dyDescent="0.35">
      <c r="F810" s="435"/>
    </row>
    <row r="811" spans="6:6" x14ac:dyDescent="0.35">
      <c r="F811" s="435"/>
    </row>
    <row r="812" spans="6:6" x14ac:dyDescent="0.35">
      <c r="F812" s="435"/>
    </row>
    <row r="813" spans="6:6" x14ac:dyDescent="0.35">
      <c r="F813" s="435"/>
    </row>
    <row r="814" spans="6:6" x14ac:dyDescent="0.35">
      <c r="F814" s="435"/>
    </row>
    <row r="815" spans="6:6" x14ac:dyDescent="0.35">
      <c r="F815" s="435"/>
    </row>
    <row r="816" spans="6:6" x14ac:dyDescent="0.35">
      <c r="F816" s="435"/>
    </row>
    <row r="817" spans="6:6" x14ac:dyDescent="0.35">
      <c r="F817" s="435"/>
    </row>
    <row r="818" spans="6:6" x14ac:dyDescent="0.35">
      <c r="F818" s="435"/>
    </row>
    <row r="819" spans="6:6" x14ac:dyDescent="0.35">
      <c r="F819" s="435"/>
    </row>
    <row r="820" spans="6:6" x14ac:dyDescent="0.35">
      <c r="F820" s="435"/>
    </row>
    <row r="821" spans="6:6" x14ac:dyDescent="0.35">
      <c r="F821" s="435"/>
    </row>
    <row r="822" spans="6:6" x14ac:dyDescent="0.35">
      <c r="F822" s="435"/>
    </row>
    <row r="823" spans="6:6" x14ac:dyDescent="0.35">
      <c r="F823" s="435"/>
    </row>
    <row r="824" spans="6:6" x14ac:dyDescent="0.35">
      <c r="F824" s="435"/>
    </row>
    <row r="825" spans="6:6" x14ac:dyDescent="0.35">
      <c r="F825" s="435"/>
    </row>
    <row r="826" spans="6:6" x14ac:dyDescent="0.35">
      <c r="F826" s="435"/>
    </row>
    <row r="827" spans="6:6" x14ac:dyDescent="0.35">
      <c r="F827" s="435"/>
    </row>
    <row r="828" spans="6:6" x14ac:dyDescent="0.35">
      <c r="F828" s="435"/>
    </row>
    <row r="829" spans="6:6" x14ac:dyDescent="0.35">
      <c r="F829" s="435"/>
    </row>
    <row r="830" spans="6:6" x14ac:dyDescent="0.35">
      <c r="F830" s="435"/>
    </row>
    <row r="831" spans="6:6" x14ac:dyDescent="0.35">
      <c r="F831" s="435"/>
    </row>
    <row r="832" spans="6:6" x14ac:dyDescent="0.35">
      <c r="F832" s="435"/>
    </row>
    <row r="833" spans="6:6" x14ac:dyDescent="0.35">
      <c r="F833" s="435"/>
    </row>
    <row r="834" spans="6:6" x14ac:dyDescent="0.35">
      <c r="F834" s="435"/>
    </row>
    <row r="835" spans="6:6" x14ac:dyDescent="0.35">
      <c r="F835" s="435"/>
    </row>
    <row r="836" spans="6:6" x14ac:dyDescent="0.35">
      <c r="F836" s="435"/>
    </row>
    <row r="837" spans="6:6" x14ac:dyDescent="0.35">
      <c r="F837" s="435"/>
    </row>
    <row r="838" spans="6:6" x14ac:dyDescent="0.35">
      <c r="F838" s="435"/>
    </row>
    <row r="839" spans="6:6" x14ac:dyDescent="0.35">
      <c r="F839" s="435"/>
    </row>
    <row r="840" spans="6:6" x14ac:dyDescent="0.35">
      <c r="F840" s="435"/>
    </row>
    <row r="841" spans="6:6" x14ac:dyDescent="0.35">
      <c r="F841" s="435"/>
    </row>
    <row r="842" spans="6:6" x14ac:dyDescent="0.35">
      <c r="F842" s="435"/>
    </row>
    <row r="843" spans="6:6" x14ac:dyDescent="0.35">
      <c r="F843" s="435"/>
    </row>
    <row r="844" spans="6:6" x14ac:dyDescent="0.35">
      <c r="F844" s="435"/>
    </row>
    <row r="845" spans="6:6" x14ac:dyDescent="0.35">
      <c r="F845" s="435"/>
    </row>
    <row r="846" spans="6:6" x14ac:dyDescent="0.35">
      <c r="F846" s="435"/>
    </row>
    <row r="847" spans="6:6" x14ac:dyDescent="0.35">
      <c r="F847" s="435"/>
    </row>
    <row r="848" spans="6:6" x14ac:dyDescent="0.35">
      <c r="F848" s="435"/>
    </row>
    <row r="849" spans="6:6" x14ac:dyDescent="0.35">
      <c r="F849" s="435"/>
    </row>
    <row r="850" spans="6:6" x14ac:dyDescent="0.35">
      <c r="F850" s="435"/>
    </row>
    <row r="851" spans="6:6" x14ac:dyDescent="0.35">
      <c r="F851" s="435"/>
    </row>
    <row r="852" spans="6:6" x14ac:dyDescent="0.35">
      <c r="F852" s="435"/>
    </row>
    <row r="853" spans="6:6" x14ac:dyDescent="0.35">
      <c r="F853" s="435"/>
    </row>
    <row r="854" spans="6:6" x14ac:dyDescent="0.35">
      <c r="F854" s="435"/>
    </row>
    <row r="855" spans="6:6" x14ac:dyDescent="0.35">
      <c r="F855" s="435"/>
    </row>
    <row r="856" spans="6:6" x14ac:dyDescent="0.35">
      <c r="F856" s="435"/>
    </row>
    <row r="857" spans="6:6" x14ac:dyDescent="0.35">
      <c r="F857" s="435"/>
    </row>
    <row r="858" spans="6:6" x14ac:dyDescent="0.35">
      <c r="F858" s="435"/>
    </row>
    <row r="859" spans="6:6" x14ac:dyDescent="0.35">
      <c r="F859" s="435"/>
    </row>
    <row r="860" spans="6:6" x14ac:dyDescent="0.35">
      <c r="F860" s="435"/>
    </row>
    <row r="861" spans="6:6" x14ac:dyDescent="0.35">
      <c r="F861" s="435"/>
    </row>
    <row r="862" spans="6:6" x14ac:dyDescent="0.35">
      <c r="F862" s="435"/>
    </row>
    <row r="863" spans="6:6" x14ac:dyDescent="0.35">
      <c r="F863" s="435"/>
    </row>
    <row r="864" spans="6:6" x14ac:dyDescent="0.35">
      <c r="F864" s="435"/>
    </row>
    <row r="865" spans="6:6" x14ac:dyDescent="0.35">
      <c r="F865" s="435"/>
    </row>
    <row r="866" spans="6:6" x14ac:dyDescent="0.35">
      <c r="F866" s="435"/>
    </row>
    <row r="867" spans="6:6" x14ac:dyDescent="0.35">
      <c r="F867" s="435"/>
    </row>
    <row r="868" spans="6:6" x14ac:dyDescent="0.35">
      <c r="F868" s="435"/>
    </row>
    <row r="869" spans="6:6" x14ac:dyDescent="0.35">
      <c r="F869" s="435"/>
    </row>
    <row r="870" spans="6:6" x14ac:dyDescent="0.35">
      <c r="F870" s="435"/>
    </row>
    <row r="871" spans="6:6" x14ac:dyDescent="0.35">
      <c r="F871" s="435"/>
    </row>
    <row r="872" spans="6:6" x14ac:dyDescent="0.35">
      <c r="F872" s="435"/>
    </row>
    <row r="873" spans="6:6" x14ac:dyDescent="0.35">
      <c r="F873" s="435"/>
    </row>
    <row r="874" spans="6:6" x14ac:dyDescent="0.35">
      <c r="F874" s="435"/>
    </row>
    <row r="875" spans="6:6" x14ac:dyDescent="0.35">
      <c r="F875" s="435"/>
    </row>
    <row r="876" spans="6:6" x14ac:dyDescent="0.35">
      <c r="F876" s="435"/>
    </row>
    <row r="877" spans="6:6" x14ac:dyDescent="0.35">
      <c r="F877" s="435"/>
    </row>
    <row r="878" spans="6:6" x14ac:dyDescent="0.35">
      <c r="F878" s="435"/>
    </row>
    <row r="879" spans="6:6" x14ac:dyDescent="0.35">
      <c r="F879" s="435"/>
    </row>
    <row r="880" spans="6:6" x14ac:dyDescent="0.35">
      <c r="F880" s="435"/>
    </row>
    <row r="881" spans="6:6" x14ac:dyDescent="0.35">
      <c r="F881" s="435"/>
    </row>
    <row r="882" spans="6:6" x14ac:dyDescent="0.35">
      <c r="F882" s="435"/>
    </row>
    <row r="883" spans="6:6" x14ac:dyDescent="0.35">
      <c r="F883" s="435"/>
    </row>
    <row r="884" spans="6:6" x14ac:dyDescent="0.35">
      <c r="F884" s="435"/>
    </row>
    <row r="885" spans="6:6" x14ac:dyDescent="0.35">
      <c r="F885" s="435"/>
    </row>
    <row r="886" spans="6:6" x14ac:dyDescent="0.35">
      <c r="F886" s="435"/>
    </row>
    <row r="887" spans="6:6" x14ac:dyDescent="0.35">
      <c r="F887" s="435"/>
    </row>
    <row r="888" spans="6:6" x14ac:dyDescent="0.35">
      <c r="F888" s="435"/>
    </row>
    <row r="889" spans="6:6" x14ac:dyDescent="0.35">
      <c r="F889" s="435"/>
    </row>
    <row r="890" spans="6:6" x14ac:dyDescent="0.35">
      <c r="F890" s="435"/>
    </row>
    <row r="891" spans="6:6" x14ac:dyDescent="0.35">
      <c r="F891" s="435"/>
    </row>
    <row r="892" spans="6:6" x14ac:dyDescent="0.35">
      <c r="F892" s="435"/>
    </row>
    <row r="893" spans="6:6" x14ac:dyDescent="0.35">
      <c r="F893" s="435"/>
    </row>
    <row r="894" spans="6:6" x14ac:dyDescent="0.35">
      <c r="F894" s="435"/>
    </row>
    <row r="895" spans="6:6" x14ac:dyDescent="0.35">
      <c r="F895" s="435"/>
    </row>
    <row r="896" spans="6:6" x14ac:dyDescent="0.35">
      <c r="F896" s="435"/>
    </row>
    <row r="897" spans="6:6" x14ac:dyDescent="0.35">
      <c r="F897" s="435"/>
    </row>
    <row r="898" spans="6:6" x14ac:dyDescent="0.35">
      <c r="F898" s="435"/>
    </row>
    <row r="899" spans="6:6" x14ac:dyDescent="0.35">
      <c r="F899" s="435"/>
    </row>
    <row r="900" spans="6:6" x14ac:dyDescent="0.35">
      <c r="F900" s="435"/>
    </row>
    <row r="901" spans="6:6" x14ac:dyDescent="0.35">
      <c r="F901" s="435"/>
    </row>
    <row r="902" spans="6:6" x14ac:dyDescent="0.35">
      <c r="F902" s="435"/>
    </row>
    <row r="903" spans="6:6" x14ac:dyDescent="0.35">
      <c r="F903" s="435"/>
    </row>
    <row r="904" spans="6:6" x14ac:dyDescent="0.35">
      <c r="F904" s="435"/>
    </row>
    <row r="905" spans="6:6" x14ac:dyDescent="0.35">
      <c r="F905" s="435"/>
    </row>
    <row r="906" spans="6:6" x14ac:dyDescent="0.35">
      <c r="F906" s="435"/>
    </row>
    <row r="907" spans="6:6" x14ac:dyDescent="0.35">
      <c r="F907" s="435"/>
    </row>
    <row r="908" spans="6:6" x14ac:dyDescent="0.35">
      <c r="F908" s="435"/>
    </row>
    <row r="909" spans="6:6" x14ac:dyDescent="0.35">
      <c r="F909" s="435"/>
    </row>
    <row r="910" spans="6:6" x14ac:dyDescent="0.35">
      <c r="F910" s="435"/>
    </row>
    <row r="911" spans="6:6" x14ac:dyDescent="0.35">
      <c r="F911" s="435"/>
    </row>
    <row r="912" spans="6:6" x14ac:dyDescent="0.35">
      <c r="F912" s="435"/>
    </row>
    <row r="913" spans="6:6" x14ac:dyDescent="0.35">
      <c r="F913" s="435"/>
    </row>
    <row r="914" spans="6:6" x14ac:dyDescent="0.35">
      <c r="F914" s="435"/>
    </row>
    <row r="915" spans="6:6" x14ac:dyDescent="0.35">
      <c r="F915" s="435"/>
    </row>
    <row r="916" spans="6:6" x14ac:dyDescent="0.35">
      <c r="F916" s="435"/>
    </row>
    <row r="917" spans="6:6" x14ac:dyDescent="0.35">
      <c r="F917" s="435"/>
    </row>
    <row r="918" spans="6:6" x14ac:dyDescent="0.35">
      <c r="F918" s="435"/>
    </row>
    <row r="919" spans="6:6" x14ac:dyDescent="0.35">
      <c r="F919" s="435"/>
    </row>
    <row r="920" spans="6:6" x14ac:dyDescent="0.35">
      <c r="F920" s="435"/>
    </row>
    <row r="921" spans="6:6" x14ac:dyDescent="0.35">
      <c r="F921" s="435"/>
    </row>
    <row r="922" spans="6:6" x14ac:dyDescent="0.35">
      <c r="F922" s="435"/>
    </row>
    <row r="923" spans="6:6" x14ac:dyDescent="0.35">
      <c r="F923" s="435"/>
    </row>
    <row r="924" spans="6:6" x14ac:dyDescent="0.35">
      <c r="F924" s="435"/>
    </row>
    <row r="925" spans="6:6" x14ac:dyDescent="0.35">
      <c r="F925" s="435"/>
    </row>
    <row r="926" spans="6:6" x14ac:dyDescent="0.35">
      <c r="F926" s="435"/>
    </row>
    <row r="927" spans="6:6" x14ac:dyDescent="0.35">
      <c r="F927" s="435"/>
    </row>
    <row r="928" spans="6:6" x14ac:dyDescent="0.35">
      <c r="F928" s="435"/>
    </row>
    <row r="929" spans="6:6" x14ac:dyDescent="0.35">
      <c r="F929" s="435"/>
    </row>
    <row r="930" spans="6:6" x14ac:dyDescent="0.35">
      <c r="F930" s="435"/>
    </row>
    <row r="931" spans="6:6" x14ac:dyDescent="0.35">
      <c r="F931" s="435"/>
    </row>
    <row r="932" spans="6:6" x14ac:dyDescent="0.35">
      <c r="F932" s="435"/>
    </row>
    <row r="933" spans="6:6" x14ac:dyDescent="0.35">
      <c r="F933" s="435"/>
    </row>
    <row r="934" spans="6:6" x14ac:dyDescent="0.35">
      <c r="F934" s="435"/>
    </row>
    <row r="935" spans="6:6" x14ac:dyDescent="0.35">
      <c r="F935" s="435"/>
    </row>
    <row r="936" spans="6:6" x14ac:dyDescent="0.35">
      <c r="F936" s="435"/>
    </row>
    <row r="937" spans="6:6" x14ac:dyDescent="0.35">
      <c r="F937" s="435"/>
    </row>
    <row r="938" spans="6:6" x14ac:dyDescent="0.35">
      <c r="F938" s="435"/>
    </row>
    <row r="939" spans="6:6" x14ac:dyDescent="0.35">
      <c r="F939" s="435"/>
    </row>
    <row r="940" spans="6:6" x14ac:dyDescent="0.35">
      <c r="F940" s="435"/>
    </row>
    <row r="941" spans="6:6" x14ac:dyDescent="0.35">
      <c r="F941" s="435"/>
    </row>
    <row r="942" spans="6:6" x14ac:dyDescent="0.35">
      <c r="F942" s="435"/>
    </row>
    <row r="943" spans="6:6" x14ac:dyDescent="0.35">
      <c r="F943" s="435"/>
    </row>
    <row r="944" spans="6:6" x14ac:dyDescent="0.35">
      <c r="F944" s="435"/>
    </row>
    <row r="945" spans="6:6" x14ac:dyDescent="0.35">
      <c r="F945" s="435"/>
    </row>
    <row r="946" spans="6:6" x14ac:dyDescent="0.35">
      <c r="F946" s="435"/>
    </row>
    <row r="947" spans="6:6" x14ac:dyDescent="0.35">
      <c r="F947" s="435"/>
    </row>
    <row r="948" spans="6:6" x14ac:dyDescent="0.35">
      <c r="F948" s="435"/>
    </row>
    <row r="949" spans="6:6" x14ac:dyDescent="0.35">
      <c r="F949" s="435"/>
    </row>
    <row r="950" spans="6:6" x14ac:dyDescent="0.35">
      <c r="F950" s="435"/>
    </row>
    <row r="951" spans="6:6" x14ac:dyDescent="0.35">
      <c r="F951" s="435"/>
    </row>
    <row r="952" spans="6:6" x14ac:dyDescent="0.35">
      <c r="F952" s="435"/>
    </row>
    <row r="953" spans="6:6" x14ac:dyDescent="0.35">
      <c r="F953" s="435"/>
    </row>
    <row r="954" spans="6:6" x14ac:dyDescent="0.35">
      <c r="F954" s="435"/>
    </row>
    <row r="955" spans="6:6" x14ac:dyDescent="0.35">
      <c r="F955" s="435"/>
    </row>
    <row r="956" spans="6:6" x14ac:dyDescent="0.35">
      <c r="F956" s="435"/>
    </row>
    <row r="957" spans="6:6" x14ac:dyDescent="0.35">
      <c r="F957" s="435"/>
    </row>
    <row r="958" spans="6:6" x14ac:dyDescent="0.35">
      <c r="F958" s="435"/>
    </row>
    <row r="959" spans="6:6" x14ac:dyDescent="0.35">
      <c r="F959" s="435"/>
    </row>
    <row r="960" spans="6:6" x14ac:dyDescent="0.35">
      <c r="F960" s="435"/>
    </row>
    <row r="961" spans="6:6" x14ac:dyDescent="0.35">
      <c r="F961" s="435"/>
    </row>
    <row r="962" spans="6:6" x14ac:dyDescent="0.35">
      <c r="F962" s="435"/>
    </row>
    <row r="963" spans="6:6" x14ac:dyDescent="0.35">
      <c r="F963" s="435"/>
    </row>
    <row r="964" spans="6:6" x14ac:dyDescent="0.35">
      <c r="F964" s="435"/>
    </row>
    <row r="965" spans="6:6" x14ac:dyDescent="0.35">
      <c r="F965" s="435"/>
    </row>
    <row r="966" spans="6:6" x14ac:dyDescent="0.35">
      <c r="F966" s="435"/>
    </row>
    <row r="967" spans="6:6" x14ac:dyDescent="0.35">
      <c r="F967" s="435"/>
    </row>
    <row r="968" spans="6:6" x14ac:dyDescent="0.35">
      <c r="F968" s="435"/>
    </row>
    <row r="969" spans="6:6" x14ac:dyDescent="0.35">
      <c r="F969" s="435"/>
    </row>
    <row r="970" spans="6:6" x14ac:dyDescent="0.35">
      <c r="F970" s="435"/>
    </row>
    <row r="971" spans="6:6" x14ac:dyDescent="0.35">
      <c r="F971" s="435"/>
    </row>
    <row r="972" spans="6:6" x14ac:dyDescent="0.35">
      <c r="F972" s="435"/>
    </row>
    <row r="973" spans="6:6" x14ac:dyDescent="0.35">
      <c r="F973" s="435"/>
    </row>
    <row r="974" spans="6:6" x14ac:dyDescent="0.35">
      <c r="F974" s="435"/>
    </row>
    <row r="975" spans="6:6" x14ac:dyDescent="0.35">
      <c r="F975" s="435"/>
    </row>
    <row r="976" spans="6:6" x14ac:dyDescent="0.35">
      <c r="F976" s="435"/>
    </row>
    <row r="977" spans="6:6" x14ac:dyDescent="0.35">
      <c r="F977" s="435"/>
    </row>
    <row r="978" spans="6:6" x14ac:dyDescent="0.35">
      <c r="F978" s="435"/>
    </row>
    <row r="979" spans="6:6" x14ac:dyDescent="0.35">
      <c r="F979" s="435"/>
    </row>
    <row r="980" spans="6:6" x14ac:dyDescent="0.35">
      <c r="F980" s="435"/>
    </row>
    <row r="981" spans="6:6" x14ac:dyDescent="0.35">
      <c r="F981" s="435"/>
    </row>
    <row r="982" spans="6:6" x14ac:dyDescent="0.35">
      <c r="F982" s="435"/>
    </row>
    <row r="983" spans="6:6" x14ac:dyDescent="0.35">
      <c r="F983" s="435"/>
    </row>
    <row r="984" spans="6:6" x14ac:dyDescent="0.35">
      <c r="F984" s="435"/>
    </row>
    <row r="985" spans="6:6" x14ac:dyDescent="0.35">
      <c r="F985" s="435"/>
    </row>
    <row r="986" spans="6:6" x14ac:dyDescent="0.35">
      <c r="F986" s="435"/>
    </row>
    <row r="987" spans="6:6" x14ac:dyDescent="0.35">
      <c r="F987" s="435"/>
    </row>
    <row r="988" spans="6:6" x14ac:dyDescent="0.35">
      <c r="F988" s="435"/>
    </row>
    <row r="989" spans="6:6" x14ac:dyDescent="0.35">
      <c r="F989" s="435"/>
    </row>
    <row r="990" spans="6:6" x14ac:dyDescent="0.35">
      <c r="F990" s="435"/>
    </row>
    <row r="991" spans="6:6" x14ac:dyDescent="0.35">
      <c r="F991" s="435"/>
    </row>
    <row r="992" spans="6:6" x14ac:dyDescent="0.35">
      <c r="F992" s="435"/>
    </row>
    <row r="993" spans="6:6" x14ac:dyDescent="0.35">
      <c r="F993" s="435"/>
    </row>
    <row r="994" spans="6:6" x14ac:dyDescent="0.35">
      <c r="F994" s="435"/>
    </row>
    <row r="995" spans="6:6" x14ac:dyDescent="0.35">
      <c r="F995" s="435"/>
    </row>
    <row r="996" spans="6:6" x14ac:dyDescent="0.35">
      <c r="F996" s="435"/>
    </row>
    <row r="997" spans="6:6" x14ac:dyDescent="0.35">
      <c r="F997" s="435"/>
    </row>
    <row r="998" spans="6:6" x14ac:dyDescent="0.35">
      <c r="F998" s="435"/>
    </row>
    <row r="999" spans="6:6" x14ac:dyDescent="0.35">
      <c r="F999" s="435"/>
    </row>
    <row r="1000" spans="6:6" x14ac:dyDescent="0.35">
      <c r="F1000" s="435"/>
    </row>
    <row r="1001" spans="6:6" x14ac:dyDescent="0.35">
      <c r="F1001" s="435"/>
    </row>
    <row r="1002" spans="6:6" x14ac:dyDescent="0.35">
      <c r="F1002" s="435"/>
    </row>
    <row r="1003" spans="6:6" x14ac:dyDescent="0.35">
      <c r="F1003" s="435"/>
    </row>
    <row r="1004" spans="6:6" x14ac:dyDescent="0.35">
      <c r="F1004" s="435"/>
    </row>
    <row r="1005" spans="6:6" x14ac:dyDescent="0.35">
      <c r="F1005" s="435"/>
    </row>
    <row r="1006" spans="6:6" x14ac:dyDescent="0.35">
      <c r="F1006" s="435"/>
    </row>
    <row r="1007" spans="6:6" x14ac:dyDescent="0.35">
      <c r="F1007" s="435"/>
    </row>
    <row r="1008" spans="6:6" x14ac:dyDescent="0.35">
      <c r="F1008" s="435"/>
    </row>
    <row r="1009" spans="6:6" x14ac:dyDescent="0.35">
      <c r="F1009" s="435"/>
    </row>
    <row r="1010" spans="6:6" x14ac:dyDescent="0.35">
      <c r="F1010" s="435"/>
    </row>
    <row r="1011" spans="6:6" x14ac:dyDescent="0.35">
      <c r="F1011" s="435"/>
    </row>
    <row r="1012" spans="6:6" x14ac:dyDescent="0.35">
      <c r="F1012" s="435"/>
    </row>
    <row r="1013" spans="6:6" x14ac:dyDescent="0.35">
      <c r="F1013" s="435"/>
    </row>
    <row r="1014" spans="6:6" x14ac:dyDescent="0.35">
      <c r="F1014" s="435"/>
    </row>
    <row r="1015" spans="6:6" x14ac:dyDescent="0.35">
      <c r="F1015" s="435"/>
    </row>
    <row r="1016" spans="6:6" x14ac:dyDescent="0.35">
      <c r="F1016" s="435"/>
    </row>
    <row r="1017" spans="6:6" x14ac:dyDescent="0.35">
      <c r="F1017" s="435"/>
    </row>
    <row r="1018" spans="6:6" x14ac:dyDescent="0.35">
      <c r="F1018" s="435"/>
    </row>
    <row r="1019" spans="6:6" x14ac:dyDescent="0.35">
      <c r="F1019" s="435"/>
    </row>
    <row r="1020" spans="6:6" x14ac:dyDescent="0.35">
      <c r="F1020" s="435"/>
    </row>
    <row r="1021" spans="6:6" x14ac:dyDescent="0.35">
      <c r="F1021" s="435"/>
    </row>
    <row r="1022" spans="6:6" x14ac:dyDescent="0.35">
      <c r="F1022" s="435"/>
    </row>
    <row r="1023" spans="6:6" x14ac:dyDescent="0.35">
      <c r="F1023" s="435"/>
    </row>
    <row r="1024" spans="6:6" x14ac:dyDescent="0.35">
      <c r="F1024" s="435"/>
    </row>
    <row r="1025" spans="6:6" x14ac:dyDescent="0.35">
      <c r="F1025" s="435"/>
    </row>
    <row r="1026" spans="6:6" x14ac:dyDescent="0.35">
      <c r="F1026" s="435"/>
    </row>
    <row r="1027" spans="6:6" x14ac:dyDescent="0.35">
      <c r="F1027" s="435"/>
    </row>
    <row r="1028" spans="6:6" x14ac:dyDescent="0.35">
      <c r="F1028" s="435"/>
    </row>
    <row r="1029" spans="6:6" x14ac:dyDescent="0.35">
      <c r="F1029" s="435"/>
    </row>
    <row r="1030" spans="6:6" x14ac:dyDescent="0.35">
      <c r="F1030" s="435"/>
    </row>
    <row r="1031" spans="6:6" x14ac:dyDescent="0.35">
      <c r="F1031" s="435"/>
    </row>
    <row r="1032" spans="6:6" x14ac:dyDescent="0.35">
      <c r="F1032" s="435"/>
    </row>
    <row r="1033" spans="6:6" x14ac:dyDescent="0.35">
      <c r="F1033" s="435"/>
    </row>
    <row r="1034" spans="6:6" x14ac:dyDescent="0.35">
      <c r="F1034" s="435"/>
    </row>
    <row r="1035" spans="6:6" x14ac:dyDescent="0.35">
      <c r="F1035" s="435"/>
    </row>
    <row r="1036" spans="6:6" x14ac:dyDescent="0.35">
      <c r="F1036" s="435"/>
    </row>
    <row r="1037" spans="6:6" x14ac:dyDescent="0.35">
      <c r="F1037" s="435"/>
    </row>
    <row r="1038" spans="6:6" x14ac:dyDescent="0.35">
      <c r="F1038" s="435"/>
    </row>
    <row r="1039" spans="6:6" x14ac:dyDescent="0.35">
      <c r="F1039" s="435"/>
    </row>
    <row r="1040" spans="6:6" x14ac:dyDescent="0.35">
      <c r="F1040" s="435"/>
    </row>
    <row r="1041" spans="6:6" x14ac:dyDescent="0.35">
      <c r="F1041" s="435"/>
    </row>
    <row r="1042" spans="6:6" x14ac:dyDescent="0.35">
      <c r="F1042" s="435"/>
    </row>
    <row r="1043" spans="6:6" x14ac:dyDescent="0.35">
      <c r="F1043" s="435"/>
    </row>
    <row r="1044" spans="6:6" x14ac:dyDescent="0.35">
      <c r="F1044" s="435"/>
    </row>
    <row r="1045" spans="6:6" x14ac:dyDescent="0.35">
      <c r="F1045" s="435"/>
    </row>
    <row r="1046" spans="6:6" x14ac:dyDescent="0.35">
      <c r="F1046" s="435"/>
    </row>
    <row r="1047" spans="6:6" x14ac:dyDescent="0.35">
      <c r="F1047" s="435"/>
    </row>
    <row r="1048" spans="6:6" x14ac:dyDescent="0.35">
      <c r="F1048" s="435"/>
    </row>
    <row r="1049" spans="6:6" x14ac:dyDescent="0.35">
      <c r="F1049" s="435"/>
    </row>
    <row r="1050" spans="6:6" x14ac:dyDescent="0.35">
      <c r="F1050" s="435"/>
    </row>
    <row r="1051" spans="6:6" x14ac:dyDescent="0.35">
      <c r="F1051" s="435"/>
    </row>
    <row r="1052" spans="6:6" x14ac:dyDescent="0.35">
      <c r="F1052" s="435"/>
    </row>
    <row r="1053" spans="6:6" x14ac:dyDescent="0.35">
      <c r="F1053" s="435"/>
    </row>
    <row r="1054" spans="6:6" x14ac:dyDescent="0.35">
      <c r="F1054" s="435"/>
    </row>
    <row r="1055" spans="6:6" x14ac:dyDescent="0.35">
      <c r="F1055" s="435"/>
    </row>
    <row r="1056" spans="6:6" x14ac:dyDescent="0.35">
      <c r="F1056" s="435"/>
    </row>
    <row r="1057" spans="6:6" x14ac:dyDescent="0.35">
      <c r="F1057" s="435"/>
    </row>
    <row r="1058" spans="6:6" x14ac:dyDescent="0.35">
      <c r="F1058" s="435"/>
    </row>
    <row r="1059" spans="6:6" x14ac:dyDescent="0.35">
      <c r="F1059" s="435"/>
    </row>
    <row r="1060" spans="6:6" x14ac:dyDescent="0.35">
      <c r="F1060" s="435"/>
    </row>
    <row r="1061" spans="6:6" x14ac:dyDescent="0.35">
      <c r="F1061" s="435"/>
    </row>
    <row r="1062" spans="6:6" x14ac:dyDescent="0.35">
      <c r="F1062" s="435"/>
    </row>
    <row r="1063" spans="6:6" x14ac:dyDescent="0.35">
      <c r="F1063" s="435"/>
    </row>
    <row r="1064" spans="6:6" x14ac:dyDescent="0.35">
      <c r="F1064" s="435"/>
    </row>
    <row r="1065" spans="6:6" x14ac:dyDescent="0.35">
      <c r="F1065" s="435"/>
    </row>
    <row r="1066" spans="6:6" x14ac:dyDescent="0.35">
      <c r="F1066" s="435"/>
    </row>
    <row r="1067" spans="6:6" x14ac:dyDescent="0.35">
      <c r="F1067" s="435"/>
    </row>
    <row r="1068" spans="6:6" x14ac:dyDescent="0.35">
      <c r="F1068" s="435"/>
    </row>
    <row r="1069" spans="6:6" x14ac:dyDescent="0.35">
      <c r="F1069" s="435"/>
    </row>
    <row r="1070" spans="6:6" x14ac:dyDescent="0.35">
      <c r="F1070" s="435"/>
    </row>
    <row r="1071" spans="6:6" x14ac:dyDescent="0.35">
      <c r="F1071" s="435"/>
    </row>
    <row r="1072" spans="6:6" x14ac:dyDescent="0.35">
      <c r="F1072" s="435"/>
    </row>
    <row r="1073" spans="6:6" x14ac:dyDescent="0.35">
      <c r="F1073" s="435"/>
    </row>
    <row r="1074" spans="6:6" x14ac:dyDescent="0.35">
      <c r="F1074" s="435"/>
    </row>
    <row r="1075" spans="6:6" x14ac:dyDescent="0.35">
      <c r="F1075" s="435"/>
    </row>
    <row r="1076" spans="6:6" x14ac:dyDescent="0.35">
      <c r="F1076" s="435"/>
    </row>
    <row r="1077" spans="6:6" x14ac:dyDescent="0.35">
      <c r="F1077" s="435"/>
    </row>
    <row r="1078" spans="6:6" x14ac:dyDescent="0.35">
      <c r="F1078" s="435"/>
    </row>
    <row r="1079" spans="6:6" x14ac:dyDescent="0.35">
      <c r="F1079" s="435"/>
    </row>
    <row r="1080" spans="6:6" x14ac:dyDescent="0.35">
      <c r="F1080" s="435"/>
    </row>
    <row r="1081" spans="6:6" x14ac:dyDescent="0.35">
      <c r="F1081" s="435"/>
    </row>
    <row r="1082" spans="6:6" x14ac:dyDescent="0.35">
      <c r="F1082" s="435"/>
    </row>
    <row r="1083" spans="6:6" x14ac:dyDescent="0.35">
      <c r="F1083" s="435"/>
    </row>
    <row r="1084" spans="6:6" x14ac:dyDescent="0.35">
      <c r="F1084" s="435"/>
    </row>
    <row r="1085" spans="6:6" x14ac:dyDescent="0.35">
      <c r="F1085" s="435"/>
    </row>
    <row r="1086" spans="6:6" x14ac:dyDescent="0.35">
      <c r="F1086" s="435"/>
    </row>
    <row r="1087" spans="6:6" x14ac:dyDescent="0.35">
      <c r="F1087" s="435"/>
    </row>
    <row r="1088" spans="6:6" x14ac:dyDescent="0.35">
      <c r="F1088" s="435"/>
    </row>
    <row r="1089" spans="6:6" x14ac:dyDescent="0.35">
      <c r="F1089" s="435"/>
    </row>
    <row r="1090" spans="6:6" x14ac:dyDescent="0.35">
      <c r="F1090" s="435"/>
    </row>
    <row r="1091" spans="6:6" x14ac:dyDescent="0.35">
      <c r="F1091" s="435"/>
    </row>
    <row r="1092" spans="6:6" x14ac:dyDescent="0.35">
      <c r="F1092" s="435"/>
    </row>
    <row r="1093" spans="6:6" x14ac:dyDescent="0.35">
      <c r="F1093" s="435"/>
    </row>
    <row r="1094" spans="6:6" x14ac:dyDescent="0.35">
      <c r="F1094" s="435"/>
    </row>
    <row r="1095" spans="6:6" x14ac:dyDescent="0.35">
      <c r="F1095" s="435"/>
    </row>
    <row r="1096" spans="6:6" x14ac:dyDescent="0.35">
      <c r="F1096" s="435"/>
    </row>
    <row r="1097" spans="6:6" x14ac:dyDescent="0.35">
      <c r="F1097" s="435"/>
    </row>
    <row r="1098" spans="6:6" x14ac:dyDescent="0.35">
      <c r="F1098" s="435"/>
    </row>
    <row r="1099" spans="6:6" x14ac:dyDescent="0.35">
      <c r="F1099" s="435"/>
    </row>
    <row r="1100" spans="6:6" x14ac:dyDescent="0.35">
      <c r="F1100" s="435"/>
    </row>
    <row r="1101" spans="6:6" x14ac:dyDescent="0.35">
      <c r="F1101" s="435"/>
    </row>
    <row r="1102" spans="6:6" x14ac:dyDescent="0.35">
      <c r="F1102" s="435"/>
    </row>
    <row r="1103" spans="6:6" x14ac:dyDescent="0.35">
      <c r="F1103" s="435"/>
    </row>
    <row r="1104" spans="6:6" x14ac:dyDescent="0.35">
      <c r="F1104" s="435"/>
    </row>
    <row r="1105" spans="6:6" x14ac:dyDescent="0.35">
      <c r="F1105" s="435"/>
    </row>
    <row r="1106" spans="6:6" x14ac:dyDescent="0.35">
      <c r="F1106" s="435"/>
    </row>
    <row r="1107" spans="6:6" x14ac:dyDescent="0.35">
      <c r="F1107" s="435"/>
    </row>
    <row r="1108" spans="6:6" x14ac:dyDescent="0.35">
      <c r="F1108" s="435"/>
    </row>
    <row r="1109" spans="6:6" x14ac:dyDescent="0.35">
      <c r="F1109" s="435"/>
    </row>
    <row r="1110" spans="6:6" x14ac:dyDescent="0.35">
      <c r="F1110" s="435"/>
    </row>
    <row r="1111" spans="6:6" x14ac:dyDescent="0.35">
      <c r="F1111" s="435"/>
    </row>
    <row r="1112" spans="6:6" x14ac:dyDescent="0.35">
      <c r="F1112" s="435"/>
    </row>
    <row r="1113" spans="6:6" x14ac:dyDescent="0.35">
      <c r="F1113" s="435"/>
    </row>
    <row r="1114" spans="6:6" x14ac:dyDescent="0.35">
      <c r="F1114" s="435"/>
    </row>
    <row r="1115" spans="6:6" x14ac:dyDescent="0.35">
      <c r="F1115" s="435"/>
    </row>
    <row r="1116" spans="6:6" x14ac:dyDescent="0.35">
      <c r="F1116" s="435"/>
    </row>
    <row r="1117" spans="6:6" x14ac:dyDescent="0.35">
      <c r="F1117" s="435"/>
    </row>
    <row r="1118" spans="6:6" x14ac:dyDescent="0.35">
      <c r="F1118" s="435"/>
    </row>
    <row r="1119" spans="6:6" x14ac:dyDescent="0.35">
      <c r="F1119" s="435"/>
    </row>
    <row r="1120" spans="6:6" x14ac:dyDescent="0.35">
      <c r="F1120" s="435"/>
    </row>
    <row r="1121" spans="6:6" x14ac:dyDescent="0.35">
      <c r="F1121" s="435"/>
    </row>
    <row r="1122" spans="6:6" x14ac:dyDescent="0.35">
      <c r="F1122" s="435"/>
    </row>
    <row r="1123" spans="6:6" x14ac:dyDescent="0.35">
      <c r="F1123" s="435"/>
    </row>
    <row r="1124" spans="6:6" x14ac:dyDescent="0.35">
      <c r="F1124" s="435"/>
    </row>
    <row r="1125" spans="6:6" x14ac:dyDescent="0.35">
      <c r="F1125" s="435"/>
    </row>
    <row r="1126" spans="6:6" x14ac:dyDescent="0.35">
      <c r="F1126" s="435"/>
    </row>
    <row r="1127" spans="6:6" x14ac:dyDescent="0.35">
      <c r="F1127" s="435"/>
    </row>
    <row r="1128" spans="6:6" x14ac:dyDescent="0.35">
      <c r="F1128" s="435"/>
    </row>
    <row r="1129" spans="6:6" x14ac:dyDescent="0.35">
      <c r="F1129" s="435"/>
    </row>
    <row r="1130" spans="6:6" x14ac:dyDescent="0.35">
      <c r="F1130" s="435"/>
    </row>
    <row r="1131" spans="6:6" x14ac:dyDescent="0.35">
      <c r="F1131" s="435"/>
    </row>
    <row r="1132" spans="6:6" x14ac:dyDescent="0.35">
      <c r="F1132" s="435"/>
    </row>
    <row r="1133" spans="6:6" x14ac:dyDescent="0.35">
      <c r="F1133" s="435"/>
    </row>
    <row r="1134" spans="6:6" x14ac:dyDescent="0.35">
      <c r="F1134" s="435"/>
    </row>
    <row r="1135" spans="6:6" x14ac:dyDescent="0.35">
      <c r="F1135" s="435"/>
    </row>
    <row r="1136" spans="6:6" x14ac:dyDescent="0.35">
      <c r="F1136" s="435"/>
    </row>
    <row r="1137" spans="6:6" x14ac:dyDescent="0.35">
      <c r="F1137" s="435"/>
    </row>
    <row r="1138" spans="6:6" x14ac:dyDescent="0.35">
      <c r="F1138" s="435"/>
    </row>
    <row r="1139" spans="6:6" x14ac:dyDescent="0.35">
      <c r="F1139" s="435"/>
    </row>
    <row r="1140" spans="6:6" x14ac:dyDescent="0.35">
      <c r="F1140" s="435"/>
    </row>
    <row r="1141" spans="6:6" x14ac:dyDescent="0.35">
      <c r="F1141" s="435"/>
    </row>
    <row r="1142" spans="6:6" x14ac:dyDescent="0.35">
      <c r="F1142" s="435"/>
    </row>
    <row r="1143" spans="6:6" x14ac:dyDescent="0.35">
      <c r="F1143" s="435"/>
    </row>
    <row r="1144" spans="6:6" x14ac:dyDescent="0.35">
      <c r="F1144" s="435"/>
    </row>
    <row r="1145" spans="6:6" x14ac:dyDescent="0.35">
      <c r="F1145" s="435"/>
    </row>
    <row r="1146" spans="6:6" x14ac:dyDescent="0.35">
      <c r="F1146" s="435"/>
    </row>
    <row r="1147" spans="6:6" x14ac:dyDescent="0.35">
      <c r="F1147" s="435"/>
    </row>
    <row r="1148" spans="6:6" x14ac:dyDescent="0.35">
      <c r="F1148" s="435"/>
    </row>
    <row r="1149" spans="6:6" x14ac:dyDescent="0.35">
      <c r="F1149" s="435"/>
    </row>
    <row r="1150" spans="6:6" x14ac:dyDescent="0.35">
      <c r="F1150" s="435"/>
    </row>
    <row r="1151" spans="6:6" x14ac:dyDescent="0.35">
      <c r="F1151" s="435"/>
    </row>
    <row r="1152" spans="6:6" x14ac:dyDescent="0.35">
      <c r="F1152" s="435"/>
    </row>
    <row r="1153" spans="6:6" x14ac:dyDescent="0.35">
      <c r="F1153" s="435"/>
    </row>
    <row r="1154" spans="6:6" x14ac:dyDescent="0.35">
      <c r="F1154" s="435"/>
    </row>
    <row r="1155" spans="6:6" x14ac:dyDescent="0.35">
      <c r="F1155" s="435"/>
    </row>
    <row r="1156" spans="6:6" x14ac:dyDescent="0.35">
      <c r="F1156" s="435"/>
    </row>
    <row r="1157" spans="6:6" x14ac:dyDescent="0.35">
      <c r="F1157" s="435"/>
    </row>
    <row r="1158" spans="6:6" x14ac:dyDescent="0.35">
      <c r="F1158" s="435"/>
    </row>
    <row r="1159" spans="6:6" x14ac:dyDescent="0.35">
      <c r="F1159" s="435"/>
    </row>
    <row r="1160" spans="6:6" x14ac:dyDescent="0.35">
      <c r="F1160" s="435"/>
    </row>
    <row r="1161" spans="6:6" x14ac:dyDescent="0.35">
      <c r="F1161" s="435"/>
    </row>
    <row r="1162" spans="6:6" x14ac:dyDescent="0.35">
      <c r="F1162" s="435"/>
    </row>
    <row r="1163" spans="6:6" x14ac:dyDescent="0.35">
      <c r="F1163" s="435"/>
    </row>
    <row r="1164" spans="6:6" x14ac:dyDescent="0.35">
      <c r="F1164" s="435"/>
    </row>
    <row r="1165" spans="6:6" x14ac:dyDescent="0.35">
      <c r="F1165" s="435"/>
    </row>
    <row r="1166" spans="6:6" x14ac:dyDescent="0.35">
      <c r="F1166" s="435"/>
    </row>
    <row r="1167" spans="6:6" x14ac:dyDescent="0.35">
      <c r="F1167" s="435"/>
    </row>
    <row r="1168" spans="6:6" x14ac:dyDescent="0.35">
      <c r="F1168" s="435"/>
    </row>
    <row r="1169" spans="6:6" x14ac:dyDescent="0.35">
      <c r="F1169" s="435"/>
    </row>
    <row r="1170" spans="6:6" x14ac:dyDescent="0.35">
      <c r="F1170" s="435"/>
    </row>
    <row r="1171" spans="6:6" x14ac:dyDescent="0.35">
      <c r="F1171" s="435"/>
    </row>
    <row r="1172" spans="6:6" x14ac:dyDescent="0.35">
      <c r="F1172" s="435"/>
    </row>
    <row r="1173" spans="6:6" x14ac:dyDescent="0.35">
      <c r="F1173" s="435"/>
    </row>
    <row r="1174" spans="6:6" x14ac:dyDescent="0.35">
      <c r="F1174" s="435"/>
    </row>
    <row r="1175" spans="6:6" x14ac:dyDescent="0.35">
      <c r="F1175" s="435"/>
    </row>
    <row r="1176" spans="6:6" x14ac:dyDescent="0.35">
      <c r="F1176" s="435"/>
    </row>
    <row r="1177" spans="6:6" x14ac:dyDescent="0.35">
      <c r="F1177" s="435"/>
    </row>
    <row r="1178" spans="6:6" x14ac:dyDescent="0.35">
      <c r="F1178" s="435"/>
    </row>
    <row r="1179" spans="6:6" x14ac:dyDescent="0.35">
      <c r="F1179" s="435"/>
    </row>
    <row r="1180" spans="6:6" x14ac:dyDescent="0.35">
      <c r="F1180" s="435"/>
    </row>
    <row r="1181" spans="6:6" x14ac:dyDescent="0.35">
      <c r="F1181" s="435"/>
    </row>
    <row r="1182" spans="6:6" x14ac:dyDescent="0.35">
      <c r="F1182" s="435"/>
    </row>
    <row r="1183" spans="6:6" x14ac:dyDescent="0.35">
      <c r="F1183" s="435"/>
    </row>
    <row r="1184" spans="6:6" x14ac:dyDescent="0.35">
      <c r="F1184" s="435"/>
    </row>
    <row r="1185" spans="6:6" x14ac:dyDescent="0.35">
      <c r="F1185" s="435"/>
    </row>
    <row r="1186" spans="6:6" x14ac:dyDescent="0.35">
      <c r="F1186" s="435"/>
    </row>
    <row r="1187" spans="6:6" x14ac:dyDescent="0.35">
      <c r="F1187" s="435"/>
    </row>
    <row r="1188" spans="6:6" x14ac:dyDescent="0.35">
      <c r="F1188" s="435"/>
    </row>
    <row r="1189" spans="6:6" x14ac:dyDescent="0.35">
      <c r="F1189" s="435"/>
    </row>
    <row r="1190" spans="6:6" x14ac:dyDescent="0.35">
      <c r="F1190" s="435"/>
    </row>
    <row r="1191" spans="6:6" x14ac:dyDescent="0.35">
      <c r="F1191" s="435"/>
    </row>
    <row r="1192" spans="6:6" x14ac:dyDescent="0.35">
      <c r="F1192" s="435"/>
    </row>
    <row r="1193" spans="6:6" x14ac:dyDescent="0.35">
      <c r="F1193" s="435"/>
    </row>
    <row r="1194" spans="6:6" x14ac:dyDescent="0.35">
      <c r="F1194" s="435"/>
    </row>
    <row r="1195" spans="6:6" x14ac:dyDescent="0.35">
      <c r="F1195" s="435"/>
    </row>
    <row r="1196" spans="6:6" x14ac:dyDescent="0.35">
      <c r="F1196" s="435"/>
    </row>
    <row r="1197" spans="6:6" x14ac:dyDescent="0.35">
      <c r="F1197" s="435"/>
    </row>
    <row r="1198" spans="6:6" x14ac:dyDescent="0.35">
      <c r="F1198" s="435"/>
    </row>
    <row r="1199" spans="6:6" x14ac:dyDescent="0.35">
      <c r="F1199" s="435"/>
    </row>
    <row r="1200" spans="6:6" x14ac:dyDescent="0.35">
      <c r="F1200" s="435"/>
    </row>
    <row r="1201" spans="6:6" x14ac:dyDescent="0.35">
      <c r="F1201" s="435"/>
    </row>
    <row r="1202" spans="6:6" x14ac:dyDescent="0.35">
      <c r="F1202" s="435"/>
    </row>
    <row r="1203" spans="6:6" x14ac:dyDescent="0.35">
      <c r="F1203" s="435"/>
    </row>
    <row r="1204" spans="6:6" x14ac:dyDescent="0.35">
      <c r="F1204" s="435"/>
    </row>
    <row r="1205" spans="6:6" x14ac:dyDescent="0.35">
      <c r="F1205" s="435"/>
    </row>
    <row r="1206" spans="6:6" x14ac:dyDescent="0.35">
      <c r="F1206" s="435"/>
    </row>
    <row r="1207" spans="6:6" x14ac:dyDescent="0.35">
      <c r="F1207" s="435"/>
    </row>
    <row r="1208" spans="6:6" x14ac:dyDescent="0.35">
      <c r="F1208" s="435"/>
    </row>
    <row r="1209" spans="6:6" x14ac:dyDescent="0.35">
      <c r="F1209" s="435"/>
    </row>
    <row r="1210" spans="6:6" x14ac:dyDescent="0.35">
      <c r="F1210" s="435"/>
    </row>
    <row r="1211" spans="6:6" x14ac:dyDescent="0.35">
      <c r="F1211" s="435"/>
    </row>
    <row r="1212" spans="6:6" x14ac:dyDescent="0.35">
      <c r="F1212" s="435"/>
    </row>
    <row r="1213" spans="6:6" x14ac:dyDescent="0.35">
      <c r="F1213" s="435"/>
    </row>
    <row r="1214" spans="6:6" x14ac:dyDescent="0.35">
      <c r="F1214" s="435"/>
    </row>
    <row r="1215" spans="6:6" x14ac:dyDescent="0.35">
      <c r="F1215" s="435"/>
    </row>
    <row r="1216" spans="6:6" x14ac:dyDescent="0.35">
      <c r="F1216" s="435"/>
    </row>
    <row r="1217" spans="6:6" x14ac:dyDescent="0.35">
      <c r="F1217" s="435"/>
    </row>
    <row r="1218" spans="6:6" x14ac:dyDescent="0.35">
      <c r="F1218" s="435"/>
    </row>
    <row r="1219" spans="6:6" x14ac:dyDescent="0.35">
      <c r="F1219" s="435"/>
    </row>
    <row r="1220" spans="6:6" x14ac:dyDescent="0.35">
      <c r="F1220" s="435"/>
    </row>
    <row r="1221" spans="6:6" x14ac:dyDescent="0.35">
      <c r="F1221" s="435"/>
    </row>
    <row r="1222" spans="6:6" x14ac:dyDescent="0.35">
      <c r="F1222" s="435"/>
    </row>
    <row r="1223" spans="6:6" x14ac:dyDescent="0.35">
      <c r="F1223" s="435"/>
    </row>
    <row r="1224" spans="6:6" x14ac:dyDescent="0.35">
      <c r="F1224" s="435"/>
    </row>
    <row r="1225" spans="6:6" x14ac:dyDescent="0.35">
      <c r="F1225" s="435"/>
    </row>
    <row r="1226" spans="6:6" x14ac:dyDescent="0.35">
      <c r="F1226" s="435"/>
    </row>
    <row r="1227" spans="6:6" x14ac:dyDescent="0.35">
      <c r="F1227" s="435"/>
    </row>
    <row r="1228" spans="6:6" x14ac:dyDescent="0.35">
      <c r="F1228" s="435"/>
    </row>
    <row r="1229" spans="6:6" x14ac:dyDescent="0.35">
      <c r="F1229" s="435"/>
    </row>
    <row r="1230" spans="6:6" x14ac:dyDescent="0.35">
      <c r="F1230" s="435"/>
    </row>
    <row r="1231" spans="6:6" x14ac:dyDescent="0.35">
      <c r="F1231" s="435"/>
    </row>
    <row r="1232" spans="6:6" x14ac:dyDescent="0.35">
      <c r="F1232" s="435"/>
    </row>
    <row r="1233" spans="6:6" x14ac:dyDescent="0.35">
      <c r="F1233" s="435"/>
    </row>
    <row r="1234" spans="6:6" x14ac:dyDescent="0.35">
      <c r="F1234" s="435"/>
    </row>
    <row r="1235" spans="6:6" x14ac:dyDescent="0.35">
      <c r="F1235" s="435"/>
    </row>
    <row r="1236" spans="6:6" x14ac:dyDescent="0.35">
      <c r="F1236" s="435"/>
    </row>
    <row r="1237" spans="6:6" x14ac:dyDescent="0.35">
      <c r="F1237" s="435"/>
    </row>
    <row r="1238" spans="6:6" x14ac:dyDescent="0.35">
      <c r="F1238" s="435"/>
    </row>
    <row r="1239" spans="6:6" x14ac:dyDescent="0.35">
      <c r="F1239" s="435"/>
    </row>
    <row r="1240" spans="6:6" x14ac:dyDescent="0.35">
      <c r="F1240" s="435"/>
    </row>
    <row r="1241" spans="6:6" x14ac:dyDescent="0.35">
      <c r="F1241" s="435"/>
    </row>
    <row r="1242" spans="6:6" x14ac:dyDescent="0.35">
      <c r="F1242" s="435"/>
    </row>
    <row r="1243" spans="6:6" x14ac:dyDescent="0.35">
      <c r="F1243" s="435"/>
    </row>
    <row r="1244" spans="6:6" x14ac:dyDescent="0.35">
      <c r="F1244" s="435"/>
    </row>
    <row r="1245" spans="6:6" x14ac:dyDescent="0.35">
      <c r="F1245" s="435"/>
    </row>
    <row r="1246" spans="6:6" x14ac:dyDescent="0.35">
      <c r="F1246" s="435"/>
    </row>
    <row r="1247" spans="6:6" x14ac:dyDescent="0.35">
      <c r="F1247" s="435"/>
    </row>
    <row r="1248" spans="6:6" x14ac:dyDescent="0.35">
      <c r="F1248" s="435"/>
    </row>
    <row r="1249" spans="6:6" x14ac:dyDescent="0.35">
      <c r="F1249" s="435"/>
    </row>
    <row r="1250" spans="6:6" x14ac:dyDescent="0.35">
      <c r="F1250" s="435"/>
    </row>
    <row r="1251" spans="6:6" x14ac:dyDescent="0.35">
      <c r="F1251" s="435"/>
    </row>
    <row r="1252" spans="6:6" x14ac:dyDescent="0.35">
      <c r="F1252" s="435"/>
    </row>
    <row r="1253" spans="6:6" x14ac:dyDescent="0.35">
      <c r="F1253" s="435"/>
    </row>
    <row r="1254" spans="6:6" x14ac:dyDescent="0.35">
      <c r="F1254" s="435"/>
    </row>
    <row r="1255" spans="6:6" x14ac:dyDescent="0.35">
      <c r="F1255" s="435"/>
    </row>
    <row r="1256" spans="6:6" x14ac:dyDescent="0.35">
      <c r="F1256" s="435"/>
    </row>
    <row r="1257" spans="6:6" x14ac:dyDescent="0.35">
      <c r="F1257" s="435"/>
    </row>
    <row r="1258" spans="6:6" x14ac:dyDescent="0.35">
      <c r="F1258" s="435"/>
    </row>
    <row r="1259" spans="6:6" x14ac:dyDescent="0.35">
      <c r="F1259" s="435"/>
    </row>
    <row r="1260" spans="6:6" x14ac:dyDescent="0.35">
      <c r="F1260" s="435"/>
    </row>
    <row r="1261" spans="6:6" x14ac:dyDescent="0.35">
      <c r="F1261" s="435"/>
    </row>
    <row r="1262" spans="6:6" x14ac:dyDescent="0.35">
      <c r="F1262" s="435"/>
    </row>
    <row r="1263" spans="6:6" x14ac:dyDescent="0.35">
      <c r="F1263" s="435"/>
    </row>
    <row r="1264" spans="6:6" x14ac:dyDescent="0.35">
      <c r="F1264" s="435"/>
    </row>
    <row r="1265" spans="6:6" x14ac:dyDescent="0.35">
      <c r="F1265" s="435"/>
    </row>
    <row r="1266" spans="6:6" x14ac:dyDescent="0.35">
      <c r="F1266" s="435"/>
    </row>
    <row r="1267" spans="6:6" x14ac:dyDescent="0.35">
      <c r="F1267" s="435"/>
    </row>
    <row r="1268" spans="6:6" x14ac:dyDescent="0.35">
      <c r="F1268" s="435"/>
    </row>
    <row r="1269" spans="6:6" x14ac:dyDescent="0.35">
      <c r="F1269" s="435"/>
    </row>
    <row r="1270" spans="6:6" x14ac:dyDescent="0.35">
      <c r="F1270" s="435"/>
    </row>
    <row r="1271" spans="6:6" x14ac:dyDescent="0.35">
      <c r="F1271" s="435"/>
    </row>
    <row r="1272" spans="6:6" x14ac:dyDescent="0.35">
      <c r="F1272" s="435"/>
    </row>
    <row r="1273" spans="6:6" x14ac:dyDescent="0.35">
      <c r="F1273" s="435"/>
    </row>
    <row r="1274" spans="6:6" x14ac:dyDescent="0.35">
      <c r="F1274" s="435"/>
    </row>
    <row r="1275" spans="6:6" x14ac:dyDescent="0.35">
      <c r="F1275" s="435"/>
    </row>
    <row r="1276" spans="6:6" x14ac:dyDescent="0.35">
      <c r="F1276" s="435"/>
    </row>
    <row r="1277" spans="6:6" x14ac:dyDescent="0.35">
      <c r="F1277" s="435"/>
    </row>
    <row r="1278" spans="6:6" x14ac:dyDescent="0.35">
      <c r="F1278" s="435"/>
    </row>
    <row r="1279" spans="6:6" x14ac:dyDescent="0.35">
      <c r="F1279" s="435"/>
    </row>
    <row r="1280" spans="6:6" x14ac:dyDescent="0.35">
      <c r="F1280" s="435"/>
    </row>
    <row r="1281" spans="6:6" x14ac:dyDescent="0.35">
      <c r="F1281" s="435"/>
    </row>
    <row r="1282" spans="6:6" x14ac:dyDescent="0.35">
      <c r="F1282" s="435"/>
    </row>
    <row r="1283" spans="6:6" x14ac:dyDescent="0.35">
      <c r="F1283" s="435"/>
    </row>
    <row r="1284" spans="6:6" x14ac:dyDescent="0.35">
      <c r="F1284" s="435"/>
    </row>
    <row r="1285" spans="6:6" x14ac:dyDescent="0.35">
      <c r="F1285" s="435"/>
    </row>
    <row r="1286" spans="6:6" x14ac:dyDescent="0.35">
      <c r="F1286" s="435"/>
    </row>
    <row r="1287" spans="6:6" x14ac:dyDescent="0.35">
      <c r="F1287" s="435"/>
    </row>
    <row r="1288" spans="6:6" x14ac:dyDescent="0.35">
      <c r="F1288" s="435"/>
    </row>
    <row r="1289" spans="6:6" x14ac:dyDescent="0.35">
      <c r="F1289" s="435"/>
    </row>
    <row r="1290" spans="6:6" x14ac:dyDescent="0.35">
      <c r="F1290" s="435"/>
    </row>
    <row r="1291" spans="6:6" x14ac:dyDescent="0.35">
      <c r="F1291" s="435"/>
    </row>
    <row r="1292" spans="6:6" x14ac:dyDescent="0.35">
      <c r="F1292" s="435"/>
    </row>
    <row r="1293" spans="6:6" x14ac:dyDescent="0.35">
      <c r="F1293" s="435"/>
    </row>
    <row r="1294" spans="6:6" x14ac:dyDescent="0.35">
      <c r="F1294" s="435"/>
    </row>
    <row r="1295" spans="6:6" x14ac:dyDescent="0.35">
      <c r="F1295" s="435"/>
    </row>
    <row r="1296" spans="6:6" x14ac:dyDescent="0.35">
      <c r="F1296" s="435"/>
    </row>
    <row r="1297" spans="6:6" x14ac:dyDescent="0.35">
      <c r="F1297" s="435"/>
    </row>
    <row r="1298" spans="6:6" x14ac:dyDescent="0.35">
      <c r="F1298" s="435"/>
    </row>
    <row r="1299" spans="6:6" x14ac:dyDescent="0.35">
      <c r="F1299" s="435"/>
    </row>
    <row r="1300" spans="6:6" x14ac:dyDescent="0.35">
      <c r="F1300" s="435"/>
    </row>
    <row r="1301" spans="6:6" x14ac:dyDescent="0.35">
      <c r="F1301" s="435"/>
    </row>
    <row r="1302" spans="6:6" x14ac:dyDescent="0.35">
      <c r="F1302" s="435"/>
    </row>
    <row r="1303" spans="6:6" x14ac:dyDescent="0.35">
      <c r="F1303" s="435"/>
    </row>
    <row r="1304" spans="6:6" x14ac:dyDescent="0.35">
      <c r="F1304" s="435"/>
    </row>
    <row r="1305" spans="6:6" x14ac:dyDescent="0.35">
      <c r="F1305" s="435"/>
    </row>
    <row r="1306" spans="6:6" x14ac:dyDescent="0.35">
      <c r="F1306" s="435"/>
    </row>
    <row r="1307" spans="6:6" x14ac:dyDescent="0.35">
      <c r="F1307" s="435"/>
    </row>
    <row r="1308" spans="6:6" x14ac:dyDescent="0.35">
      <c r="F1308" s="435"/>
    </row>
    <row r="1309" spans="6:6" x14ac:dyDescent="0.35">
      <c r="F1309" s="435"/>
    </row>
    <row r="1310" spans="6:6" x14ac:dyDescent="0.35">
      <c r="F1310" s="435"/>
    </row>
    <row r="1311" spans="6:6" x14ac:dyDescent="0.35">
      <c r="F1311" s="435"/>
    </row>
    <row r="1312" spans="6:6" x14ac:dyDescent="0.35">
      <c r="F1312" s="435"/>
    </row>
    <row r="1313" spans="6:6" x14ac:dyDescent="0.35">
      <c r="F1313" s="435"/>
    </row>
    <row r="1314" spans="6:6" x14ac:dyDescent="0.35">
      <c r="F1314" s="435"/>
    </row>
    <row r="1315" spans="6:6" x14ac:dyDescent="0.35">
      <c r="F1315" s="435"/>
    </row>
    <row r="1316" spans="6:6" x14ac:dyDescent="0.35">
      <c r="F1316" s="435"/>
    </row>
    <row r="1317" spans="6:6" x14ac:dyDescent="0.35">
      <c r="F1317" s="435"/>
    </row>
    <row r="1318" spans="6:6" x14ac:dyDescent="0.35">
      <c r="F1318" s="435"/>
    </row>
    <row r="1319" spans="6:6" x14ac:dyDescent="0.35">
      <c r="F1319" s="435"/>
    </row>
    <row r="1320" spans="6:6" x14ac:dyDescent="0.35">
      <c r="F1320" s="435"/>
    </row>
    <row r="1321" spans="6:6" x14ac:dyDescent="0.35">
      <c r="F1321" s="435"/>
    </row>
    <row r="1322" spans="6:6" x14ac:dyDescent="0.35">
      <c r="F1322" s="435"/>
    </row>
    <row r="1323" spans="6:6" x14ac:dyDescent="0.35">
      <c r="F1323" s="435"/>
    </row>
    <row r="1324" spans="6:6" x14ac:dyDescent="0.35">
      <c r="F1324" s="435"/>
    </row>
    <row r="1325" spans="6:6" x14ac:dyDescent="0.35">
      <c r="F1325" s="435"/>
    </row>
    <row r="1326" spans="6:6" x14ac:dyDescent="0.35">
      <c r="F1326" s="435"/>
    </row>
    <row r="1327" spans="6:6" x14ac:dyDescent="0.35">
      <c r="F1327" s="435"/>
    </row>
    <row r="1328" spans="6:6" x14ac:dyDescent="0.35">
      <c r="F1328" s="435"/>
    </row>
    <row r="1329" spans="6:6" x14ac:dyDescent="0.35">
      <c r="F1329" s="435"/>
    </row>
    <row r="1330" spans="6:6" x14ac:dyDescent="0.35">
      <c r="F1330" s="435"/>
    </row>
    <row r="1331" spans="6:6" x14ac:dyDescent="0.35">
      <c r="F1331" s="435"/>
    </row>
    <row r="1332" spans="6:6" x14ac:dyDescent="0.35">
      <c r="F1332" s="435"/>
    </row>
    <row r="1333" spans="6:6" x14ac:dyDescent="0.35">
      <c r="F1333" s="435"/>
    </row>
    <row r="1334" spans="6:6" x14ac:dyDescent="0.35">
      <c r="F1334" s="435"/>
    </row>
    <row r="1335" spans="6:6" x14ac:dyDescent="0.35">
      <c r="F1335" s="435"/>
    </row>
    <row r="1336" spans="6:6" x14ac:dyDescent="0.35">
      <c r="F1336" s="435"/>
    </row>
    <row r="1337" spans="6:6" x14ac:dyDescent="0.35">
      <c r="F1337" s="435"/>
    </row>
    <row r="1338" spans="6:6" x14ac:dyDescent="0.35">
      <c r="F1338" s="435"/>
    </row>
    <row r="1339" spans="6:6" x14ac:dyDescent="0.35">
      <c r="F1339" s="435"/>
    </row>
    <row r="1340" spans="6:6" x14ac:dyDescent="0.35">
      <c r="F1340" s="435"/>
    </row>
    <row r="1341" spans="6:6" x14ac:dyDescent="0.35">
      <c r="F1341" s="435"/>
    </row>
    <row r="1342" spans="6:6" x14ac:dyDescent="0.35">
      <c r="F1342" s="435"/>
    </row>
    <row r="1343" spans="6:6" x14ac:dyDescent="0.35">
      <c r="F1343" s="435"/>
    </row>
    <row r="1344" spans="6:6" x14ac:dyDescent="0.35">
      <c r="F1344" s="435"/>
    </row>
    <row r="1345" spans="6:6" x14ac:dyDescent="0.35">
      <c r="F1345" s="435"/>
    </row>
    <row r="1346" spans="6:6" x14ac:dyDescent="0.35">
      <c r="F1346" s="435"/>
    </row>
    <row r="1347" spans="6:6" x14ac:dyDescent="0.35">
      <c r="F1347" s="435"/>
    </row>
    <row r="1348" spans="6:6" x14ac:dyDescent="0.35">
      <c r="F1348" s="435"/>
    </row>
    <row r="1349" spans="6:6" x14ac:dyDescent="0.35">
      <c r="F1349" s="435"/>
    </row>
    <row r="1350" spans="6:6" x14ac:dyDescent="0.35">
      <c r="F1350" s="435"/>
    </row>
    <row r="1351" spans="6:6" x14ac:dyDescent="0.35">
      <c r="F1351" s="435"/>
    </row>
    <row r="1352" spans="6:6" x14ac:dyDescent="0.35">
      <c r="F1352" s="435"/>
    </row>
    <row r="1353" spans="6:6" x14ac:dyDescent="0.35">
      <c r="F1353" s="435"/>
    </row>
    <row r="1354" spans="6:6" x14ac:dyDescent="0.35">
      <c r="F1354" s="435"/>
    </row>
    <row r="1355" spans="6:6" x14ac:dyDescent="0.35">
      <c r="F1355" s="435"/>
    </row>
    <row r="1356" spans="6:6" x14ac:dyDescent="0.35">
      <c r="F1356" s="435"/>
    </row>
    <row r="1357" spans="6:6" x14ac:dyDescent="0.35">
      <c r="F1357" s="435"/>
    </row>
    <row r="1358" spans="6:6" x14ac:dyDescent="0.35">
      <c r="F1358" s="435"/>
    </row>
    <row r="1359" spans="6:6" x14ac:dyDescent="0.35">
      <c r="F1359" s="435"/>
    </row>
    <row r="1360" spans="6:6" x14ac:dyDescent="0.35">
      <c r="F1360" s="435"/>
    </row>
    <row r="1361" spans="6:6" x14ac:dyDescent="0.35">
      <c r="F1361" s="435"/>
    </row>
    <row r="1362" spans="6:6" x14ac:dyDescent="0.35">
      <c r="F1362" s="435"/>
    </row>
    <row r="1363" spans="6:6" x14ac:dyDescent="0.35">
      <c r="F1363" s="435"/>
    </row>
    <row r="1364" spans="6:6" x14ac:dyDescent="0.35">
      <c r="F1364" s="435"/>
    </row>
    <row r="1365" spans="6:6" x14ac:dyDescent="0.35">
      <c r="F1365" s="435"/>
    </row>
    <row r="1366" spans="6:6" x14ac:dyDescent="0.35">
      <c r="F1366" s="435"/>
    </row>
    <row r="1367" spans="6:6" x14ac:dyDescent="0.35">
      <c r="F1367" s="435"/>
    </row>
    <row r="1368" spans="6:6" x14ac:dyDescent="0.35">
      <c r="F1368" s="435"/>
    </row>
    <row r="1369" spans="6:6" x14ac:dyDescent="0.35">
      <c r="F1369" s="435"/>
    </row>
    <row r="1370" spans="6:6" x14ac:dyDescent="0.35">
      <c r="F1370" s="435"/>
    </row>
    <row r="1371" spans="6:6" x14ac:dyDescent="0.35">
      <c r="F1371" s="435"/>
    </row>
    <row r="1372" spans="6:6" x14ac:dyDescent="0.35">
      <c r="F1372" s="435"/>
    </row>
    <row r="1373" spans="6:6" x14ac:dyDescent="0.35">
      <c r="F1373" s="435"/>
    </row>
    <row r="1374" spans="6:6" x14ac:dyDescent="0.35">
      <c r="F1374" s="435"/>
    </row>
    <row r="1375" spans="6:6" x14ac:dyDescent="0.35">
      <c r="F1375" s="435"/>
    </row>
    <row r="1376" spans="6:6" x14ac:dyDescent="0.35">
      <c r="F1376" s="435"/>
    </row>
    <row r="1377" spans="6:6" x14ac:dyDescent="0.35">
      <c r="F1377" s="435"/>
    </row>
    <row r="1378" spans="6:6" x14ac:dyDescent="0.35">
      <c r="F1378" s="435"/>
    </row>
    <row r="1379" spans="6:6" x14ac:dyDescent="0.35">
      <c r="F1379" s="435"/>
    </row>
    <row r="1380" spans="6:6" x14ac:dyDescent="0.35">
      <c r="F1380" s="435"/>
    </row>
    <row r="1381" spans="6:6" x14ac:dyDescent="0.35">
      <c r="F1381" s="435"/>
    </row>
    <row r="1382" spans="6:6" x14ac:dyDescent="0.35">
      <c r="F1382" s="435"/>
    </row>
    <row r="1383" spans="6:6" x14ac:dyDescent="0.35">
      <c r="F1383" s="435"/>
    </row>
    <row r="1384" spans="6:6" x14ac:dyDescent="0.35">
      <c r="F1384" s="435"/>
    </row>
    <row r="1385" spans="6:6" x14ac:dyDescent="0.35">
      <c r="F1385" s="435"/>
    </row>
    <row r="1386" spans="6:6" x14ac:dyDescent="0.35">
      <c r="F1386" s="435"/>
    </row>
    <row r="1387" spans="6:6" x14ac:dyDescent="0.35">
      <c r="F1387" s="435"/>
    </row>
    <row r="1388" spans="6:6" x14ac:dyDescent="0.35">
      <c r="F1388" s="435"/>
    </row>
    <row r="1389" spans="6:6" x14ac:dyDescent="0.35">
      <c r="F1389" s="435"/>
    </row>
    <row r="1390" spans="6:6" x14ac:dyDescent="0.35">
      <c r="F1390" s="435"/>
    </row>
    <row r="1391" spans="6:6" x14ac:dyDescent="0.35">
      <c r="F1391" s="435"/>
    </row>
    <row r="1392" spans="6:6" x14ac:dyDescent="0.35">
      <c r="F1392" s="435"/>
    </row>
    <row r="1393" spans="6:6" x14ac:dyDescent="0.35">
      <c r="F1393" s="435"/>
    </row>
    <row r="1394" spans="6:6" x14ac:dyDescent="0.35">
      <c r="F1394" s="435"/>
    </row>
    <row r="1395" spans="6:6" x14ac:dyDescent="0.35">
      <c r="F1395" s="435"/>
    </row>
    <row r="1396" spans="6:6" x14ac:dyDescent="0.35">
      <c r="F1396" s="435"/>
    </row>
    <row r="1397" spans="6:6" x14ac:dyDescent="0.35">
      <c r="F1397" s="435"/>
    </row>
    <row r="1398" spans="6:6" x14ac:dyDescent="0.35">
      <c r="F1398" s="435"/>
    </row>
    <row r="1399" spans="6:6" x14ac:dyDescent="0.35">
      <c r="F1399" s="435"/>
    </row>
    <row r="1400" spans="6:6" x14ac:dyDescent="0.35">
      <c r="F1400" s="435"/>
    </row>
    <row r="1401" spans="6:6" x14ac:dyDescent="0.35">
      <c r="F1401" s="435"/>
    </row>
    <row r="1402" spans="6:6" x14ac:dyDescent="0.35">
      <c r="F1402" s="435"/>
    </row>
    <row r="1403" spans="6:6" x14ac:dyDescent="0.35">
      <c r="F1403" s="435"/>
    </row>
    <row r="1404" spans="6:6" x14ac:dyDescent="0.35">
      <c r="F1404" s="435"/>
    </row>
    <row r="1405" spans="6:6" x14ac:dyDescent="0.35">
      <c r="F1405" s="435"/>
    </row>
    <row r="1406" spans="6:6" x14ac:dyDescent="0.35">
      <c r="F1406" s="435"/>
    </row>
    <row r="1407" spans="6:6" x14ac:dyDescent="0.35">
      <c r="F1407" s="435"/>
    </row>
    <row r="1408" spans="6:6" x14ac:dyDescent="0.35">
      <c r="F1408" s="435"/>
    </row>
    <row r="1409" spans="6:6" x14ac:dyDescent="0.35">
      <c r="F1409" s="435"/>
    </row>
    <row r="1410" spans="6:6" x14ac:dyDescent="0.35">
      <c r="F1410" s="435"/>
    </row>
    <row r="1411" spans="6:6" x14ac:dyDescent="0.35">
      <c r="F1411" s="435"/>
    </row>
    <row r="1412" spans="6:6" x14ac:dyDescent="0.35">
      <c r="F1412" s="435"/>
    </row>
    <row r="1413" spans="6:6" x14ac:dyDescent="0.35">
      <c r="F1413" s="435"/>
    </row>
    <row r="1414" spans="6:6" x14ac:dyDescent="0.35">
      <c r="F1414" s="435"/>
    </row>
    <row r="1415" spans="6:6" x14ac:dyDescent="0.35">
      <c r="F1415" s="435"/>
    </row>
    <row r="1416" spans="6:6" x14ac:dyDescent="0.35">
      <c r="F1416" s="435"/>
    </row>
    <row r="1417" spans="6:6" x14ac:dyDescent="0.35">
      <c r="F1417" s="435"/>
    </row>
    <row r="1418" spans="6:6" x14ac:dyDescent="0.35">
      <c r="F1418" s="435"/>
    </row>
    <row r="1419" spans="6:6" x14ac:dyDescent="0.35">
      <c r="F1419" s="435"/>
    </row>
    <row r="1420" spans="6:6" x14ac:dyDescent="0.35">
      <c r="F1420" s="435"/>
    </row>
    <row r="1421" spans="6:6" x14ac:dyDescent="0.35">
      <c r="F1421" s="435"/>
    </row>
    <row r="1422" spans="6:6" x14ac:dyDescent="0.35">
      <c r="F1422" s="435"/>
    </row>
    <row r="1423" spans="6:6" x14ac:dyDescent="0.35">
      <c r="F1423" s="435"/>
    </row>
    <row r="1424" spans="6:6" x14ac:dyDescent="0.35">
      <c r="F1424" s="435"/>
    </row>
    <row r="1425" spans="6:6" x14ac:dyDescent="0.35">
      <c r="F1425" s="435"/>
    </row>
    <row r="1426" spans="6:6" x14ac:dyDescent="0.35">
      <c r="F1426" s="435"/>
    </row>
    <row r="1427" spans="6:6" x14ac:dyDescent="0.35">
      <c r="F1427" s="435"/>
    </row>
    <row r="1428" spans="6:6" x14ac:dyDescent="0.35">
      <c r="F1428" s="435"/>
    </row>
    <row r="1429" spans="6:6" x14ac:dyDescent="0.35">
      <c r="F1429" s="435"/>
    </row>
    <row r="1430" spans="6:6" x14ac:dyDescent="0.35">
      <c r="F1430" s="435"/>
    </row>
    <row r="1431" spans="6:6" x14ac:dyDescent="0.35">
      <c r="F1431" s="435"/>
    </row>
    <row r="1432" spans="6:6" x14ac:dyDescent="0.35">
      <c r="F1432" s="435"/>
    </row>
    <row r="1433" spans="6:6" x14ac:dyDescent="0.35">
      <c r="F1433" s="435"/>
    </row>
    <row r="1434" spans="6:6" x14ac:dyDescent="0.35">
      <c r="F1434" s="435"/>
    </row>
    <row r="1435" spans="6:6" x14ac:dyDescent="0.35">
      <c r="F1435" s="435"/>
    </row>
    <row r="1436" spans="6:6" x14ac:dyDescent="0.35">
      <c r="F1436" s="435"/>
    </row>
    <row r="1437" spans="6:6" x14ac:dyDescent="0.35">
      <c r="F1437" s="435"/>
    </row>
    <row r="1438" spans="6:6" x14ac:dyDescent="0.35">
      <c r="F1438" s="435"/>
    </row>
    <row r="1439" spans="6:6" x14ac:dyDescent="0.35">
      <c r="F1439" s="435"/>
    </row>
    <row r="1440" spans="6:6" x14ac:dyDescent="0.35">
      <c r="F1440" s="435"/>
    </row>
    <row r="1441" spans="6:6" x14ac:dyDescent="0.35">
      <c r="F1441" s="435"/>
    </row>
    <row r="1442" spans="6:6" x14ac:dyDescent="0.35">
      <c r="F1442" s="435"/>
    </row>
    <row r="1443" spans="6:6" x14ac:dyDescent="0.35">
      <c r="F1443" s="435"/>
    </row>
    <row r="1444" spans="6:6" x14ac:dyDescent="0.35">
      <c r="F1444" s="435"/>
    </row>
    <row r="1445" spans="6:6" x14ac:dyDescent="0.35">
      <c r="F1445" s="435"/>
    </row>
    <row r="1446" spans="6:6" x14ac:dyDescent="0.35">
      <c r="F1446" s="435"/>
    </row>
    <row r="1447" spans="6:6" x14ac:dyDescent="0.35">
      <c r="F1447" s="435"/>
    </row>
    <row r="1448" spans="6:6" x14ac:dyDescent="0.35">
      <c r="F1448" s="435"/>
    </row>
    <row r="1449" spans="6:6" x14ac:dyDescent="0.35">
      <c r="F1449" s="435"/>
    </row>
    <row r="1450" spans="6:6" x14ac:dyDescent="0.35">
      <c r="F1450" s="435"/>
    </row>
    <row r="1451" spans="6:6" x14ac:dyDescent="0.35">
      <c r="F1451" s="435"/>
    </row>
    <row r="1452" spans="6:6" x14ac:dyDescent="0.35">
      <c r="F1452" s="435"/>
    </row>
    <row r="1453" spans="6:6" x14ac:dyDescent="0.35">
      <c r="F1453" s="435"/>
    </row>
    <row r="1454" spans="6:6" x14ac:dyDescent="0.35">
      <c r="F1454" s="435"/>
    </row>
    <row r="1455" spans="6:6" x14ac:dyDescent="0.35">
      <c r="F1455" s="435"/>
    </row>
    <row r="1456" spans="6:6" x14ac:dyDescent="0.35">
      <c r="F1456" s="435"/>
    </row>
    <row r="1457" spans="6:6" x14ac:dyDescent="0.35">
      <c r="F1457" s="435"/>
    </row>
    <row r="1458" spans="6:6" x14ac:dyDescent="0.35">
      <c r="F1458" s="435"/>
    </row>
    <row r="1459" spans="6:6" x14ac:dyDescent="0.35">
      <c r="F1459" s="435"/>
    </row>
    <row r="1460" spans="6:6" x14ac:dyDescent="0.35">
      <c r="F1460" s="435"/>
    </row>
    <row r="1461" spans="6:6" x14ac:dyDescent="0.35">
      <c r="F1461" s="435"/>
    </row>
    <row r="1462" spans="6:6" x14ac:dyDescent="0.35">
      <c r="F1462" s="435"/>
    </row>
    <row r="1463" spans="6:6" x14ac:dyDescent="0.35">
      <c r="F1463" s="435"/>
    </row>
    <row r="1464" spans="6:6" x14ac:dyDescent="0.35">
      <c r="F1464" s="435"/>
    </row>
    <row r="1465" spans="6:6" x14ac:dyDescent="0.35">
      <c r="F1465" s="435"/>
    </row>
    <row r="1466" spans="6:6" x14ac:dyDescent="0.35">
      <c r="F1466" s="435"/>
    </row>
    <row r="1467" spans="6:6" x14ac:dyDescent="0.35">
      <c r="F1467" s="435"/>
    </row>
    <row r="1468" spans="6:6" x14ac:dyDescent="0.35">
      <c r="F1468" s="435"/>
    </row>
    <row r="1469" spans="6:6" x14ac:dyDescent="0.35">
      <c r="F1469" s="435"/>
    </row>
    <row r="1470" spans="6:6" x14ac:dyDescent="0.35">
      <c r="F1470" s="435"/>
    </row>
    <row r="1471" spans="6:6" x14ac:dyDescent="0.35">
      <c r="F1471" s="435"/>
    </row>
    <row r="1472" spans="6:6" x14ac:dyDescent="0.35">
      <c r="F1472" s="435"/>
    </row>
    <row r="1473" spans="6:6" x14ac:dyDescent="0.35">
      <c r="F1473" s="435"/>
    </row>
    <row r="1474" spans="6:6" x14ac:dyDescent="0.35">
      <c r="F1474" s="435"/>
    </row>
    <row r="1475" spans="6:6" x14ac:dyDescent="0.35">
      <c r="F1475" s="435"/>
    </row>
    <row r="1476" spans="6:6" x14ac:dyDescent="0.35">
      <c r="F1476" s="435"/>
    </row>
    <row r="1477" spans="6:6" x14ac:dyDescent="0.35">
      <c r="F1477" s="435"/>
    </row>
    <row r="1478" spans="6:6" x14ac:dyDescent="0.35">
      <c r="F1478" s="435"/>
    </row>
    <row r="1479" spans="6:6" x14ac:dyDescent="0.35">
      <c r="F1479" s="435"/>
    </row>
    <row r="1480" spans="6:6" x14ac:dyDescent="0.35">
      <c r="F1480" s="435"/>
    </row>
    <row r="1481" spans="6:6" x14ac:dyDescent="0.35">
      <c r="F1481" s="435"/>
    </row>
    <row r="1482" spans="6:6" x14ac:dyDescent="0.35">
      <c r="F1482" s="435"/>
    </row>
    <row r="1483" spans="6:6" x14ac:dyDescent="0.35">
      <c r="F1483" s="435"/>
    </row>
    <row r="1484" spans="6:6" x14ac:dyDescent="0.35">
      <c r="F1484" s="435"/>
    </row>
    <row r="1485" spans="6:6" x14ac:dyDescent="0.35">
      <c r="F1485" s="435"/>
    </row>
    <row r="1486" spans="6:6" x14ac:dyDescent="0.35">
      <c r="F1486" s="435"/>
    </row>
    <row r="1487" spans="6:6" x14ac:dyDescent="0.35">
      <c r="F1487" s="435"/>
    </row>
    <row r="1488" spans="6:6" x14ac:dyDescent="0.35">
      <c r="F1488" s="435"/>
    </row>
    <row r="1489" spans="6:6" x14ac:dyDescent="0.35">
      <c r="F1489" s="435"/>
    </row>
    <row r="1490" spans="6:6" x14ac:dyDescent="0.35">
      <c r="F1490" s="435"/>
    </row>
    <row r="1491" spans="6:6" x14ac:dyDescent="0.35">
      <c r="F1491" s="435"/>
    </row>
    <row r="1492" spans="6:6" x14ac:dyDescent="0.35">
      <c r="F1492" s="435"/>
    </row>
    <row r="1493" spans="6:6" x14ac:dyDescent="0.35">
      <c r="F1493" s="435"/>
    </row>
    <row r="1494" spans="6:6" x14ac:dyDescent="0.35">
      <c r="F1494" s="435"/>
    </row>
    <row r="1495" spans="6:6" x14ac:dyDescent="0.35">
      <c r="F1495" s="435"/>
    </row>
    <row r="1496" spans="6:6" x14ac:dyDescent="0.35">
      <c r="F1496" s="435"/>
    </row>
    <row r="1497" spans="6:6" x14ac:dyDescent="0.35">
      <c r="F1497" s="435"/>
    </row>
    <row r="1498" spans="6:6" x14ac:dyDescent="0.35">
      <c r="F1498" s="435"/>
    </row>
    <row r="1499" spans="6:6" x14ac:dyDescent="0.35">
      <c r="F1499" s="435"/>
    </row>
    <row r="1500" spans="6:6" x14ac:dyDescent="0.35">
      <c r="F1500" s="435"/>
    </row>
    <row r="1501" spans="6:6" x14ac:dyDescent="0.35">
      <c r="F1501" s="435"/>
    </row>
    <row r="1502" spans="6:6" x14ac:dyDescent="0.35">
      <c r="F1502" s="435"/>
    </row>
    <row r="1503" spans="6:6" x14ac:dyDescent="0.35">
      <c r="F1503" s="435"/>
    </row>
    <row r="1504" spans="6:6" x14ac:dyDescent="0.35">
      <c r="F1504" s="435"/>
    </row>
    <row r="1505" spans="6:6" x14ac:dyDescent="0.35">
      <c r="F1505" s="435"/>
    </row>
    <row r="1506" spans="6:6" x14ac:dyDescent="0.35">
      <c r="F1506" s="435"/>
    </row>
    <row r="1507" spans="6:6" x14ac:dyDescent="0.35">
      <c r="F1507" s="435"/>
    </row>
    <row r="1508" spans="6:6" x14ac:dyDescent="0.35">
      <c r="F1508" s="435"/>
    </row>
    <row r="1509" spans="6:6" x14ac:dyDescent="0.35">
      <c r="F1509" s="435"/>
    </row>
    <row r="1510" spans="6:6" x14ac:dyDescent="0.35">
      <c r="F1510" s="435"/>
    </row>
    <row r="1511" spans="6:6" x14ac:dyDescent="0.35">
      <c r="F1511" s="435"/>
    </row>
    <row r="1512" spans="6:6" x14ac:dyDescent="0.35">
      <c r="F1512" s="435"/>
    </row>
    <row r="1513" spans="6:6" x14ac:dyDescent="0.35">
      <c r="F1513" s="435"/>
    </row>
    <row r="1514" spans="6:6" x14ac:dyDescent="0.35">
      <c r="F1514" s="435"/>
    </row>
    <row r="1515" spans="6:6" x14ac:dyDescent="0.35">
      <c r="F1515" s="435"/>
    </row>
    <row r="1516" spans="6:6" x14ac:dyDescent="0.35">
      <c r="F1516" s="435"/>
    </row>
    <row r="1517" spans="6:6" x14ac:dyDescent="0.35">
      <c r="F1517" s="435"/>
    </row>
    <row r="1518" spans="6:6" x14ac:dyDescent="0.35">
      <c r="F1518" s="435"/>
    </row>
    <row r="1519" spans="6:6" x14ac:dyDescent="0.35">
      <c r="F1519" s="435"/>
    </row>
    <row r="1520" spans="6:6" x14ac:dyDescent="0.35">
      <c r="F1520" s="435"/>
    </row>
    <row r="1521" spans="6:6" x14ac:dyDescent="0.35">
      <c r="F1521" s="435"/>
    </row>
    <row r="1522" spans="6:6" x14ac:dyDescent="0.35">
      <c r="F1522" s="435"/>
    </row>
    <row r="1523" spans="6:6" x14ac:dyDescent="0.35">
      <c r="F1523" s="435"/>
    </row>
    <row r="1524" spans="6:6" x14ac:dyDescent="0.35">
      <c r="F1524" s="435"/>
    </row>
    <row r="1525" spans="6:6" x14ac:dyDescent="0.35">
      <c r="F1525" s="435"/>
    </row>
    <row r="1526" spans="6:6" x14ac:dyDescent="0.35">
      <c r="F1526" s="435"/>
    </row>
    <row r="1527" spans="6:6" x14ac:dyDescent="0.35">
      <c r="F1527" s="435"/>
    </row>
    <row r="1528" spans="6:6" x14ac:dyDescent="0.35">
      <c r="F1528" s="435"/>
    </row>
    <row r="1529" spans="6:6" x14ac:dyDescent="0.35">
      <c r="F1529" s="435"/>
    </row>
    <row r="1530" spans="6:6" x14ac:dyDescent="0.35">
      <c r="F1530" s="435"/>
    </row>
    <row r="1531" spans="6:6" x14ac:dyDescent="0.35">
      <c r="F1531" s="435"/>
    </row>
    <row r="1532" spans="6:6" x14ac:dyDescent="0.35">
      <c r="F1532" s="435"/>
    </row>
    <row r="1533" spans="6:6" x14ac:dyDescent="0.35">
      <c r="F1533" s="435"/>
    </row>
    <row r="1534" spans="6:6" x14ac:dyDescent="0.35">
      <c r="F1534" s="435"/>
    </row>
    <row r="1535" spans="6:6" x14ac:dyDescent="0.35">
      <c r="F1535" s="435"/>
    </row>
    <row r="1536" spans="6:6" x14ac:dyDescent="0.35">
      <c r="F1536" s="435"/>
    </row>
    <row r="1537" spans="6:6" x14ac:dyDescent="0.35">
      <c r="F1537" s="435"/>
    </row>
    <row r="1538" spans="6:6" x14ac:dyDescent="0.35">
      <c r="F1538" s="435"/>
    </row>
    <row r="1539" spans="6:6" x14ac:dyDescent="0.35">
      <c r="F1539" s="435"/>
    </row>
    <row r="1540" spans="6:6" x14ac:dyDescent="0.35">
      <c r="F1540" s="435"/>
    </row>
    <row r="1541" spans="6:6" x14ac:dyDescent="0.35">
      <c r="F1541" s="435"/>
    </row>
    <row r="1542" spans="6:6" x14ac:dyDescent="0.35">
      <c r="F1542" s="435"/>
    </row>
    <row r="1543" spans="6:6" x14ac:dyDescent="0.35">
      <c r="F1543" s="435"/>
    </row>
    <row r="1544" spans="6:6" x14ac:dyDescent="0.35">
      <c r="F1544" s="435"/>
    </row>
    <row r="1545" spans="6:6" x14ac:dyDescent="0.35">
      <c r="F1545" s="435"/>
    </row>
    <row r="1546" spans="6:6" x14ac:dyDescent="0.35">
      <c r="F1546" s="435"/>
    </row>
    <row r="1547" spans="6:6" x14ac:dyDescent="0.35">
      <c r="F1547" s="435"/>
    </row>
    <row r="1548" spans="6:6" x14ac:dyDescent="0.35">
      <c r="F1548" s="435"/>
    </row>
    <row r="1549" spans="6:6" x14ac:dyDescent="0.35">
      <c r="F1549" s="435"/>
    </row>
    <row r="1550" spans="6:6" x14ac:dyDescent="0.35">
      <c r="F1550" s="435"/>
    </row>
    <row r="1551" spans="6:6" x14ac:dyDescent="0.35">
      <c r="F1551" s="435"/>
    </row>
    <row r="1552" spans="6:6" x14ac:dyDescent="0.35">
      <c r="F1552" s="435"/>
    </row>
    <row r="1553" spans="6:6" x14ac:dyDescent="0.35">
      <c r="F1553" s="435"/>
    </row>
    <row r="1554" spans="6:6" x14ac:dyDescent="0.35">
      <c r="F1554" s="435"/>
    </row>
    <row r="1555" spans="6:6" x14ac:dyDescent="0.35">
      <c r="F1555" s="435"/>
    </row>
    <row r="1556" spans="6:6" x14ac:dyDescent="0.35">
      <c r="F1556" s="435"/>
    </row>
    <row r="1557" spans="6:6" x14ac:dyDescent="0.35">
      <c r="F1557" s="435"/>
    </row>
    <row r="1558" spans="6:6" x14ac:dyDescent="0.35">
      <c r="F1558" s="435"/>
    </row>
    <row r="1559" spans="6:6" x14ac:dyDescent="0.35">
      <c r="F1559" s="435"/>
    </row>
    <row r="1560" spans="6:6" x14ac:dyDescent="0.35">
      <c r="F1560" s="435"/>
    </row>
    <row r="1561" spans="6:6" x14ac:dyDescent="0.35">
      <c r="F1561" s="435"/>
    </row>
    <row r="1562" spans="6:6" x14ac:dyDescent="0.35">
      <c r="F1562" s="435"/>
    </row>
    <row r="1563" spans="6:6" x14ac:dyDescent="0.35">
      <c r="F1563" s="435"/>
    </row>
    <row r="1564" spans="6:6" x14ac:dyDescent="0.35">
      <c r="F1564" s="435"/>
    </row>
    <row r="1565" spans="6:6" x14ac:dyDescent="0.35">
      <c r="F1565" s="435"/>
    </row>
    <row r="1566" spans="6:6" x14ac:dyDescent="0.35">
      <c r="F1566" s="435"/>
    </row>
    <row r="1567" spans="6:6" x14ac:dyDescent="0.35">
      <c r="F1567" s="435"/>
    </row>
    <row r="1568" spans="6:6" x14ac:dyDescent="0.35">
      <c r="F1568" s="435"/>
    </row>
    <row r="1569" spans="6:6" x14ac:dyDescent="0.35">
      <c r="F1569" s="435"/>
    </row>
    <row r="1570" spans="6:6" x14ac:dyDescent="0.35">
      <c r="F1570" s="435"/>
    </row>
    <row r="1571" spans="6:6" x14ac:dyDescent="0.35">
      <c r="F1571" s="435"/>
    </row>
    <row r="1572" spans="6:6" x14ac:dyDescent="0.35">
      <c r="F1572" s="435"/>
    </row>
    <row r="1573" spans="6:6" x14ac:dyDescent="0.35">
      <c r="F1573" s="435"/>
    </row>
    <row r="1574" spans="6:6" x14ac:dyDescent="0.35">
      <c r="F1574" s="435"/>
    </row>
    <row r="1575" spans="6:6" x14ac:dyDescent="0.35">
      <c r="F1575" s="435"/>
    </row>
    <row r="1576" spans="6:6" x14ac:dyDescent="0.35">
      <c r="F1576" s="435"/>
    </row>
    <row r="1577" spans="6:6" x14ac:dyDescent="0.35">
      <c r="F1577" s="435"/>
    </row>
    <row r="1578" spans="6:6" x14ac:dyDescent="0.35">
      <c r="F1578" s="435"/>
    </row>
    <row r="1579" spans="6:6" x14ac:dyDescent="0.35">
      <c r="F1579" s="435"/>
    </row>
    <row r="1580" spans="6:6" x14ac:dyDescent="0.35">
      <c r="F1580" s="435"/>
    </row>
    <row r="1581" spans="6:6" x14ac:dyDescent="0.35">
      <c r="F1581" s="435"/>
    </row>
    <row r="1582" spans="6:6" x14ac:dyDescent="0.35">
      <c r="F1582" s="435"/>
    </row>
    <row r="1583" spans="6:6" x14ac:dyDescent="0.35">
      <c r="F1583" s="435"/>
    </row>
    <row r="1584" spans="6:6" x14ac:dyDescent="0.35">
      <c r="F1584" s="435"/>
    </row>
    <row r="1585" spans="6:6" x14ac:dyDescent="0.35">
      <c r="F1585" s="435"/>
    </row>
    <row r="1586" spans="6:6" x14ac:dyDescent="0.35">
      <c r="F1586" s="435"/>
    </row>
    <row r="1587" spans="6:6" x14ac:dyDescent="0.35">
      <c r="F1587" s="435"/>
    </row>
    <row r="1588" spans="6:6" x14ac:dyDescent="0.35">
      <c r="F1588" s="435"/>
    </row>
    <row r="1589" spans="6:6" x14ac:dyDescent="0.35">
      <c r="F1589" s="435"/>
    </row>
    <row r="1590" spans="6:6" x14ac:dyDescent="0.35">
      <c r="F1590" s="435"/>
    </row>
    <row r="1591" spans="6:6" x14ac:dyDescent="0.35">
      <c r="F1591" s="435"/>
    </row>
    <row r="1592" spans="6:6" x14ac:dyDescent="0.35">
      <c r="F1592" s="435"/>
    </row>
    <row r="1593" spans="6:6" x14ac:dyDescent="0.35">
      <c r="F1593" s="435"/>
    </row>
    <row r="1594" spans="6:6" x14ac:dyDescent="0.35">
      <c r="F1594" s="435"/>
    </row>
    <row r="1595" spans="6:6" x14ac:dyDescent="0.35">
      <c r="F1595" s="435"/>
    </row>
    <row r="1596" spans="6:6" x14ac:dyDescent="0.35">
      <c r="F1596" s="435"/>
    </row>
    <row r="1597" spans="6:6" x14ac:dyDescent="0.35">
      <c r="F1597" s="435"/>
    </row>
    <row r="1598" spans="6:6" x14ac:dyDescent="0.35">
      <c r="F1598" s="435"/>
    </row>
    <row r="1599" spans="6:6" x14ac:dyDescent="0.35">
      <c r="F1599" s="435"/>
    </row>
    <row r="1600" spans="6:6" x14ac:dyDescent="0.35">
      <c r="F1600" s="435"/>
    </row>
    <row r="1601" spans="6:6" x14ac:dyDescent="0.35">
      <c r="F1601" s="435"/>
    </row>
    <row r="1602" spans="6:6" x14ac:dyDescent="0.35">
      <c r="F1602" s="435"/>
    </row>
    <row r="1603" spans="6:6" x14ac:dyDescent="0.35">
      <c r="F1603" s="435"/>
    </row>
    <row r="1604" spans="6:6" x14ac:dyDescent="0.35">
      <c r="F1604" s="435"/>
    </row>
    <row r="1605" spans="6:6" x14ac:dyDescent="0.35">
      <c r="F1605" s="435"/>
    </row>
    <row r="1606" spans="6:6" x14ac:dyDescent="0.35">
      <c r="F1606" s="435"/>
    </row>
    <row r="1607" spans="6:6" x14ac:dyDescent="0.35">
      <c r="F1607" s="435"/>
    </row>
    <row r="1608" spans="6:6" x14ac:dyDescent="0.35">
      <c r="F1608" s="435"/>
    </row>
    <row r="1609" spans="6:6" x14ac:dyDescent="0.35">
      <c r="F1609" s="435"/>
    </row>
    <row r="1610" spans="6:6" x14ac:dyDescent="0.35">
      <c r="F1610" s="435"/>
    </row>
    <row r="1611" spans="6:6" x14ac:dyDescent="0.35">
      <c r="F1611" s="435"/>
    </row>
    <row r="1612" spans="6:6" x14ac:dyDescent="0.35">
      <c r="F1612" s="435"/>
    </row>
    <row r="1613" spans="6:6" x14ac:dyDescent="0.35">
      <c r="F1613" s="435"/>
    </row>
    <row r="1614" spans="6:6" x14ac:dyDescent="0.35">
      <c r="F1614" s="435"/>
    </row>
    <row r="1615" spans="6:6" x14ac:dyDescent="0.35">
      <c r="F1615" s="435"/>
    </row>
    <row r="1616" spans="6:6" x14ac:dyDescent="0.35">
      <c r="F1616" s="435"/>
    </row>
    <row r="1617" spans="6:6" x14ac:dyDescent="0.35">
      <c r="F1617" s="435"/>
    </row>
    <row r="1618" spans="6:6" x14ac:dyDescent="0.35">
      <c r="F1618" s="435"/>
    </row>
    <row r="1619" spans="6:6" x14ac:dyDescent="0.35">
      <c r="F1619" s="435"/>
    </row>
    <row r="1620" spans="6:6" x14ac:dyDescent="0.35">
      <c r="F1620" s="435"/>
    </row>
    <row r="1621" spans="6:6" x14ac:dyDescent="0.35">
      <c r="F1621" s="435"/>
    </row>
    <row r="1622" spans="6:6" x14ac:dyDescent="0.35">
      <c r="F1622" s="435"/>
    </row>
    <row r="1623" spans="6:6" x14ac:dyDescent="0.35">
      <c r="F1623" s="435"/>
    </row>
    <row r="1624" spans="6:6" x14ac:dyDescent="0.35">
      <c r="F1624" s="435"/>
    </row>
    <row r="1625" spans="6:6" x14ac:dyDescent="0.35">
      <c r="F1625" s="435"/>
    </row>
    <row r="1626" spans="6:6" x14ac:dyDescent="0.35">
      <c r="F1626" s="435"/>
    </row>
    <row r="1627" spans="6:6" x14ac:dyDescent="0.35">
      <c r="F1627" s="435"/>
    </row>
    <row r="1628" spans="6:6" x14ac:dyDescent="0.35">
      <c r="F1628" s="435"/>
    </row>
    <row r="1629" spans="6:6" x14ac:dyDescent="0.35">
      <c r="F1629" s="435"/>
    </row>
    <row r="1630" spans="6:6" x14ac:dyDescent="0.35">
      <c r="F1630" s="435"/>
    </row>
    <row r="1631" spans="6:6" x14ac:dyDescent="0.35">
      <c r="F1631" s="435"/>
    </row>
    <row r="1632" spans="6:6" x14ac:dyDescent="0.35">
      <c r="F1632" s="435"/>
    </row>
    <row r="1633" spans="6:6" x14ac:dyDescent="0.35">
      <c r="F1633" s="435"/>
    </row>
    <row r="1634" spans="6:6" x14ac:dyDescent="0.35">
      <c r="F1634" s="435"/>
    </row>
    <row r="1635" spans="6:6" x14ac:dyDescent="0.35">
      <c r="F1635" s="435"/>
    </row>
    <row r="1636" spans="6:6" x14ac:dyDescent="0.35">
      <c r="F1636" s="435"/>
    </row>
    <row r="1637" spans="6:6" x14ac:dyDescent="0.35">
      <c r="F1637" s="435"/>
    </row>
    <row r="1638" spans="6:6" x14ac:dyDescent="0.35">
      <c r="F1638" s="435"/>
    </row>
    <row r="1639" spans="6:6" x14ac:dyDescent="0.35">
      <c r="F1639" s="435"/>
    </row>
    <row r="1640" spans="6:6" x14ac:dyDescent="0.35">
      <c r="F1640" s="435"/>
    </row>
    <row r="1641" spans="6:6" x14ac:dyDescent="0.35">
      <c r="F1641" s="435"/>
    </row>
    <row r="1642" spans="6:6" x14ac:dyDescent="0.35">
      <c r="F1642" s="435"/>
    </row>
    <row r="1643" spans="6:6" x14ac:dyDescent="0.35">
      <c r="F1643" s="435"/>
    </row>
    <row r="1644" spans="6:6" x14ac:dyDescent="0.35">
      <c r="F1644" s="435"/>
    </row>
    <row r="1645" spans="6:6" x14ac:dyDescent="0.35">
      <c r="F1645" s="435"/>
    </row>
    <row r="1646" spans="6:6" x14ac:dyDescent="0.35">
      <c r="F1646" s="435"/>
    </row>
    <row r="1647" spans="6:6" x14ac:dyDescent="0.35">
      <c r="F1647" s="435"/>
    </row>
    <row r="1648" spans="6:6" x14ac:dyDescent="0.35">
      <c r="F1648" s="435"/>
    </row>
    <row r="1649" spans="6:6" x14ac:dyDescent="0.35">
      <c r="F1649" s="435"/>
    </row>
    <row r="1650" spans="6:6" x14ac:dyDescent="0.35">
      <c r="F1650" s="435"/>
    </row>
    <row r="1651" spans="6:6" x14ac:dyDescent="0.35">
      <c r="F1651" s="435"/>
    </row>
    <row r="1652" spans="6:6" x14ac:dyDescent="0.35">
      <c r="F1652" s="435"/>
    </row>
    <row r="1653" spans="6:6" x14ac:dyDescent="0.35">
      <c r="F1653" s="435"/>
    </row>
    <row r="1654" spans="6:6" x14ac:dyDescent="0.35">
      <c r="F1654" s="435"/>
    </row>
    <row r="1655" spans="6:6" x14ac:dyDescent="0.35">
      <c r="F1655" s="435"/>
    </row>
    <row r="1656" spans="6:6" x14ac:dyDescent="0.35">
      <c r="F1656" s="435"/>
    </row>
    <row r="1657" spans="6:6" x14ac:dyDescent="0.35">
      <c r="F1657" s="435"/>
    </row>
    <row r="1658" spans="6:6" x14ac:dyDescent="0.35">
      <c r="F1658" s="435"/>
    </row>
    <row r="1659" spans="6:6" x14ac:dyDescent="0.35">
      <c r="F1659" s="435"/>
    </row>
    <row r="1660" spans="6:6" x14ac:dyDescent="0.35">
      <c r="F1660" s="435"/>
    </row>
    <row r="1661" spans="6:6" x14ac:dyDescent="0.35">
      <c r="F1661" s="435"/>
    </row>
    <row r="1662" spans="6:6" x14ac:dyDescent="0.35">
      <c r="F1662" s="435"/>
    </row>
    <row r="1663" spans="6:6" x14ac:dyDescent="0.35">
      <c r="F1663" s="435"/>
    </row>
    <row r="1664" spans="6:6" x14ac:dyDescent="0.35">
      <c r="F1664" s="435"/>
    </row>
    <row r="1665" spans="6:6" x14ac:dyDescent="0.35">
      <c r="F1665" s="435"/>
    </row>
    <row r="1666" spans="6:6" x14ac:dyDescent="0.35">
      <c r="F1666" s="435"/>
    </row>
    <row r="1667" spans="6:6" x14ac:dyDescent="0.35">
      <c r="F1667" s="435"/>
    </row>
    <row r="1668" spans="6:6" x14ac:dyDescent="0.35">
      <c r="F1668" s="435"/>
    </row>
    <row r="1669" spans="6:6" x14ac:dyDescent="0.35">
      <c r="F1669" s="435"/>
    </row>
    <row r="1670" spans="6:6" x14ac:dyDescent="0.35">
      <c r="F1670" s="435"/>
    </row>
    <row r="1671" spans="6:6" x14ac:dyDescent="0.35">
      <c r="F1671" s="435"/>
    </row>
    <row r="1672" spans="6:6" x14ac:dyDescent="0.35">
      <c r="F1672" s="435"/>
    </row>
    <row r="1673" spans="6:6" x14ac:dyDescent="0.35">
      <c r="F1673" s="435"/>
    </row>
    <row r="1674" spans="6:6" x14ac:dyDescent="0.35">
      <c r="F1674" s="435"/>
    </row>
    <row r="1675" spans="6:6" x14ac:dyDescent="0.35">
      <c r="F1675" s="435"/>
    </row>
    <row r="1676" spans="6:6" x14ac:dyDescent="0.35">
      <c r="F1676" s="435"/>
    </row>
    <row r="1677" spans="6:6" x14ac:dyDescent="0.35">
      <c r="F1677" s="435"/>
    </row>
    <row r="1678" spans="6:6" x14ac:dyDescent="0.35">
      <c r="F1678" s="435"/>
    </row>
    <row r="1679" spans="6:6" x14ac:dyDescent="0.35">
      <c r="F1679" s="435"/>
    </row>
    <row r="1680" spans="6:6" x14ac:dyDescent="0.35">
      <c r="F1680" s="435"/>
    </row>
    <row r="1681" spans="6:6" x14ac:dyDescent="0.35">
      <c r="F1681" s="435"/>
    </row>
    <row r="1682" spans="6:6" x14ac:dyDescent="0.35">
      <c r="F1682" s="435"/>
    </row>
    <row r="1683" spans="6:6" x14ac:dyDescent="0.35">
      <c r="F1683" s="435"/>
    </row>
    <row r="1684" spans="6:6" x14ac:dyDescent="0.35">
      <c r="F1684" s="435"/>
    </row>
    <row r="1685" spans="6:6" x14ac:dyDescent="0.35">
      <c r="F1685" s="435"/>
    </row>
    <row r="1686" spans="6:6" x14ac:dyDescent="0.35">
      <c r="F1686" s="435"/>
    </row>
    <row r="1687" spans="6:6" x14ac:dyDescent="0.35">
      <c r="F1687" s="435"/>
    </row>
    <row r="1688" spans="6:6" x14ac:dyDescent="0.35">
      <c r="F1688" s="435"/>
    </row>
    <row r="1689" spans="6:6" x14ac:dyDescent="0.35">
      <c r="F1689" s="435"/>
    </row>
    <row r="1690" spans="6:6" x14ac:dyDescent="0.35">
      <c r="F1690" s="435"/>
    </row>
    <row r="1691" spans="6:6" x14ac:dyDescent="0.35">
      <c r="F1691" s="435"/>
    </row>
    <row r="1692" spans="6:6" x14ac:dyDescent="0.35">
      <c r="F1692" s="435"/>
    </row>
    <row r="1693" spans="6:6" x14ac:dyDescent="0.35">
      <c r="F1693" s="435"/>
    </row>
    <row r="1694" spans="6:6" x14ac:dyDescent="0.35">
      <c r="F1694" s="435"/>
    </row>
    <row r="1695" spans="6:6" x14ac:dyDescent="0.35">
      <c r="F1695" s="435"/>
    </row>
    <row r="1696" spans="6:6" x14ac:dyDescent="0.35">
      <c r="F1696" s="435"/>
    </row>
    <row r="1697" spans="6:6" x14ac:dyDescent="0.35">
      <c r="F1697" s="435"/>
    </row>
    <row r="1698" spans="6:6" x14ac:dyDescent="0.35">
      <c r="F1698" s="435"/>
    </row>
    <row r="1699" spans="6:6" x14ac:dyDescent="0.35">
      <c r="F1699" s="435"/>
    </row>
    <row r="1700" spans="6:6" x14ac:dyDescent="0.35">
      <c r="F1700" s="435"/>
    </row>
    <row r="1701" spans="6:6" x14ac:dyDescent="0.35">
      <c r="F1701" s="435"/>
    </row>
    <row r="1702" spans="6:6" x14ac:dyDescent="0.35">
      <c r="F1702" s="435"/>
    </row>
    <row r="1703" spans="6:6" x14ac:dyDescent="0.35">
      <c r="F1703" s="435"/>
    </row>
    <row r="1704" spans="6:6" x14ac:dyDescent="0.35">
      <c r="F1704" s="435"/>
    </row>
    <row r="1705" spans="6:6" x14ac:dyDescent="0.35">
      <c r="F1705" s="435"/>
    </row>
    <row r="1706" spans="6:6" x14ac:dyDescent="0.35">
      <c r="F1706" s="435"/>
    </row>
    <row r="1707" spans="6:6" x14ac:dyDescent="0.35">
      <c r="F1707" s="435"/>
    </row>
    <row r="1708" spans="6:6" x14ac:dyDescent="0.35">
      <c r="F1708" s="435"/>
    </row>
    <row r="1709" spans="6:6" x14ac:dyDescent="0.35">
      <c r="F1709" s="435"/>
    </row>
    <row r="1710" spans="6:6" x14ac:dyDescent="0.35">
      <c r="F1710" s="435"/>
    </row>
    <row r="1711" spans="6:6" x14ac:dyDescent="0.35">
      <c r="F1711" s="435"/>
    </row>
    <row r="1712" spans="6:6" x14ac:dyDescent="0.35">
      <c r="F1712" s="435"/>
    </row>
    <row r="1713" spans="6:6" x14ac:dyDescent="0.35">
      <c r="F1713" s="435"/>
    </row>
    <row r="1714" spans="6:6" x14ac:dyDescent="0.35">
      <c r="F1714" s="435"/>
    </row>
    <row r="1715" spans="6:6" x14ac:dyDescent="0.35">
      <c r="F1715" s="435"/>
    </row>
    <row r="1716" spans="6:6" x14ac:dyDescent="0.35">
      <c r="F1716" s="435"/>
    </row>
    <row r="1717" spans="6:6" x14ac:dyDescent="0.35">
      <c r="F1717" s="435"/>
    </row>
    <row r="1718" spans="6:6" x14ac:dyDescent="0.35">
      <c r="F1718" s="435"/>
    </row>
    <row r="1719" spans="6:6" x14ac:dyDescent="0.35">
      <c r="F1719" s="435"/>
    </row>
    <row r="1720" spans="6:6" x14ac:dyDescent="0.35">
      <c r="F1720" s="435"/>
    </row>
    <row r="1721" spans="6:6" x14ac:dyDescent="0.35">
      <c r="F1721" s="435"/>
    </row>
    <row r="1722" spans="6:6" x14ac:dyDescent="0.35">
      <c r="F1722" s="435"/>
    </row>
    <row r="1723" spans="6:6" x14ac:dyDescent="0.35">
      <c r="F1723" s="435"/>
    </row>
    <row r="1724" spans="6:6" x14ac:dyDescent="0.35">
      <c r="F1724" s="435"/>
    </row>
    <row r="1725" spans="6:6" x14ac:dyDescent="0.35">
      <c r="F1725" s="435"/>
    </row>
    <row r="1726" spans="6:6" x14ac:dyDescent="0.35">
      <c r="F1726" s="435"/>
    </row>
    <row r="1727" spans="6:6" x14ac:dyDescent="0.35">
      <c r="F1727" s="435"/>
    </row>
    <row r="1728" spans="6:6" x14ac:dyDescent="0.35">
      <c r="F1728" s="435"/>
    </row>
    <row r="1729" spans="6:6" x14ac:dyDescent="0.35">
      <c r="F1729" s="435"/>
    </row>
    <row r="1730" spans="6:6" x14ac:dyDescent="0.35">
      <c r="F1730" s="435"/>
    </row>
    <row r="1731" spans="6:6" x14ac:dyDescent="0.35">
      <c r="F1731" s="435"/>
    </row>
    <row r="1732" spans="6:6" x14ac:dyDescent="0.35">
      <c r="F1732" s="435"/>
    </row>
    <row r="1733" spans="6:6" x14ac:dyDescent="0.35">
      <c r="F1733" s="435"/>
    </row>
    <row r="1734" spans="6:6" x14ac:dyDescent="0.35">
      <c r="F1734" s="435"/>
    </row>
    <row r="1735" spans="6:6" x14ac:dyDescent="0.35">
      <c r="F1735" s="435"/>
    </row>
    <row r="1736" spans="6:6" x14ac:dyDescent="0.35">
      <c r="F1736" s="435"/>
    </row>
    <row r="1737" spans="6:6" x14ac:dyDescent="0.35">
      <c r="F1737" s="435"/>
    </row>
    <row r="1738" spans="6:6" x14ac:dyDescent="0.35">
      <c r="F1738" s="435"/>
    </row>
    <row r="1739" spans="6:6" x14ac:dyDescent="0.35">
      <c r="F1739" s="435"/>
    </row>
    <row r="1740" spans="6:6" x14ac:dyDescent="0.35">
      <c r="F1740" s="435"/>
    </row>
    <row r="1741" spans="6:6" x14ac:dyDescent="0.35">
      <c r="F1741" s="435"/>
    </row>
    <row r="1742" spans="6:6" x14ac:dyDescent="0.35">
      <c r="F1742" s="435"/>
    </row>
    <row r="1743" spans="6:6" x14ac:dyDescent="0.35">
      <c r="F1743" s="435"/>
    </row>
    <row r="1744" spans="6:6" x14ac:dyDescent="0.35">
      <c r="F1744" s="435"/>
    </row>
    <row r="1745" spans="6:6" x14ac:dyDescent="0.35">
      <c r="F1745" s="435"/>
    </row>
    <row r="1746" spans="6:6" x14ac:dyDescent="0.35">
      <c r="F1746" s="435"/>
    </row>
    <row r="1747" spans="6:6" x14ac:dyDescent="0.35">
      <c r="F1747" s="435"/>
    </row>
    <row r="1748" spans="6:6" x14ac:dyDescent="0.35">
      <c r="F1748" s="435"/>
    </row>
    <row r="1749" spans="6:6" x14ac:dyDescent="0.35">
      <c r="F1749" s="435"/>
    </row>
    <row r="1750" spans="6:6" x14ac:dyDescent="0.35">
      <c r="F1750" s="435"/>
    </row>
    <row r="1751" spans="6:6" x14ac:dyDescent="0.35">
      <c r="F1751" s="435"/>
    </row>
    <row r="1752" spans="6:6" x14ac:dyDescent="0.35">
      <c r="F1752" s="435"/>
    </row>
    <row r="1753" spans="6:6" x14ac:dyDescent="0.35">
      <c r="F1753" s="435"/>
    </row>
    <row r="1754" spans="6:6" x14ac:dyDescent="0.35">
      <c r="F1754" s="435"/>
    </row>
    <row r="1755" spans="6:6" x14ac:dyDescent="0.35">
      <c r="F1755" s="435"/>
    </row>
    <row r="1756" spans="6:6" x14ac:dyDescent="0.35">
      <c r="F1756" s="435"/>
    </row>
    <row r="1757" spans="6:6" x14ac:dyDescent="0.35">
      <c r="F1757" s="435"/>
    </row>
    <row r="1758" spans="6:6" x14ac:dyDescent="0.35">
      <c r="F1758" s="435"/>
    </row>
    <row r="1759" spans="6:6" x14ac:dyDescent="0.35">
      <c r="F1759" s="435"/>
    </row>
    <row r="1760" spans="6:6" x14ac:dyDescent="0.35">
      <c r="F1760" s="435"/>
    </row>
    <row r="1761" spans="6:6" x14ac:dyDescent="0.35">
      <c r="F1761" s="435"/>
    </row>
    <row r="1762" spans="6:6" x14ac:dyDescent="0.35">
      <c r="F1762" s="435"/>
    </row>
    <row r="1763" spans="6:6" x14ac:dyDescent="0.35">
      <c r="F1763" s="435"/>
    </row>
    <row r="1764" spans="6:6" x14ac:dyDescent="0.35">
      <c r="F1764" s="435"/>
    </row>
    <row r="1765" spans="6:6" x14ac:dyDescent="0.35">
      <c r="F1765" s="435"/>
    </row>
    <row r="1766" spans="6:6" x14ac:dyDescent="0.35">
      <c r="F1766" s="435"/>
    </row>
    <row r="1767" spans="6:6" x14ac:dyDescent="0.35">
      <c r="F1767" s="435"/>
    </row>
    <row r="1768" spans="6:6" x14ac:dyDescent="0.35">
      <c r="F1768" s="435"/>
    </row>
    <row r="1769" spans="6:6" x14ac:dyDescent="0.35">
      <c r="F1769" s="435"/>
    </row>
    <row r="1770" spans="6:6" x14ac:dyDescent="0.35">
      <c r="F1770" s="435"/>
    </row>
    <row r="1771" spans="6:6" x14ac:dyDescent="0.35">
      <c r="F1771" s="435"/>
    </row>
    <row r="1772" spans="6:6" x14ac:dyDescent="0.35">
      <c r="F1772" s="435"/>
    </row>
    <row r="1773" spans="6:6" x14ac:dyDescent="0.35">
      <c r="F1773" s="435"/>
    </row>
    <row r="1774" spans="6:6" x14ac:dyDescent="0.35">
      <c r="F1774" s="435"/>
    </row>
    <row r="1775" spans="6:6" x14ac:dyDescent="0.35">
      <c r="F1775" s="435"/>
    </row>
    <row r="1776" spans="6:6" x14ac:dyDescent="0.35">
      <c r="F1776" s="435"/>
    </row>
    <row r="1777" spans="6:6" x14ac:dyDescent="0.35">
      <c r="F1777" s="435"/>
    </row>
    <row r="1778" spans="6:6" x14ac:dyDescent="0.35">
      <c r="F1778" s="435"/>
    </row>
    <row r="1779" spans="6:6" x14ac:dyDescent="0.35">
      <c r="F1779" s="435"/>
    </row>
    <row r="1780" spans="6:6" x14ac:dyDescent="0.35">
      <c r="F1780" s="435"/>
    </row>
    <row r="1781" spans="6:6" x14ac:dyDescent="0.35">
      <c r="F1781" s="435"/>
    </row>
    <row r="1782" spans="6:6" x14ac:dyDescent="0.35">
      <c r="F1782" s="435"/>
    </row>
    <row r="1783" spans="6:6" x14ac:dyDescent="0.35">
      <c r="F1783" s="435"/>
    </row>
    <row r="1784" spans="6:6" x14ac:dyDescent="0.35">
      <c r="F1784" s="435"/>
    </row>
    <row r="1785" spans="6:6" x14ac:dyDescent="0.35">
      <c r="F1785" s="435"/>
    </row>
    <row r="1786" spans="6:6" x14ac:dyDescent="0.35">
      <c r="F1786" s="435"/>
    </row>
    <row r="1787" spans="6:6" x14ac:dyDescent="0.35">
      <c r="F1787" s="435"/>
    </row>
    <row r="1788" spans="6:6" x14ac:dyDescent="0.35">
      <c r="F1788" s="435"/>
    </row>
    <row r="1789" spans="6:6" x14ac:dyDescent="0.35">
      <c r="F1789" s="435"/>
    </row>
    <row r="1790" spans="6:6" x14ac:dyDescent="0.35">
      <c r="F1790" s="435"/>
    </row>
    <row r="1791" spans="6:6" x14ac:dyDescent="0.35">
      <c r="F1791" s="435"/>
    </row>
    <row r="1792" spans="6:6" x14ac:dyDescent="0.35">
      <c r="F1792" s="435"/>
    </row>
    <row r="1793" spans="6:6" x14ac:dyDescent="0.35">
      <c r="F1793" s="435"/>
    </row>
    <row r="1794" spans="6:6" x14ac:dyDescent="0.35">
      <c r="F1794" s="435"/>
    </row>
    <row r="1795" spans="6:6" x14ac:dyDescent="0.35">
      <c r="F1795" s="435"/>
    </row>
    <row r="1796" spans="6:6" x14ac:dyDescent="0.35">
      <c r="F1796" s="435"/>
    </row>
    <row r="1797" spans="6:6" x14ac:dyDescent="0.35">
      <c r="F1797" s="435"/>
    </row>
    <row r="1798" spans="6:6" x14ac:dyDescent="0.35">
      <c r="F1798" s="435"/>
    </row>
    <row r="1799" spans="6:6" x14ac:dyDescent="0.35">
      <c r="F1799" s="435"/>
    </row>
    <row r="1800" spans="6:6" x14ac:dyDescent="0.35">
      <c r="F1800" s="435"/>
    </row>
    <row r="1801" spans="6:6" x14ac:dyDescent="0.35">
      <c r="F1801" s="435"/>
    </row>
    <row r="1802" spans="6:6" x14ac:dyDescent="0.35">
      <c r="F1802" s="435"/>
    </row>
    <row r="1803" spans="6:6" x14ac:dyDescent="0.35">
      <c r="F1803" s="435"/>
    </row>
    <row r="1804" spans="6:6" x14ac:dyDescent="0.35">
      <c r="F1804" s="435"/>
    </row>
    <row r="1805" spans="6:6" x14ac:dyDescent="0.35">
      <c r="F1805" s="435"/>
    </row>
    <row r="1806" spans="6:6" x14ac:dyDescent="0.35">
      <c r="F1806" s="435"/>
    </row>
    <row r="1807" spans="6:6" x14ac:dyDescent="0.35">
      <c r="F1807" s="435"/>
    </row>
    <row r="1808" spans="6:6" x14ac:dyDescent="0.35">
      <c r="F1808" s="435"/>
    </row>
    <row r="1809" spans="6:6" x14ac:dyDescent="0.35">
      <c r="F1809" s="435"/>
    </row>
    <row r="1810" spans="6:6" x14ac:dyDescent="0.35">
      <c r="F1810" s="435"/>
    </row>
    <row r="1811" spans="6:6" x14ac:dyDescent="0.35">
      <c r="F1811" s="435"/>
    </row>
    <row r="1812" spans="6:6" x14ac:dyDescent="0.35">
      <c r="F1812" s="435"/>
    </row>
    <row r="1813" spans="6:6" x14ac:dyDescent="0.35">
      <c r="F1813" s="435"/>
    </row>
    <row r="1814" spans="6:6" x14ac:dyDescent="0.35">
      <c r="F1814" s="435"/>
    </row>
    <row r="1815" spans="6:6" x14ac:dyDescent="0.35">
      <c r="F1815" s="435"/>
    </row>
    <row r="1816" spans="6:6" x14ac:dyDescent="0.35">
      <c r="F1816" s="435"/>
    </row>
    <row r="1817" spans="6:6" x14ac:dyDescent="0.35">
      <c r="F1817" s="435"/>
    </row>
    <row r="1818" spans="6:6" x14ac:dyDescent="0.35">
      <c r="F1818" s="435"/>
    </row>
    <row r="1819" spans="6:6" x14ac:dyDescent="0.35">
      <c r="F1819" s="435"/>
    </row>
    <row r="1820" spans="6:6" x14ac:dyDescent="0.35">
      <c r="F1820" s="435"/>
    </row>
    <row r="1821" spans="6:6" x14ac:dyDescent="0.35">
      <c r="F1821" s="435"/>
    </row>
    <row r="1822" spans="6:6" x14ac:dyDescent="0.35">
      <c r="F1822" s="435"/>
    </row>
    <row r="1823" spans="6:6" x14ac:dyDescent="0.35">
      <c r="F1823" s="435"/>
    </row>
    <row r="1824" spans="6:6" x14ac:dyDescent="0.35">
      <c r="F1824" s="435"/>
    </row>
    <row r="1825" spans="6:6" x14ac:dyDescent="0.35">
      <c r="F1825" s="435"/>
    </row>
    <row r="1826" spans="6:6" x14ac:dyDescent="0.35">
      <c r="F1826" s="435"/>
    </row>
    <row r="1827" spans="6:6" x14ac:dyDescent="0.35">
      <c r="F1827" s="435"/>
    </row>
    <row r="1828" spans="6:6" x14ac:dyDescent="0.35">
      <c r="F1828" s="435"/>
    </row>
    <row r="1829" spans="6:6" x14ac:dyDescent="0.35">
      <c r="F1829" s="435"/>
    </row>
    <row r="1830" spans="6:6" x14ac:dyDescent="0.35">
      <c r="F1830" s="435"/>
    </row>
    <row r="1831" spans="6:6" x14ac:dyDescent="0.35">
      <c r="F1831" s="435"/>
    </row>
    <row r="1832" spans="6:6" x14ac:dyDescent="0.35">
      <c r="F1832" s="435"/>
    </row>
    <row r="1833" spans="6:6" x14ac:dyDescent="0.35">
      <c r="F1833" s="435"/>
    </row>
    <row r="1834" spans="6:6" x14ac:dyDescent="0.35">
      <c r="F1834" s="435"/>
    </row>
    <row r="1835" spans="6:6" x14ac:dyDescent="0.35">
      <c r="F1835" s="435"/>
    </row>
    <row r="1836" spans="6:6" x14ac:dyDescent="0.35">
      <c r="F1836" s="435"/>
    </row>
    <row r="1837" spans="6:6" x14ac:dyDescent="0.35">
      <c r="F1837" s="435"/>
    </row>
    <row r="1838" spans="6:6" x14ac:dyDescent="0.35">
      <c r="F1838" s="435"/>
    </row>
    <row r="1839" spans="6:6" x14ac:dyDescent="0.35">
      <c r="F1839" s="435"/>
    </row>
    <row r="1840" spans="6:6" x14ac:dyDescent="0.35">
      <c r="F1840" s="435"/>
    </row>
    <row r="1841" spans="6:6" x14ac:dyDescent="0.35">
      <c r="F1841" s="435"/>
    </row>
    <row r="1842" spans="6:6" x14ac:dyDescent="0.35">
      <c r="F1842" s="435"/>
    </row>
    <row r="1843" spans="6:6" x14ac:dyDescent="0.35">
      <c r="F1843" s="435"/>
    </row>
    <row r="1844" spans="6:6" x14ac:dyDescent="0.35">
      <c r="F1844" s="435"/>
    </row>
    <row r="1845" spans="6:6" x14ac:dyDescent="0.35">
      <c r="F1845" s="435"/>
    </row>
    <row r="1846" spans="6:6" x14ac:dyDescent="0.35">
      <c r="F1846" s="435"/>
    </row>
    <row r="1847" spans="6:6" x14ac:dyDescent="0.35">
      <c r="F1847" s="435"/>
    </row>
    <row r="1848" spans="6:6" x14ac:dyDescent="0.35">
      <c r="F1848" s="435"/>
    </row>
    <row r="1849" spans="6:6" x14ac:dyDescent="0.35">
      <c r="F1849" s="435"/>
    </row>
    <row r="1850" spans="6:6" x14ac:dyDescent="0.35">
      <c r="F1850" s="435"/>
    </row>
    <row r="1851" spans="6:6" x14ac:dyDescent="0.35">
      <c r="F1851" s="435"/>
    </row>
    <row r="1852" spans="6:6" x14ac:dyDescent="0.35">
      <c r="F1852" s="435"/>
    </row>
    <row r="1853" spans="6:6" x14ac:dyDescent="0.35">
      <c r="F1853" s="435"/>
    </row>
    <row r="1854" spans="6:6" x14ac:dyDescent="0.35">
      <c r="F1854" s="435"/>
    </row>
    <row r="1855" spans="6:6" x14ac:dyDescent="0.35">
      <c r="F1855" s="435"/>
    </row>
    <row r="1856" spans="6:6" x14ac:dyDescent="0.35">
      <c r="F1856" s="435"/>
    </row>
    <row r="1857" spans="6:6" x14ac:dyDescent="0.35">
      <c r="F1857" s="435"/>
    </row>
    <row r="1858" spans="6:6" x14ac:dyDescent="0.35">
      <c r="F1858" s="435"/>
    </row>
    <row r="1859" spans="6:6" x14ac:dyDescent="0.35">
      <c r="F1859" s="435"/>
    </row>
    <row r="1860" spans="6:6" x14ac:dyDescent="0.35">
      <c r="F1860" s="435"/>
    </row>
    <row r="1861" spans="6:6" x14ac:dyDescent="0.35">
      <c r="F1861" s="435"/>
    </row>
    <row r="1862" spans="6:6" x14ac:dyDescent="0.35">
      <c r="F1862" s="435"/>
    </row>
    <row r="1863" spans="6:6" x14ac:dyDescent="0.35">
      <c r="F1863" s="435"/>
    </row>
    <row r="1864" spans="6:6" x14ac:dyDescent="0.35">
      <c r="F1864" s="435"/>
    </row>
    <row r="1865" spans="6:6" x14ac:dyDescent="0.35">
      <c r="F1865" s="435"/>
    </row>
    <row r="1866" spans="6:6" x14ac:dyDescent="0.35">
      <c r="F1866" s="435"/>
    </row>
    <row r="1867" spans="6:6" x14ac:dyDescent="0.35">
      <c r="F1867" s="435"/>
    </row>
    <row r="1868" spans="6:6" x14ac:dyDescent="0.35">
      <c r="F1868" s="435"/>
    </row>
    <row r="1869" spans="6:6" x14ac:dyDescent="0.35">
      <c r="F1869" s="435"/>
    </row>
    <row r="1870" spans="6:6" x14ac:dyDescent="0.35">
      <c r="F1870" s="435"/>
    </row>
    <row r="1871" spans="6:6" x14ac:dyDescent="0.35">
      <c r="F1871" s="435"/>
    </row>
    <row r="1872" spans="6:6" x14ac:dyDescent="0.35">
      <c r="F1872" s="435"/>
    </row>
    <row r="1873" spans="6:6" x14ac:dyDescent="0.35">
      <c r="F1873" s="435"/>
    </row>
    <row r="1874" spans="6:6" x14ac:dyDescent="0.35">
      <c r="F1874" s="435"/>
    </row>
    <row r="1875" spans="6:6" x14ac:dyDescent="0.35">
      <c r="F1875" s="435"/>
    </row>
    <row r="1876" spans="6:6" x14ac:dyDescent="0.35">
      <c r="F1876" s="435"/>
    </row>
    <row r="1877" spans="6:6" x14ac:dyDescent="0.35">
      <c r="F1877" s="435"/>
    </row>
    <row r="1878" spans="6:6" x14ac:dyDescent="0.35">
      <c r="F1878" s="435"/>
    </row>
    <row r="1879" spans="6:6" x14ac:dyDescent="0.35">
      <c r="F1879" s="435"/>
    </row>
    <row r="1880" spans="6:6" x14ac:dyDescent="0.35">
      <c r="F1880" s="435"/>
    </row>
    <row r="1881" spans="6:6" x14ac:dyDescent="0.35">
      <c r="F1881" s="435"/>
    </row>
    <row r="1882" spans="6:6" x14ac:dyDescent="0.35">
      <c r="F1882" s="435"/>
    </row>
    <row r="1883" spans="6:6" x14ac:dyDescent="0.35">
      <c r="F1883" s="435"/>
    </row>
    <row r="1884" spans="6:6" x14ac:dyDescent="0.35">
      <c r="F1884" s="435"/>
    </row>
    <row r="1885" spans="6:6" x14ac:dyDescent="0.35">
      <c r="F1885" s="435"/>
    </row>
    <row r="1886" spans="6:6" x14ac:dyDescent="0.35">
      <c r="F1886" s="435"/>
    </row>
    <row r="1887" spans="6:6" x14ac:dyDescent="0.35">
      <c r="F1887" s="435"/>
    </row>
    <row r="1888" spans="6:6" x14ac:dyDescent="0.35">
      <c r="F1888" s="435"/>
    </row>
    <row r="1889" spans="6:6" x14ac:dyDescent="0.35">
      <c r="F1889" s="435"/>
    </row>
    <row r="1890" spans="6:6" x14ac:dyDescent="0.35">
      <c r="F1890" s="435"/>
    </row>
    <row r="1891" spans="6:6" x14ac:dyDescent="0.35">
      <c r="F1891" s="435"/>
    </row>
    <row r="1892" spans="6:6" x14ac:dyDescent="0.35">
      <c r="F1892" s="435"/>
    </row>
    <row r="1893" spans="6:6" x14ac:dyDescent="0.35">
      <c r="F1893" s="435"/>
    </row>
    <row r="1894" spans="6:6" x14ac:dyDescent="0.35">
      <c r="F1894" s="435"/>
    </row>
    <row r="1895" spans="6:6" x14ac:dyDescent="0.35">
      <c r="F1895" s="435"/>
    </row>
    <row r="1896" spans="6:6" x14ac:dyDescent="0.35">
      <c r="F1896" s="435"/>
    </row>
    <row r="1897" spans="6:6" x14ac:dyDescent="0.35">
      <c r="F1897" s="435"/>
    </row>
    <row r="1898" spans="6:6" x14ac:dyDescent="0.35">
      <c r="F1898" s="435"/>
    </row>
    <row r="1899" spans="6:6" x14ac:dyDescent="0.35">
      <c r="F1899" s="435"/>
    </row>
    <row r="1900" spans="6:6" x14ac:dyDescent="0.35">
      <c r="F1900" s="435"/>
    </row>
    <row r="1901" spans="6:6" x14ac:dyDescent="0.35">
      <c r="F1901" s="435"/>
    </row>
    <row r="1902" spans="6:6" x14ac:dyDescent="0.35">
      <c r="F1902" s="435"/>
    </row>
    <row r="1903" spans="6:6" x14ac:dyDescent="0.35">
      <c r="F1903" s="435"/>
    </row>
    <row r="1904" spans="6:6" x14ac:dyDescent="0.35">
      <c r="F1904" s="435"/>
    </row>
    <row r="1905" spans="6:6" x14ac:dyDescent="0.35">
      <c r="F1905" s="435"/>
    </row>
    <row r="1906" spans="6:6" x14ac:dyDescent="0.35">
      <c r="F1906" s="435"/>
    </row>
    <row r="1907" spans="6:6" x14ac:dyDescent="0.35">
      <c r="F1907" s="435"/>
    </row>
    <row r="1908" spans="6:6" x14ac:dyDescent="0.35">
      <c r="F1908" s="435"/>
    </row>
    <row r="1909" spans="6:6" x14ac:dyDescent="0.35">
      <c r="F1909" s="435"/>
    </row>
    <row r="1910" spans="6:6" x14ac:dyDescent="0.35">
      <c r="F1910" s="435"/>
    </row>
    <row r="1911" spans="6:6" x14ac:dyDescent="0.35">
      <c r="F1911" s="435"/>
    </row>
    <row r="1912" spans="6:6" x14ac:dyDescent="0.35">
      <c r="F1912" s="435"/>
    </row>
    <row r="1913" spans="6:6" x14ac:dyDescent="0.35">
      <c r="F1913" s="435"/>
    </row>
    <row r="1914" spans="6:6" x14ac:dyDescent="0.35">
      <c r="F1914" s="435"/>
    </row>
    <row r="1915" spans="6:6" x14ac:dyDescent="0.35">
      <c r="F1915" s="435"/>
    </row>
    <row r="1916" spans="6:6" x14ac:dyDescent="0.35">
      <c r="F1916" s="435"/>
    </row>
    <row r="1917" spans="6:6" x14ac:dyDescent="0.35">
      <c r="F1917" s="435"/>
    </row>
    <row r="1918" spans="6:6" x14ac:dyDescent="0.35">
      <c r="F1918" s="435"/>
    </row>
    <row r="1919" spans="6:6" x14ac:dyDescent="0.35">
      <c r="F1919" s="435"/>
    </row>
    <row r="1920" spans="6:6" x14ac:dyDescent="0.35">
      <c r="F1920" s="435"/>
    </row>
    <row r="1921" spans="6:6" x14ac:dyDescent="0.35">
      <c r="F1921" s="435"/>
    </row>
    <row r="1922" spans="6:6" x14ac:dyDescent="0.35">
      <c r="F1922" s="435"/>
    </row>
    <row r="1923" spans="6:6" x14ac:dyDescent="0.35">
      <c r="F1923" s="435"/>
    </row>
    <row r="1924" spans="6:6" x14ac:dyDescent="0.35">
      <c r="F1924" s="435"/>
    </row>
    <row r="1925" spans="6:6" x14ac:dyDescent="0.35">
      <c r="F1925" s="435"/>
    </row>
    <row r="1926" spans="6:6" x14ac:dyDescent="0.35">
      <c r="F1926" s="435"/>
    </row>
    <row r="1927" spans="6:6" x14ac:dyDescent="0.35">
      <c r="F1927" s="435"/>
    </row>
    <row r="1928" spans="6:6" x14ac:dyDescent="0.35">
      <c r="F1928" s="435"/>
    </row>
    <row r="1929" spans="6:6" x14ac:dyDescent="0.35">
      <c r="F1929" s="435"/>
    </row>
    <row r="1930" spans="6:6" x14ac:dyDescent="0.35">
      <c r="F1930" s="435"/>
    </row>
    <row r="1931" spans="6:6" x14ac:dyDescent="0.35">
      <c r="F1931" s="435"/>
    </row>
    <row r="1932" spans="6:6" x14ac:dyDescent="0.35">
      <c r="F1932" s="435"/>
    </row>
    <row r="1933" spans="6:6" x14ac:dyDescent="0.35">
      <c r="F1933" s="435"/>
    </row>
    <row r="1934" spans="6:6" x14ac:dyDescent="0.35">
      <c r="F1934" s="435"/>
    </row>
    <row r="1935" spans="6:6" x14ac:dyDescent="0.35">
      <c r="F1935" s="435"/>
    </row>
    <row r="1936" spans="6:6" x14ac:dyDescent="0.35">
      <c r="F1936" s="435"/>
    </row>
    <row r="1937" spans="6:6" x14ac:dyDescent="0.35">
      <c r="F1937" s="435"/>
    </row>
    <row r="1938" spans="6:6" x14ac:dyDescent="0.35">
      <c r="F1938" s="435"/>
    </row>
    <row r="1939" spans="6:6" x14ac:dyDescent="0.35">
      <c r="F1939" s="435"/>
    </row>
    <row r="1940" spans="6:6" x14ac:dyDescent="0.35">
      <c r="F1940" s="435"/>
    </row>
    <row r="1941" spans="6:6" x14ac:dyDescent="0.35">
      <c r="F1941" s="435"/>
    </row>
    <row r="1942" spans="6:6" x14ac:dyDescent="0.35">
      <c r="F1942" s="435"/>
    </row>
    <row r="1943" spans="6:6" x14ac:dyDescent="0.35">
      <c r="F1943" s="435"/>
    </row>
    <row r="1944" spans="6:6" x14ac:dyDescent="0.35">
      <c r="F1944" s="435"/>
    </row>
    <row r="1945" spans="6:6" x14ac:dyDescent="0.35">
      <c r="F1945" s="435"/>
    </row>
    <row r="1946" spans="6:6" x14ac:dyDescent="0.35">
      <c r="F1946" s="435"/>
    </row>
    <row r="1947" spans="6:6" x14ac:dyDescent="0.35">
      <c r="F1947" s="435"/>
    </row>
    <row r="1948" spans="6:6" x14ac:dyDescent="0.35">
      <c r="F1948" s="435"/>
    </row>
    <row r="1949" spans="6:6" x14ac:dyDescent="0.35">
      <c r="F1949" s="435"/>
    </row>
    <row r="1950" spans="6:6" x14ac:dyDescent="0.35">
      <c r="F1950" s="435"/>
    </row>
    <row r="1951" spans="6:6" x14ac:dyDescent="0.35">
      <c r="F1951" s="435"/>
    </row>
    <row r="1952" spans="6:6" x14ac:dyDescent="0.35">
      <c r="F1952" s="435"/>
    </row>
    <row r="1953" spans="6:6" x14ac:dyDescent="0.35">
      <c r="F1953" s="435"/>
    </row>
    <row r="1954" spans="6:6" x14ac:dyDescent="0.35">
      <c r="F1954" s="435"/>
    </row>
    <row r="1955" spans="6:6" x14ac:dyDescent="0.35">
      <c r="F1955" s="435"/>
    </row>
    <row r="1956" spans="6:6" x14ac:dyDescent="0.35">
      <c r="F1956" s="435"/>
    </row>
    <row r="1957" spans="6:6" x14ac:dyDescent="0.35">
      <c r="F1957" s="435"/>
    </row>
    <row r="1958" spans="6:6" x14ac:dyDescent="0.35">
      <c r="F1958" s="435"/>
    </row>
    <row r="1959" spans="6:6" x14ac:dyDescent="0.35">
      <c r="F1959" s="435"/>
    </row>
    <row r="1960" spans="6:6" x14ac:dyDescent="0.35">
      <c r="F1960" s="435"/>
    </row>
    <row r="1961" spans="6:6" x14ac:dyDescent="0.35">
      <c r="F1961" s="435"/>
    </row>
    <row r="1962" spans="6:6" x14ac:dyDescent="0.35">
      <c r="F1962" s="435"/>
    </row>
    <row r="1963" spans="6:6" x14ac:dyDescent="0.35">
      <c r="F1963" s="435"/>
    </row>
    <row r="1964" spans="6:6" x14ac:dyDescent="0.35">
      <c r="F1964" s="435"/>
    </row>
    <row r="1965" spans="6:6" x14ac:dyDescent="0.35">
      <c r="F1965" s="435"/>
    </row>
    <row r="1966" spans="6:6" x14ac:dyDescent="0.35">
      <c r="F1966" s="435"/>
    </row>
    <row r="1967" spans="6:6" x14ac:dyDescent="0.35">
      <c r="F1967" s="435"/>
    </row>
    <row r="1968" spans="6:6" x14ac:dyDescent="0.35">
      <c r="F1968" s="435"/>
    </row>
    <row r="1969" spans="6:6" x14ac:dyDescent="0.35">
      <c r="F1969" s="435"/>
    </row>
    <row r="1970" spans="6:6" x14ac:dyDescent="0.35">
      <c r="F1970" s="435"/>
    </row>
    <row r="1971" spans="6:6" x14ac:dyDescent="0.35">
      <c r="F1971" s="435"/>
    </row>
    <row r="1972" spans="6:6" x14ac:dyDescent="0.35">
      <c r="F1972" s="435"/>
    </row>
    <row r="1973" spans="6:6" x14ac:dyDescent="0.35">
      <c r="F1973" s="435"/>
    </row>
    <row r="1974" spans="6:6" x14ac:dyDescent="0.35">
      <c r="F1974" s="435"/>
    </row>
    <row r="1975" spans="6:6" x14ac:dyDescent="0.35">
      <c r="F1975" s="435"/>
    </row>
    <row r="1976" spans="6:6" x14ac:dyDescent="0.35">
      <c r="F1976" s="435"/>
    </row>
    <row r="1977" spans="6:6" x14ac:dyDescent="0.35">
      <c r="F1977" s="435"/>
    </row>
    <row r="1978" spans="6:6" x14ac:dyDescent="0.35">
      <c r="F1978" s="435"/>
    </row>
    <row r="1979" spans="6:6" x14ac:dyDescent="0.35">
      <c r="F1979" s="435"/>
    </row>
    <row r="1980" spans="6:6" x14ac:dyDescent="0.35">
      <c r="F1980" s="435"/>
    </row>
    <row r="1981" spans="6:6" x14ac:dyDescent="0.35">
      <c r="F1981" s="435"/>
    </row>
    <row r="1982" spans="6:6" x14ac:dyDescent="0.35">
      <c r="F1982" s="435"/>
    </row>
    <row r="1983" spans="6:6" x14ac:dyDescent="0.35">
      <c r="F1983" s="435"/>
    </row>
    <row r="1984" spans="6:6" x14ac:dyDescent="0.35">
      <c r="F1984" s="435"/>
    </row>
    <row r="1985" spans="6:6" x14ac:dyDescent="0.35">
      <c r="F1985" s="435"/>
    </row>
    <row r="1986" spans="6:6" x14ac:dyDescent="0.35">
      <c r="F1986" s="435"/>
    </row>
    <row r="1987" spans="6:6" x14ac:dyDescent="0.35">
      <c r="F1987" s="435"/>
    </row>
    <row r="1988" spans="6:6" x14ac:dyDescent="0.35">
      <c r="F1988" s="435"/>
    </row>
    <row r="1989" spans="6:6" x14ac:dyDescent="0.35">
      <c r="F1989" s="435"/>
    </row>
    <row r="1990" spans="6:6" x14ac:dyDescent="0.35">
      <c r="F1990" s="435"/>
    </row>
    <row r="1991" spans="6:6" x14ac:dyDescent="0.35">
      <c r="F1991" s="435"/>
    </row>
    <row r="1992" spans="6:6" x14ac:dyDescent="0.35">
      <c r="F1992" s="435"/>
    </row>
    <row r="1993" spans="6:6" x14ac:dyDescent="0.35">
      <c r="F1993" s="435"/>
    </row>
    <row r="1994" spans="6:6" x14ac:dyDescent="0.35">
      <c r="F1994" s="435"/>
    </row>
    <row r="1995" spans="6:6" x14ac:dyDescent="0.35">
      <c r="F1995" s="435"/>
    </row>
    <row r="1996" spans="6:6" x14ac:dyDescent="0.35">
      <c r="F1996" s="435"/>
    </row>
    <row r="1997" spans="6:6" x14ac:dyDescent="0.35">
      <c r="F1997" s="435"/>
    </row>
    <row r="1998" spans="6:6" x14ac:dyDescent="0.35">
      <c r="F1998" s="435"/>
    </row>
    <row r="1999" spans="6:6" x14ac:dyDescent="0.35">
      <c r="F1999" s="435"/>
    </row>
    <row r="2000" spans="6:6" x14ac:dyDescent="0.35">
      <c r="F2000" s="435"/>
    </row>
    <row r="2001" spans="6:6" x14ac:dyDescent="0.35">
      <c r="F2001" s="435"/>
    </row>
    <row r="2002" spans="6:6" x14ac:dyDescent="0.35">
      <c r="F2002" s="435"/>
    </row>
    <row r="2003" spans="6:6" x14ac:dyDescent="0.35">
      <c r="F2003" s="435"/>
    </row>
    <row r="2004" spans="6:6" x14ac:dyDescent="0.35">
      <c r="F2004" s="435"/>
    </row>
    <row r="2005" spans="6:6" x14ac:dyDescent="0.35">
      <c r="F2005" s="435"/>
    </row>
    <row r="2006" spans="6:6" x14ac:dyDescent="0.35">
      <c r="F2006" s="435"/>
    </row>
    <row r="2007" spans="6:6" x14ac:dyDescent="0.35">
      <c r="F2007" s="435"/>
    </row>
    <row r="2008" spans="6:6" x14ac:dyDescent="0.35">
      <c r="F2008" s="435"/>
    </row>
    <row r="2009" spans="6:6" x14ac:dyDescent="0.35">
      <c r="F2009" s="435"/>
    </row>
    <row r="2010" spans="6:6" x14ac:dyDescent="0.35">
      <c r="F2010" s="435"/>
    </row>
    <row r="2011" spans="6:6" x14ac:dyDescent="0.35">
      <c r="F2011" s="435"/>
    </row>
    <row r="2012" spans="6:6" x14ac:dyDescent="0.35">
      <c r="F2012" s="435"/>
    </row>
    <row r="2013" spans="6:6" x14ac:dyDescent="0.35">
      <c r="F2013" s="435"/>
    </row>
    <row r="2014" spans="6:6" x14ac:dyDescent="0.35">
      <c r="F2014" s="435"/>
    </row>
    <row r="2015" spans="6:6" x14ac:dyDescent="0.35">
      <c r="F2015" s="435"/>
    </row>
    <row r="2016" spans="6:6" x14ac:dyDescent="0.35">
      <c r="F2016" s="435"/>
    </row>
    <row r="2017" spans="6:6" x14ac:dyDescent="0.35">
      <c r="F2017" s="435"/>
    </row>
    <row r="2018" spans="6:6" x14ac:dyDescent="0.35">
      <c r="F2018" s="435"/>
    </row>
    <row r="2019" spans="6:6" x14ac:dyDescent="0.35">
      <c r="F2019" s="435"/>
    </row>
    <row r="2020" spans="6:6" x14ac:dyDescent="0.35">
      <c r="F2020" s="435"/>
    </row>
    <row r="2021" spans="6:6" x14ac:dyDescent="0.35">
      <c r="F2021" s="435"/>
    </row>
    <row r="2022" spans="6:6" x14ac:dyDescent="0.35">
      <c r="F2022" s="435"/>
    </row>
    <row r="2023" spans="6:6" x14ac:dyDescent="0.35">
      <c r="F2023" s="435"/>
    </row>
    <row r="2024" spans="6:6" x14ac:dyDescent="0.35">
      <c r="F2024" s="435"/>
    </row>
    <row r="2025" spans="6:6" x14ac:dyDescent="0.35">
      <c r="F2025" s="435"/>
    </row>
    <row r="2026" spans="6:6" x14ac:dyDescent="0.35">
      <c r="F2026" s="435"/>
    </row>
    <row r="2027" spans="6:6" x14ac:dyDescent="0.35">
      <c r="F2027" s="435"/>
    </row>
    <row r="2028" spans="6:6" x14ac:dyDescent="0.35">
      <c r="F2028" s="435"/>
    </row>
    <row r="2029" spans="6:6" x14ac:dyDescent="0.35">
      <c r="F2029" s="435"/>
    </row>
    <row r="2030" spans="6:6" x14ac:dyDescent="0.35">
      <c r="F2030" s="435"/>
    </row>
    <row r="2031" spans="6:6" x14ac:dyDescent="0.35">
      <c r="F2031" s="435"/>
    </row>
    <row r="2032" spans="6:6" x14ac:dyDescent="0.35">
      <c r="F2032" s="435"/>
    </row>
    <row r="2033" spans="6:6" x14ac:dyDescent="0.35">
      <c r="F2033" s="435"/>
    </row>
    <row r="2034" spans="6:6" x14ac:dyDescent="0.35">
      <c r="F2034" s="435"/>
    </row>
    <row r="2035" spans="6:6" x14ac:dyDescent="0.35">
      <c r="F2035" s="435"/>
    </row>
    <row r="2036" spans="6:6" x14ac:dyDescent="0.35">
      <c r="F2036" s="435"/>
    </row>
    <row r="2037" spans="6:6" x14ac:dyDescent="0.35">
      <c r="F2037" s="435"/>
    </row>
    <row r="2038" spans="6:6" x14ac:dyDescent="0.35">
      <c r="F2038" s="435"/>
    </row>
    <row r="2039" spans="6:6" x14ac:dyDescent="0.35">
      <c r="F2039" s="435"/>
    </row>
    <row r="2040" spans="6:6" x14ac:dyDescent="0.35">
      <c r="F2040" s="435"/>
    </row>
    <row r="2041" spans="6:6" x14ac:dyDescent="0.35">
      <c r="F2041" s="435"/>
    </row>
    <row r="2042" spans="6:6" x14ac:dyDescent="0.35">
      <c r="F2042" s="435"/>
    </row>
    <row r="2043" spans="6:6" x14ac:dyDescent="0.35">
      <c r="F2043" s="435"/>
    </row>
    <row r="2044" spans="6:6" x14ac:dyDescent="0.35">
      <c r="F2044" s="435"/>
    </row>
    <row r="2045" spans="6:6" x14ac:dyDescent="0.35">
      <c r="F2045" s="435"/>
    </row>
    <row r="2046" spans="6:6" x14ac:dyDescent="0.35">
      <c r="F2046" s="435"/>
    </row>
    <row r="2047" spans="6:6" x14ac:dyDescent="0.35">
      <c r="F2047" s="435"/>
    </row>
    <row r="2048" spans="6:6" x14ac:dyDescent="0.35">
      <c r="F2048" s="435"/>
    </row>
    <row r="2049" spans="6:6" x14ac:dyDescent="0.35">
      <c r="F2049" s="435"/>
    </row>
    <row r="2050" spans="6:6" x14ac:dyDescent="0.35">
      <c r="F2050" s="435"/>
    </row>
    <row r="2051" spans="6:6" x14ac:dyDescent="0.35">
      <c r="F2051" s="435"/>
    </row>
    <row r="2052" spans="6:6" x14ac:dyDescent="0.35">
      <c r="F2052" s="435"/>
    </row>
    <row r="2053" spans="6:6" x14ac:dyDescent="0.35">
      <c r="F2053" s="435"/>
    </row>
    <row r="2054" spans="6:6" x14ac:dyDescent="0.35">
      <c r="F2054" s="435"/>
    </row>
    <row r="2055" spans="6:6" x14ac:dyDescent="0.35">
      <c r="F2055" s="435"/>
    </row>
    <row r="2056" spans="6:6" x14ac:dyDescent="0.35">
      <c r="F2056" s="435"/>
    </row>
    <row r="2057" spans="6:6" x14ac:dyDescent="0.35">
      <c r="F2057" s="435"/>
    </row>
    <row r="2058" spans="6:6" x14ac:dyDescent="0.35">
      <c r="F2058" s="435"/>
    </row>
    <row r="2059" spans="6:6" x14ac:dyDescent="0.35">
      <c r="F2059" s="435"/>
    </row>
    <row r="2060" spans="6:6" x14ac:dyDescent="0.35">
      <c r="F2060" s="435"/>
    </row>
    <row r="2061" spans="6:6" x14ac:dyDescent="0.35">
      <c r="F2061" s="435"/>
    </row>
    <row r="2062" spans="6:6" x14ac:dyDescent="0.35">
      <c r="F2062" s="435"/>
    </row>
    <row r="2063" spans="6:6" x14ac:dyDescent="0.35">
      <c r="F2063" s="435"/>
    </row>
    <row r="2064" spans="6:6" x14ac:dyDescent="0.35">
      <c r="F2064" s="435"/>
    </row>
    <row r="2065" spans="6:6" x14ac:dyDescent="0.35">
      <c r="F2065" s="435"/>
    </row>
    <row r="2066" spans="6:6" x14ac:dyDescent="0.35">
      <c r="F2066" s="435"/>
    </row>
    <row r="2067" spans="6:6" x14ac:dyDescent="0.35">
      <c r="F2067" s="435"/>
    </row>
    <row r="2068" spans="6:6" x14ac:dyDescent="0.35">
      <c r="F2068" s="435"/>
    </row>
    <row r="2069" spans="6:6" x14ac:dyDescent="0.35">
      <c r="F2069" s="435"/>
    </row>
    <row r="2070" spans="6:6" x14ac:dyDescent="0.35">
      <c r="F2070" s="435"/>
    </row>
    <row r="2071" spans="6:6" x14ac:dyDescent="0.35">
      <c r="F2071" s="435"/>
    </row>
    <row r="2072" spans="6:6" x14ac:dyDescent="0.35">
      <c r="F2072" s="435"/>
    </row>
    <row r="2073" spans="6:6" x14ac:dyDescent="0.35">
      <c r="F2073" s="435"/>
    </row>
    <row r="2074" spans="6:6" x14ac:dyDescent="0.35">
      <c r="F2074" s="435"/>
    </row>
    <row r="2075" spans="6:6" x14ac:dyDescent="0.35">
      <c r="F2075" s="435"/>
    </row>
    <row r="2076" spans="6:6" x14ac:dyDescent="0.35">
      <c r="F2076" s="435"/>
    </row>
    <row r="2077" spans="6:6" x14ac:dyDescent="0.35">
      <c r="F2077" s="435"/>
    </row>
    <row r="2078" spans="6:6" x14ac:dyDescent="0.35">
      <c r="F2078" s="435"/>
    </row>
    <row r="2079" spans="6:6" x14ac:dyDescent="0.35">
      <c r="F2079" s="435"/>
    </row>
    <row r="2080" spans="6:6" x14ac:dyDescent="0.35">
      <c r="F2080" s="435"/>
    </row>
    <row r="2081" spans="6:6" x14ac:dyDescent="0.35">
      <c r="F2081" s="435"/>
    </row>
    <row r="2082" spans="6:6" x14ac:dyDescent="0.35">
      <c r="F2082" s="435"/>
    </row>
    <row r="2083" spans="6:6" x14ac:dyDescent="0.35">
      <c r="F2083" s="435"/>
    </row>
    <row r="2084" spans="6:6" x14ac:dyDescent="0.35">
      <c r="F2084" s="435"/>
    </row>
    <row r="2085" spans="6:6" x14ac:dyDescent="0.35">
      <c r="F2085" s="435"/>
    </row>
    <row r="2086" spans="6:6" x14ac:dyDescent="0.35">
      <c r="F2086" s="435"/>
    </row>
    <row r="2087" spans="6:6" x14ac:dyDescent="0.35">
      <c r="F2087" s="435"/>
    </row>
    <row r="2088" spans="6:6" x14ac:dyDescent="0.35">
      <c r="F2088" s="435"/>
    </row>
    <row r="2089" spans="6:6" x14ac:dyDescent="0.35">
      <c r="F2089" s="435"/>
    </row>
    <row r="2090" spans="6:6" x14ac:dyDescent="0.35">
      <c r="F2090" s="435"/>
    </row>
    <row r="2091" spans="6:6" x14ac:dyDescent="0.35">
      <c r="F2091" s="435"/>
    </row>
    <row r="2092" spans="6:6" x14ac:dyDescent="0.35">
      <c r="F2092" s="435"/>
    </row>
    <row r="2093" spans="6:6" x14ac:dyDescent="0.35">
      <c r="F2093" s="435"/>
    </row>
    <row r="2094" spans="6:6" x14ac:dyDescent="0.35">
      <c r="F2094" s="435"/>
    </row>
    <row r="2095" spans="6:6" x14ac:dyDescent="0.35">
      <c r="F2095" s="435"/>
    </row>
    <row r="2096" spans="6:6" x14ac:dyDescent="0.35">
      <c r="F2096" s="435"/>
    </row>
    <row r="2097" spans="6:6" x14ac:dyDescent="0.35">
      <c r="F2097" s="435"/>
    </row>
    <row r="2098" spans="6:6" x14ac:dyDescent="0.35">
      <c r="F2098" s="435"/>
    </row>
    <row r="2099" spans="6:6" x14ac:dyDescent="0.35">
      <c r="F2099" s="435"/>
    </row>
    <row r="2100" spans="6:6" x14ac:dyDescent="0.35">
      <c r="F2100" s="435"/>
    </row>
    <row r="2101" spans="6:6" x14ac:dyDescent="0.35">
      <c r="F2101" s="435"/>
    </row>
    <row r="2102" spans="6:6" x14ac:dyDescent="0.35">
      <c r="F2102" s="435"/>
    </row>
    <row r="2103" spans="6:6" x14ac:dyDescent="0.35">
      <c r="F2103" s="435"/>
    </row>
    <row r="2104" spans="6:6" x14ac:dyDescent="0.35">
      <c r="F2104" s="435"/>
    </row>
    <row r="2105" spans="6:6" x14ac:dyDescent="0.35">
      <c r="F2105" s="435"/>
    </row>
    <row r="2106" spans="6:6" x14ac:dyDescent="0.35">
      <c r="F2106" s="435"/>
    </row>
    <row r="2107" spans="6:6" x14ac:dyDescent="0.35">
      <c r="F2107" s="435"/>
    </row>
    <row r="2108" spans="6:6" x14ac:dyDescent="0.35">
      <c r="F2108" s="435"/>
    </row>
    <row r="2109" spans="6:6" x14ac:dyDescent="0.35">
      <c r="F2109" s="435"/>
    </row>
    <row r="2110" spans="6:6" x14ac:dyDescent="0.35">
      <c r="F2110" s="435"/>
    </row>
    <row r="2111" spans="6:6" x14ac:dyDescent="0.35">
      <c r="F2111" s="435"/>
    </row>
    <row r="2112" spans="6:6" x14ac:dyDescent="0.35">
      <c r="F2112" s="435"/>
    </row>
    <row r="2113" spans="6:6" x14ac:dyDescent="0.35">
      <c r="F2113" s="435"/>
    </row>
    <row r="2114" spans="6:6" x14ac:dyDescent="0.35">
      <c r="F2114" s="435"/>
    </row>
    <row r="2115" spans="6:6" x14ac:dyDescent="0.35">
      <c r="F2115" s="435"/>
    </row>
    <row r="2116" spans="6:6" x14ac:dyDescent="0.35">
      <c r="F2116" s="435"/>
    </row>
    <row r="2117" spans="6:6" x14ac:dyDescent="0.35">
      <c r="F2117" s="435"/>
    </row>
    <row r="2118" spans="6:6" x14ac:dyDescent="0.35">
      <c r="F2118" s="435"/>
    </row>
    <row r="2119" spans="6:6" x14ac:dyDescent="0.35">
      <c r="F2119" s="435"/>
    </row>
    <row r="2120" spans="6:6" x14ac:dyDescent="0.35">
      <c r="F2120" s="435"/>
    </row>
    <row r="2121" spans="6:6" x14ac:dyDescent="0.35">
      <c r="F2121" s="435"/>
    </row>
    <row r="2122" spans="6:6" x14ac:dyDescent="0.35">
      <c r="F2122" s="435"/>
    </row>
    <row r="2123" spans="6:6" x14ac:dyDescent="0.35">
      <c r="F2123" s="435"/>
    </row>
    <row r="2124" spans="6:6" x14ac:dyDescent="0.35">
      <c r="F2124" s="435"/>
    </row>
    <row r="2125" spans="6:6" x14ac:dyDescent="0.35">
      <c r="F2125" s="435"/>
    </row>
    <row r="2126" spans="6:6" x14ac:dyDescent="0.35">
      <c r="F2126" s="435"/>
    </row>
    <row r="2127" spans="6:6" x14ac:dyDescent="0.35">
      <c r="F2127" s="435"/>
    </row>
    <row r="2128" spans="6:6" x14ac:dyDescent="0.35">
      <c r="F2128" s="435"/>
    </row>
    <row r="2129" spans="6:6" x14ac:dyDescent="0.35">
      <c r="F2129" s="435"/>
    </row>
    <row r="2130" spans="6:6" x14ac:dyDescent="0.35">
      <c r="F2130" s="435"/>
    </row>
    <row r="2131" spans="6:6" x14ac:dyDescent="0.35">
      <c r="F2131" s="435"/>
    </row>
    <row r="2132" spans="6:6" x14ac:dyDescent="0.35">
      <c r="F2132" s="435"/>
    </row>
    <row r="2133" spans="6:6" x14ac:dyDescent="0.35">
      <c r="F2133" s="435"/>
    </row>
    <row r="2134" spans="6:6" x14ac:dyDescent="0.35">
      <c r="F2134" s="435"/>
    </row>
    <row r="2135" spans="6:6" x14ac:dyDescent="0.35">
      <c r="F2135" s="435"/>
    </row>
    <row r="2136" spans="6:6" x14ac:dyDescent="0.35">
      <c r="F2136" s="435"/>
    </row>
    <row r="2137" spans="6:6" x14ac:dyDescent="0.35">
      <c r="F2137" s="435"/>
    </row>
    <row r="2138" spans="6:6" x14ac:dyDescent="0.35">
      <c r="F2138" s="435"/>
    </row>
    <row r="2139" spans="6:6" x14ac:dyDescent="0.35">
      <c r="F2139" s="435"/>
    </row>
    <row r="2140" spans="6:6" x14ac:dyDescent="0.35">
      <c r="F2140" s="435"/>
    </row>
    <row r="2141" spans="6:6" x14ac:dyDescent="0.35">
      <c r="F2141" s="435"/>
    </row>
    <row r="2142" spans="6:6" x14ac:dyDescent="0.35">
      <c r="F2142" s="435"/>
    </row>
    <row r="2143" spans="6:6" x14ac:dyDescent="0.35">
      <c r="F2143" s="435"/>
    </row>
    <row r="2144" spans="6:6" x14ac:dyDescent="0.35">
      <c r="F2144" s="435"/>
    </row>
    <row r="2145" spans="6:6" x14ac:dyDescent="0.35">
      <c r="F2145" s="435"/>
    </row>
    <row r="2146" spans="6:6" x14ac:dyDescent="0.35">
      <c r="F2146" s="435"/>
    </row>
    <row r="2147" spans="6:6" x14ac:dyDescent="0.35">
      <c r="F2147" s="435"/>
    </row>
    <row r="2148" spans="6:6" x14ac:dyDescent="0.35">
      <c r="F2148" s="435"/>
    </row>
    <row r="2149" spans="6:6" x14ac:dyDescent="0.35">
      <c r="F2149" s="435"/>
    </row>
    <row r="2150" spans="6:6" x14ac:dyDescent="0.35">
      <c r="F2150" s="435"/>
    </row>
    <row r="2151" spans="6:6" x14ac:dyDescent="0.35">
      <c r="F2151" s="435"/>
    </row>
    <row r="2152" spans="6:6" x14ac:dyDescent="0.35">
      <c r="F2152" s="435"/>
    </row>
    <row r="2153" spans="6:6" x14ac:dyDescent="0.35">
      <c r="F2153" s="435"/>
    </row>
    <row r="2154" spans="6:6" x14ac:dyDescent="0.35">
      <c r="F2154" s="435"/>
    </row>
    <row r="2155" spans="6:6" x14ac:dyDescent="0.35">
      <c r="F2155" s="435"/>
    </row>
    <row r="2156" spans="6:6" x14ac:dyDescent="0.35">
      <c r="F2156" s="435"/>
    </row>
    <row r="2157" spans="6:6" x14ac:dyDescent="0.35">
      <c r="F2157" s="435"/>
    </row>
    <row r="2158" spans="6:6" x14ac:dyDescent="0.35">
      <c r="F2158" s="435"/>
    </row>
    <row r="2159" spans="6:6" x14ac:dyDescent="0.35">
      <c r="F2159" s="435"/>
    </row>
    <row r="2160" spans="6:6" x14ac:dyDescent="0.35">
      <c r="F2160" s="435"/>
    </row>
  </sheetData>
  <sheetProtection sheet="1" objects="1" scenarios="1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28" customWidth="1"/>
    <col min="2" max="2" width="14.54296875" style="428" customWidth="1"/>
    <col min="3" max="3" width="15.54296875" style="428" customWidth="1"/>
    <col min="4" max="4" width="21.1796875" style="428" customWidth="1"/>
    <col min="5" max="5" width="55.54296875" style="428" customWidth="1"/>
    <col min="6" max="6" width="15.453125" style="428" customWidth="1"/>
    <col min="7" max="7" width="16.54296875" style="428" customWidth="1"/>
    <col min="8" max="8" width="17.1796875" style="428" customWidth="1"/>
    <col min="9" max="9" width="10.81640625" style="428" bestFit="1" customWidth="1"/>
    <col min="10" max="10" width="24.7265625" style="428" customWidth="1"/>
    <col min="11" max="11" width="14.453125" style="428" customWidth="1"/>
    <col min="12" max="12" width="15.26953125" style="428" customWidth="1"/>
    <col min="13" max="14" width="14.81640625" style="428" customWidth="1"/>
    <col min="15" max="15" width="12.453125" style="428" customWidth="1"/>
    <col min="16" max="16" width="22.54296875" style="428" customWidth="1"/>
    <col min="17" max="17" width="31.7265625" style="428" customWidth="1"/>
    <col min="18" max="16384" width="10.81640625" style="428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46" t="s">
        <v>111</v>
      </c>
      <c r="B2" s="547"/>
      <c r="C2" s="547"/>
      <c r="D2" s="547"/>
      <c r="E2" s="547"/>
      <c r="F2" s="547"/>
      <c r="G2" s="547"/>
      <c r="H2" s="547"/>
      <c r="I2" s="548"/>
      <c r="J2" s="160" t="s">
        <v>110</v>
      </c>
      <c r="K2" s="267">
        <v>173.04201680672267</v>
      </c>
      <c r="L2" s="267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8">
        <v>0.3488235294117647</v>
      </c>
      <c r="L3" s="267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41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42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9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43" t="s">
        <v>95</v>
      </c>
      <c r="Q7" s="344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5" t="s">
        <v>79</v>
      </c>
      <c r="Q8" s="346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5" t="s">
        <v>78</v>
      </c>
      <c r="Q9" s="346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5" t="s">
        <v>77</v>
      </c>
      <c r="Q10" s="346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5" t="s">
        <v>76</v>
      </c>
      <c r="Q11" s="346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5" t="s">
        <v>75</v>
      </c>
      <c r="Q12" s="346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5" t="s">
        <v>74</v>
      </c>
      <c r="Q13" s="346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5" t="s">
        <v>73</v>
      </c>
      <c r="Q14" s="346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5" t="s">
        <v>72</v>
      </c>
      <c r="Q15" s="346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5" t="s">
        <v>71</v>
      </c>
      <c r="Q16" s="346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5" t="s">
        <v>70</v>
      </c>
      <c r="Q17" s="346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5" t="s">
        <v>69</v>
      </c>
      <c r="Q18" s="346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7" t="s">
        <v>68</v>
      </c>
      <c r="Q19" s="348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9" t="s">
        <v>93</v>
      </c>
      <c r="Q20" s="350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7" t="s">
        <v>92</v>
      </c>
      <c r="Q21" s="348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51" t="s">
        <v>89</v>
      </c>
      <c r="Q22" s="352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29"/>
      <c r="K24" s="176"/>
      <c r="L24" s="176"/>
      <c r="M24" s="178"/>
      <c r="N24" s="176"/>
    </row>
    <row r="25" spans="1:17" ht="53.15" customHeight="1" x14ac:dyDescent="0.35">
      <c r="A25" s="553" t="s">
        <v>91</v>
      </c>
      <c r="B25" s="554"/>
      <c r="C25" s="555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29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29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29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29"/>
      <c r="K28" s="176"/>
      <c r="L28" s="176"/>
      <c r="M28" s="178"/>
      <c r="N28" s="176"/>
      <c r="P28" s="353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29"/>
      <c r="K29" s="176"/>
      <c r="L29" s="176"/>
      <c r="M29" s="178"/>
      <c r="N29" s="176"/>
    </row>
    <row r="30" spans="1:17" ht="25.5" customHeight="1" x14ac:dyDescent="0.35">
      <c r="A30" s="59"/>
      <c r="B30" s="354"/>
      <c r="C30" s="354"/>
      <c r="D30" s="354"/>
      <c r="E30" s="354"/>
      <c r="F30" s="354"/>
      <c r="G30" s="354"/>
      <c r="H30" s="354"/>
      <c r="I30" s="354"/>
      <c r="J30" s="354"/>
    </row>
    <row r="31" spans="1:17" ht="18.5" x14ac:dyDescent="0.35">
      <c r="A31" s="355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6"/>
      <c r="B32" s="356"/>
      <c r="C32" s="356"/>
      <c r="D32" s="356"/>
      <c r="K32" s="423"/>
    </row>
    <row r="33" spans="1:15" ht="18.5" x14ac:dyDescent="0.35">
      <c r="A33" s="357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49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50"/>
      <c r="C35" s="550"/>
      <c r="D35" s="551"/>
      <c r="E35" s="551"/>
      <c r="F35" s="551"/>
      <c r="G35" s="551"/>
      <c r="H35" s="551"/>
      <c r="I35" s="551"/>
      <c r="J35" s="551"/>
      <c r="K35" s="551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8"/>
      <c r="K36" s="85"/>
      <c r="L36" s="359"/>
      <c r="O36" s="85"/>
    </row>
    <row r="37" spans="1:15" x14ac:dyDescent="0.35">
      <c r="A37" s="552"/>
      <c r="B37" s="551"/>
      <c r="C37" s="551"/>
      <c r="D37" s="551"/>
      <c r="E37" s="551"/>
      <c r="F37" s="551"/>
      <c r="G37" s="551"/>
      <c r="K37" s="360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28" customWidth="1"/>
    <col min="2" max="2" width="20.453125" style="428" customWidth="1"/>
    <col min="3" max="3" width="23.26953125" style="428" customWidth="1"/>
    <col min="4" max="4" width="19.26953125" style="428" customWidth="1"/>
    <col min="5" max="5" width="43.81640625" style="428" customWidth="1"/>
    <col min="6" max="6" width="13.26953125" style="428" customWidth="1"/>
    <col min="7" max="7" width="18.54296875" style="428" customWidth="1"/>
    <col min="8" max="9" width="21.453125" style="428" customWidth="1"/>
    <col min="10" max="10" width="17.1796875" style="428" customWidth="1"/>
    <col min="11" max="11" width="27" style="428" customWidth="1"/>
    <col min="12" max="12" width="28.453125" style="428" customWidth="1"/>
    <col min="13" max="13" width="22.54296875" style="428" customWidth="1"/>
    <col min="14" max="14" width="17.453125" style="428" customWidth="1"/>
    <col min="15" max="15" width="12" style="428" bestFit="1" customWidth="1"/>
    <col min="16" max="16" width="15.26953125" style="428" customWidth="1"/>
    <col min="17" max="17" width="23.453125" style="428" bestFit="1" customWidth="1"/>
    <col min="18" max="16384" width="10.81640625" style="428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28" t="s">
        <v>177</v>
      </c>
      <c r="D4" s="428" t="s">
        <v>191</v>
      </c>
      <c r="E4" s="158" t="str">
        <f>"Grundgebühr inkl. " &amp; ($E$2*100) &amp; " % MwSt. (Brutto)"</f>
        <v>Grundgebühr inkl. 7 % MwSt. (Brutto)</v>
      </c>
      <c r="F4" s="361"/>
      <c r="G4" s="361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35"/>
      <c r="N6" s="435"/>
    </row>
    <row r="7" spans="1:27" ht="28" customHeight="1" x14ac:dyDescent="0.35">
      <c r="M7" s="435"/>
      <c r="N7" s="435"/>
    </row>
    <row r="8" spans="1:27" ht="50" customHeight="1" thickBot="1" x14ac:dyDescent="0.4">
      <c r="A8" s="14"/>
      <c r="B8" s="362" t="s">
        <v>189</v>
      </c>
      <c r="C8" s="363"/>
      <c r="D8" s="363"/>
      <c r="E8" s="14"/>
      <c r="F8" s="363"/>
      <c r="G8" s="363"/>
      <c r="H8" s="363"/>
      <c r="I8" s="363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28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28">
        <v>61.32</v>
      </c>
      <c r="R11" s="435">
        <f>Q11*7/100</f>
        <v>4.2923999999999998</v>
      </c>
      <c r="S11" s="428">
        <f>SUM(Q11:R11)</f>
        <v>65.612399999999994</v>
      </c>
      <c r="T11" s="428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28">
        <v>294</v>
      </c>
      <c r="R12" s="435">
        <f>Q12*7/100</f>
        <v>20.58</v>
      </c>
      <c r="T12" s="428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35"/>
      <c r="T13" s="428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28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67" t="s">
        <v>182</v>
      </c>
      <c r="P15" s="568"/>
      <c r="Q15" s="364" t="s">
        <v>181</v>
      </c>
      <c r="R15" s="365"/>
      <c r="S15" s="366"/>
      <c r="T15" s="556">
        <v>6</v>
      </c>
      <c r="U15" s="557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5" t="s">
        <v>180</v>
      </c>
      <c r="Q16" s="367">
        <v>500.82</v>
      </c>
      <c r="R16" s="368" t="s">
        <v>179</v>
      </c>
      <c r="S16" s="369"/>
      <c r="T16" s="431">
        <v>12</v>
      </c>
      <c r="U16" s="370" t="s">
        <v>174</v>
      </c>
      <c r="V16" s="371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5" t="s">
        <v>178</v>
      </c>
      <c r="Q17" s="367">
        <v>59.72</v>
      </c>
      <c r="R17" s="368" t="s">
        <v>177</v>
      </c>
      <c r="S17" s="369"/>
      <c r="T17" s="372">
        <v>15</v>
      </c>
      <c r="U17" s="373" t="s">
        <v>174</v>
      </c>
      <c r="V17" s="428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5" t="s">
        <v>176</v>
      </c>
      <c r="Q18" s="367">
        <v>5.21</v>
      </c>
      <c r="R18" s="368" t="s">
        <v>175</v>
      </c>
      <c r="S18" s="369"/>
      <c r="T18" s="374">
        <v>13</v>
      </c>
      <c r="U18" s="375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6">
        <v>1.47</v>
      </c>
      <c r="P19" s="377" t="s">
        <v>173</v>
      </c>
      <c r="Q19" s="367">
        <v>9.34</v>
      </c>
      <c r="R19" s="368" t="s">
        <v>172</v>
      </c>
      <c r="S19" s="369"/>
      <c r="T19" s="428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8">
        <f>O16+O17+O18+O19</f>
        <v>112</v>
      </c>
      <c r="P20" s="379" t="s">
        <v>115</v>
      </c>
      <c r="Q20" s="380">
        <v>2.85</v>
      </c>
      <c r="R20" s="381" t="s">
        <v>171</v>
      </c>
      <c r="S20" s="382"/>
      <c r="T20" s="556">
        <v>14</v>
      </c>
      <c r="U20" s="558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6"/>
      <c r="Q21" s="383">
        <f>Q16+Q17+Q18+Q19+Q20</f>
        <v>577.94000000000005</v>
      </c>
      <c r="R21" s="384" t="s">
        <v>115</v>
      </c>
      <c r="S21" s="385"/>
      <c r="T21" s="431">
        <v>25</v>
      </c>
      <c r="U21" s="431">
        <v>2021</v>
      </c>
      <c r="X21" s="428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6"/>
      <c r="Q22" s="386">
        <v>320</v>
      </c>
      <c r="R22" s="387" t="s">
        <v>170</v>
      </c>
      <c r="S22" s="388"/>
      <c r="T22" s="377">
        <v>12</v>
      </c>
      <c r="U22" s="372">
        <v>2020</v>
      </c>
      <c r="X22" s="428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6"/>
      <c r="Q23" s="366"/>
      <c r="R23" s="366"/>
      <c r="S23" s="366"/>
      <c r="T23" s="374"/>
      <c r="U23" s="375" t="s">
        <v>169</v>
      </c>
      <c r="X23" s="428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6"/>
      <c r="Q24" s="389">
        <f>Q21-Q22</f>
        <v>257.94000000000005</v>
      </c>
      <c r="R24" s="390"/>
      <c r="S24" s="390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91" t="s">
        <v>166</v>
      </c>
      <c r="P26" s="392"/>
      <c r="Q26" s="393"/>
      <c r="R26" s="394"/>
      <c r="S26" s="395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91" t="s">
        <v>164</v>
      </c>
      <c r="P27" s="396"/>
      <c r="Q27" s="396"/>
      <c r="R27" s="396"/>
      <c r="S27" s="397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35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81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34"/>
      <c r="N29" s="105"/>
      <c r="O29" s="398">
        <v>3.19</v>
      </c>
      <c r="P29" s="399" t="s">
        <v>162</v>
      </c>
      <c r="R29" s="85"/>
      <c r="T29" s="428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34"/>
      <c r="N30" s="105"/>
      <c r="O30" s="400">
        <v>0</v>
      </c>
      <c r="P30" s="401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34"/>
      <c r="N31" s="105"/>
      <c r="O31" s="402">
        <f>O29+O30</f>
        <v>3.19</v>
      </c>
      <c r="P31" s="403"/>
      <c r="S31" s="404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34"/>
      <c r="M35" s="434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34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64" t="s">
        <v>154</v>
      </c>
      <c r="E44" s="564"/>
      <c r="F44" s="564"/>
      <c r="G44" s="110">
        <v>2025</v>
      </c>
      <c r="H44" s="111">
        <v>773.5</v>
      </c>
      <c r="I44" s="433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65" t="s">
        <v>125</v>
      </c>
      <c r="E45" s="565"/>
      <c r="F45" s="566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65" t="s">
        <v>152</v>
      </c>
      <c r="E46" s="565"/>
      <c r="F46" s="566"/>
      <c r="G46" s="435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32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40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9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9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59"/>
      <c r="D55" s="551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32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32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5">
        <v>1</v>
      </c>
      <c r="B64" s="406" t="s">
        <v>132</v>
      </c>
      <c r="C64" s="407">
        <v>1.54</v>
      </c>
      <c r="D64" s="407">
        <v>199.5</v>
      </c>
      <c r="E64" s="407"/>
      <c r="F64" s="405">
        <v>366</v>
      </c>
      <c r="G64" s="407">
        <v>61.32</v>
      </c>
      <c r="H64" s="407">
        <v>260.82</v>
      </c>
      <c r="I64" s="408">
        <v>0.05</v>
      </c>
      <c r="J64" s="407">
        <v>13.04</v>
      </c>
      <c r="K64" s="407">
        <v>273.86</v>
      </c>
      <c r="L64" s="105"/>
      <c r="M64" s="105"/>
    </row>
    <row r="65" spans="1:11" ht="23.5" customHeight="1" thickTop="1" thickBot="1" x14ac:dyDescent="0.4">
      <c r="A65" s="405">
        <v>2</v>
      </c>
      <c r="B65" s="406" t="s">
        <v>132</v>
      </c>
      <c r="C65" s="407">
        <v>2.19</v>
      </c>
      <c r="D65" s="407">
        <v>316.54000000000002</v>
      </c>
      <c r="E65" s="407"/>
      <c r="F65" s="405">
        <v>366</v>
      </c>
      <c r="G65" s="407"/>
      <c r="H65" s="407">
        <v>316.54000000000002</v>
      </c>
      <c r="I65" s="409"/>
      <c r="J65" s="407"/>
      <c r="K65" s="407">
        <v>316.54000000000002</v>
      </c>
    </row>
    <row r="66" spans="1:11" ht="23.5" customHeight="1" thickTop="1" thickBot="1" x14ac:dyDescent="0.4">
      <c r="A66" s="410"/>
      <c r="B66" s="411"/>
      <c r="C66" s="412"/>
      <c r="D66" s="412"/>
      <c r="E66" s="412"/>
      <c r="F66" s="410"/>
      <c r="G66" s="412"/>
      <c r="H66" s="412"/>
      <c r="I66" s="413"/>
      <c r="J66" s="412"/>
      <c r="K66" s="414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5"/>
      <c r="D67" s="416"/>
      <c r="E67" s="416"/>
      <c r="F67" s="430"/>
      <c r="G67" s="416"/>
      <c r="H67" s="416"/>
      <c r="I67" s="430"/>
      <c r="J67" s="416"/>
      <c r="K67" s="416"/>
    </row>
    <row r="68" spans="1:11" ht="23.5" customHeight="1" thickTop="1" x14ac:dyDescent="0.35">
      <c r="A68" s="430">
        <v>1</v>
      </c>
      <c r="B68" s="417">
        <v>1711509</v>
      </c>
      <c r="C68" s="416"/>
      <c r="D68" s="416"/>
      <c r="E68" s="416"/>
      <c r="F68" s="430"/>
      <c r="G68" s="416"/>
      <c r="H68" s="416"/>
      <c r="I68" s="430"/>
      <c r="J68" s="416"/>
      <c r="K68" s="416"/>
    </row>
    <row r="69" spans="1:11" ht="23.5" customHeight="1" thickBot="1" x14ac:dyDescent="0.4">
      <c r="A69" s="418">
        <v>2</v>
      </c>
      <c r="B69" s="417" t="s">
        <v>129</v>
      </c>
      <c r="C69" s="419"/>
      <c r="D69" s="419"/>
      <c r="E69" s="419"/>
      <c r="F69" s="418"/>
      <c r="G69" s="419"/>
      <c r="H69" s="419"/>
      <c r="I69" s="418"/>
      <c r="J69" s="419"/>
      <c r="K69" s="419"/>
    </row>
    <row r="70" spans="1:11" ht="23.5" customHeight="1" thickTop="1" thickBot="1" x14ac:dyDescent="0.4">
      <c r="A70" s="405"/>
      <c r="B70" s="405"/>
      <c r="C70" s="407"/>
      <c r="D70" s="405"/>
      <c r="E70" s="405"/>
      <c r="F70" s="405"/>
      <c r="G70" s="420" t="s">
        <v>115</v>
      </c>
      <c r="H70" s="407">
        <v>577.36</v>
      </c>
      <c r="I70" s="405"/>
      <c r="J70" s="407">
        <v>13.04</v>
      </c>
      <c r="K70" s="407">
        <v>590.4</v>
      </c>
    </row>
    <row r="71" spans="1:11" ht="23.5" customHeight="1" thickTop="1" x14ac:dyDescent="0.35">
      <c r="A71" s="410"/>
      <c r="B71" s="410"/>
      <c r="C71" s="410"/>
      <c r="D71" s="410"/>
      <c r="E71" s="410"/>
      <c r="F71" s="410"/>
      <c r="G71" s="410"/>
      <c r="H71" s="410"/>
      <c r="I71" s="410"/>
      <c r="J71" s="410"/>
      <c r="K71" s="410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60"/>
      <c r="C83" s="560"/>
      <c r="D83" s="560"/>
      <c r="E83" s="560"/>
      <c r="F83" s="560"/>
      <c r="G83" s="560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61">
        <f>SUM(G92:G101)</f>
        <v>231.20999999999995</v>
      </c>
      <c r="C102" s="562"/>
      <c r="D102" s="562"/>
      <c r="E102" s="562"/>
      <c r="F102" s="562"/>
      <c r="G102" s="563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F12" sqref="F12"/>
    </sheetView>
  </sheetViews>
  <sheetFormatPr baseColWidth="10" defaultColWidth="11.453125" defaultRowHeight="14.5" x14ac:dyDescent="0.35"/>
  <cols>
    <col min="1" max="1" width="23" style="283" customWidth="1"/>
    <col min="2" max="2" width="11.453125" style="282"/>
    <col min="3" max="3" width="9" style="282" customWidth="1"/>
    <col min="4" max="4" width="11.453125" style="282"/>
    <col min="5" max="5" width="20.81640625" style="282" customWidth="1"/>
    <col min="6" max="6" width="17.26953125" style="282" bestFit="1" customWidth="1"/>
    <col min="7" max="7" width="20" style="282" customWidth="1"/>
    <col min="8" max="8" width="13.1796875" style="282" customWidth="1"/>
    <col min="9" max="9" width="11.453125" style="282"/>
    <col min="10" max="10" width="21.26953125" style="282" customWidth="1"/>
    <col min="11" max="11" width="19.81640625" style="282" customWidth="1"/>
    <col min="12" max="12" width="17.81640625" style="282" customWidth="1"/>
    <col min="13" max="13" width="14.1796875" style="282" bestFit="1" customWidth="1"/>
    <col min="14" max="14" width="31.7265625" style="282" customWidth="1"/>
    <col min="15" max="15" width="16.453125" style="282" customWidth="1"/>
    <col min="16" max="17" width="14.6328125" style="282" customWidth="1"/>
    <col min="18" max="16384" width="11.453125" style="428"/>
  </cols>
  <sheetData>
    <row r="1" spans="1:17" ht="9" customHeight="1" x14ac:dyDescent="0.35">
      <c r="A1" s="423"/>
      <c r="B1" s="428"/>
      <c r="C1" s="428"/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  <c r="O1" s="428"/>
      <c r="P1" s="428"/>
      <c r="Q1" s="428"/>
    </row>
    <row r="2" spans="1:17" x14ac:dyDescent="0.35">
      <c r="A2" s="423"/>
      <c r="B2" s="286" t="s">
        <v>296</v>
      </c>
      <c r="C2" s="428"/>
      <c r="D2" s="287">
        <v>46052.984398148146</v>
      </c>
      <c r="E2" s="428"/>
      <c r="F2" s="428"/>
      <c r="G2" s="428"/>
      <c r="H2" s="428"/>
      <c r="I2" s="428"/>
      <c r="J2" s="428"/>
      <c r="K2" s="428"/>
      <c r="L2" s="428"/>
      <c r="M2" s="428"/>
      <c r="N2" s="428"/>
      <c r="O2" s="428"/>
      <c r="P2" s="428"/>
      <c r="Q2" s="428"/>
    </row>
    <row r="3" spans="1:17" ht="8.25" customHeight="1" x14ac:dyDescent="0.35">
      <c r="A3" s="423"/>
      <c r="B3" s="428"/>
      <c r="C3" s="428"/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  <c r="O3" s="428"/>
      <c r="P3" s="428"/>
      <c r="Q3" s="428"/>
    </row>
    <row r="4" spans="1:17" ht="18.5" x14ac:dyDescent="0.35">
      <c r="A4" s="423"/>
      <c r="B4" s="428"/>
      <c r="C4" s="428"/>
      <c r="D4" s="569" t="s">
        <v>19</v>
      </c>
      <c r="E4" s="510"/>
      <c r="F4" s="511"/>
      <c r="G4" s="569" t="s">
        <v>295</v>
      </c>
      <c r="H4" s="510"/>
      <c r="I4" s="510"/>
      <c r="J4" s="511"/>
      <c r="K4" s="569" t="s">
        <v>294</v>
      </c>
      <c r="L4" s="511"/>
      <c r="M4" s="428"/>
      <c r="N4" s="428"/>
      <c r="O4" s="428"/>
      <c r="P4" s="428"/>
      <c r="Q4" s="428"/>
    </row>
    <row r="5" spans="1:17" ht="36" customHeight="1" x14ac:dyDescent="0.35">
      <c r="A5" s="288" t="s">
        <v>490</v>
      </c>
      <c r="B5" s="289" t="s">
        <v>293</v>
      </c>
      <c r="C5" s="289" t="s">
        <v>292</v>
      </c>
      <c r="D5" s="289" t="s">
        <v>291</v>
      </c>
      <c r="E5" s="289" t="s">
        <v>290</v>
      </c>
      <c r="F5" s="289" t="s">
        <v>289</v>
      </c>
      <c r="G5" s="290" t="s">
        <v>288</v>
      </c>
      <c r="H5" s="289" t="s">
        <v>287</v>
      </c>
      <c r="I5" s="289" t="s">
        <v>286</v>
      </c>
      <c r="J5" s="289" t="s">
        <v>285</v>
      </c>
      <c r="K5" s="289" t="s">
        <v>284</v>
      </c>
      <c r="L5" s="289" t="s">
        <v>283</v>
      </c>
      <c r="M5" s="289" t="s">
        <v>282</v>
      </c>
      <c r="N5" s="289" t="s">
        <v>281</v>
      </c>
      <c r="O5" s="291" t="s">
        <v>280</v>
      </c>
      <c r="P5" s="291" t="s">
        <v>525</v>
      </c>
      <c r="Q5" s="291" t="s">
        <v>488</v>
      </c>
    </row>
    <row r="6" spans="1:17" x14ac:dyDescent="0.35">
      <c r="A6" s="292" t="s">
        <v>491</v>
      </c>
      <c r="B6" s="293">
        <v>1</v>
      </c>
      <c r="C6" s="285" t="s">
        <v>230</v>
      </c>
      <c r="D6" s="294" t="s">
        <v>212</v>
      </c>
      <c r="E6" s="294" t="s">
        <v>279</v>
      </c>
      <c r="F6" s="294" t="s">
        <v>278</v>
      </c>
      <c r="G6" s="294" t="s">
        <v>277</v>
      </c>
      <c r="H6" s="293" t="s">
        <v>276</v>
      </c>
      <c r="I6" s="293">
        <v>14797</v>
      </c>
      <c r="J6" s="294" t="s">
        <v>275</v>
      </c>
      <c r="K6" s="294"/>
      <c r="L6" s="294" t="s">
        <v>274</v>
      </c>
      <c r="M6" s="295"/>
      <c r="N6" s="294"/>
      <c r="O6" s="294" t="s">
        <v>512</v>
      </c>
      <c r="P6" s="295"/>
      <c r="Q6" s="295"/>
    </row>
    <row r="7" spans="1:17" x14ac:dyDescent="0.35">
      <c r="A7" s="302" t="s">
        <v>492</v>
      </c>
      <c r="B7" s="300">
        <v>2</v>
      </c>
      <c r="C7" s="296" t="s">
        <v>230</v>
      </c>
      <c r="D7" s="303" t="s">
        <v>216</v>
      </c>
      <c r="E7" s="303" t="s">
        <v>343</v>
      </c>
      <c r="F7" s="303" t="s">
        <v>273</v>
      </c>
      <c r="G7" s="303" t="s">
        <v>270</v>
      </c>
      <c r="H7" s="300">
        <v>29</v>
      </c>
      <c r="I7" s="300">
        <v>14478</v>
      </c>
      <c r="J7" s="303" t="s">
        <v>217</v>
      </c>
      <c r="K7" s="303"/>
      <c r="L7" s="303"/>
      <c r="M7" s="304"/>
      <c r="N7" s="303"/>
      <c r="O7" s="303" t="s">
        <v>512</v>
      </c>
      <c r="P7" s="304"/>
      <c r="Q7" s="304"/>
    </row>
    <row r="8" spans="1:17" x14ac:dyDescent="0.35">
      <c r="A8" s="292" t="s">
        <v>493</v>
      </c>
      <c r="B8" s="293">
        <v>2</v>
      </c>
      <c r="C8" s="285" t="s">
        <v>230</v>
      </c>
      <c r="D8" s="294" t="s">
        <v>212</v>
      </c>
      <c r="E8" s="294" t="s">
        <v>272</v>
      </c>
      <c r="F8" s="294" t="s">
        <v>271</v>
      </c>
      <c r="G8" s="294" t="s">
        <v>270</v>
      </c>
      <c r="H8" s="293">
        <v>29</v>
      </c>
      <c r="I8" s="293">
        <v>14478</v>
      </c>
      <c r="J8" s="294" t="s">
        <v>217</v>
      </c>
      <c r="K8" s="294" t="str">
        <f>IF(K7=0,"",K7)</f>
        <v/>
      </c>
      <c r="L8" s="294" t="s">
        <v>269</v>
      </c>
      <c r="M8" s="295"/>
      <c r="N8" s="294"/>
      <c r="O8" s="294" t="s">
        <v>512</v>
      </c>
      <c r="P8" s="295"/>
      <c r="Q8" s="295"/>
    </row>
    <row r="9" spans="1:17" x14ac:dyDescent="0.35">
      <c r="A9" s="302" t="s">
        <v>494</v>
      </c>
      <c r="B9" s="300">
        <v>3</v>
      </c>
      <c r="C9" s="296" t="s">
        <v>230</v>
      </c>
      <c r="D9" s="303" t="s">
        <v>216</v>
      </c>
      <c r="E9" s="303" t="s">
        <v>264</v>
      </c>
      <c r="F9" s="303" t="s">
        <v>268</v>
      </c>
      <c r="G9" s="303" t="s">
        <v>267</v>
      </c>
      <c r="H9" s="300">
        <v>62</v>
      </c>
      <c r="I9" s="300">
        <v>13409</v>
      </c>
      <c r="J9" s="303" t="s">
        <v>225</v>
      </c>
      <c r="K9" s="310" t="s">
        <v>266</v>
      </c>
      <c r="L9" s="310" t="s">
        <v>266</v>
      </c>
      <c r="M9" s="304"/>
      <c r="N9" s="319" t="s">
        <v>265</v>
      </c>
      <c r="O9" s="310" t="s">
        <v>305</v>
      </c>
      <c r="P9" s="304"/>
      <c r="Q9" s="307"/>
    </row>
    <row r="10" spans="1:17" x14ac:dyDescent="0.35">
      <c r="A10" s="292" t="s">
        <v>495</v>
      </c>
      <c r="B10" s="293">
        <v>4</v>
      </c>
      <c r="C10" s="285" t="s">
        <v>230</v>
      </c>
      <c r="D10" s="294" t="s">
        <v>216</v>
      </c>
      <c r="E10" s="294" t="s">
        <v>264</v>
      </c>
      <c r="F10" s="294" t="s">
        <v>263</v>
      </c>
      <c r="G10" s="294" t="s">
        <v>242</v>
      </c>
      <c r="H10" s="293">
        <v>11</v>
      </c>
      <c r="I10" s="293">
        <v>12057</v>
      </c>
      <c r="J10" s="294" t="s">
        <v>225</v>
      </c>
      <c r="K10" s="294" t="s">
        <v>262</v>
      </c>
      <c r="L10" s="294" t="s">
        <v>261</v>
      </c>
      <c r="M10" s="295" t="s">
        <v>260</v>
      </c>
      <c r="N10" s="294" t="s">
        <v>259</v>
      </c>
      <c r="O10" s="294" t="s">
        <v>258</v>
      </c>
      <c r="P10" s="295"/>
      <c r="Q10" s="295"/>
    </row>
    <row r="11" spans="1:17" x14ac:dyDescent="0.35">
      <c r="A11" s="302" t="s">
        <v>496</v>
      </c>
      <c r="B11" s="300">
        <v>5</v>
      </c>
      <c r="C11" s="296" t="s">
        <v>230</v>
      </c>
      <c r="D11" s="303" t="s">
        <v>216</v>
      </c>
      <c r="E11" s="303" t="s">
        <v>251</v>
      </c>
      <c r="F11" s="303" t="s">
        <v>257</v>
      </c>
      <c r="G11" s="303" t="s">
        <v>249</v>
      </c>
      <c r="H11" s="300">
        <v>79</v>
      </c>
      <c r="I11" s="300">
        <v>12057</v>
      </c>
      <c r="J11" s="303" t="s">
        <v>225</v>
      </c>
      <c r="K11" s="303" t="s">
        <v>256</v>
      </c>
      <c r="L11" s="303" t="s">
        <v>255</v>
      </c>
      <c r="M11" s="304" t="s">
        <v>254</v>
      </c>
      <c r="N11" s="303" t="s">
        <v>253</v>
      </c>
      <c r="O11" s="303" t="s">
        <v>252</v>
      </c>
      <c r="P11" s="304"/>
      <c r="Q11" s="304"/>
    </row>
    <row r="12" spans="1:17" x14ac:dyDescent="0.35">
      <c r="A12" s="292" t="s">
        <v>497</v>
      </c>
      <c r="B12" s="293">
        <v>5</v>
      </c>
      <c r="C12" s="285" t="s">
        <v>230</v>
      </c>
      <c r="D12" s="294" t="s">
        <v>212</v>
      </c>
      <c r="E12" s="294" t="s">
        <v>251</v>
      </c>
      <c r="F12" s="294" t="s">
        <v>250</v>
      </c>
      <c r="G12" s="294" t="s">
        <v>249</v>
      </c>
      <c r="H12" s="293">
        <v>79</v>
      </c>
      <c r="I12" s="293">
        <v>12057</v>
      </c>
      <c r="J12" s="294" t="s">
        <v>225</v>
      </c>
      <c r="K12" s="294" t="s">
        <v>248</v>
      </c>
      <c r="L12" s="294" t="s">
        <v>247</v>
      </c>
      <c r="M12" s="295" t="s">
        <v>246</v>
      </c>
      <c r="N12" s="294" t="s">
        <v>245</v>
      </c>
      <c r="O12" s="294" t="s">
        <v>513</v>
      </c>
      <c r="P12" s="295"/>
      <c r="Q12" s="295"/>
    </row>
    <row r="13" spans="1:17" x14ac:dyDescent="0.35">
      <c r="A13" s="302" t="s">
        <v>498</v>
      </c>
      <c r="B13" s="300">
        <v>6</v>
      </c>
      <c r="C13" s="296" t="s">
        <v>230</v>
      </c>
      <c r="D13" s="303" t="s">
        <v>216</v>
      </c>
      <c r="E13" s="303" t="s">
        <v>244</v>
      </c>
      <c r="F13" s="303" t="s">
        <v>243</v>
      </c>
      <c r="G13" s="303" t="s">
        <v>242</v>
      </c>
      <c r="H13" s="300">
        <v>11</v>
      </c>
      <c r="I13" s="300">
        <v>12057</v>
      </c>
      <c r="J13" s="303" t="s">
        <v>225</v>
      </c>
      <c r="K13" s="303" t="s">
        <v>241</v>
      </c>
      <c r="L13" s="303" t="s">
        <v>240</v>
      </c>
      <c r="M13" s="304" t="s">
        <v>239</v>
      </c>
      <c r="N13" s="303" t="s">
        <v>238</v>
      </c>
      <c r="O13" s="303" t="s">
        <v>301</v>
      </c>
      <c r="P13" s="304"/>
      <c r="Q13" s="304"/>
    </row>
    <row r="14" spans="1:17" x14ac:dyDescent="0.35">
      <c r="A14" s="292" t="s">
        <v>499</v>
      </c>
      <c r="B14" s="293">
        <v>7</v>
      </c>
      <c r="C14" s="285" t="s">
        <v>230</v>
      </c>
      <c r="D14" s="294" t="s">
        <v>216</v>
      </c>
      <c r="E14" s="294" t="s">
        <v>237</v>
      </c>
      <c r="F14" s="294" t="s">
        <v>236</v>
      </c>
      <c r="G14" s="294" t="s">
        <v>235</v>
      </c>
      <c r="H14" s="293">
        <v>64</v>
      </c>
      <c r="I14" s="293">
        <v>13409</v>
      </c>
      <c r="J14" s="294" t="s">
        <v>225</v>
      </c>
      <c r="K14" s="294" t="s">
        <v>234</v>
      </c>
      <c r="L14" s="294" t="s">
        <v>233</v>
      </c>
      <c r="M14" s="295"/>
      <c r="N14" s="294"/>
      <c r="O14" s="294" t="s">
        <v>512</v>
      </c>
      <c r="P14" s="295"/>
      <c r="Q14" s="295"/>
    </row>
    <row r="15" spans="1:17" x14ac:dyDescent="0.35">
      <c r="A15" s="302" t="s">
        <v>500</v>
      </c>
      <c r="B15" s="300">
        <v>7</v>
      </c>
      <c r="C15" s="296" t="s">
        <v>230</v>
      </c>
      <c r="D15" s="303" t="s">
        <v>212</v>
      </c>
      <c r="E15" s="303" t="s">
        <v>237</v>
      </c>
      <c r="F15" s="303" t="s">
        <v>232</v>
      </c>
      <c r="G15" s="303" t="s">
        <v>235</v>
      </c>
      <c r="H15" s="300">
        <v>64</v>
      </c>
      <c r="I15" s="300">
        <v>13409</v>
      </c>
      <c r="J15" s="303" t="s">
        <v>225</v>
      </c>
      <c r="K15" s="303" t="str">
        <f>IF(K14=0,"",K14)</f>
        <v>+49-30-252035990</v>
      </c>
      <c r="L15" s="303" t="s">
        <v>231</v>
      </c>
      <c r="M15" s="304"/>
      <c r="N15" s="303"/>
      <c r="O15" s="303" t="s">
        <v>512</v>
      </c>
      <c r="P15" s="304"/>
      <c r="Q15" s="304"/>
    </row>
    <row r="16" spans="1:17" x14ac:dyDescent="0.35">
      <c r="A16" s="292" t="s">
        <v>501</v>
      </c>
      <c r="B16" s="293">
        <v>8</v>
      </c>
      <c r="C16" s="285" t="s">
        <v>230</v>
      </c>
      <c r="D16" s="294" t="s">
        <v>216</v>
      </c>
      <c r="E16" s="294" t="s">
        <v>347</v>
      </c>
      <c r="F16" s="294" t="s">
        <v>348</v>
      </c>
      <c r="G16" s="294" t="s">
        <v>368</v>
      </c>
      <c r="H16" s="293">
        <v>1</v>
      </c>
      <c r="I16" s="293">
        <v>10717</v>
      </c>
      <c r="J16" s="294" t="s">
        <v>225</v>
      </c>
      <c r="K16" s="294"/>
      <c r="L16" s="294"/>
      <c r="M16" s="295"/>
      <c r="N16" s="294"/>
      <c r="O16" s="294" t="s">
        <v>512</v>
      </c>
      <c r="P16" s="295"/>
      <c r="Q16" s="295"/>
    </row>
    <row r="17" spans="1:17" x14ac:dyDescent="0.35">
      <c r="A17" s="302" t="s">
        <v>502</v>
      </c>
      <c r="B17" s="300">
        <v>8</v>
      </c>
      <c r="C17" s="296" t="s">
        <v>230</v>
      </c>
      <c r="D17" s="303" t="s">
        <v>212</v>
      </c>
      <c r="E17" s="303" t="s">
        <v>347</v>
      </c>
      <c r="F17" s="303" t="s">
        <v>352</v>
      </c>
      <c r="G17" s="303" t="s">
        <v>368</v>
      </c>
      <c r="H17" s="300">
        <v>1</v>
      </c>
      <c r="I17" s="300">
        <v>10717</v>
      </c>
      <c r="J17" s="303" t="s">
        <v>225</v>
      </c>
      <c r="K17" s="303"/>
      <c r="L17" s="303"/>
      <c r="M17" s="304"/>
      <c r="N17" s="303"/>
      <c r="O17" s="303" t="s">
        <v>512</v>
      </c>
      <c r="P17" s="304"/>
      <c r="Q17" s="304"/>
    </row>
    <row r="18" spans="1:17" x14ac:dyDescent="0.35">
      <c r="A18" s="292" t="s">
        <v>503</v>
      </c>
      <c r="B18" s="293">
        <v>9</v>
      </c>
      <c r="C18" s="285" t="s">
        <v>230</v>
      </c>
      <c r="D18" s="294" t="s">
        <v>216</v>
      </c>
      <c r="E18" s="294" t="s">
        <v>229</v>
      </c>
      <c r="F18" s="294" t="s">
        <v>228</v>
      </c>
      <c r="G18" s="294" t="s">
        <v>227</v>
      </c>
      <c r="H18" s="293">
        <v>42</v>
      </c>
      <c r="I18" s="293">
        <v>13409</v>
      </c>
      <c r="J18" s="294" t="s">
        <v>225</v>
      </c>
      <c r="K18" s="294"/>
      <c r="L18" s="294" t="s">
        <v>226</v>
      </c>
      <c r="M18" s="295"/>
      <c r="N18" s="294"/>
      <c r="O18" s="294" t="s">
        <v>512</v>
      </c>
      <c r="P18" s="295"/>
      <c r="Q18" s="295"/>
    </row>
    <row r="19" spans="1:17" x14ac:dyDescent="0.35">
      <c r="A19" s="302" t="s">
        <v>543</v>
      </c>
      <c r="B19" s="300">
        <v>9</v>
      </c>
      <c r="C19" s="296" t="s">
        <v>230</v>
      </c>
      <c r="D19" s="303" t="s">
        <v>212</v>
      </c>
      <c r="E19" s="303" t="s">
        <v>537</v>
      </c>
      <c r="F19" s="303" t="s">
        <v>538</v>
      </c>
      <c r="G19" s="303" t="s">
        <v>544</v>
      </c>
      <c r="H19" s="300">
        <v>88</v>
      </c>
      <c r="I19" s="300">
        <v>32445</v>
      </c>
      <c r="J19" s="303" t="s">
        <v>545</v>
      </c>
      <c r="K19" s="303"/>
      <c r="L19" s="303"/>
      <c r="M19" s="304"/>
      <c r="N19" s="303"/>
      <c r="O19" s="303" t="s">
        <v>513</v>
      </c>
      <c r="P19" s="304">
        <v>46050</v>
      </c>
      <c r="Q19" s="304"/>
    </row>
    <row r="20" spans="1:17" x14ac:dyDescent="0.35">
      <c r="A20" s="292" t="s">
        <v>504</v>
      </c>
      <c r="B20" s="293">
        <v>10</v>
      </c>
      <c r="C20" s="285" t="s">
        <v>213</v>
      </c>
      <c r="D20" s="294" t="s">
        <v>216</v>
      </c>
      <c r="E20" s="294" t="s">
        <v>362</v>
      </c>
      <c r="F20" s="294" t="s">
        <v>361</v>
      </c>
      <c r="G20" s="294" t="s">
        <v>365</v>
      </c>
      <c r="H20" s="293">
        <v>6</v>
      </c>
      <c r="I20" s="293">
        <v>14974</v>
      </c>
      <c r="J20" s="294" t="s">
        <v>366</v>
      </c>
      <c r="K20" s="294"/>
      <c r="L20" s="294"/>
      <c r="M20" s="295"/>
      <c r="N20" s="294"/>
      <c r="O20" s="294" t="s">
        <v>512</v>
      </c>
      <c r="P20" s="295"/>
      <c r="Q20" s="295"/>
    </row>
    <row r="21" spans="1:17" x14ac:dyDescent="0.35">
      <c r="A21" s="302" t="s">
        <v>505</v>
      </c>
      <c r="B21" s="300">
        <v>10</v>
      </c>
      <c r="C21" s="296" t="s">
        <v>213</v>
      </c>
      <c r="D21" s="303" t="s">
        <v>212</v>
      </c>
      <c r="E21" s="303" t="s">
        <v>364</v>
      </c>
      <c r="F21" s="303" t="s">
        <v>363</v>
      </c>
      <c r="G21" s="303" t="s">
        <v>365</v>
      </c>
      <c r="H21" s="300">
        <v>6</v>
      </c>
      <c r="I21" s="300">
        <v>14974</v>
      </c>
      <c r="J21" s="303" t="s">
        <v>366</v>
      </c>
      <c r="K21" s="303"/>
      <c r="L21" s="303"/>
      <c r="M21" s="304"/>
      <c r="N21" s="303"/>
      <c r="O21" s="303" t="s">
        <v>512</v>
      </c>
      <c r="P21" s="304"/>
      <c r="Q21" s="304"/>
    </row>
    <row r="22" spans="1:17" x14ac:dyDescent="0.35">
      <c r="A22" s="292" t="s">
        <v>506</v>
      </c>
      <c r="B22" s="293">
        <v>11</v>
      </c>
      <c r="C22" s="285" t="s">
        <v>213</v>
      </c>
      <c r="D22" s="294" t="s">
        <v>216</v>
      </c>
      <c r="E22" s="294" t="s">
        <v>224</v>
      </c>
      <c r="F22" s="294" t="s">
        <v>223</v>
      </c>
      <c r="G22" s="294" t="s">
        <v>222</v>
      </c>
      <c r="H22" s="293">
        <v>2</v>
      </c>
      <c r="I22" s="293">
        <v>12529</v>
      </c>
      <c r="J22" s="294" t="s">
        <v>221</v>
      </c>
      <c r="K22" s="294" t="s">
        <v>220</v>
      </c>
      <c r="L22" s="294" t="s">
        <v>219</v>
      </c>
      <c r="M22" s="295"/>
      <c r="N22" s="294"/>
      <c r="O22" s="294" t="s">
        <v>512</v>
      </c>
      <c r="P22" s="295"/>
      <c r="Q22" s="295"/>
    </row>
    <row r="23" spans="1:17" x14ac:dyDescent="0.35">
      <c r="A23" s="302" t="s">
        <v>507</v>
      </c>
      <c r="B23" s="300">
        <v>11</v>
      </c>
      <c r="C23" s="296" t="s">
        <v>213</v>
      </c>
      <c r="D23" s="303" t="s">
        <v>212</v>
      </c>
      <c r="E23" s="303" t="s">
        <v>224</v>
      </c>
      <c r="F23" s="303" t="s">
        <v>210</v>
      </c>
      <c r="G23" s="303" t="s">
        <v>222</v>
      </c>
      <c r="H23" s="300">
        <v>2</v>
      </c>
      <c r="I23" s="300">
        <v>12529</v>
      </c>
      <c r="J23" s="303" t="s">
        <v>221</v>
      </c>
      <c r="K23" s="303" t="str">
        <f>IF(K22=0,"",K22)</f>
        <v>+49-3327-7255023</v>
      </c>
      <c r="L23" s="303" t="s">
        <v>218</v>
      </c>
      <c r="M23" s="304"/>
      <c r="N23" s="303"/>
      <c r="O23" s="303" t="s">
        <v>512</v>
      </c>
      <c r="P23" s="304"/>
      <c r="Q23" s="304"/>
    </row>
    <row r="24" spans="1:17" x14ac:dyDescent="0.35">
      <c r="A24" s="292" t="s">
        <v>508</v>
      </c>
      <c r="B24" s="293">
        <v>12</v>
      </c>
      <c r="C24" s="285" t="s">
        <v>213</v>
      </c>
      <c r="D24" s="294" t="s">
        <v>216</v>
      </c>
      <c r="E24" s="294" t="s">
        <v>356</v>
      </c>
      <c r="F24" s="294" t="s">
        <v>357</v>
      </c>
      <c r="G24" s="294" t="s">
        <v>367</v>
      </c>
      <c r="H24" s="293">
        <v>18</v>
      </c>
      <c r="I24" s="293">
        <v>14480</v>
      </c>
      <c r="J24" s="294" t="s">
        <v>217</v>
      </c>
      <c r="K24" s="294"/>
      <c r="L24" s="294"/>
      <c r="M24" s="295"/>
      <c r="N24" s="294"/>
      <c r="O24" s="294" t="s">
        <v>512</v>
      </c>
      <c r="P24" s="295"/>
      <c r="Q24" s="295"/>
    </row>
    <row r="25" spans="1:17" x14ac:dyDescent="0.35">
      <c r="A25" s="302" t="s">
        <v>509</v>
      </c>
      <c r="B25" s="300">
        <v>12</v>
      </c>
      <c r="C25" s="296" t="s">
        <v>213</v>
      </c>
      <c r="D25" s="303" t="s">
        <v>212</v>
      </c>
      <c r="E25" s="303" t="s">
        <v>349</v>
      </c>
      <c r="F25" s="303" t="s">
        <v>350</v>
      </c>
      <c r="G25" s="303" t="s">
        <v>367</v>
      </c>
      <c r="H25" s="300">
        <v>18</v>
      </c>
      <c r="I25" s="300">
        <v>14480</v>
      </c>
      <c r="J25" s="303" t="s">
        <v>217</v>
      </c>
      <c r="K25" s="303"/>
      <c r="L25" s="303"/>
      <c r="M25" s="304"/>
      <c r="N25" s="303"/>
      <c r="O25" s="303" t="s">
        <v>512</v>
      </c>
      <c r="P25" s="304"/>
      <c r="Q25" s="304"/>
    </row>
    <row r="26" spans="1:17" x14ac:dyDescent="0.35">
      <c r="A26" s="292" t="s">
        <v>551</v>
      </c>
      <c r="B26" s="293">
        <v>13</v>
      </c>
      <c r="C26" s="285" t="s">
        <v>213</v>
      </c>
      <c r="D26" s="294" t="s">
        <v>216</v>
      </c>
      <c r="E26" s="294" t="s">
        <v>211</v>
      </c>
      <c r="F26" s="294" t="s">
        <v>215</v>
      </c>
      <c r="G26" s="294" t="s">
        <v>209</v>
      </c>
      <c r="H26" s="293">
        <v>18</v>
      </c>
      <c r="I26" s="293">
        <v>14542</v>
      </c>
      <c r="J26" s="294" t="s">
        <v>200</v>
      </c>
      <c r="K26" s="294"/>
      <c r="L26" s="294"/>
      <c r="M26" s="295"/>
      <c r="N26" s="294"/>
      <c r="O26" s="294" t="s">
        <v>214</v>
      </c>
      <c r="P26" s="295">
        <v>46052</v>
      </c>
      <c r="Q26" s="295"/>
    </row>
    <row r="27" spans="1:17" x14ac:dyDescent="0.35">
      <c r="A27" s="302" t="s">
        <v>510</v>
      </c>
      <c r="B27" s="300">
        <v>13</v>
      </c>
      <c r="C27" s="296" t="s">
        <v>213</v>
      </c>
      <c r="D27" s="303" t="s">
        <v>212</v>
      </c>
      <c r="E27" s="303" t="s">
        <v>211</v>
      </c>
      <c r="F27" s="303" t="s">
        <v>210</v>
      </c>
      <c r="G27" s="303" t="s">
        <v>209</v>
      </c>
      <c r="H27" s="300">
        <v>18</v>
      </c>
      <c r="I27" s="300">
        <v>14542</v>
      </c>
      <c r="J27" s="303" t="s">
        <v>200</v>
      </c>
      <c r="K27" s="303" t="s">
        <v>208</v>
      </c>
      <c r="L27" s="303" t="s">
        <v>207</v>
      </c>
      <c r="M27" s="304"/>
      <c r="N27" s="303"/>
      <c r="O27" s="303" t="s">
        <v>512</v>
      </c>
      <c r="P27" s="304">
        <v>45950</v>
      </c>
      <c r="Q27" s="304"/>
    </row>
    <row r="28" spans="1:17" x14ac:dyDescent="0.35">
      <c r="A28" s="292" t="s">
        <v>551</v>
      </c>
      <c r="B28" s="293">
        <v>14</v>
      </c>
      <c r="C28" s="285" t="s">
        <v>213</v>
      </c>
      <c r="D28" s="294" t="s">
        <v>216</v>
      </c>
      <c r="E28" s="294" t="s">
        <v>211</v>
      </c>
      <c r="F28" s="294" t="s">
        <v>215</v>
      </c>
      <c r="G28" s="294" t="s">
        <v>209</v>
      </c>
      <c r="H28" s="293">
        <v>18</v>
      </c>
      <c r="I28" s="293">
        <v>14542</v>
      </c>
      <c r="J28" s="294" t="s">
        <v>200</v>
      </c>
      <c r="K28" s="294"/>
      <c r="L28" s="294"/>
      <c r="M28" s="295"/>
      <c r="N28" s="294"/>
      <c r="O28" s="294" t="s">
        <v>214</v>
      </c>
      <c r="P28" s="295">
        <v>46052</v>
      </c>
      <c r="Q28" s="295"/>
    </row>
    <row r="29" spans="1:17" x14ac:dyDescent="0.35">
      <c r="A29" s="302" t="s">
        <v>510</v>
      </c>
      <c r="B29" s="300">
        <v>14</v>
      </c>
      <c r="C29" s="296" t="s">
        <v>213</v>
      </c>
      <c r="D29" s="303" t="s">
        <v>212</v>
      </c>
      <c r="E29" s="303" t="s">
        <v>211</v>
      </c>
      <c r="F29" s="303" t="s">
        <v>210</v>
      </c>
      <c r="G29" s="303" t="s">
        <v>209</v>
      </c>
      <c r="H29" s="300">
        <v>18</v>
      </c>
      <c r="I29" s="300">
        <v>14542</v>
      </c>
      <c r="J29" s="303" t="s">
        <v>200</v>
      </c>
      <c r="K29" s="303" t="s">
        <v>208</v>
      </c>
      <c r="L29" s="303" t="s">
        <v>207</v>
      </c>
      <c r="M29" s="304"/>
      <c r="N29" s="303"/>
      <c r="O29" s="303" t="s">
        <v>512</v>
      </c>
      <c r="P29" s="304"/>
      <c r="Q29" s="304"/>
    </row>
    <row r="30" spans="1:17" x14ac:dyDescent="0.35">
      <c r="A30" s="292" t="s">
        <v>511</v>
      </c>
      <c r="B30" s="293" t="s">
        <v>206</v>
      </c>
      <c r="C30" s="285" t="s">
        <v>205</v>
      </c>
      <c r="D30" s="294" t="s">
        <v>203</v>
      </c>
      <c r="E30" s="294" t="s">
        <v>204</v>
      </c>
      <c r="F30" s="294" t="s">
        <v>203</v>
      </c>
      <c r="G30" s="294" t="s">
        <v>202</v>
      </c>
      <c r="H30" s="293" t="s">
        <v>201</v>
      </c>
      <c r="I30" s="293">
        <v>14543</v>
      </c>
      <c r="J30" s="294" t="s">
        <v>200</v>
      </c>
      <c r="K30" s="311"/>
      <c r="L30" s="311"/>
      <c r="M30" s="295"/>
      <c r="N30" s="311"/>
      <c r="O30" s="311" t="s">
        <v>206</v>
      </c>
      <c r="P30" s="295"/>
      <c r="Q30" s="306"/>
    </row>
    <row r="31" spans="1:17" x14ac:dyDescent="0.35">
      <c r="A31" s="321"/>
      <c r="B31" s="305"/>
      <c r="D31" s="305"/>
      <c r="O31" s="305"/>
    </row>
    <row r="32" spans="1:17" x14ac:dyDescent="0.35">
      <c r="A32" s="321"/>
      <c r="B32" s="305"/>
      <c r="D32" s="305"/>
      <c r="O32" s="305"/>
    </row>
    <row r="33" spans="1:15" x14ac:dyDescent="0.35">
      <c r="A33" s="321"/>
      <c r="B33" s="305"/>
      <c r="D33" s="305"/>
      <c r="O33" s="305"/>
    </row>
    <row r="34" spans="1:15" x14ac:dyDescent="0.35">
      <c r="A34" s="321"/>
      <c r="B34" s="305"/>
      <c r="D34" s="305"/>
      <c r="O34" s="305"/>
    </row>
    <row r="35" spans="1:15" x14ac:dyDescent="0.35">
      <c r="A35" s="321"/>
      <c r="B35" s="305"/>
      <c r="D35" s="305"/>
      <c r="O35" s="305"/>
    </row>
    <row r="36" spans="1:15" x14ac:dyDescent="0.35">
      <c r="A36" s="321"/>
      <c r="B36" s="305"/>
      <c r="D36" s="305"/>
      <c r="O36" s="305"/>
    </row>
    <row r="37" spans="1:15" x14ac:dyDescent="0.35">
      <c r="A37" s="321"/>
      <c r="B37" s="305"/>
      <c r="D37" s="305"/>
      <c r="O37" s="305"/>
    </row>
    <row r="38" spans="1:15" x14ac:dyDescent="0.35">
      <c r="A38" s="321"/>
      <c r="B38" s="305"/>
      <c r="D38" s="305"/>
      <c r="O38" s="305"/>
    </row>
    <row r="39" spans="1:15" x14ac:dyDescent="0.35">
      <c r="A39" s="321"/>
      <c r="B39" s="305"/>
      <c r="D39" s="305"/>
      <c r="O39" s="305"/>
    </row>
    <row r="40" spans="1:15" x14ac:dyDescent="0.35">
      <c r="A40" s="321"/>
      <c r="B40" s="305"/>
      <c r="D40" s="305"/>
      <c r="O40" s="305"/>
    </row>
    <row r="41" spans="1:15" x14ac:dyDescent="0.35">
      <c r="A41" s="321"/>
      <c r="B41" s="305"/>
      <c r="D41" s="305"/>
      <c r="O41" s="305"/>
    </row>
    <row r="42" spans="1:15" x14ac:dyDescent="0.35">
      <c r="A42" s="321"/>
      <c r="B42" s="305"/>
      <c r="D42" s="305"/>
      <c r="O42" s="305"/>
    </row>
    <row r="43" spans="1:15" x14ac:dyDescent="0.35">
      <c r="A43" s="321"/>
      <c r="B43" s="305"/>
      <c r="D43" s="305"/>
      <c r="O43" s="305"/>
    </row>
    <row r="44" spans="1:15" x14ac:dyDescent="0.35">
      <c r="A44" s="321"/>
      <c r="B44" s="305"/>
      <c r="D44" s="305"/>
      <c r="O44" s="305"/>
    </row>
    <row r="45" spans="1:15" x14ac:dyDescent="0.35">
      <c r="A45" s="321"/>
      <c r="B45" s="305"/>
      <c r="D45" s="305"/>
      <c r="O45" s="305"/>
    </row>
    <row r="46" spans="1:15" x14ac:dyDescent="0.35">
      <c r="A46" s="321"/>
      <c r="B46" s="305"/>
      <c r="D46" s="305"/>
      <c r="O46" s="305"/>
    </row>
    <row r="47" spans="1:15" x14ac:dyDescent="0.35">
      <c r="A47" s="321"/>
      <c r="B47" s="305"/>
      <c r="D47" s="305"/>
      <c r="O47" s="305"/>
    </row>
    <row r="48" spans="1:15" x14ac:dyDescent="0.35">
      <c r="A48" s="321"/>
      <c r="B48" s="305"/>
      <c r="D48" s="305"/>
      <c r="O48" s="305"/>
    </row>
    <row r="49" spans="1:15" x14ac:dyDescent="0.35">
      <c r="A49" s="321"/>
      <c r="B49" s="305"/>
      <c r="D49" s="305"/>
      <c r="O49" s="305"/>
    </row>
    <row r="50" spans="1:15" x14ac:dyDescent="0.35">
      <c r="A50" s="321"/>
      <c r="B50" s="305"/>
      <c r="D50" s="305"/>
      <c r="O50" s="305"/>
    </row>
    <row r="51" spans="1:15" x14ac:dyDescent="0.35">
      <c r="A51" s="321"/>
      <c r="B51" s="305"/>
      <c r="D51" s="305"/>
      <c r="O51" s="305"/>
    </row>
    <row r="52" spans="1:15" x14ac:dyDescent="0.35">
      <c r="A52" s="321"/>
      <c r="B52" s="305"/>
      <c r="D52" s="305"/>
      <c r="O52" s="305"/>
    </row>
    <row r="53" spans="1:15" x14ac:dyDescent="0.35">
      <c r="A53" s="321"/>
      <c r="B53" s="305"/>
      <c r="D53" s="305"/>
      <c r="O53" s="305"/>
    </row>
    <row r="54" spans="1:15" x14ac:dyDescent="0.35">
      <c r="A54" s="321"/>
      <c r="B54" s="305"/>
      <c r="D54" s="305"/>
      <c r="O54" s="305"/>
    </row>
    <row r="55" spans="1:15" x14ac:dyDescent="0.35">
      <c r="A55" s="321"/>
      <c r="B55" s="305"/>
      <c r="D55" s="305"/>
      <c r="O55" s="305"/>
    </row>
    <row r="56" spans="1:15" x14ac:dyDescent="0.35">
      <c r="A56" s="321"/>
      <c r="B56" s="305"/>
      <c r="D56" s="305"/>
      <c r="O56" s="305"/>
    </row>
    <row r="57" spans="1:15" x14ac:dyDescent="0.35">
      <c r="A57" s="321"/>
      <c r="B57" s="305"/>
      <c r="D57" s="305"/>
      <c r="O57" s="305"/>
    </row>
    <row r="58" spans="1:15" x14ac:dyDescent="0.35">
      <c r="A58" s="321"/>
      <c r="B58" s="305"/>
      <c r="D58" s="305"/>
      <c r="O58" s="305"/>
    </row>
    <row r="59" spans="1:15" x14ac:dyDescent="0.35">
      <c r="A59" s="321"/>
      <c r="B59" s="305"/>
      <c r="D59" s="305"/>
      <c r="O59" s="305"/>
    </row>
    <row r="60" spans="1:15" x14ac:dyDescent="0.35">
      <c r="A60" s="321"/>
      <c r="B60" s="305"/>
      <c r="D60" s="305"/>
      <c r="O60" s="305"/>
    </row>
    <row r="61" spans="1:15" x14ac:dyDescent="0.35">
      <c r="A61" s="321"/>
      <c r="B61" s="305"/>
      <c r="D61" s="305"/>
      <c r="O61" s="305"/>
    </row>
    <row r="62" spans="1:15" x14ac:dyDescent="0.35">
      <c r="A62" s="321"/>
      <c r="B62" s="305"/>
      <c r="D62" s="305"/>
      <c r="O62" s="305"/>
    </row>
    <row r="63" spans="1:15" x14ac:dyDescent="0.35">
      <c r="A63" s="321"/>
      <c r="B63" s="305"/>
      <c r="D63" s="305"/>
      <c r="O63" s="305"/>
    </row>
    <row r="64" spans="1:15" x14ac:dyDescent="0.35">
      <c r="A64" s="321"/>
      <c r="B64" s="305"/>
      <c r="D64" s="305"/>
      <c r="O64" s="305"/>
    </row>
    <row r="65" spans="1:15" x14ac:dyDescent="0.35">
      <c r="A65" s="321"/>
      <c r="B65" s="305"/>
      <c r="D65" s="305"/>
      <c r="O65" s="305"/>
    </row>
    <row r="66" spans="1:15" x14ac:dyDescent="0.35">
      <c r="A66" s="321"/>
      <c r="B66" s="305"/>
      <c r="D66" s="305"/>
      <c r="O66" s="305"/>
    </row>
    <row r="67" spans="1:15" x14ac:dyDescent="0.35">
      <c r="A67" s="321"/>
      <c r="B67" s="305"/>
      <c r="D67" s="305"/>
      <c r="O67" s="305"/>
    </row>
    <row r="68" spans="1:15" x14ac:dyDescent="0.35">
      <c r="A68" s="321"/>
      <c r="B68" s="305"/>
      <c r="D68" s="305"/>
      <c r="O68" s="305"/>
    </row>
    <row r="69" spans="1:15" x14ac:dyDescent="0.35">
      <c r="A69" s="321"/>
      <c r="B69" s="305"/>
      <c r="D69" s="305"/>
      <c r="O69" s="305"/>
    </row>
    <row r="70" spans="1:15" x14ac:dyDescent="0.35">
      <c r="A70" s="321"/>
      <c r="B70" s="305"/>
      <c r="D70" s="305"/>
      <c r="O70" s="305"/>
    </row>
    <row r="71" spans="1:15" x14ac:dyDescent="0.35">
      <c r="A71" s="321"/>
      <c r="B71" s="305"/>
      <c r="D71" s="305"/>
      <c r="O71" s="305"/>
    </row>
    <row r="72" spans="1:15" x14ac:dyDescent="0.35">
      <c r="A72" s="321"/>
      <c r="B72" s="305"/>
      <c r="D72" s="305"/>
      <c r="O72" s="305"/>
    </row>
    <row r="73" spans="1:15" x14ac:dyDescent="0.35">
      <c r="A73" s="321"/>
      <c r="B73" s="305"/>
      <c r="D73" s="305"/>
      <c r="O73" s="305"/>
    </row>
    <row r="74" spans="1:15" x14ac:dyDescent="0.35">
      <c r="A74" s="321"/>
      <c r="B74" s="305"/>
      <c r="D74" s="305"/>
      <c r="O74" s="305"/>
    </row>
    <row r="75" spans="1:15" x14ac:dyDescent="0.35">
      <c r="A75" s="321"/>
      <c r="B75" s="305"/>
      <c r="D75" s="305"/>
      <c r="O75" s="305"/>
    </row>
    <row r="76" spans="1:15" x14ac:dyDescent="0.35">
      <c r="A76" s="321"/>
      <c r="B76" s="305"/>
      <c r="D76" s="305"/>
      <c r="O76" s="305"/>
    </row>
    <row r="77" spans="1:15" x14ac:dyDescent="0.35">
      <c r="A77" s="321"/>
      <c r="B77" s="305"/>
      <c r="D77" s="305"/>
      <c r="O77" s="305"/>
    </row>
    <row r="78" spans="1:15" x14ac:dyDescent="0.35">
      <c r="A78" s="321"/>
      <c r="B78" s="305"/>
      <c r="D78" s="305"/>
      <c r="O78" s="305"/>
    </row>
    <row r="79" spans="1:15" x14ac:dyDescent="0.35">
      <c r="A79" s="321"/>
      <c r="B79" s="305"/>
      <c r="D79" s="305"/>
      <c r="O79" s="305"/>
    </row>
    <row r="80" spans="1:15" x14ac:dyDescent="0.35">
      <c r="A80" s="321"/>
      <c r="B80" s="305"/>
      <c r="D80" s="305"/>
      <c r="O80" s="305"/>
    </row>
    <row r="81" spans="1:15" x14ac:dyDescent="0.35">
      <c r="A81" s="321"/>
      <c r="B81" s="305"/>
      <c r="D81" s="305"/>
      <c r="O81" s="305"/>
    </row>
    <row r="82" spans="1:15" x14ac:dyDescent="0.35">
      <c r="A82" s="321"/>
      <c r="B82" s="305"/>
      <c r="D82" s="305"/>
      <c r="O82" s="305"/>
    </row>
    <row r="83" spans="1:15" x14ac:dyDescent="0.35">
      <c r="A83" s="321"/>
      <c r="B83" s="305"/>
      <c r="D83" s="305"/>
      <c r="O83" s="305"/>
    </row>
    <row r="84" spans="1:15" x14ac:dyDescent="0.35">
      <c r="A84" s="321"/>
      <c r="B84" s="305"/>
      <c r="D84" s="305"/>
      <c r="O84" s="305"/>
    </row>
    <row r="85" spans="1:15" x14ac:dyDescent="0.35">
      <c r="A85" s="321"/>
      <c r="B85" s="305"/>
      <c r="D85" s="305"/>
      <c r="O85" s="305"/>
    </row>
    <row r="86" spans="1:15" x14ac:dyDescent="0.35">
      <c r="A86" s="321"/>
      <c r="B86" s="305"/>
      <c r="D86" s="305"/>
      <c r="O86" s="305"/>
    </row>
    <row r="87" spans="1:15" x14ac:dyDescent="0.35">
      <c r="A87" s="321"/>
      <c r="B87" s="305"/>
      <c r="D87" s="305"/>
      <c r="O87" s="305"/>
    </row>
    <row r="88" spans="1:15" x14ac:dyDescent="0.35">
      <c r="A88" s="321"/>
      <c r="B88" s="305"/>
      <c r="D88" s="305"/>
      <c r="O88" s="305"/>
    </row>
    <row r="89" spans="1:15" x14ac:dyDescent="0.35">
      <c r="A89" s="321"/>
      <c r="B89" s="305"/>
      <c r="D89" s="305"/>
      <c r="O89" s="305"/>
    </row>
    <row r="90" spans="1:15" x14ac:dyDescent="0.35">
      <c r="A90" s="321"/>
      <c r="B90" s="305"/>
      <c r="D90" s="305"/>
      <c r="O90" s="305"/>
    </row>
    <row r="91" spans="1:15" x14ac:dyDescent="0.35">
      <c r="A91" s="321"/>
      <c r="B91" s="305"/>
      <c r="D91" s="305"/>
      <c r="O91" s="305"/>
    </row>
    <row r="92" spans="1:15" x14ac:dyDescent="0.35">
      <c r="A92" s="321"/>
      <c r="B92" s="305"/>
      <c r="D92" s="305"/>
      <c r="O92" s="305"/>
    </row>
    <row r="93" spans="1:15" x14ac:dyDescent="0.35">
      <c r="A93" s="321"/>
      <c r="B93" s="305"/>
      <c r="D93" s="305"/>
      <c r="O93" s="305"/>
    </row>
    <row r="94" spans="1:15" x14ac:dyDescent="0.35">
      <c r="A94" s="321"/>
      <c r="B94" s="305"/>
      <c r="D94" s="305"/>
      <c r="O94" s="305"/>
    </row>
    <row r="95" spans="1:15" x14ac:dyDescent="0.35">
      <c r="A95" s="321"/>
      <c r="B95" s="305"/>
      <c r="D95" s="305"/>
      <c r="O95" s="305"/>
    </row>
    <row r="96" spans="1:15" x14ac:dyDescent="0.35">
      <c r="A96" s="321"/>
      <c r="B96" s="305"/>
      <c r="D96" s="305"/>
      <c r="O96" s="305"/>
    </row>
    <row r="97" spans="1:15" x14ac:dyDescent="0.35">
      <c r="A97" s="321"/>
      <c r="B97" s="305"/>
      <c r="D97" s="305"/>
      <c r="O97" s="305"/>
    </row>
    <row r="98" spans="1:15" x14ac:dyDescent="0.35">
      <c r="A98" s="321"/>
      <c r="B98" s="305"/>
      <c r="D98" s="305"/>
      <c r="O98" s="305"/>
    </row>
    <row r="99" spans="1:15" x14ac:dyDescent="0.35">
      <c r="A99" s="321"/>
      <c r="B99" s="305"/>
      <c r="D99" s="305"/>
      <c r="O99" s="305"/>
    </row>
    <row r="100" spans="1:15" x14ac:dyDescent="0.35">
      <c r="A100" s="321"/>
      <c r="B100" s="305"/>
      <c r="D100" s="305"/>
      <c r="O100" s="305"/>
    </row>
    <row r="101" spans="1:15" x14ac:dyDescent="0.35">
      <c r="A101" s="321"/>
      <c r="B101" s="305"/>
      <c r="D101" s="305"/>
      <c r="O101" s="305"/>
    </row>
    <row r="102" spans="1:15" x14ac:dyDescent="0.35">
      <c r="A102" s="321"/>
      <c r="B102" s="305"/>
      <c r="D102" s="305"/>
      <c r="O102" s="305"/>
    </row>
    <row r="103" spans="1:15" x14ac:dyDescent="0.35">
      <c r="A103" s="321"/>
      <c r="B103" s="305"/>
      <c r="D103" s="305"/>
      <c r="O103" s="305"/>
    </row>
    <row r="104" spans="1:15" x14ac:dyDescent="0.35">
      <c r="A104" s="321"/>
      <c r="B104" s="305"/>
      <c r="D104" s="305"/>
      <c r="O104" s="305"/>
    </row>
    <row r="105" spans="1:15" x14ac:dyDescent="0.35">
      <c r="A105" s="321"/>
      <c r="B105" s="305"/>
      <c r="D105" s="305"/>
      <c r="O105" s="305"/>
    </row>
    <row r="106" spans="1:15" x14ac:dyDescent="0.35">
      <c r="A106" s="321"/>
      <c r="B106" s="305"/>
      <c r="D106" s="305"/>
      <c r="O106" s="305"/>
    </row>
    <row r="107" spans="1:15" x14ac:dyDescent="0.35">
      <c r="A107" s="321"/>
      <c r="B107" s="305"/>
      <c r="D107" s="305"/>
      <c r="O107" s="305"/>
    </row>
    <row r="108" spans="1:15" x14ac:dyDescent="0.35">
      <c r="A108" s="321"/>
      <c r="B108" s="305"/>
      <c r="D108" s="305"/>
      <c r="O108" s="305"/>
    </row>
    <row r="109" spans="1:15" x14ac:dyDescent="0.35">
      <c r="A109" s="321"/>
      <c r="B109" s="305"/>
      <c r="D109" s="305"/>
      <c r="O109" s="305"/>
    </row>
    <row r="110" spans="1:15" x14ac:dyDescent="0.35">
      <c r="A110" s="321"/>
      <c r="B110" s="305"/>
      <c r="D110" s="305"/>
      <c r="O110" s="305"/>
    </row>
    <row r="111" spans="1:15" x14ac:dyDescent="0.35">
      <c r="A111" s="321"/>
      <c r="B111" s="305"/>
      <c r="D111" s="305"/>
      <c r="O111" s="305"/>
    </row>
    <row r="112" spans="1:15" x14ac:dyDescent="0.35">
      <c r="A112" s="321"/>
      <c r="B112" s="305"/>
      <c r="D112" s="305"/>
      <c r="O112" s="305"/>
    </row>
    <row r="113" spans="1:15" x14ac:dyDescent="0.35">
      <c r="A113" s="321"/>
      <c r="B113" s="305"/>
      <c r="D113" s="305"/>
      <c r="O113" s="305"/>
    </row>
    <row r="114" spans="1:15" x14ac:dyDescent="0.35">
      <c r="A114" s="321"/>
      <c r="B114" s="305"/>
      <c r="D114" s="305"/>
      <c r="O114" s="305"/>
    </row>
    <row r="115" spans="1:15" x14ac:dyDescent="0.35">
      <c r="A115" s="321"/>
      <c r="B115" s="305"/>
      <c r="D115" s="305"/>
      <c r="O115" s="305"/>
    </row>
    <row r="116" spans="1:15" x14ac:dyDescent="0.35">
      <c r="A116" s="321"/>
      <c r="B116" s="305"/>
      <c r="D116" s="305"/>
      <c r="O116" s="305"/>
    </row>
    <row r="117" spans="1:15" x14ac:dyDescent="0.35">
      <c r="A117" s="321"/>
      <c r="B117" s="305"/>
      <c r="D117" s="305"/>
      <c r="O117" s="305"/>
    </row>
    <row r="118" spans="1:15" x14ac:dyDescent="0.35">
      <c r="A118" s="321"/>
      <c r="B118" s="305"/>
      <c r="D118" s="305"/>
      <c r="O118" s="305"/>
    </row>
    <row r="119" spans="1:15" x14ac:dyDescent="0.35">
      <c r="A119" s="321"/>
      <c r="B119" s="305"/>
      <c r="D119" s="305"/>
      <c r="O119" s="305"/>
    </row>
    <row r="120" spans="1:15" x14ac:dyDescent="0.35">
      <c r="A120" s="321"/>
      <c r="B120" s="305"/>
      <c r="D120" s="305"/>
      <c r="O120" s="305"/>
    </row>
    <row r="121" spans="1:15" x14ac:dyDescent="0.35">
      <c r="A121" s="321"/>
      <c r="B121" s="305"/>
      <c r="D121" s="305"/>
      <c r="O121" s="305"/>
    </row>
    <row r="122" spans="1:15" x14ac:dyDescent="0.35">
      <c r="A122" s="321"/>
      <c r="B122" s="305"/>
      <c r="D122" s="305"/>
      <c r="O122" s="305"/>
    </row>
    <row r="123" spans="1:15" x14ac:dyDescent="0.35">
      <c r="A123" s="321"/>
      <c r="B123" s="305"/>
      <c r="D123" s="305"/>
      <c r="O123" s="305"/>
    </row>
    <row r="124" spans="1:15" x14ac:dyDescent="0.35">
      <c r="A124" s="321"/>
      <c r="B124" s="305"/>
      <c r="D124" s="305"/>
      <c r="O124" s="305"/>
    </row>
    <row r="125" spans="1:15" x14ac:dyDescent="0.35">
      <c r="A125" s="321"/>
      <c r="B125" s="305"/>
      <c r="D125" s="305"/>
      <c r="O125" s="305"/>
    </row>
    <row r="126" spans="1:15" x14ac:dyDescent="0.35">
      <c r="A126" s="321"/>
      <c r="B126" s="305"/>
      <c r="D126" s="305"/>
      <c r="O126" s="305"/>
    </row>
    <row r="127" spans="1:15" x14ac:dyDescent="0.35">
      <c r="A127" s="321"/>
      <c r="B127" s="305"/>
      <c r="D127" s="305"/>
      <c r="O127" s="305"/>
    </row>
    <row r="128" spans="1:15" x14ac:dyDescent="0.35">
      <c r="A128" s="321"/>
      <c r="B128" s="305"/>
      <c r="D128" s="305"/>
      <c r="O128" s="305"/>
    </row>
    <row r="129" spans="1:15" x14ac:dyDescent="0.35">
      <c r="A129" s="321"/>
      <c r="B129" s="305"/>
      <c r="D129" s="305"/>
      <c r="O129" s="305"/>
    </row>
    <row r="130" spans="1:15" x14ac:dyDescent="0.35">
      <c r="A130" s="321"/>
      <c r="B130" s="305"/>
      <c r="D130" s="305"/>
      <c r="O130" s="305"/>
    </row>
    <row r="131" spans="1:15" x14ac:dyDescent="0.35">
      <c r="A131" s="321"/>
      <c r="B131" s="305"/>
      <c r="D131" s="305"/>
      <c r="O131" s="305"/>
    </row>
    <row r="132" spans="1:15" x14ac:dyDescent="0.35">
      <c r="A132" s="321"/>
      <c r="B132" s="305"/>
      <c r="D132" s="305"/>
      <c r="O132" s="305"/>
    </row>
    <row r="133" spans="1:15" x14ac:dyDescent="0.35">
      <c r="A133" s="321"/>
      <c r="B133" s="305"/>
      <c r="D133" s="305"/>
      <c r="O133" s="305"/>
    </row>
    <row r="134" spans="1:15" x14ac:dyDescent="0.35">
      <c r="A134" s="321"/>
      <c r="B134" s="305"/>
      <c r="D134" s="305"/>
      <c r="O134" s="305"/>
    </row>
    <row r="135" spans="1:15" x14ac:dyDescent="0.35">
      <c r="A135" s="321"/>
      <c r="B135" s="305"/>
      <c r="D135" s="305"/>
      <c r="O135" s="305"/>
    </row>
    <row r="136" spans="1:15" x14ac:dyDescent="0.35">
      <c r="A136" s="321"/>
      <c r="B136" s="305"/>
      <c r="D136" s="305"/>
      <c r="O136" s="305"/>
    </row>
    <row r="137" spans="1:15" x14ac:dyDescent="0.35">
      <c r="A137" s="321"/>
      <c r="B137" s="305"/>
      <c r="D137" s="305"/>
      <c r="O137" s="305"/>
    </row>
    <row r="138" spans="1:15" x14ac:dyDescent="0.35">
      <c r="A138" s="321"/>
      <c r="B138" s="305"/>
      <c r="D138" s="305"/>
      <c r="O138" s="305"/>
    </row>
    <row r="139" spans="1:15" x14ac:dyDescent="0.35">
      <c r="A139" s="321"/>
      <c r="B139" s="305"/>
      <c r="D139" s="305"/>
      <c r="O139" s="305"/>
    </row>
    <row r="140" spans="1:15" x14ac:dyDescent="0.35">
      <c r="A140" s="321"/>
      <c r="B140" s="305"/>
      <c r="D140" s="305"/>
      <c r="O140" s="305"/>
    </row>
    <row r="141" spans="1:15" x14ac:dyDescent="0.35">
      <c r="A141" s="321"/>
      <c r="B141" s="305"/>
      <c r="D141" s="305"/>
      <c r="O141" s="305"/>
    </row>
    <row r="142" spans="1:15" x14ac:dyDescent="0.35">
      <c r="A142" s="321"/>
      <c r="B142" s="305"/>
      <c r="D142" s="305"/>
      <c r="O142" s="305"/>
    </row>
    <row r="143" spans="1:15" x14ac:dyDescent="0.35">
      <c r="A143" s="321"/>
      <c r="B143" s="305"/>
      <c r="D143" s="305"/>
      <c r="O143" s="305"/>
    </row>
    <row r="144" spans="1:15" x14ac:dyDescent="0.35">
      <c r="A144" s="321"/>
      <c r="B144" s="305"/>
      <c r="D144" s="305"/>
      <c r="O144" s="305"/>
    </row>
    <row r="145" spans="1:15" x14ac:dyDescent="0.35">
      <c r="A145" s="321"/>
      <c r="B145" s="305"/>
      <c r="D145" s="305"/>
      <c r="O145" s="305"/>
    </row>
    <row r="146" spans="1:15" x14ac:dyDescent="0.35">
      <c r="A146" s="321"/>
      <c r="B146" s="305"/>
      <c r="D146" s="305"/>
      <c r="O146" s="305"/>
    </row>
    <row r="147" spans="1:15" x14ac:dyDescent="0.35">
      <c r="A147" s="321"/>
      <c r="B147" s="305"/>
      <c r="D147" s="305"/>
      <c r="O147" s="305"/>
    </row>
    <row r="148" spans="1:15" x14ac:dyDescent="0.35">
      <c r="A148" s="321"/>
      <c r="B148" s="305"/>
      <c r="D148" s="305"/>
      <c r="O148" s="305"/>
    </row>
    <row r="149" spans="1:15" x14ac:dyDescent="0.35">
      <c r="A149" s="321"/>
      <c r="B149" s="305"/>
      <c r="D149" s="305"/>
      <c r="O149" s="305"/>
    </row>
    <row r="150" spans="1:15" x14ac:dyDescent="0.35">
      <c r="A150" s="321"/>
      <c r="B150" s="305"/>
      <c r="D150" s="305"/>
      <c r="O150" s="305"/>
    </row>
    <row r="151" spans="1:15" x14ac:dyDescent="0.35">
      <c r="A151" s="321"/>
      <c r="B151" s="305"/>
      <c r="D151" s="305"/>
      <c r="O151" s="305"/>
    </row>
    <row r="152" spans="1:15" x14ac:dyDescent="0.35">
      <c r="A152" s="321"/>
      <c r="B152" s="305"/>
      <c r="D152" s="305"/>
      <c r="O152" s="305"/>
    </row>
    <row r="153" spans="1:15" x14ac:dyDescent="0.35">
      <c r="A153" s="321"/>
      <c r="B153" s="305"/>
      <c r="D153" s="305"/>
      <c r="O153" s="305"/>
    </row>
    <row r="154" spans="1:15" x14ac:dyDescent="0.35">
      <c r="A154" s="321"/>
      <c r="B154" s="305"/>
      <c r="D154" s="305"/>
      <c r="O154" s="305"/>
    </row>
    <row r="155" spans="1:15" x14ac:dyDescent="0.35">
      <c r="A155" s="321"/>
      <c r="B155" s="305"/>
      <c r="D155" s="305"/>
      <c r="O155" s="305"/>
    </row>
    <row r="156" spans="1:15" x14ac:dyDescent="0.35">
      <c r="A156" s="321"/>
      <c r="B156" s="305"/>
      <c r="D156" s="305"/>
      <c r="O156" s="305"/>
    </row>
    <row r="157" spans="1:15" x14ac:dyDescent="0.35">
      <c r="A157" s="321"/>
      <c r="B157" s="305"/>
      <c r="D157" s="305"/>
      <c r="O157" s="305"/>
    </row>
    <row r="158" spans="1:15" x14ac:dyDescent="0.35">
      <c r="A158" s="321"/>
      <c r="B158" s="305"/>
      <c r="D158" s="305"/>
      <c r="O158" s="305"/>
    </row>
    <row r="159" spans="1:15" x14ac:dyDescent="0.35">
      <c r="A159" s="321"/>
      <c r="B159" s="305"/>
      <c r="D159" s="305"/>
      <c r="O159" s="305"/>
    </row>
    <row r="160" spans="1:15" x14ac:dyDescent="0.35">
      <c r="A160" s="321"/>
      <c r="B160" s="305"/>
      <c r="D160" s="305"/>
      <c r="O160" s="305"/>
    </row>
    <row r="161" spans="1:15" x14ac:dyDescent="0.35">
      <c r="A161" s="321"/>
      <c r="B161" s="305"/>
      <c r="D161" s="305"/>
      <c r="O161" s="305"/>
    </row>
    <row r="162" spans="1:15" x14ac:dyDescent="0.35">
      <c r="A162" s="321"/>
      <c r="B162" s="305"/>
      <c r="D162" s="305"/>
      <c r="O162" s="305"/>
    </row>
    <row r="163" spans="1:15" x14ac:dyDescent="0.35">
      <c r="A163" s="321"/>
      <c r="B163" s="305"/>
      <c r="D163" s="305"/>
      <c r="O163" s="305"/>
    </row>
    <row r="164" spans="1:15" x14ac:dyDescent="0.35">
      <c r="A164" s="321"/>
      <c r="B164" s="305"/>
      <c r="D164" s="305"/>
      <c r="O164" s="305"/>
    </row>
    <row r="165" spans="1:15" x14ac:dyDescent="0.35">
      <c r="A165" s="321"/>
      <c r="B165" s="305"/>
      <c r="D165" s="305"/>
      <c r="O165" s="305"/>
    </row>
    <row r="166" spans="1:15" x14ac:dyDescent="0.35">
      <c r="A166" s="321"/>
      <c r="B166" s="305"/>
      <c r="D166" s="305"/>
      <c r="O166" s="305"/>
    </row>
    <row r="167" spans="1:15" x14ac:dyDescent="0.35">
      <c r="A167" s="321"/>
      <c r="B167" s="305"/>
      <c r="D167" s="305"/>
      <c r="O167" s="305"/>
    </row>
    <row r="168" spans="1:15" x14ac:dyDescent="0.35">
      <c r="A168" s="321"/>
      <c r="B168" s="305"/>
      <c r="D168" s="305"/>
      <c r="O168" s="305"/>
    </row>
    <row r="169" spans="1:15" x14ac:dyDescent="0.35">
      <c r="A169" s="321"/>
      <c r="B169" s="305"/>
      <c r="D169" s="305"/>
      <c r="O169" s="305"/>
    </row>
    <row r="170" spans="1:15" x14ac:dyDescent="0.35">
      <c r="A170" s="321"/>
      <c r="B170" s="305"/>
      <c r="D170" s="305"/>
      <c r="O170" s="305"/>
    </row>
    <row r="171" spans="1:15" x14ac:dyDescent="0.35">
      <c r="A171" s="321"/>
      <c r="B171" s="305"/>
      <c r="D171" s="305"/>
      <c r="O171" s="305"/>
    </row>
    <row r="172" spans="1:15" x14ac:dyDescent="0.35">
      <c r="A172" s="321"/>
      <c r="B172" s="305"/>
      <c r="D172" s="305"/>
      <c r="O172" s="305"/>
    </row>
    <row r="173" spans="1:15" x14ac:dyDescent="0.35">
      <c r="A173" s="321"/>
      <c r="B173" s="305"/>
      <c r="D173" s="305"/>
      <c r="O173" s="305"/>
    </row>
    <row r="174" spans="1:15" x14ac:dyDescent="0.35">
      <c r="A174" s="321"/>
      <c r="B174" s="305"/>
      <c r="D174" s="305"/>
      <c r="O174" s="305"/>
    </row>
    <row r="175" spans="1:15" x14ac:dyDescent="0.35">
      <c r="A175" s="321"/>
      <c r="B175" s="305"/>
      <c r="D175" s="305"/>
      <c r="O175" s="305"/>
    </row>
    <row r="176" spans="1:15" x14ac:dyDescent="0.35">
      <c r="A176" s="321"/>
      <c r="B176" s="305"/>
      <c r="D176" s="305"/>
      <c r="O176" s="305"/>
    </row>
    <row r="177" spans="1:15" x14ac:dyDescent="0.35">
      <c r="A177" s="321"/>
      <c r="B177" s="305"/>
      <c r="D177" s="305"/>
      <c r="O177" s="305"/>
    </row>
    <row r="178" spans="1:15" x14ac:dyDescent="0.35">
      <c r="A178" s="321"/>
      <c r="B178" s="305"/>
      <c r="D178" s="305"/>
      <c r="O178" s="305"/>
    </row>
    <row r="179" spans="1:15" x14ac:dyDescent="0.35">
      <c r="A179" s="321"/>
      <c r="B179" s="305"/>
      <c r="D179" s="305"/>
      <c r="O179" s="305"/>
    </row>
    <row r="180" spans="1:15" x14ac:dyDescent="0.35">
      <c r="A180" s="321"/>
      <c r="B180" s="305"/>
      <c r="D180" s="305"/>
      <c r="O180" s="305"/>
    </row>
    <row r="181" spans="1:15" x14ac:dyDescent="0.35">
      <c r="A181" s="321"/>
      <c r="B181" s="305"/>
      <c r="D181" s="305"/>
      <c r="O181" s="305"/>
    </row>
    <row r="182" spans="1:15" x14ac:dyDescent="0.35">
      <c r="A182" s="321"/>
      <c r="B182" s="305"/>
      <c r="D182" s="305"/>
      <c r="O182" s="305"/>
    </row>
    <row r="183" spans="1:15" x14ac:dyDescent="0.35">
      <c r="A183" s="321"/>
      <c r="B183" s="305"/>
      <c r="D183" s="305"/>
      <c r="O183" s="305"/>
    </row>
    <row r="184" spans="1:15" x14ac:dyDescent="0.35">
      <c r="A184" s="321"/>
      <c r="B184" s="305"/>
      <c r="D184" s="305"/>
      <c r="O184" s="305"/>
    </row>
    <row r="185" spans="1:15" x14ac:dyDescent="0.35">
      <c r="A185" s="321"/>
      <c r="B185" s="305"/>
      <c r="D185" s="305"/>
      <c r="O185" s="305"/>
    </row>
    <row r="186" spans="1:15" x14ac:dyDescent="0.35">
      <c r="A186" s="321"/>
      <c r="B186" s="305"/>
      <c r="D186" s="305"/>
      <c r="O186" s="305"/>
    </row>
    <row r="187" spans="1:15" x14ac:dyDescent="0.35">
      <c r="A187" s="321"/>
      <c r="B187" s="305"/>
      <c r="D187" s="305"/>
      <c r="O187" s="305"/>
    </row>
    <row r="188" spans="1:15" x14ac:dyDescent="0.35">
      <c r="A188" s="321"/>
      <c r="B188" s="305"/>
      <c r="D188" s="305"/>
      <c r="O188" s="305"/>
    </row>
    <row r="189" spans="1:15" x14ac:dyDescent="0.35">
      <c r="A189" s="321"/>
      <c r="B189" s="305"/>
      <c r="D189" s="305"/>
      <c r="O189" s="305"/>
    </row>
    <row r="190" spans="1:15" x14ac:dyDescent="0.35">
      <c r="A190" s="321"/>
      <c r="B190" s="305"/>
      <c r="D190" s="305"/>
      <c r="O190" s="305"/>
    </row>
    <row r="191" spans="1:15" x14ac:dyDescent="0.35">
      <c r="A191" s="321"/>
      <c r="B191" s="305"/>
      <c r="D191" s="305"/>
      <c r="O191" s="305"/>
    </row>
    <row r="192" spans="1:15" x14ac:dyDescent="0.35">
      <c r="A192" s="321"/>
      <c r="B192" s="305"/>
      <c r="D192" s="305"/>
      <c r="O192" s="305"/>
    </row>
    <row r="193" spans="1:15" x14ac:dyDescent="0.35">
      <c r="A193" s="321"/>
      <c r="B193" s="305"/>
      <c r="D193" s="305"/>
      <c r="O193" s="305"/>
    </row>
    <row r="194" spans="1:15" x14ac:dyDescent="0.35">
      <c r="A194" s="321"/>
      <c r="B194" s="305"/>
      <c r="D194" s="305"/>
      <c r="O194" s="305"/>
    </row>
    <row r="195" spans="1:15" x14ac:dyDescent="0.35">
      <c r="A195" s="321"/>
      <c r="B195" s="305"/>
      <c r="D195" s="305"/>
      <c r="O195" s="305"/>
    </row>
    <row r="196" spans="1:15" x14ac:dyDescent="0.35">
      <c r="A196" s="321"/>
      <c r="B196" s="305"/>
      <c r="D196" s="305"/>
      <c r="O196" s="305"/>
    </row>
    <row r="197" spans="1:15" x14ac:dyDescent="0.35">
      <c r="A197" s="321"/>
      <c r="B197" s="305"/>
      <c r="D197" s="305"/>
      <c r="O197" s="305"/>
    </row>
    <row r="198" spans="1:15" x14ac:dyDescent="0.35">
      <c r="A198" s="321"/>
      <c r="B198" s="305"/>
      <c r="D198" s="305"/>
      <c r="O198" s="305"/>
    </row>
    <row r="199" spans="1:15" x14ac:dyDescent="0.35">
      <c r="A199" s="321"/>
      <c r="B199" s="305"/>
      <c r="D199" s="305"/>
      <c r="O199" s="305"/>
    </row>
    <row r="200" spans="1:15" x14ac:dyDescent="0.35">
      <c r="A200" s="321"/>
      <c r="B200" s="305"/>
      <c r="D200" s="305"/>
      <c r="O200" s="305"/>
    </row>
    <row r="201" spans="1:15" x14ac:dyDescent="0.35">
      <c r="A201" s="321"/>
      <c r="B201" s="305"/>
      <c r="D201" s="305"/>
      <c r="O201" s="305"/>
    </row>
    <row r="202" spans="1:15" x14ac:dyDescent="0.35">
      <c r="A202" s="321"/>
      <c r="B202" s="305"/>
      <c r="D202" s="305"/>
      <c r="O202" s="305"/>
    </row>
    <row r="203" spans="1:15" x14ac:dyDescent="0.35">
      <c r="A203" s="321"/>
      <c r="B203" s="305"/>
      <c r="D203" s="305"/>
      <c r="O203" s="305"/>
    </row>
    <row r="204" spans="1:15" x14ac:dyDescent="0.35">
      <c r="A204" s="321"/>
      <c r="B204" s="305"/>
      <c r="D204" s="305"/>
      <c r="O204" s="305"/>
    </row>
    <row r="205" spans="1:15" x14ac:dyDescent="0.35">
      <c r="A205" s="321"/>
      <c r="B205" s="305"/>
      <c r="D205" s="305"/>
      <c r="O205" s="305"/>
    </row>
    <row r="206" spans="1:15" x14ac:dyDescent="0.35">
      <c r="A206" s="321"/>
      <c r="B206" s="305"/>
      <c r="D206" s="305"/>
      <c r="O206" s="305"/>
    </row>
    <row r="207" spans="1:15" x14ac:dyDescent="0.35">
      <c r="A207" s="321"/>
      <c r="B207" s="305"/>
      <c r="D207" s="305"/>
      <c r="O207" s="305"/>
    </row>
    <row r="208" spans="1:15" x14ac:dyDescent="0.35">
      <c r="A208" s="321"/>
      <c r="B208" s="305"/>
      <c r="D208" s="305"/>
      <c r="O208" s="305"/>
    </row>
    <row r="209" spans="1:15" x14ac:dyDescent="0.35">
      <c r="A209" s="321"/>
      <c r="B209" s="305"/>
      <c r="D209" s="305"/>
      <c r="O209" s="305"/>
    </row>
    <row r="210" spans="1:15" x14ac:dyDescent="0.35">
      <c r="A210" s="321"/>
      <c r="B210" s="305"/>
      <c r="D210" s="305"/>
      <c r="O210" s="305"/>
    </row>
    <row r="211" spans="1:15" x14ac:dyDescent="0.35">
      <c r="A211" s="321"/>
      <c r="B211" s="305"/>
      <c r="D211" s="305"/>
      <c r="O211" s="305"/>
    </row>
    <row r="212" spans="1:15" x14ac:dyDescent="0.35">
      <c r="A212" s="321"/>
      <c r="B212" s="305"/>
      <c r="D212" s="305"/>
      <c r="O212" s="305"/>
    </row>
    <row r="213" spans="1:15" x14ac:dyDescent="0.35">
      <c r="A213" s="321"/>
      <c r="B213" s="305"/>
      <c r="D213" s="305"/>
      <c r="O213" s="305"/>
    </row>
    <row r="214" spans="1:15" x14ac:dyDescent="0.35">
      <c r="A214" s="321"/>
      <c r="B214" s="305"/>
      <c r="D214" s="305"/>
      <c r="O214" s="305"/>
    </row>
    <row r="215" spans="1:15" x14ac:dyDescent="0.35">
      <c r="A215" s="321"/>
      <c r="B215" s="305"/>
      <c r="D215" s="305"/>
      <c r="O215" s="305"/>
    </row>
    <row r="216" spans="1:15" x14ac:dyDescent="0.35">
      <c r="A216" s="321"/>
      <c r="B216" s="305"/>
      <c r="D216" s="305"/>
      <c r="O216" s="305"/>
    </row>
    <row r="217" spans="1:15" x14ac:dyDescent="0.35">
      <c r="A217" s="321"/>
      <c r="B217" s="305"/>
      <c r="D217" s="305"/>
      <c r="O217" s="305"/>
    </row>
    <row r="218" spans="1:15" x14ac:dyDescent="0.35">
      <c r="A218" s="321"/>
      <c r="B218" s="305"/>
      <c r="D218" s="305"/>
      <c r="O218" s="305"/>
    </row>
    <row r="219" spans="1:15" x14ac:dyDescent="0.35">
      <c r="A219" s="321"/>
      <c r="B219" s="305"/>
      <c r="D219" s="305"/>
      <c r="O219" s="305"/>
    </row>
    <row r="220" spans="1:15" x14ac:dyDescent="0.35">
      <c r="A220" s="321"/>
      <c r="B220" s="305"/>
      <c r="D220" s="305"/>
      <c r="O220" s="305"/>
    </row>
    <row r="221" spans="1:15" x14ac:dyDescent="0.35">
      <c r="A221" s="321"/>
      <c r="B221" s="305"/>
      <c r="D221" s="305"/>
      <c r="O221" s="305"/>
    </row>
    <row r="222" spans="1:15" x14ac:dyDescent="0.35">
      <c r="A222" s="321"/>
      <c r="B222" s="305"/>
      <c r="D222" s="305"/>
      <c r="O222" s="305"/>
    </row>
    <row r="223" spans="1:15" x14ac:dyDescent="0.35">
      <c r="A223" s="321"/>
      <c r="B223" s="305"/>
      <c r="D223" s="305"/>
      <c r="O223" s="305"/>
    </row>
    <row r="224" spans="1:15" x14ac:dyDescent="0.35">
      <c r="A224" s="321"/>
      <c r="B224" s="305"/>
      <c r="D224" s="305"/>
      <c r="O224" s="305"/>
    </row>
    <row r="225" spans="1:15" x14ac:dyDescent="0.35">
      <c r="A225" s="321"/>
      <c r="B225" s="305"/>
      <c r="D225" s="305"/>
      <c r="O225" s="305"/>
    </row>
    <row r="226" spans="1:15" x14ac:dyDescent="0.35">
      <c r="A226" s="321"/>
      <c r="B226" s="305"/>
      <c r="D226" s="305"/>
      <c r="O226" s="305"/>
    </row>
    <row r="227" spans="1:15" x14ac:dyDescent="0.35">
      <c r="A227" s="321"/>
      <c r="B227" s="305"/>
      <c r="D227" s="305"/>
      <c r="O227" s="305"/>
    </row>
    <row r="228" spans="1:15" x14ac:dyDescent="0.35">
      <c r="A228" s="321"/>
      <c r="B228" s="305"/>
      <c r="D228" s="305"/>
      <c r="O228" s="305"/>
    </row>
    <row r="229" spans="1:15" x14ac:dyDescent="0.35">
      <c r="A229" s="321"/>
      <c r="B229" s="305"/>
      <c r="D229" s="305"/>
      <c r="O229" s="305"/>
    </row>
    <row r="230" spans="1:15" x14ac:dyDescent="0.35">
      <c r="A230" s="321"/>
      <c r="B230" s="305"/>
      <c r="D230" s="305"/>
      <c r="O230" s="305"/>
    </row>
    <row r="231" spans="1:15" x14ac:dyDescent="0.35">
      <c r="A231" s="321"/>
      <c r="B231" s="305"/>
      <c r="D231" s="305"/>
      <c r="O231" s="305"/>
    </row>
    <row r="232" spans="1:15" x14ac:dyDescent="0.35">
      <c r="A232" s="321"/>
      <c r="B232" s="305"/>
      <c r="D232" s="305"/>
      <c r="O232" s="305"/>
    </row>
    <row r="233" spans="1:15" x14ac:dyDescent="0.35">
      <c r="A233" s="321"/>
      <c r="B233" s="305"/>
      <c r="D233" s="305"/>
      <c r="O233" s="305"/>
    </row>
    <row r="234" spans="1:15" x14ac:dyDescent="0.35">
      <c r="A234" s="321"/>
      <c r="B234" s="305"/>
      <c r="D234" s="305"/>
      <c r="O234" s="305"/>
    </row>
    <row r="235" spans="1:15" x14ac:dyDescent="0.35">
      <c r="A235" s="321"/>
      <c r="B235" s="305"/>
      <c r="D235" s="305"/>
      <c r="O235" s="305"/>
    </row>
    <row r="236" spans="1:15" x14ac:dyDescent="0.35">
      <c r="A236" s="321"/>
      <c r="B236" s="305"/>
      <c r="D236" s="305"/>
      <c r="O236" s="305"/>
    </row>
    <row r="237" spans="1:15" x14ac:dyDescent="0.35">
      <c r="A237" s="321"/>
      <c r="B237" s="305"/>
      <c r="D237" s="305"/>
      <c r="O237" s="305"/>
    </row>
    <row r="238" spans="1:15" x14ac:dyDescent="0.35">
      <c r="A238" s="321"/>
      <c r="B238" s="305"/>
      <c r="D238" s="305"/>
      <c r="O238" s="305"/>
    </row>
    <row r="239" spans="1:15" x14ac:dyDescent="0.35">
      <c r="A239" s="321"/>
      <c r="B239" s="305"/>
      <c r="D239" s="305"/>
      <c r="O239" s="305"/>
    </row>
    <row r="240" spans="1:15" x14ac:dyDescent="0.35">
      <c r="A240" s="321"/>
      <c r="B240" s="305"/>
      <c r="D240" s="305"/>
      <c r="O240" s="305"/>
    </row>
    <row r="241" spans="1:15" x14ac:dyDescent="0.35">
      <c r="A241" s="321"/>
      <c r="B241" s="305"/>
      <c r="D241" s="305"/>
      <c r="O241" s="305"/>
    </row>
    <row r="242" spans="1:15" x14ac:dyDescent="0.35">
      <c r="A242" s="321"/>
      <c r="B242" s="305"/>
      <c r="D242" s="305"/>
      <c r="O242" s="305"/>
    </row>
    <row r="243" spans="1:15" x14ac:dyDescent="0.35">
      <c r="A243" s="321"/>
      <c r="B243" s="305"/>
      <c r="D243" s="305"/>
      <c r="O243" s="305"/>
    </row>
    <row r="244" spans="1:15" x14ac:dyDescent="0.35">
      <c r="A244" s="321"/>
      <c r="B244" s="305"/>
      <c r="D244" s="305"/>
      <c r="O244" s="305"/>
    </row>
    <row r="245" spans="1:15" x14ac:dyDescent="0.35">
      <c r="A245" s="321"/>
      <c r="B245" s="305"/>
      <c r="D245" s="305"/>
      <c r="O245" s="305"/>
    </row>
    <row r="246" spans="1:15" x14ac:dyDescent="0.35">
      <c r="A246" s="321"/>
      <c r="B246" s="305"/>
      <c r="D246" s="305"/>
      <c r="O246" s="305"/>
    </row>
    <row r="247" spans="1:15" x14ac:dyDescent="0.35">
      <c r="A247" s="321"/>
      <c r="B247" s="305"/>
      <c r="D247" s="305"/>
      <c r="O247" s="305"/>
    </row>
    <row r="248" spans="1:15" x14ac:dyDescent="0.35">
      <c r="A248" s="321"/>
      <c r="B248" s="305"/>
      <c r="D248" s="305"/>
      <c r="O248" s="305"/>
    </row>
    <row r="249" spans="1:15" x14ac:dyDescent="0.35">
      <c r="A249" s="321"/>
      <c r="B249" s="305"/>
      <c r="D249" s="305"/>
      <c r="O249" s="305"/>
    </row>
    <row r="250" spans="1:15" x14ac:dyDescent="0.35">
      <c r="A250" s="321"/>
      <c r="B250" s="305"/>
      <c r="D250" s="305"/>
      <c r="O250" s="305"/>
    </row>
    <row r="251" spans="1:15" x14ac:dyDescent="0.35">
      <c r="A251" s="321"/>
      <c r="B251" s="305"/>
      <c r="D251" s="305"/>
      <c r="O251" s="305"/>
    </row>
    <row r="252" spans="1:15" x14ac:dyDescent="0.35">
      <c r="A252" s="321"/>
      <c r="B252" s="305"/>
      <c r="D252" s="305"/>
      <c r="O252" s="305"/>
    </row>
    <row r="253" spans="1:15" x14ac:dyDescent="0.35">
      <c r="A253" s="321"/>
      <c r="B253" s="305"/>
      <c r="D253" s="305"/>
      <c r="O253" s="305"/>
    </row>
    <row r="254" spans="1:15" x14ac:dyDescent="0.35">
      <c r="A254" s="321"/>
      <c r="B254" s="305"/>
      <c r="D254" s="305"/>
      <c r="O254" s="305"/>
    </row>
    <row r="255" spans="1:15" x14ac:dyDescent="0.35">
      <c r="A255" s="321"/>
      <c r="B255" s="305"/>
      <c r="D255" s="305"/>
      <c r="O255" s="305"/>
    </row>
    <row r="256" spans="1:15" x14ac:dyDescent="0.35">
      <c r="A256" s="321"/>
      <c r="B256" s="305"/>
      <c r="D256" s="305"/>
      <c r="O256" s="305"/>
    </row>
    <row r="257" spans="1:15" x14ac:dyDescent="0.35">
      <c r="A257" s="321"/>
      <c r="B257" s="305"/>
      <c r="D257" s="305"/>
      <c r="O257" s="305"/>
    </row>
    <row r="258" spans="1:15" x14ac:dyDescent="0.35">
      <c r="A258" s="321"/>
      <c r="B258" s="305"/>
      <c r="D258" s="305"/>
      <c r="O258" s="305"/>
    </row>
    <row r="259" spans="1:15" x14ac:dyDescent="0.35">
      <c r="A259" s="321"/>
      <c r="B259" s="305"/>
      <c r="D259" s="305"/>
      <c r="O259" s="305"/>
    </row>
    <row r="260" spans="1:15" x14ac:dyDescent="0.35">
      <c r="A260" s="321"/>
      <c r="B260" s="305"/>
      <c r="D260" s="305"/>
      <c r="O260" s="305"/>
    </row>
    <row r="261" spans="1:15" x14ac:dyDescent="0.35">
      <c r="A261" s="321"/>
      <c r="B261" s="305"/>
      <c r="D261" s="305"/>
      <c r="O261" s="305"/>
    </row>
    <row r="262" spans="1:15" x14ac:dyDescent="0.35">
      <c r="A262" s="321"/>
      <c r="B262" s="305"/>
      <c r="D262" s="305"/>
      <c r="O262" s="305"/>
    </row>
    <row r="263" spans="1:15" x14ac:dyDescent="0.35">
      <c r="A263" s="321"/>
      <c r="B263" s="305"/>
      <c r="D263" s="305"/>
      <c r="O263" s="305"/>
    </row>
    <row r="264" spans="1:15" x14ac:dyDescent="0.35">
      <c r="A264" s="321"/>
      <c r="B264" s="305"/>
      <c r="D264" s="305"/>
      <c r="O264" s="305"/>
    </row>
    <row r="265" spans="1:15" x14ac:dyDescent="0.35">
      <c r="A265" s="321"/>
      <c r="B265" s="305"/>
      <c r="D265" s="305"/>
      <c r="O265" s="305"/>
    </row>
    <row r="266" spans="1:15" x14ac:dyDescent="0.35">
      <c r="A266" s="321"/>
      <c r="B266" s="305"/>
      <c r="D266" s="305"/>
      <c r="O266" s="305"/>
    </row>
    <row r="267" spans="1:15" x14ac:dyDescent="0.35">
      <c r="A267" s="321"/>
      <c r="B267" s="305"/>
      <c r="D267" s="305"/>
      <c r="O267" s="305"/>
    </row>
    <row r="268" spans="1:15" x14ac:dyDescent="0.35">
      <c r="A268" s="321"/>
      <c r="B268" s="305"/>
      <c r="D268" s="305"/>
      <c r="O268" s="305"/>
    </row>
    <row r="269" spans="1:15" x14ac:dyDescent="0.35">
      <c r="A269" s="321"/>
      <c r="B269" s="305"/>
      <c r="D269" s="305"/>
      <c r="O269" s="305"/>
    </row>
    <row r="270" spans="1:15" x14ac:dyDescent="0.35">
      <c r="A270" s="321"/>
      <c r="B270" s="305"/>
      <c r="D270" s="305"/>
      <c r="O270" s="305"/>
    </row>
    <row r="271" spans="1:15" x14ac:dyDescent="0.35">
      <c r="A271" s="321"/>
      <c r="B271" s="305"/>
      <c r="D271" s="305"/>
      <c r="O271" s="305"/>
    </row>
    <row r="272" spans="1:15" x14ac:dyDescent="0.35">
      <c r="A272" s="321"/>
      <c r="B272" s="305"/>
      <c r="D272" s="305"/>
      <c r="O272" s="305"/>
    </row>
    <row r="273" spans="1:15" x14ac:dyDescent="0.35">
      <c r="A273" s="321"/>
      <c r="B273" s="305"/>
      <c r="D273" s="305"/>
      <c r="O273" s="305"/>
    </row>
    <row r="274" spans="1:15" x14ac:dyDescent="0.35">
      <c r="A274" s="321"/>
      <c r="B274" s="305"/>
      <c r="D274" s="305"/>
      <c r="O274" s="305"/>
    </row>
    <row r="275" spans="1:15" x14ac:dyDescent="0.35">
      <c r="A275" s="321"/>
      <c r="B275" s="305"/>
      <c r="D275" s="305"/>
      <c r="O275" s="305"/>
    </row>
    <row r="276" spans="1:15" x14ac:dyDescent="0.35">
      <c r="A276" s="321"/>
      <c r="B276" s="305"/>
      <c r="D276" s="305"/>
      <c r="O276" s="305"/>
    </row>
    <row r="277" spans="1:15" x14ac:dyDescent="0.35">
      <c r="A277" s="321"/>
      <c r="B277" s="305"/>
      <c r="D277" s="305"/>
      <c r="O277" s="305"/>
    </row>
    <row r="278" spans="1:15" x14ac:dyDescent="0.35">
      <c r="A278" s="321"/>
      <c r="B278" s="305"/>
      <c r="D278" s="305"/>
      <c r="O278" s="305"/>
    </row>
    <row r="279" spans="1:15" x14ac:dyDescent="0.35">
      <c r="A279" s="321"/>
      <c r="B279" s="305"/>
      <c r="D279" s="305"/>
      <c r="O279" s="305"/>
    </row>
    <row r="280" spans="1:15" x14ac:dyDescent="0.35">
      <c r="A280" s="321"/>
      <c r="B280" s="305"/>
      <c r="D280" s="305"/>
      <c r="O280" s="305"/>
    </row>
    <row r="281" spans="1:15" x14ac:dyDescent="0.35">
      <c r="A281" s="321"/>
      <c r="B281" s="305"/>
      <c r="D281" s="305"/>
      <c r="O281" s="305"/>
    </row>
    <row r="282" spans="1:15" x14ac:dyDescent="0.35">
      <c r="A282" s="321"/>
      <c r="B282" s="305"/>
      <c r="D282" s="305"/>
      <c r="O282" s="305"/>
    </row>
    <row r="283" spans="1:15" x14ac:dyDescent="0.35">
      <c r="A283" s="321"/>
      <c r="B283" s="305"/>
      <c r="D283" s="305"/>
      <c r="O283" s="305"/>
    </row>
    <row r="284" spans="1:15" x14ac:dyDescent="0.35">
      <c r="A284" s="321"/>
      <c r="B284" s="305"/>
      <c r="D284" s="305"/>
      <c r="O284" s="305"/>
    </row>
    <row r="285" spans="1:15" x14ac:dyDescent="0.35">
      <c r="A285" s="321"/>
      <c r="B285" s="305"/>
      <c r="D285" s="305"/>
      <c r="O285" s="305"/>
    </row>
    <row r="286" spans="1:15" x14ac:dyDescent="0.35">
      <c r="A286" s="321"/>
      <c r="B286" s="305"/>
      <c r="D286" s="305"/>
      <c r="O286" s="305"/>
    </row>
    <row r="287" spans="1:15" x14ac:dyDescent="0.35">
      <c r="A287" s="321"/>
      <c r="B287" s="305"/>
      <c r="D287" s="305"/>
      <c r="O287" s="305"/>
    </row>
    <row r="288" spans="1:15" x14ac:dyDescent="0.35">
      <c r="A288" s="321"/>
      <c r="B288" s="305"/>
      <c r="D288" s="305"/>
      <c r="O288" s="305"/>
    </row>
    <row r="289" spans="1:15" x14ac:dyDescent="0.35">
      <c r="A289" s="321"/>
      <c r="B289" s="305"/>
      <c r="D289" s="305"/>
      <c r="O289" s="305"/>
    </row>
    <row r="290" spans="1:15" x14ac:dyDescent="0.35">
      <c r="A290" s="321"/>
      <c r="B290" s="305"/>
      <c r="D290" s="305"/>
      <c r="O290" s="305"/>
    </row>
    <row r="291" spans="1:15" x14ac:dyDescent="0.35">
      <c r="A291" s="321"/>
      <c r="B291" s="305"/>
      <c r="D291" s="305"/>
      <c r="O291" s="305"/>
    </row>
    <row r="292" spans="1:15" x14ac:dyDescent="0.35">
      <c r="A292" s="321"/>
      <c r="B292" s="305"/>
      <c r="D292" s="305"/>
      <c r="O292" s="305"/>
    </row>
    <row r="293" spans="1:15" x14ac:dyDescent="0.35">
      <c r="A293" s="321"/>
      <c r="B293" s="305"/>
      <c r="D293" s="305"/>
      <c r="O293" s="305"/>
    </row>
    <row r="294" spans="1:15" x14ac:dyDescent="0.35">
      <c r="A294" s="321"/>
      <c r="B294" s="305"/>
      <c r="D294" s="305"/>
      <c r="O294" s="305"/>
    </row>
    <row r="295" spans="1:15" x14ac:dyDescent="0.35">
      <c r="A295" s="321"/>
      <c r="B295" s="305"/>
      <c r="D295" s="305"/>
      <c r="O295" s="305"/>
    </row>
    <row r="296" spans="1:15" x14ac:dyDescent="0.35">
      <c r="A296" s="321"/>
      <c r="B296" s="305"/>
      <c r="D296" s="305"/>
      <c r="O296" s="305"/>
    </row>
    <row r="297" spans="1:15" x14ac:dyDescent="0.35">
      <c r="A297" s="321"/>
      <c r="B297" s="305"/>
      <c r="D297" s="305"/>
      <c r="O297" s="305"/>
    </row>
    <row r="298" spans="1:15" x14ac:dyDescent="0.35">
      <c r="A298" s="321"/>
      <c r="B298" s="305"/>
      <c r="D298" s="305"/>
      <c r="O298" s="305"/>
    </row>
    <row r="299" spans="1:15" x14ac:dyDescent="0.35">
      <c r="A299" s="321"/>
      <c r="B299" s="305"/>
      <c r="D299" s="305"/>
      <c r="O299" s="305"/>
    </row>
    <row r="300" spans="1:15" x14ac:dyDescent="0.35">
      <c r="A300" s="321"/>
      <c r="B300" s="305"/>
      <c r="D300" s="305"/>
      <c r="O300" s="305"/>
    </row>
    <row r="301" spans="1:15" x14ac:dyDescent="0.35">
      <c r="A301" s="321"/>
      <c r="B301" s="305"/>
      <c r="D301" s="305"/>
      <c r="O301" s="305"/>
    </row>
    <row r="302" spans="1:15" x14ac:dyDescent="0.35">
      <c r="A302" s="321"/>
      <c r="B302" s="305"/>
      <c r="D302" s="305"/>
      <c r="O302" s="305"/>
    </row>
    <row r="303" spans="1:15" x14ac:dyDescent="0.35">
      <c r="A303" s="321"/>
      <c r="B303" s="305"/>
      <c r="D303" s="305"/>
      <c r="O303" s="305"/>
    </row>
    <row r="304" spans="1:15" x14ac:dyDescent="0.35">
      <c r="A304" s="321"/>
      <c r="B304" s="305"/>
      <c r="D304" s="305"/>
      <c r="O304" s="305"/>
    </row>
    <row r="305" spans="1:15" x14ac:dyDescent="0.35">
      <c r="A305" s="321"/>
      <c r="B305" s="305"/>
      <c r="D305" s="305"/>
      <c r="O305" s="305"/>
    </row>
    <row r="306" spans="1:15" x14ac:dyDescent="0.35">
      <c r="A306" s="321"/>
      <c r="B306" s="305"/>
      <c r="D306" s="305"/>
      <c r="O306" s="305"/>
    </row>
    <row r="307" spans="1:15" x14ac:dyDescent="0.35">
      <c r="A307" s="321"/>
      <c r="B307" s="305"/>
      <c r="D307" s="305"/>
      <c r="O307" s="305"/>
    </row>
    <row r="308" spans="1:15" x14ac:dyDescent="0.35">
      <c r="A308" s="321"/>
      <c r="B308" s="305"/>
      <c r="D308" s="305"/>
      <c r="O308" s="305"/>
    </row>
    <row r="309" spans="1:15" x14ac:dyDescent="0.35">
      <c r="A309" s="321"/>
      <c r="B309" s="305"/>
      <c r="D309" s="305"/>
      <c r="O309" s="305"/>
    </row>
    <row r="310" spans="1:15" x14ac:dyDescent="0.35">
      <c r="A310" s="321"/>
      <c r="B310" s="305"/>
      <c r="D310" s="305"/>
      <c r="O310" s="305"/>
    </row>
    <row r="311" spans="1:15" x14ac:dyDescent="0.35">
      <c r="A311" s="321"/>
      <c r="B311" s="305"/>
      <c r="D311" s="305"/>
      <c r="O311" s="305"/>
    </row>
    <row r="312" spans="1:15" x14ac:dyDescent="0.35">
      <c r="A312" s="321"/>
      <c r="B312" s="305"/>
      <c r="D312" s="305"/>
      <c r="O312" s="305"/>
    </row>
    <row r="313" spans="1:15" x14ac:dyDescent="0.35">
      <c r="A313" s="321"/>
      <c r="B313" s="305"/>
      <c r="D313" s="305"/>
      <c r="O313" s="305"/>
    </row>
    <row r="314" spans="1:15" x14ac:dyDescent="0.35">
      <c r="A314" s="321"/>
      <c r="B314" s="305"/>
      <c r="D314" s="305"/>
      <c r="O314" s="305"/>
    </row>
    <row r="315" spans="1:15" x14ac:dyDescent="0.35">
      <c r="A315" s="321"/>
      <c r="B315" s="305"/>
      <c r="D315" s="305"/>
      <c r="O315" s="305"/>
    </row>
    <row r="316" spans="1:15" x14ac:dyDescent="0.35">
      <c r="A316" s="321"/>
      <c r="B316" s="305"/>
      <c r="D316" s="305"/>
      <c r="O316" s="305"/>
    </row>
    <row r="317" spans="1:15" x14ac:dyDescent="0.35">
      <c r="A317" s="321"/>
      <c r="B317" s="305"/>
      <c r="D317" s="305"/>
      <c r="O317" s="305"/>
    </row>
    <row r="318" spans="1:15" x14ac:dyDescent="0.35">
      <c r="A318" s="321"/>
      <c r="B318" s="305"/>
      <c r="D318" s="305"/>
      <c r="O318" s="305"/>
    </row>
    <row r="319" spans="1:15" x14ac:dyDescent="0.35">
      <c r="A319" s="321"/>
      <c r="B319" s="305"/>
      <c r="D319" s="305"/>
      <c r="O319" s="305"/>
    </row>
    <row r="320" spans="1:15" x14ac:dyDescent="0.35">
      <c r="A320" s="321"/>
      <c r="B320" s="305"/>
      <c r="D320" s="305"/>
      <c r="O320" s="305"/>
    </row>
    <row r="321" spans="1:15" x14ac:dyDescent="0.35">
      <c r="A321" s="321"/>
      <c r="B321" s="305"/>
      <c r="D321" s="305"/>
      <c r="O321" s="305"/>
    </row>
    <row r="322" spans="1:15" x14ac:dyDescent="0.35">
      <c r="A322" s="321"/>
      <c r="B322" s="305"/>
      <c r="D322" s="305"/>
      <c r="O322" s="305"/>
    </row>
    <row r="323" spans="1:15" x14ac:dyDescent="0.35">
      <c r="A323" s="321"/>
      <c r="B323" s="305"/>
      <c r="D323" s="305"/>
      <c r="O323" s="305"/>
    </row>
    <row r="324" spans="1:15" x14ac:dyDescent="0.35">
      <c r="A324" s="321"/>
      <c r="B324" s="305"/>
      <c r="D324" s="305"/>
      <c r="O324" s="305"/>
    </row>
    <row r="325" spans="1:15" x14ac:dyDescent="0.35">
      <c r="A325" s="321"/>
      <c r="B325" s="305"/>
      <c r="D325" s="305"/>
      <c r="O325" s="305"/>
    </row>
    <row r="326" spans="1:15" x14ac:dyDescent="0.35">
      <c r="A326" s="321"/>
      <c r="B326" s="305"/>
      <c r="D326" s="305"/>
      <c r="O326" s="305"/>
    </row>
    <row r="327" spans="1:15" x14ac:dyDescent="0.35">
      <c r="A327" s="321"/>
      <c r="B327" s="305"/>
      <c r="D327" s="305"/>
      <c r="O327" s="305"/>
    </row>
    <row r="328" spans="1:15" x14ac:dyDescent="0.35">
      <c r="A328" s="321"/>
      <c r="B328" s="305"/>
      <c r="D328" s="305"/>
      <c r="O328" s="305"/>
    </row>
    <row r="329" spans="1:15" x14ac:dyDescent="0.35">
      <c r="A329" s="321"/>
      <c r="B329" s="305"/>
      <c r="D329" s="305"/>
      <c r="O329" s="305"/>
    </row>
    <row r="330" spans="1:15" x14ac:dyDescent="0.35">
      <c r="A330" s="321"/>
      <c r="B330" s="305"/>
      <c r="D330" s="305"/>
      <c r="O330" s="305"/>
    </row>
    <row r="331" spans="1:15" x14ac:dyDescent="0.35">
      <c r="A331" s="321"/>
      <c r="B331" s="305"/>
      <c r="D331" s="305"/>
      <c r="O331" s="305"/>
    </row>
    <row r="332" spans="1:15" x14ac:dyDescent="0.35">
      <c r="A332" s="321"/>
      <c r="B332" s="305"/>
      <c r="D332" s="305"/>
      <c r="O332" s="305"/>
    </row>
    <row r="333" spans="1:15" x14ac:dyDescent="0.35">
      <c r="A333" s="321"/>
      <c r="B333" s="305"/>
      <c r="D333" s="305"/>
      <c r="O333" s="305"/>
    </row>
    <row r="334" spans="1:15" x14ac:dyDescent="0.35">
      <c r="A334" s="321"/>
      <c r="B334" s="305"/>
      <c r="D334" s="305"/>
      <c r="O334" s="305"/>
    </row>
    <row r="335" spans="1:15" x14ac:dyDescent="0.35">
      <c r="A335" s="321"/>
      <c r="B335" s="305"/>
      <c r="D335" s="305"/>
      <c r="O335" s="305"/>
    </row>
    <row r="336" spans="1:15" x14ac:dyDescent="0.35">
      <c r="A336" s="321"/>
      <c r="B336" s="305"/>
      <c r="D336" s="305"/>
      <c r="O336" s="305"/>
    </row>
    <row r="337" spans="1:15" x14ac:dyDescent="0.35">
      <c r="A337" s="321"/>
      <c r="B337" s="305"/>
      <c r="D337" s="305"/>
      <c r="O337" s="305"/>
    </row>
    <row r="338" spans="1:15" x14ac:dyDescent="0.35">
      <c r="A338" s="321"/>
      <c r="B338" s="305"/>
      <c r="D338" s="305"/>
      <c r="O338" s="305"/>
    </row>
    <row r="339" spans="1:15" x14ac:dyDescent="0.35">
      <c r="A339" s="321"/>
      <c r="B339" s="305"/>
      <c r="D339" s="305"/>
      <c r="O339" s="305"/>
    </row>
    <row r="340" spans="1:15" x14ac:dyDescent="0.35">
      <c r="A340" s="321"/>
      <c r="B340" s="305"/>
      <c r="D340" s="305"/>
      <c r="O340" s="305"/>
    </row>
    <row r="341" spans="1:15" x14ac:dyDescent="0.35">
      <c r="A341" s="321"/>
      <c r="B341" s="305"/>
      <c r="D341" s="305"/>
      <c r="O341" s="305"/>
    </row>
    <row r="342" spans="1:15" x14ac:dyDescent="0.35">
      <c r="A342" s="321"/>
      <c r="B342" s="305"/>
      <c r="D342" s="305"/>
      <c r="O342" s="305"/>
    </row>
    <row r="343" spans="1:15" x14ac:dyDescent="0.35">
      <c r="A343" s="321"/>
      <c r="B343" s="305"/>
      <c r="D343" s="305"/>
      <c r="O343" s="305"/>
    </row>
    <row r="344" spans="1:15" x14ac:dyDescent="0.35">
      <c r="A344" s="321"/>
      <c r="B344" s="305"/>
      <c r="D344" s="305"/>
      <c r="O344" s="305"/>
    </row>
    <row r="345" spans="1:15" x14ac:dyDescent="0.35">
      <c r="A345" s="321"/>
      <c r="B345" s="305"/>
      <c r="D345" s="305"/>
      <c r="O345" s="305"/>
    </row>
    <row r="346" spans="1:15" x14ac:dyDescent="0.35">
      <c r="A346" s="321"/>
      <c r="B346" s="305"/>
      <c r="D346" s="305"/>
      <c r="O346" s="305"/>
    </row>
    <row r="347" spans="1:15" x14ac:dyDescent="0.35">
      <c r="A347" s="321"/>
      <c r="B347" s="305"/>
      <c r="D347" s="305"/>
      <c r="O347" s="305"/>
    </row>
    <row r="348" spans="1:15" x14ac:dyDescent="0.35">
      <c r="A348" s="321"/>
      <c r="B348" s="305"/>
      <c r="D348" s="305"/>
      <c r="O348" s="305"/>
    </row>
    <row r="349" spans="1:15" x14ac:dyDescent="0.35">
      <c r="A349" s="321"/>
      <c r="B349" s="305"/>
      <c r="D349" s="305"/>
      <c r="O349" s="305"/>
    </row>
    <row r="350" spans="1:15" x14ac:dyDescent="0.35">
      <c r="A350" s="321"/>
      <c r="B350" s="305"/>
      <c r="D350" s="305"/>
      <c r="O350" s="305"/>
    </row>
    <row r="351" spans="1:15" x14ac:dyDescent="0.35">
      <c r="A351" s="321"/>
      <c r="B351" s="305"/>
      <c r="D351" s="305"/>
      <c r="O351" s="305"/>
    </row>
    <row r="352" spans="1:15" x14ac:dyDescent="0.35">
      <c r="A352" s="321"/>
      <c r="B352" s="305"/>
      <c r="D352" s="305"/>
      <c r="O352" s="305"/>
    </row>
    <row r="353" spans="1:15" x14ac:dyDescent="0.35">
      <c r="A353" s="321"/>
      <c r="B353" s="305"/>
      <c r="D353" s="305"/>
      <c r="O353" s="305"/>
    </row>
    <row r="354" spans="1:15" x14ac:dyDescent="0.35">
      <c r="A354" s="321"/>
      <c r="B354" s="305"/>
      <c r="D354" s="305"/>
      <c r="O354" s="305"/>
    </row>
    <row r="355" spans="1:15" x14ac:dyDescent="0.35">
      <c r="A355" s="321"/>
      <c r="B355" s="305"/>
      <c r="D355" s="305"/>
      <c r="O355" s="305"/>
    </row>
    <row r="356" spans="1:15" x14ac:dyDescent="0.35">
      <c r="A356" s="321"/>
      <c r="B356" s="305"/>
      <c r="D356" s="305"/>
      <c r="O356" s="305"/>
    </row>
    <row r="357" spans="1:15" x14ac:dyDescent="0.35">
      <c r="A357" s="321"/>
      <c r="B357" s="305"/>
      <c r="D357" s="305"/>
      <c r="O357" s="305"/>
    </row>
    <row r="358" spans="1:15" x14ac:dyDescent="0.35">
      <c r="A358" s="321"/>
      <c r="B358" s="305"/>
      <c r="D358" s="305"/>
      <c r="O358" s="305"/>
    </row>
    <row r="359" spans="1:15" x14ac:dyDescent="0.35">
      <c r="A359" s="321"/>
      <c r="B359" s="305"/>
      <c r="D359" s="305"/>
      <c r="O359" s="305"/>
    </row>
    <row r="360" spans="1:15" x14ac:dyDescent="0.35">
      <c r="A360" s="321"/>
      <c r="B360" s="305"/>
      <c r="D360" s="305"/>
      <c r="O360" s="305"/>
    </row>
    <row r="361" spans="1:15" x14ac:dyDescent="0.35">
      <c r="A361" s="321"/>
      <c r="B361" s="305"/>
      <c r="D361" s="305"/>
      <c r="O361" s="305"/>
    </row>
    <row r="362" spans="1:15" x14ac:dyDescent="0.35">
      <c r="A362" s="321"/>
      <c r="B362" s="305"/>
      <c r="D362" s="305"/>
      <c r="O362" s="305"/>
    </row>
    <row r="363" spans="1:15" x14ac:dyDescent="0.35">
      <c r="A363" s="321"/>
      <c r="B363" s="305"/>
      <c r="D363" s="305"/>
      <c r="O363" s="305"/>
    </row>
    <row r="364" spans="1:15" x14ac:dyDescent="0.35">
      <c r="A364" s="321"/>
      <c r="B364" s="305"/>
      <c r="D364" s="305"/>
      <c r="O364" s="305"/>
    </row>
    <row r="365" spans="1:15" x14ac:dyDescent="0.35">
      <c r="A365" s="321"/>
      <c r="B365" s="305"/>
      <c r="D365" s="305"/>
      <c r="O365" s="305"/>
    </row>
    <row r="366" spans="1:15" x14ac:dyDescent="0.35">
      <c r="A366" s="321"/>
      <c r="B366" s="305"/>
      <c r="D366" s="305"/>
      <c r="O366" s="305"/>
    </row>
    <row r="367" spans="1:15" x14ac:dyDescent="0.35">
      <c r="A367" s="321"/>
      <c r="B367" s="305"/>
      <c r="D367" s="305"/>
      <c r="O367" s="305"/>
    </row>
    <row r="368" spans="1:15" x14ac:dyDescent="0.35">
      <c r="A368" s="321"/>
      <c r="B368" s="305"/>
      <c r="D368" s="305"/>
      <c r="O368" s="305"/>
    </row>
    <row r="369" spans="1:15" x14ac:dyDescent="0.35">
      <c r="A369" s="321"/>
      <c r="B369" s="305"/>
      <c r="D369" s="305"/>
      <c r="O369" s="305"/>
    </row>
    <row r="370" spans="1:15" x14ac:dyDescent="0.35">
      <c r="A370" s="321"/>
      <c r="B370" s="305"/>
      <c r="D370" s="305"/>
      <c r="O370" s="305"/>
    </row>
    <row r="371" spans="1:15" x14ac:dyDescent="0.35">
      <c r="A371" s="321"/>
      <c r="B371" s="305"/>
      <c r="D371" s="305"/>
      <c r="O371" s="305"/>
    </row>
    <row r="372" spans="1:15" x14ac:dyDescent="0.35">
      <c r="A372" s="321"/>
      <c r="B372" s="305"/>
      <c r="D372" s="305"/>
      <c r="O372" s="305"/>
    </row>
    <row r="373" spans="1:15" x14ac:dyDescent="0.35">
      <c r="A373" s="321"/>
      <c r="B373" s="305"/>
      <c r="D373" s="305"/>
      <c r="O373" s="305"/>
    </row>
    <row r="374" spans="1:15" x14ac:dyDescent="0.35">
      <c r="A374" s="321"/>
      <c r="B374" s="305"/>
      <c r="D374" s="305"/>
      <c r="O374" s="305"/>
    </row>
    <row r="375" spans="1:15" x14ac:dyDescent="0.35">
      <c r="A375" s="321"/>
      <c r="B375" s="305"/>
      <c r="D375" s="305"/>
      <c r="O375" s="305"/>
    </row>
    <row r="376" spans="1:15" x14ac:dyDescent="0.35">
      <c r="A376" s="321"/>
      <c r="B376" s="305"/>
      <c r="D376" s="305"/>
      <c r="O376" s="305"/>
    </row>
    <row r="377" spans="1:15" x14ac:dyDescent="0.35">
      <c r="A377" s="321"/>
      <c r="B377" s="305"/>
      <c r="D377" s="305"/>
      <c r="O377" s="305"/>
    </row>
    <row r="378" spans="1:15" x14ac:dyDescent="0.35">
      <c r="A378" s="321"/>
      <c r="B378" s="305"/>
      <c r="D378" s="305"/>
      <c r="O378" s="305"/>
    </row>
    <row r="379" spans="1:15" x14ac:dyDescent="0.35">
      <c r="A379" s="321"/>
      <c r="B379" s="305"/>
      <c r="D379" s="305"/>
      <c r="O379" s="305"/>
    </row>
    <row r="380" spans="1:15" x14ac:dyDescent="0.35">
      <c r="A380" s="321"/>
      <c r="B380" s="305"/>
      <c r="D380" s="305"/>
      <c r="O380" s="305"/>
    </row>
    <row r="381" spans="1:15" x14ac:dyDescent="0.35">
      <c r="A381" s="321"/>
      <c r="B381" s="305"/>
      <c r="D381" s="305"/>
      <c r="O381" s="305"/>
    </row>
    <row r="382" spans="1:15" x14ac:dyDescent="0.35">
      <c r="A382" s="321"/>
      <c r="B382" s="305"/>
      <c r="D382" s="305"/>
      <c r="O382" s="305"/>
    </row>
    <row r="383" spans="1:15" x14ac:dyDescent="0.35">
      <c r="A383" s="321"/>
      <c r="B383" s="305"/>
      <c r="D383" s="305"/>
      <c r="O383" s="305"/>
    </row>
    <row r="384" spans="1:15" x14ac:dyDescent="0.35">
      <c r="A384" s="321"/>
      <c r="B384" s="305"/>
      <c r="D384" s="305"/>
      <c r="O384" s="305"/>
    </row>
    <row r="385" spans="1:15" x14ac:dyDescent="0.35">
      <c r="A385" s="321"/>
      <c r="B385" s="305"/>
      <c r="D385" s="305"/>
      <c r="O385" s="305"/>
    </row>
    <row r="386" spans="1:15" x14ac:dyDescent="0.35">
      <c r="A386" s="321"/>
      <c r="B386" s="305"/>
      <c r="D386" s="305"/>
      <c r="O386" s="305"/>
    </row>
    <row r="387" spans="1:15" x14ac:dyDescent="0.35">
      <c r="A387" s="321"/>
      <c r="B387" s="305"/>
      <c r="D387" s="305"/>
      <c r="O387" s="305"/>
    </row>
    <row r="388" spans="1:15" x14ac:dyDescent="0.35">
      <c r="A388" s="321"/>
      <c r="B388" s="305"/>
      <c r="D388" s="305"/>
      <c r="O388" s="305"/>
    </row>
    <row r="389" spans="1:15" x14ac:dyDescent="0.35">
      <c r="A389" s="321"/>
      <c r="B389" s="305"/>
      <c r="D389" s="305"/>
      <c r="O389" s="305"/>
    </row>
    <row r="390" spans="1:15" x14ac:dyDescent="0.35">
      <c r="A390" s="321"/>
      <c r="B390" s="305"/>
      <c r="D390" s="305"/>
      <c r="O390" s="305"/>
    </row>
    <row r="391" spans="1:15" x14ac:dyDescent="0.35">
      <c r="A391" s="321"/>
      <c r="B391" s="305"/>
      <c r="D391" s="305"/>
      <c r="O391" s="305"/>
    </row>
    <row r="392" spans="1:15" x14ac:dyDescent="0.35">
      <c r="A392" s="321"/>
      <c r="B392" s="305"/>
      <c r="D392" s="305"/>
      <c r="O392" s="305"/>
    </row>
    <row r="393" spans="1:15" x14ac:dyDescent="0.35">
      <c r="A393" s="321"/>
      <c r="B393" s="305"/>
      <c r="D393" s="305"/>
      <c r="O393" s="305"/>
    </row>
    <row r="394" spans="1:15" x14ac:dyDescent="0.35">
      <c r="A394" s="321"/>
      <c r="B394" s="305"/>
      <c r="D394" s="305"/>
      <c r="O394" s="305"/>
    </row>
    <row r="395" spans="1:15" x14ac:dyDescent="0.35">
      <c r="A395" s="321"/>
      <c r="B395" s="305"/>
      <c r="D395" s="305"/>
      <c r="O395" s="305"/>
    </row>
    <row r="396" spans="1:15" x14ac:dyDescent="0.35">
      <c r="A396" s="321"/>
      <c r="B396" s="305"/>
      <c r="D396" s="305"/>
      <c r="O396" s="305"/>
    </row>
    <row r="397" spans="1:15" x14ac:dyDescent="0.35">
      <c r="A397" s="321"/>
      <c r="B397" s="305"/>
      <c r="D397" s="305"/>
      <c r="O397" s="305"/>
    </row>
    <row r="398" spans="1:15" x14ac:dyDescent="0.35">
      <c r="A398" s="321"/>
      <c r="B398" s="305"/>
      <c r="D398" s="305"/>
      <c r="O398" s="305"/>
    </row>
    <row r="399" spans="1:15" x14ac:dyDescent="0.35">
      <c r="A399" s="321"/>
      <c r="B399" s="305"/>
      <c r="D399" s="305"/>
      <c r="O399" s="305"/>
    </row>
    <row r="400" spans="1:15" x14ac:dyDescent="0.35">
      <c r="A400" s="321"/>
      <c r="B400" s="305"/>
      <c r="D400" s="305"/>
      <c r="O400" s="305"/>
    </row>
    <row r="401" spans="1:15" x14ac:dyDescent="0.35">
      <c r="A401" s="321"/>
      <c r="B401" s="305"/>
      <c r="D401" s="305"/>
      <c r="O401" s="305"/>
    </row>
    <row r="402" spans="1:15" x14ac:dyDescent="0.35">
      <c r="A402" s="321"/>
      <c r="B402" s="305"/>
      <c r="D402" s="305"/>
      <c r="O402" s="305"/>
    </row>
    <row r="403" spans="1:15" x14ac:dyDescent="0.35">
      <c r="A403" s="321"/>
      <c r="B403" s="305"/>
      <c r="D403" s="305"/>
      <c r="O403" s="305"/>
    </row>
    <row r="404" spans="1:15" x14ac:dyDescent="0.35">
      <c r="A404" s="321"/>
      <c r="B404" s="305"/>
      <c r="D404" s="305"/>
      <c r="O404" s="305"/>
    </row>
    <row r="405" spans="1:15" x14ac:dyDescent="0.35">
      <c r="A405" s="321"/>
      <c r="B405" s="305"/>
      <c r="D405" s="305"/>
      <c r="O405" s="305"/>
    </row>
    <row r="406" spans="1:15" x14ac:dyDescent="0.35">
      <c r="A406" s="321"/>
      <c r="B406" s="305"/>
      <c r="D406" s="305"/>
      <c r="O406" s="305"/>
    </row>
    <row r="407" spans="1:15" x14ac:dyDescent="0.35">
      <c r="A407" s="321"/>
      <c r="B407" s="305"/>
      <c r="D407" s="305"/>
      <c r="O407" s="305"/>
    </row>
    <row r="408" spans="1:15" x14ac:dyDescent="0.35">
      <c r="A408" s="321"/>
      <c r="B408" s="305"/>
      <c r="D408" s="305"/>
      <c r="O408" s="305"/>
    </row>
    <row r="409" spans="1:15" x14ac:dyDescent="0.35">
      <c r="A409" s="321"/>
      <c r="B409" s="305"/>
      <c r="D409" s="305"/>
      <c r="O409" s="305"/>
    </row>
    <row r="410" spans="1:15" x14ac:dyDescent="0.35">
      <c r="A410" s="321"/>
      <c r="B410" s="305"/>
      <c r="D410" s="305"/>
      <c r="O410" s="305"/>
    </row>
    <row r="411" spans="1:15" x14ac:dyDescent="0.35">
      <c r="A411" s="321"/>
      <c r="B411" s="305"/>
      <c r="D411" s="305"/>
      <c r="O411" s="305"/>
    </row>
    <row r="412" spans="1:15" x14ac:dyDescent="0.35">
      <c r="A412" s="321"/>
      <c r="B412" s="305"/>
      <c r="D412" s="305"/>
      <c r="O412" s="305"/>
    </row>
    <row r="413" spans="1:15" x14ac:dyDescent="0.35">
      <c r="A413" s="321"/>
      <c r="B413" s="305"/>
      <c r="D413" s="305"/>
      <c r="O413" s="305"/>
    </row>
    <row r="414" spans="1:15" x14ac:dyDescent="0.35">
      <c r="A414" s="321"/>
      <c r="B414" s="305"/>
      <c r="D414" s="305"/>
      <c r="O414" s="305"/>
    </row>
    <row r="415" spans="1:15" x14ac:dyDescent="0.35">
      <c r="A415" s="321"/>
      <c r="B415" s="305"/>
      <c r="D415" s="305"/>
      <c r="O415" s="305"/>
    </row>
    <row r="416" spans="1:15" x14ac:dyDescent="0.35">
      <c r="A416" s="321"/>
      <c r="B416" s="305"/>
      <c r="D416" s="305"/>
      <c r="O416" s="305"/>
    </row>
    <row r="417" spans="1:15" x14ac:dyDescent="0.35">
      <c r="A417" s="321"/>
      <c r="B417" s="305"/>
      <c r="D417" s="305"/>
      <c r="O417" s="305"/>
    </row>
    <row r="418" spans="1:15" x14ac:dyDescent="0.35">
      <c r="A418" s="321"/>
      <c r="B418" s="305"/>
      <c r="D418" s="305"/>
      <c r="O418" s="305"/>
    </row>
    <row r="419" spans="1:15" x14ac:dyDescent="0.35">
      <c r="A419" s="321"/>
      <c r="B419" s="305"/>
      <c r="D419" s="305"/>
      <c r="O419" s="305"/>
    </row>
    <row r="420" spans="1:15" x14ac:dyDescent="0.35">
      <c r="A420" s="321"/>
      <c r="B420" s="305"/>
      <c r="D420" s="305"/>
      <c r="O420" s="305"/>
    </row>
    <row r="421" spans="1:15" x14ac:dyDescent="0.35">
      <c r="A421" s="321"/>
      <c r="B421" s="305"/>
      <c r="D421" s="305"/>
      <c r="O421" s="305"/>
    </row>
    <row r="422" spans="1:15" x14ac:dyDescent="0.35">
      <c r="A422" s="321"/>
      <c r="B422" s="305"/>
      <c r="D422" s="305"/>
      <c r="O422" s="305"/>
    </row>
    <row r="423" spans="1:15" x14ac:dyDescent="0.35">
      <c r="A423" s="321"/>
      <c r="B423" s="305"/>
      <c r="D423" s="305"/>
      <c r="O423" s="305"/>
    </row>
    <row r="424" spans="1:15" x14ac:dyDescent="0.35">
      <c r="A424" s="321"/>
      <c r="B424" s="305"/>
      <c r="D424" s="305"/>
      <c r="O424" s="305"/>
    </row>
    <row r="425" spans="1:15" x14ac:dyDescent="0.35">
      <c r="A425" s="321"/>
      <c r="B425" s="305"/>
      <c r="D425" s="305"/>
      <c r="O425" s="305"/>
    </row>
    <row r="426" spans="1:15" x14ac:dyDescent="0.35">
      <c r="A426" s="321"/>
      <c r="B426" s="305"/>
      <c r="D426" s="305"/>
      <c r="O426" s="305"/>
    </row>
    <row r="427" spans="1:15" x14ac:dyDescent="0.35">
      <c r="A427" s="321"/>
      <c r="B427" s="305"/>
      <c r="D427" s="305"/>
      <c r="O427" s="305"/>
    </row>
    <row r="428" spans="1:15" x14ac:dyDescent="0.35">
      <c r="A428" s="321"/>
      <c r="B428" s="305"/>
      <c r="D428" s="305"/>
      <c r="O428" s="305"/>
    </row>
    <row r="429" spans="1:15" x14ac:dyDescent="0.35">
      <c r="A429" s="321"/>
      <c r="B429" s="305"/>
      <c r="D429" s="305"/>
      <c r="O429" s="305"/>
    </row>
    <row r="430" spans="1:15" x14ac:dyDescent="0.35">
      <c r="A430" s="321"/>
      <c r="B430" s="305"/>
      <c r="D430" s="305"/>
      <c r="O430" s="305"/>
    </row>
    <row r="431" spans="1:15" x14ac:dyDescent="0.35">
      <c r="A431" s="321"/>
      <c r="B431" s="305"/>
      <c r="D431" s="305"/>
      <c r="O431" s="305"/>
    </row>
    <row r="432" spans="1:15" x14ac:dyDescent="0.35">
      <c r="A432" s="321"/>
      <c r="B432" s="305"/>
      <c r="D432" s="305"/>
      <c r="O432" s="305"/>
    </row>
    <row r="433" spans="1:15" x14ac:dyDescent="0.35">
      <c r="A433" s="321"/>
      <c r="B433" s="305"/>
      <c r="D433" s="305"/>
      <c r="O433" s="305"/>
    </row>
    <row r="434" spans="1:15" x14ac:dyDescent="0.35">
      <c r="A434" s="321"/>
      <c r="B434" s="305"/>
      <c r="D434" s="305"/>
      <c r="O434" s="305"/>
    </row>
    <row r="435" spans="1:15" x14ac:dyDescent="0.35">
      <c r="A435" s="321"/>
      <c r="B435" s="305"/>
      <c r="D435" s="305"/>
      <c r="O435" s="305"/>
    </row>
    <row r="436" spans="1:15" x14ac:dyDescent="0.35">
      <c r="A436" s="321"/>
      <c r="B436" s="305"/>
      <c r="D436" s="305"/>
      <c r="O436" s="305"/>
    </row>
    <row r="437" spans="1:15" x14ac:dyDescent="0.35">
      <c r="A437" s="321"/>
      <c r="B437" s="305"/>
      <c r="D437" s="305"/>
      <c r="O437" s="305"/>
    </row>
    <row r="438" spans="1:15" x14ac:dyDescent="0.35">
      <c r="A438" s="321"/>
      <c r="B438" s="305"/>
      <c r="D438" s="305"/>
      <c r="O438" s="305"/>
    </row>
    <row r="439" spans="1:15" x14ac:dyDescent="0.35">
      <c r="A439" s="321"/>
      <c r="B439" s="305"/>
      <c r="D439" s="305"/>
      <c r="O439" s="305"/>
    </row>
    <row r="440" spans="1:15" x14ac:dyDescent="0.35">
      <c r="A440" s="321"/>
      <c r="B440" s="305"/>
      <c r="D440" s="305"/>
      <c r="O440" s="305"/>
    </row>
    <row r="441" spans="1:15" x14ac:dyDescent="0.35">
      <c r="A441" s="321"/>
      <c r="B441" s="305"/>
      <c r="D441" s="305"/>
      <c r="O441" s="305"/>
    </row>
    <row r="442" spans="1:15" x14ac:dyDescent="0.35">
      <c r="A442" s="321"/>
      <c r="B442" s="305"/>
      <c r="D442" s="305"/>
      <c r="O442" s="305"/>
    </row>
    <row r="443" spans="1:15" x14ac:dyDescent="0.35">
      <c r="A443" s="321"/>
      <c r="B443" s="305"/>
      <c r="D443" s="305"/>
      <c r="O443" s="305"/>
    </row>
    <row r="444" spans="1:15" x14ac:dyDescent="0.35">
      <c r="A444" s="321"/>
      <c r="B444" s="305"/>
      <c r="D444" s="305"/>
      <c r="O444" s="305"/>
    </row>
    <row r="445" spans="1:15" x14ac:dyDescent="0.35">
      <c r="A445" s="321"/>
      <c r="B445" s="305"/>
      <c r="D445" s="305"/>
      <c r="O445" s="305"/>
    </row>
    <row r="446" spans="1:15" x14ac:dyDescent="0.35">
      <c r="A446" s="321"/>
      <c r="B446" s="305"/>
      <c r="D446" s="305"/>
      <c r="O446" s="305"/>
    </row>
    <row r="447" spans="1:15" x14ac:dyDescent="0.35">
      <c r="A447" s="321"/>
      <c r="B447" s="305"/>
      <c r="D447" s="305"/>
      <c r="O447" s="305"/>
    </row>
    <row r="448" spans="1:15" x14ac:dyDescent="0.35">
      <c r="A448" s="321"/>
      <c r="B448" s="305"/>
      <c r="D448" s="305"/>
      <c r="O448" s="305"/>
    </row>
    <row r="449" spans="1:15" x14ac:dyDescent="0.35">
      <c r="A449" s="321"/>
      <c r="B449" s="305"/>
      <c r="D449" s="305"/>
      <c r="O449" s="305"/>
    </row>
    <row r="450" spans="1:15" x14ac:dyDescent="0.35">
      <c r="A450" s="321"/>
      <c r="B450" s="305"/>
      <c r="D450" s="305"/>
      <c r="O450" s="305"/>
    </row>
    <row r="451" spans="1:15" x14ac:dyDescent="0.35">
      <c r="A451" s="321"/>
      <c r="B451" s="305"/>
      <c r="D451" s="305"/>
      <c r="O451" s="305"/>
    </row>
    <row r="452" spans="1:15" x14ac:dyDescent="0.35">
      <c r="A452" s="321"/>
      <c r="B452" s="305"/>
      <c r="D452" s="305"/>
      <c r="O452" s="305"/>
    </row>
    <row r="453" spans="1:15" x14ac:dyDescent="0.35">
      <c r="A453" s="321"/>
      <c r="B453" s="305"/>
      <c r="D453" s="305"/>
      <c r="O453" s="305"/>
    </row>
    <row r="454" spans="1:15" x14ac:dyDescent="0.35">
      <c r="A454" s="321"/>
      <c r="B454" s="305"/>
      <c r="D454" s="305"/>
      <c r="O454" s="305"/>
    </row>
    <row r="455" spans="1:15" x14ac:dyDescent="0.35">
      <c r="A455" s="321"/>
      <c r="B455" s="305"/>
      <c r="D455" s="305"/>
      <c r="O455" s="305"/>
    </row>
    <row r="456" spans="1:15" x14ac:dyDescent="0.35">
      <c r="A456" s="321"/>
      <c r="B456" s="305"/>
      <c r="D456" s="305"/>
      <c r="O456" s="305"/>
    </row>
    <row r="457" spans="1:15" x14ac:dyDescent="0.35">
      <c r="A457" s="321"/>
      <c r="B457" s="305"/>
      <c r="D457" s="305"/>
      <c r="O457" s="305"/>
    </row>
    <row r="458" spans="1:15" x14ac:dyDescent="0.35">
      <c r="A458" s="321"/>
      <c r="B458" s="305"/>
      <c r="D458" s="305"/>
      <c r="O458" s="305"/>
    </row>
    <row r="459" spans="1:15" x14ac:dyDescent="0.35">
      <c r="A459" s="321"/>
      <c r="B459" s="305"/>
      <c r="D459" s="305"/>
      <c r="O459" s="305"/>
    </row>
    <row r="460" spans="1:15" x14ac:dyDescent="0.35">
      <c r="A460" s="321"/>
      <c r="B460" s="305"/>
      <c r="D460" s="305"/>
      <c r="O460" s="305"/>
    </row>
    <row r="461" spans="1:15" x14ac:dyDescent="0.35">
      <c r="A461" s="321"/>
      <c r="B461" s="305"/>
      <c r="D461" s="305"/>
      <c r="O461" s="305"/>
    </row>
    <row r="462" spans="1:15" x14ac:dyDescent="0.35">
      <c r="A462" s="321"/>
      <c r="B462" s="305"/>
      <c r="D462" s="305"/>
      <c r="O462" s="305"/>
    </row>
    <row r="463" spans="1:15" x14ac:dyDescent="0.35">
      <c r="A463" s="321"/>
      <c r="B463" s="305"/>
      <c r="D463" s="305"/>
      <c r="O463" s="305"/>
    </row>
    <row r="464" spans="1:15" x14ac:dyDescent="0.35">
      <c r="A464" s="321"/>
      <c r="B464" s="305"/>
      <c r="D464" s="305"/>
      <c r="O464" s="305"/>
    </row>
    <row r="465" spans="1:15" x14ac:dyDescent="0.35">
      <c r="A465" s="321"/>
      <c r="B465" s="305"/>
      <c r="D465" s="305"/>
      <c r="O465" s="305"/>
    </row>
    <row r="466" spans="1:15" x14ac:dyDescent="0.35">
      <c r="A466" s="321"/>
      <c r="B466" s="305"/>
      <c r="D466" s="305"/>
      <c r="O466" s="305"/>
    </row>
    <row r="467" spans="1:15" x14ac:dyDescent="0.35">
      <c r="A467" s="321"/>
      <c r="B467" s="305"/>
      <c r="D467" s="305"/>
      <c r="O467" s="305"/>
    </row>
    <row r="468" spans="1:15" x14ac:dyDescent="0.35">
      <c r="A468" s="321"/>
      <c r="B468" s="305"/>
      <c r="D468" s="305"/>
      <c r="O468" s="305"/>
    </row>
    <row r="469" spans="1:15" x14ac:dyDescent="0.35">
      <c r="A469" s="321"/>
      <c r="B469" s="305"/>
      <c r="D469" s="305"/>
      <c r="O469" s="305"/>
    </row>
    <row r="470" spans="1:15" x14ac:dyDescent="0.35">
      <c r="A470" s="321"/>
      <c r="B470" s="305"/>
      <c r="D470" s="305"/>
      <c r="O470" s="305"/>
    </row>
    <row r="471" spans="1:15" x14ac:dyDescent="0.35">
      <c r="A471" s="321"/>
      <c r="B471" s="305"/>
      <c r="D471" s="305"/>
      <c r="O471" s="305"/>
    </row>
    <row r="472" spans="1:15" x14ac:dyDescent="0.35">
      <c r="A472" s="321"/>
      <c r="B472" s="305"/>
      <c r="D472" s="305"/>
      <c r="O472" s="305"/>
    </row>
    <row r="473" spans="1:15" x14ac:dyDescent="0.35">
      <c r="A473" s="321"/>
      <c r="B473" s="305"/>
      <c r="D473" s="305"/>
      <c r="O473" s="305"/>
    </row>
    <row r="474" spans="1:15" x14ac:dyDescent="0.35">
      <c r="A474" s="321"/>
      <c r="B474" s="305"/>
      <c r="D474" s="305"/>
      <c r="O474" s="305"/>
    </row>
    <row r="475" spans="1:15" x14ac:dyDescent="0.35">
      <c r="A475" s="321"/>
      <c r="B475" s="305"/>
      <c r="D475" s="305"/>
      <c r="O475" s="305"/>
    </row>
    <row r="476" spans="1:15" x14ac:dyDescent="0.35">
      <c r="A476" s="321"/>
      <c r="B476" s="305"/>
      <c r="D476" s="305"/>
      <c r="O476" s="305"/>
    </row>
    <row r="477" spans="1:15" x14ac:dyDescent="0.35">
      <c r="A477" s="321"/>
      <c r="B477" s="305"/>
      <c r="D477" s="305"/>
      <c r="O477" s="305"/>
    </row>
    <row r="478" spans="1:15" x14ac:dyDescent="0.35">
      <c r="A478" s="321"/>
      <c r="B478" s="305"/>
      <c r="D478" s="305"/>
      <c r="O478" s="305"/>
    </row>
    <row r="479" spans="1:15" x14ac:dyDescent="0.35">
      <c r="A479" s="321"/>
      <c r="B479" s="305"/>
      <c r="D479" s="305"/>
      <c r="O479" s="305"/>
    </row>
    <row r="480" spans="1:15" x14ac:dyDescent="0.35">
      <c r="A480" s="321"/>
      <c r="B480" s="305"/>
      <c r="D480" s="305"/>
      <c r="O480" s="305"/>
    </row>
    <row r="481" spans="1:15" x14ac:dyDescent="0.35">
      <c r="A481" s="321"/>
      <c r="B481" s="305"/>
      <c r="D481" s="305"/>
      <c r="O481" s="305"/>
    </row>
    <row r="482" spans="1:15" x14ac:dyDescent="0.35">
      <c r="A482" s="321"/>
      <c r="B482" s="305"/>
      <c r="D482" s="305"/>
      <c r="O482" s="305"/>
    </row>
    <row r="483" spans="1:15" x14ac:dyDescent="0.35">
      <c r="A483" s="321"/>
      <c r="B483" s="305"/>
      <c r="D483" s="305"/>
      <c r="O483" s="305"/>
    </row>
    <row r="484" spans="1:15" x14ac:dyDescent="0.35">
      <c r="A484" s="321"/>
      <c r="B484" s="305"/>
      <c r="D484" s="305"/>
      <c r="O484" s="305"/>
    </row>
    <row r="485" spans="1:15" x14ac:dyDescent="0.35">
      <c r="A485" s="321"/>
      <c r="B485" s="305"/>
      <c r="D485" s="305"/>
      <c r="O485" s="305"/>
    </row>
    <row r="486" spans="1:15" x14ac:dyDescent="0.35">
      <c r="A486" s="321"/>
      <c r="B486" s="305"/>
      <c r="D486" s="305"/>
      <c r="O486" s="305"/>
    </row>
    <row r="487" spans="1:15" x14ac:dyDescent="0.35">
      <c r="A487" s="321"/>
      <c r="B487" s="305"/>
      <c r="D487" s="305"/>
      <c r="O487" s="305"/>
    </row>
    <row r="488" spans="1:15" x14ac:dyDescent="0.35">
      <c r="A488" s="321"/>
      <c r="B488" s="305"/>
      <c r="D488" s="305"/>
      <c r="O488" s="305"/>
    </row>
    <row r="489" spans="1:15" x14ac:dyDescent="0.35">
      <c r="A489" s="321"/>
      <c r="B489" s="305"/>
      <c r="D489" s="305"/>
      <c r="O489" s="305"/>
    </row>
    <row r="490" spans="1:15" x14ac:dyDescent="0.35">
      <c r="A490" s="321"/>
      <c r="B490" s="305"/>
      <c r="D490" s="305"/>
      <c r="O490" s="305"/>
    </row>
    <row r="491" spans="1:15" x14ac:dyDescent="0.35">
      <c r="A491" s="321"/>
      <c r="B491" s="305"/>
      <c r="D491" s="305"/>
      <c r="O491" s="305"/>
    </row>
    <row r="492" spans="1:15" x14ac:dyDescent="0.35">
      <c r="A492" s="321"/>
      <c r="B492" s="305"/>
      <c r="D492" s="305"/>
      <c r="O492" s="305"/>
    </row>
    <row r="493" spans="1:15" x14ac:dyDescent="0.35">
      <c r="A493" s="321"/>
      <c r="B493" s="305"/>
      <c r="D493" s="305"/>
      <c r="O493" s="305"/>
    </row>
    <row r="494" spans="1:15" x14ac:dyDescent="0.35">
      <c r="A494" s="321"/>
      <c r="B494" s="305"/>
      <c r="D494" s="305"/>
      <c r="O494" s="305"/>
    </row>
    <row r="495" spans="1:15" x14ac:dyDescent="0.35">
      <c r="A495" s="321"/>
      <c r="B495" s="305"/>
      <c r="D495" s="305"/>
      <c r="O495" s="305"/>
    </row>
    <row r="496" spans="1:15" x14ac:dyDescent="0.35">
      <c r="A496" s="321"/>
      <c r="B496" s="305"/>
      <c r="D496" s="305"/>
      <c r="O496" s="305"/>
    </row>
    <row r="497" spans="1:15" x14ac:dyDescent="0.35">
      <c r="A497" s="321"/>
      <c r="B497" s="305"/>
      <c r="D497" s="305"/>
      <c r="O497" s="305"/>
    </row>
    <row r="498" spans="1:15" x14ac:dyDescent="0.35">
      <c r="A498" s="321"/>
      <c r="B498" s="305"/>
      <c r="D498" s="305"/>
      <c r="O498" s="305"/>
    </row>
    <row r="499" spans="1:15" x14ac:dyDescent="0.35">
      <c r="A499" s="321"/>
      <c r="B499" s="305"/>
      <c r="D499" s="305"/>
      <c r="O499" s="305"/>
    </row>
    <row r="500" spans="1:15" x14ac:dyDescent="0.35">
      <c r="A500" s="321"/>
      <c r="B500" s="305"/>
      <c r="D500" s="305"/>
      <c r="O500" s="305"/>
    </row>
    <row r="501" spans="1:15" x14ac:dyDescent="0.35">
      <c r="A501" s="321"/>
      <c r="B501" s="305"/>
      <c r="D501" s="305"/>
      <c r="O501" s="305"/>
    </row>
    <row r="502" spans="1:15" x14ac:dyDescent="0.35">
      <c r="A502" s="321"/>
      <c r="B502" s="305"/>
      <c r="D502" s="305"/>
      <c r="O502" s="305"/>
    </row>
    <row r="503" spans="1:15" x14ac:dyDescent="0.35">
      <c r="A503" s="321"/>
      <c r="B503" s="305"/>
      <c r="D503" s="305"/>
      <c r="O503" s="305"/>
    </row>
    <row r="504" spans="1:15" x14ac:dyDescent="0.35">
      <c r="A504" s="321"/>
      <c r="B504" s="305"/>
      <c r="D504" s="305"/>
      <c r="O504" s="305"/>
    </row>
    <row r="505" spans="1:15" x14ac:dyDescent="0.35">
      <c r="A505" s="321"/>
      <c r="B505" s="305"/>
      <c r="D505" s="305"/>
      <c r="O505" s="305"/>
    </row>
    <row r="506" spans="1:15" x14ac:dyDescent="0.35">
      <c r="A506" s="321"/>
      <c r="B506" s="305"/>
      <c r="D506" s="305"/>
      <c r="O506" s="305"/>
    </row>
    <row r="507" spans="1:15" x14ac:dyDescent="0.35">
      <c r="A507" s="321"/>
      <c r="B507" s="305"/>
      <c r="D507" s="305"/>
      <c r="O507" s="305"/>
    </row>
    <row r="508" spans="1:15" x14ac:dyDescent="0.35">
      <c r="A508" s="321"/>
      <c r="B508" s="305"/>
      <c r="D508" s="305"/>
      <c r="O508" s="305"/>
    </row>
    <row r="509" spans="1:15" x14ac:dyDescent="0.35">
      <c r="A509" s="321"/>
      <c r="B509" s="305"/>
      <c r="D509" s="305"/>
      <c r="O509" s="305"/>
    </row>
    <row r="510" spans="1:15" x14ac:dyDescent="0.35">
      <c r="A510" s="321"/>
      <c r="B510" s="305"/>
      <c r="D510" s="305"/>
      <c r="O510" s="305"/>
    </row>
    <row r="511" spans="1:15" x14ac:dyDescent="0.35">
      <c r="A511" s="321"/>
      <c r="B511" s="305"/>
      <c r="D511" s="305"/>
      <c r="O511" s="305"/>
    </row>
    <row r="512" spans="1:15" x14ac:dyDescent="0.35">
      <c r="A512" s="321"/>
      <c r="B512" s="305"/>
      <c r="D512" s="305"/>
      <c r="O512" s="305"/>
    </row>
    <row r="513" spans="1:15" x14ac:dyDescent="0.35">
      <c r="A513" s="321"/>
      <c r="B513" s="305"/>
      <c r="D513" s="305"/>
      <c r="O513" s="305"/>
    </row>
    <row r="514" spans="1:15" x14ac:dyDescent="0.35">
      <c r="A514" s="321"/>
      <c r="B514" s="305"/>
      <c r="D514" s="305"/>
      <c r="O514" s="305"/>
    </row>
    <row r="515" spans="1:15" x14ac:dyDescent="0.35">
      <c r="A515" s="321"/>
      <c r="B515" s="305"/>
      <c r="D515" s="305"/>
      <c r="O515" s="305"/>
    </row>
    <row r="516" spans="1:15" x14ac:dyDescent="0.35">
      <c r="A516" s="321"/>
      <c r="B516" s="305"/>
      <c r="D516" s="305"/>
      <c r="O516" s="305"/>
    </row>
    <row r="517" spans="1:15" x14ac:dyDescent="0.35">
      <c r="A517" s="321"/>
      <c r="B517" s="305"/>
      <c r="D517" s="305"/>
      <c r="O517" s="305"/>
    </row>
    <row r="518" spans="1:15" x14ac:dyDescent="0.35">
      <c r="A518" s="321"/>
      <c r="B518" s="305"/>
      <c r="D518" s="305"/>
      <c r="O518" s="305"/>
    </row>
    <row r="519" spans="1:15" x14ac:dyDescent="0.35">
      <c r="A519" s="321"/>
      <c r="B519" s="305"/>
      <c r="D519" s="305"/>
      <c r="O519" s="305"/>
    </row>
    <row r="520" spans="1:15" x14ac:dyDescent="0.35">
      <c r="A520" s="321"/>
      <c r="B520" s="305"/>
      <c r="D520" s="305"/>
      <c r="O520" s="305"/>
    </row>
    <row r="521" spans="1:15" x14ac:dyDescent="0.35">
      <c r="A521" s="321"/>
      <c r="B521" s="305"/>
      <c r="D521" s="305"/>
      <c r="O521" s="305"/>
    </row>
    <row r="522" spans="1:15" x14ac:dyDescent="0.35">
      <c r="A522" s="321"/>
      <c r="B522" s="305"/>
      <c r="D522" s="305"/>
      <c r="O522" s="305"/>
    </row>
    <row r="523" spans="1:15" x14ac:dyDescent="0.35">
      <c r="A523" s="321"/>
      <c r="B523" s="305"/>
      <c r="D523" s="305"/>
      <c r="O523" s="305"/>
    </row>
    <row r="524" spans="1:15" x14ac:dyDescent="0.35">
      <c r="A524" s="321"/>
      <c r="B524" s="305"/>
      <c r="D524" s="305"/>
      <c r="O524" s="305"/>
    </row>
    <row r="525" spans="1:15" x14ac:dyDescent="0.35">
      <c r="A525" s="321"/>
      <c r="B525" s="305"/>
      <c r="D525" s="305"/>
      <c r="O525" s="305"/>
    </row>
    <row r="526" spans="1:15" x14ac:dyDescent="0.35">
      <c r="A526" s="321"/>
      <c r="B526" s="305"/>
      <c r="D526" s="305"/>
      <c r="O526" s="305"/>
    </row>
    <row r="527" spans="1:15" x14ac:dyDescent="0.35">
      <c r="A527" s="321"/>
      <c r="B527" s="305"/>
      <c r="D527" s="305"/>
      <c r="O527" s="305"/>
    </row>
    <row r="528" spans="1:15" x14ac:dyDescent="0.35">
      <c r="A528" s="321"/>
      <c r="B528" s="305"/>
      <c r="D528" s="305"/>
      <c r="O528" s="305"/>
    </row>
    <row r="529" spans="1:15" x14ac:dyDescent="0.35">
      <c r="A529" s="321"/>
      <c r="B529" s="305"/>
      <c r="D529" s="305"/>
      <c r="O529" s="305"/>
    </row>
    <row r="530" spans="1:15" x14ac:dyDescent="0.35">
      <c r="A530" s="321"/>
      <c r="B530" s="305"/>
      <c r="D530" s="305"/>
      <c r="O530" s="305"/>
    </row>
    <row r="531" spans="1:15" x14ac:dyDescent="0.35">
      <c r="A531" s="321"/>
      <c r="B531" s="305"/>
      <c r="D531" s="305"/>
      <c r="O531" s="305"/>
    </row>
    <row r="532" spans="1:15" x14ac:dyDescent="0.35">
      <c r="A532" s="321"/>
      <c r="B532" s="305"/>
      <c r="D532" s="305"/>
      <c r="O532" s="305"/>
    </row>
    <row r="533" spans="1:15" x14ac:dyDescent="0.35">
      <c r="A533" s="321"/>
      <c r="B533" s="305"/>
      <c r="D533" s="305"/>
      <c r="O533" s="305"/>
    </row>
    <row r="534" spans="1:15" x14ac:dyDescent="0.35">
      <c r="A534" s="321"/>
      <c r="B534" s="305"/>
      <c r="D534" s="305"/>
      <c r="O534" s="305"/>
    </row>
    <row r="535" spans="1:15" x14ac:dyDescent="0.35">
      <c r="A535" s="321"/>
      <c r="B535" s="305"/>
      <c r="D535" s="305"/>
      <c r="O535" s="305"/>
    </row>
    <row r="536" spans="1:15" x14ac:dyDescent="0.35">
      <c r="A536" s="321"/>
      <c r="B536" s="305"/>
      <c r="D536" s="305"/>
      <c r="O536" s="305"/>
    </row>
    <row r="537" spans="1:15" x14ac:dyDescent="0.35">
      <c r="A537" s="321"/>
      <c r="B537" s="305"/>
      <c r="D537" s="305"/>
      <c r="O537" s="305"/>
    </row>
    <row r="538" spans="1:15" x14ac:dyDescent="0.35">
      <c r="A538" s="321"/>
      <c r="B538" s="305"/>
      <c r="D538" s="305"/>
      <c r="O538" s="305"/>
    </row>
    <row r="539" spans="1:15" x14ac:dyDescent="0.35">
      <c r="A539" s="321"/>
      <c r="B539" s="305"/>
      <c r="D539" s="305"/>
      <c r="O539" s="305"/>
    </row>
    <row r="540" spans="1:15" x14ac:dyDescent="0.35">
      <c r="A540" s="321"/>
      <c r="B540" s="305"/>
      <c r="D540" s="305"/>
      <c r="O540" s="305"/>
    </row>
    <row r="541" spans="1:15" x14ac:dyDescent="0.35">
      <c r="A541" s="321"/>
      <c r="B541" s="305"/>
      <c r="D541" s="305"/>
      <c r="O541" s="305"/>
    </row>
    <row r="542" spans="1:15" x14ac:dyDescent="0.35">
      <c r="A542" s="321"/>
      <c r="B542" s="305"/>
      <c r="D542" s="305"/>
      <c r="O542" s="305"/>
    </row>
    <row r="543" spans="1:15" x14ac:dyDescent="0.35">
      <c r="A543" s="321"/>
      <c r="B543" s="305"/>
      <c r="D543" s="305"/>
      <c r="O543" s="305"/>
    </row>
    <row r="544" spans="1:15" x14ac:dyDescent="0.35">
      <c r="A544" s="321"/>
      <c r="B544" s="305"/>
      <c r="D544" s="305"/>
      <c r="O544" s="305"/>
    </row>
    <row r="545" spans="1:15" x14ac:dyDescent="0.35">
      <c r="A545" s="321"/>
      <c r="B545" s="305"/>
      <c r="D545" s="305"/>
      <c r="O545" s="305"/>
    </row>
    <row r="546" spans="1:15" x14ac:dyDescent="0.35">
      <c r="A546" s="321"/>
      <c r="B546" s="305"/>
      <c r="D546" s="305"/>
      <c r="O546" s="305"/>
    </row>
    <row r="547" spans="1:15" x14ac:dyDescent="0.35">
      <c r="A547" s="321"/>
      <c r="B547" s="305"/>
      <c r="D547" s="305"/>
      <c r="O547" s="305"/>
    </row>
    <row r="548" spans="1:15" x14ac:dyDescent="0.35">
      <c r="A548" s="321"/>
      <c r="B548" s="305"/>
      <c r="D548" s="305"/>
      <c r="O548" s="305"/>
    </row>
    <row r="549" spans="1:15" x14ac:dyDescent="0.35">
      <c r="A549" s="321"/>
      <c r="B549" s="305"/>
      <c r="D549" s="305"/>
      <c r="O549" s="305"/>
    </row>
    <row r="550" spans="1:15" x14ac:dyDescent="0.35">
      <c r="A550" s="321"/>
      <c r="B550" s="305"/>
      <c r="D550" s="305"/>
      <c r="O550" s="305"/>
    </row>
    <row r="551" spans="1:15" x14ac:dyDescent="0.35">
      <c r="A551" s="321"/>
      <c r="B551" s="305"/>
      <c r="D551" s="305"/>
      <c r="O551" s="305"/>
    </row>
    <row r="552" spans="1:15" x14ac:dyDescent="0.35">
      <c r="A552" s="321"/>
      <c r="B552" s="305"/>
      <c r="D552" s="305"/>
      <c r="O552" s="305"/>
    </row>
    <row r="553" spans="1:15" x14ac:dyDescent="0.35">
      <c r="A553" s="321"/>
      <c r="B553" s="305"/>
      <c r="D553" s="305"/>
      <c r="O553" s="305"/>
    </row>
    <row r="554" spans="1:15" x14ac:dyDescent="0.35">
      <c r="A554" s="321"/>
      <c r="B554" s="305"/>
      <c r="D554" s="305"/>
      <c r="O554" s="305"/>
    </row>
    <row r="555" spans="1:15" x14ac:dyDescent="0.35">
      <c r="A555" s="321"/>
      <c r="B555" s="305"/>
      <c r="D555" s="305"/>
      <c r="O555" s="305"/>
    </row>
    <row r="556" spans="1:15" x14ac:dyDescent="0.35">
      <c r="A556" s="321"/>
      <c r="B556" s="305"/>
      <c r="D556" s="305"/>
      <c r="O556" s="305"/>
    </row>
    <row r="557" spans="1:15" x14ac:dyDescent="0.35">
      <c r="A557" s="321"/>
      <c r="B557" s="305"/>
      <c r="D557" s="305"/>
      <c r="O557" s="305"/>
    </row>
    <row r="558" spans="1:15" x14ac:dyDescent="0.35">
      <c r="A558" s="321"/>
      <c r="B558" s="305"/>
      <c r="D558" s="305"/>
      <c r="O558" s="305"/>
    </row>
    <row r="559" spans="1:15" x14ac:dyDescent="0.35">
      <c r="A559" s="321"/>
      <c r="B559" s="305"/>
      <c r="D559" s="305"/>
      <c r="O559" s="305"/>
    </row>
    <row r="560" spans="1:15" x14ac:dyDescent="0.35">
      <c r="A560" s="321"/>
      <c r="B560" s="305"/>
      <c r="D560" s="305"/>
      <c r="O560" s="305"/>
    </row>
    <row r="561" spans="1:15" x14ac:dyDescent="0.35">
      <c r="A561" s="321"/>
      <c r="B561" s="305"/>
      <c r="D561" s="305"/>
      <c r="O561" s="305"/>
    </row>
    <row r="562" spans="1:15" x14ac:dyDescent="0.35">
      <c r="A562" s="321"/>
      <c r="B562" s="305"/>
      <c r="D562" s="305"/>
      <c r="O562" s="305"/>
    </row>
    <row r="563" spans="1:15" x14ac:dyDescent="0.35">
      <c r="A563" s="321"/>
      <c r="B563" s="305"/>
      <c r="D563" s="305"/>
      <c r="O563" s="305"/>
    </row>
    <row r="564" spans="1:15" x14ac:dyDescent="0.35">
      <c r="A564" s="321"/>
      <c r="B564" s="305"/>
      <c r="D564" s="305"/>
      <c r="O564" s="305"/>
    </row>
    <row r="565" spans="1:15" x14ac:dyDescent="0.35">
      <c r="A565" s="321"/>
      <c r="B565" s="305"/>
      <c r="D565" s="305"/>
      <c r="O565" s="305"/>
    </row>
    <row r="566" spans="1:15" x14ac:dyDescent="0.35">
      <c r="A566" s="321"/>
      <c r="B566" s="305"/>
      <c r="D566" s="305"/>
      <c r="O566" s="305"/>
    </row>
    <row r="567" spans="1:15" x14ac:dyDescent="0.35">
      <c r="A567" s="321"/>
      <c r="B567" s="305"/>
      <c r="D567" s="305"/>
      <c r="O567" s="305"/>
    </row>
    <row r="568" spans="1:15" x14ac:dyDescent="0.35">
      <c r="A568" s="321"/>
      <c r="B568" s="305"/>
      <c r="D568" s="305"/>
      <c r="O568" s="305"/>
    </row>
    <row r="569" spans="1:15" x14ac:dyDescent="0.35">
      <c r="A569" s="321"/>
      <c r="B569" s="305"/>
      <c r="D569" s="305"/>
      <c r="O569" s="305"/>
    </row>
    <row r="570" spans="1:15" x14ac:dyDescent="0.35">
      <c r="A570" s="321"/>
      <c r="B570" s="305"/>
      <c r="D570" s="305"/>
      <c r="O570" s="305"/>
    </row>
    <row r="571" spans="1:15" x14ac:dyDescent="0.35">
      <c r="A571" s="321"/>
      <c r="B571" s="305"/>
      <c r="D571" s="305"/>
      <c r="O571" s="305"/>
    </row>
    <row r="572" spans="1:15" x14ac:dyDescent="0.35">
      <c r="A572" s="321"/>
      <c r="B572" s="305"/>
      <c r="D572" s="305"/>
      <c r="O572" s="305"/>
    </row>
    <row r="573" spans="1:15" x14ac:dyDescent="0.35">
      <c r="A573" s="321"/>
      <c r="B573" s="305"/>
      <c r="D573" s="305"/>
      <c r="O573" s="305"/>
    </row>
    <row r="574" spans="1:15" x14ac:dyDescent="0.35">
      <c r="A574" s="321"/>
      <c r="B574" s="305"/>
      <c r="D574" s="305"/>
      <c r="O574" s="305"/>
    </row>
    <row r="575" spans="1:15" x14ac:dyDescent="0.35">
      <c r="A575" s="321"/>
      <c r="B575" s="305"/>
      <c r="D575" s="305"/>
      <c r="O575" s="305"/>
    </row>
    <row r="576" spans="1:15" x14ac:dyDescent="0.35">
      <c r="A576" s="321"/>
      <c r="B576" s="305"/>
      <c r="D576" s="305"/>
      <c r="O576" s="305"/>
    </row>
    <row r="577" spans="1:15" x14ac:dyDescent="0.35">
      <c r="A577" s="321"/>
      <c r="B577" s="305"/>
      <c r="D577" s="305"/>
      <c r="O577" s="305"/>
    </row>
    <row r="578" spans="1:15" x14ac:dyDescent="0.35">
      <c r="A578" s="321"/>
      <c r="B578" s="305"/>
      <c r="D578" s="305"/>
      <c r="O578" s="305"/>
    </row>
    <row r="579" spans="1:15" x14ac:dyDescent="0.35">
      <c r="A579" s="321"/>
      <c r="B579" s="305"/>
      <c r="D579" s="305"/>
      <c r="O579" s="305"/>
    </row>
    <row r="580" spans="1:15" x14ac:dyDescent="0.35">
      <c r="A580" s="321"/>
      <c r="B580" s="305"/>
      <c r="D580" s="305"/>
      <c r="O580" s="305"/>
    </row>
    <row r="581" spans="1:15" x14ac:dyDescent="0.35">
      <c r="A581" s="321"/>
      <c r="B581" s="305"/>
      <c r="D581" s="305"/>
      <c r="O581" s="305"/>
    </row>
    <row r="582" spans="1:15" x14ac:dyDescent="0.35">
      <c r="A582" s="321"/>
      <c r="B582" s="305"/>
      <c r="D582" s="305"/>
      <c r="O582" s="305"/>
    </row>
    <row r="583" spans="1:15" x14ac:dyDescent="0.35">
      <c r="A583" s="321"/>
      <c r="B583" s="305"/>
      <c r="D583" s="305"/>
      <c r="O583" s="305"/>
    </row>
    <row r="584" spans="1:15" x14ac:dyDescent="0.35">
      <c r="A584" s="321"/>
      <c r="B584" s="305"/>
      <c r="D584" s="305"/>
      <c r="O584" s="305"/>
    </row>
    <row r="585" spans="1:15" x14ac:dyDescent="0.35">
      <c r="A585" s="321"/>
      <c r="B585" s="305"/>
      <c r="D585" s="305"/>
      <c r="O585" s="305"/>
    </row>
    <row r="586" spans="1:15" x14ac:dyDescent="0.35">
      <c r="A586" s="321"/>
      <c r="B586" s="305"/>
      <c r="D586" s="305"/>
      <c r="O586" s="305"/>
    </row>
    <row r="587" spans="1:15" x14ac:dyDescent="0.35">
      <c r="A587" s="321"/>
      <c r="B587" s="305"/>
      <c r="D587" s="305"/>
      <c r="O587" s="305"/>
    </row>
    <row r="588" spans="1:15" x14ac:dyDescent="0.35">
      <c r="A588" s="321"/>
      <c r="B588" s="305"/>
      <c r="D588" s="305"/>
      <c r="O588" s="305"/>
    </row>
    <row r="589" spans="1:15" x14ac:dyDescent="0.35">
      <c r="A589" s="321"/>
      <c r="B589" s="305"/>
      <c r="D589" s="305"/>
      <c r="O589" s="305"/>
    </row>
    <row r="590" spans="1:15" x14ac:dyDescent="0.35">
      <c r="A590" s="321"/>
      <c r="B590" s="305"/>
      <c r="D590" s="305"/>
      <c r="O590" s="305"/>
    </row>
    <row r="591" spans="1:15" x14ac:dyDescent="0.35">
      <c r="A591" s="321"/>
      <c r="B591" s="305"/>
      <c r="D591" s="305"/>
      <c r="O591" s="305"/>
    </row>
    <row r="592" spans="1:15" x14ac:dyDescent="0.35">
      <c r="A592" s="321"/>
      <c r="B592" s="305"/>
      <c r="D592" s="305"/>
      <c r="O592" s="305"/>
    </row>
    <row r="593" spans="1:15" x14ac:dyDescent="0.35">
      <c r="A593" s="321"/>
      <c r="B593" s="305"/>
      <c r="D593" s="305"/>
      <c r="O593" s="305"/>
    </row>
    <row r="594" spans="1:15" x14ac:dyDescent="0.35">
      <c r="A594" s="321"/>
      <c r="B594" s="305"/>
      <c r="D594" s="305"/>
      <c r="O594" s="305"/>
    </row>
    <row r="595" spans="1:15" x14ac:dyDescent="0.35">
      <c r="A595" s="321"/>
      <c r="B595" s="305"/>
      <c r="D595" s="305"/>
      <c r="O595" s="305"/>
    </row>
    <row r="596" spans="1:15" x14ac:dyDescent="0.35">
      <c r="A596" s="321"/>
      <c r="B596" s="305"/>
      <c r="D596" s="305"/>
      <c r="O596" s="305"/>
    </row>
    <row r="597" spans="1:15" x14ac:dyDescent="0.35">
      <c r="A597" s="321"/>
      <c r="B597" s="305"/>
      <c r="D597" s="305"/>
      <c r="O597" s="305"/>
    </row>
    <row r="598" spans="1:15" x14ac:dyDescent="0.35">
      <c r="A598" s="321"/>
      <c r="B598" s="305"/>
      <c r="D598" s="305"/>
      <c r="O598" s="305"/>
    </row>
    <row r="599" spans="1:15" x14ac:dyDescent="0.35">
      <c r="A599" s="321"/>
      <c r="B599" s="305"/>
      <c r="D599" s="305"/>
      <c r="O599" s="305"/>
    </row>
    <row r="600" spans="1:15" x14ac:dyDescent="0.35">
      <c r="A600" s="321"/>
      <c r="B600" s="305"/>
      <c r="D600" s="305"/>
      <c r="O600" s="305"/>
    </row>
    <row r="601" spans="1:15" x14ac:dyDescent="0.35">
      <c r="A601" s="321"/>
      <c r="B601" s="305"/>
      <c r="D601" s="305"/>
      <c r="O601" s="305"/>
    </row>
    <row r="602" spans="1:15" x14ac:dyDescent="0.35">
      <c r="A602" s="321"/>
      <c r="B602" s="305"/>
      <c r="D602" s="305"/>
      <c r="O602" s="305"/>
    </row>
    <row r="603" spans="1:15" x14ac:dyDescent="0.35">
      <c r="A603" s="321"/>
      <c r="B603" s="305"/>
      <c r="D603" s="305"/>
      <c r="O603" s="305"/>
    </row>
    <row r="604" spans="1:15" x14ac:dyDescent="0.35">
      <c r="A604" s="321"/>
      <c r="B604" s="305"/>
      <c r="D604" s="305"/>
      <c r="O604" s="305"/>
    </row>
    <row r="605" spans="1:15" x14ac:dyDescent="0.35">
      <c r="A605" s="321"/>
      <c r="B605" s="305"/>
      <c r="D605" s="305"/>
      <c r="O605" s="305"/>
    </row>
    <row r="606" spans="1:15" x14ac:dyDescent="0.35">
      <c r="A606" s="321"/>
      <c r="B606" s="305"/>
      <c r="D606" s="305"/>
      <c r="O606" s="305"/>
    </row>
    <row r="607" spans="1:15" x14ac:dyDescent="0.35">
      <c r="A607" s="321"/>
      <c r="B607" s="305"/>
      <c r="D607" s="305"/>
      <c r="O607" s="305"/>
    </row>
    <row r="608" spans="1:15" x14ac:dyDescent="0.35">
      <c r="A608" s="321"/>
      <c r="B608" s="305"/>
      <c r="D608" s="305"/>
      <c r="O608" s="305"/>
    </row>
    <row r="609" spans="1:15" x14ac:dyDescent="0.35">
      <c r="A609" s="321"/>
      <c r="B609" s="305"/>
      <c r="D609" s="305"/>
      <c r="O609" s="305"/>
    </row>
    <row r="610" spans="1:15" x14ac:dyDescent="0.35">
      <c r="A610" s="321"/>
      <c r="B610" s="305"/>
      <c r="D610" s="305"/>
      <c r="O610" s="305"/>
    </row>
    <row r="611" spans="1:15" x14ac:dyDescent="0.35">
      <c r="A611" s="321"/>
      <c r="B611" s="305"/>
      <c r="D611" s="305"/>
      <c r="O611" s="305"/>
    </row>
    <row r="612" spans="1:15" x14ac:dyDescent="0.35">
      <c r="A612" s="321"/>
      <c r="B612" s="305"/>
      <c r="D612" s="305"/>
      <c r="O612" s="305"/>
    </row>
    <row r="613" spans="1:15" x14ac:dyDescent="0.35">
      <c r="A613" s="321"/>
      <c r="B613" s="305"/>
      <c r="D613" s="305"/>
      <c r="O613" s="305"/>
    </row>
    <row r="614" spans="1:15" x14ac:dyDescent="0.35">
      <c r="A614" s="321"/>
      <c r="B614" s="305"/>
      <c r="D614" s="305"/>
      <c r="O614" s="305"/>
    </row>
    <row r="615" spans="1:15" x14ac:dyDescent="0.35">
      <c r="A615" s="321"/>
      <c r="B615" s="305"/>
      <c r="D615" s="305"/>
      <c r="O615" s="305"/>
    </row>
    <row r="616" spans="1:15" x14ac:dyDescent="0.35">
      <c r="A616" s="321"/>
      <c r="B616" s="305"/>
      <c r="D616" s="305"/>
      <c r="O616" s="305"/>
    </row>
    <row r="617" spans="1:15" x14ac:dyDescent="0.35">
      <c r="A617" s="321"/>
      <c r="B617" s="305"/>
      <c r="D617" s="305"/>
      <c r="O617" s="305"/>
    </row>
    <row r="618" spans="1:15" x14ac:dyDescent="0.35">
      <c r="A618" s="321"/>
      <c r="B618" s="305"/>
      <c r="D618" s="305"/>
      <c r="O618" s="305"/>
    </row>
    <row r="619" spans="1:15" x14ac:dyDescent="0.35">
      <c r="A619" s="321"/>
      <c r="B619" s="305"/>
      <c r="D619" s="305"/>
      <c r="O619" s="305"/>
    </row>
    <row r="620" spans="1:15" x14ac:dyDescent="0.35">
      <c r="A620" s="321"/>
      <c r="B620" s="305"/>
      <c r="D620" s="305"/>
      <c r="O620" s="305"/>
    </row>
    <row r="621" spans="1:15" x14ac:dyDescent="0.35">
      <c r="A621" s="321"/>
      <c r="B621" s="305"/>
      <c r="D621" s="305"/>
      <c r="O621" s="305"/>
    </row>
    <row r="622" spans="1:15" x14ac:dyDescent="0.35">
      <c r="A622" s="321"/>
      <c r="B622" s="305"/>
      <c r="D622" s="305"/>
      <c r="O622" s="305"/>
    </row>
    <row r="623" spans="1:15" x14ac:dyDescent="0.35">
      <c r="A623" s="321"/>
      <c r="B623" s="305"/>
      <c r="D623" s="305"/>
      <c r="O623" s="305"/>
    </row>
    <row r="624" spans="1:15" x14ac:dyDescent="0.35">
      <c r="A624" s="321"/>
      <c r="B624" s="305"/>
      <c r="D624" s="305"/>
      <c r="O624" s="305"/>
    </row>
    <row r="625" spans="1:15" x14ac:dyDescent="0.35">
      <c r="A625" s="321"/>
      <c r="B625" s="305"/>
      <c r="D625" s="305"/>
      <c r="O625" s="305"/>
    </row>
    <row r="626" spans="1:15" x14ac:dyDescent="0.35">
      <c r="A626" s="321"/>
      <c r="B626" s="305"/>
      <c r="D626" s="305"/>
      <c r="O626" s="305"/>
    </row>
    <row r="627" spans="1:15" x14ac:dyDescent="0.35">
      <c r="A627" s="321"/>
      <c r="B627" s="305"/>
      <c r="D627" s="305"/>
      <c r="O627" s="305"/>
    </row>
    <row r="628" spans="1:15" x14ac:dyDescent="0.35">
      <c r="A628" s="321"/>
      <c r="B628" s="305"/>
      <c r="D628" s="305"/>
      <c r="O628" s="305"/>
    </row>
    <row r="629" spans="1:15" x14ac:dyDescent="0.35">
      <c r="A629" s="321"/>
      <c r="B629" s="305"/>
      <c r="D629" s="305"/>
      <c r="O629" s="305"/>
    </row>
    <row r="630" spans="1:15" x14ac:dyDescent="0.35">
      <c r="A630" s="321"/>
      <c r="B630" s="305"/>
      <c r="D630" s="305"/>
      <c r="O630" s="305"/>
    </row>
    <row r="631" spans="1:15" x14ac:dyDescent="0.35">
      <c r="A631" s="321"/>
      <c r="B631" s="305"/>
      <c r="D631" s="305"/>
      <c r="O631" s="305"/>
    </row>
    <row r="632" spans="1:15" x14ac:dyDescent="0.35">
      <c r="A632" s="321"/>
      <c r="B632" s="305"/>
      <c r="D632" s="305"/>
      <c r="O632" s="305"/>
    </row>
    <row r="633" spans="1:15" x14ac:dyDescent="0.35">
      <c r="A633" s="321"/>
      <c r="B633" s="305"/>
      <c r="D633" s="305"/>
      <c r="O633" s="305"/>
    </row>
    <row r="634" spans="1:15" x14ac:dyDescent="0.35">
      <c r="A634" s="321"/>
      <c r="B634" s="305"/>
      <c r="D634" s="305"/>
      <c r="O634" s="305"/>
    </row>
    <row r="635" spans="1:15" x14ac:dyDescent="0.35">
      <c r="A635" s="321"/>
      <c r="B635" s="305"/>
      <c r="D635" s="305"/>
      <c r="O635" s="305"/>
    </row>
    <row r="636" spans="1:15" x14ac:dyDescent="0.35">
      <c r="A636" s="321"/>
      <c r="B636" s="305"/>
      <c r="D636" s="305"/>
      <c r="O636" s="305"/>
    </row>
    <row r="637" spans="1:15" x14ac:dyDescent="0.35">
      <c r="A637" s="321"/>
      <c r="B637" s="305"/>
      <c r="D637" s="305"/>
      <c r="O637" s="305"/>
    </row>
    <row r="638" spans="1:15" x14ac:dyDescent="0.35">
      <c r="A638" s="321"/>
      <c r="B638" s="305"/>
      <c r="D638" s="305"/>
      <c r="O638" s="305"/>
    </row>
    <row r="639" spans="1:15" x14ac:dyDescent="0.35">
      <c r="A639" s="321"/>
      <c r="B639" s="305"/>
      <c r="D639" s="305"/>
      <c r="O639" s="305"/>
    </row>
    <row r="640" spans="1:15" x14ac:dyDescent="0.35">
      <c r="A640" s="321"/>
      <c r="B640" s="305"/>
      <c r="D640" s="305"/>
      <c r="O640" s="305"/>
    </row>
    <row r="641" spans="1:15" x14ac:dyDescent="0.35">
      <c r="A641" s="321"/>
      <c r="B641" s="305"/>
      <c r="D641" s="305"/>
      <c r="O641" s="305"/>
    </row>
    <row r="642" spans="1:15" x14ac:dyDescent="0.35">
      <c r="A642" s="321"/>
      <c r="B642" s="305"/>
      <c r="D642" s="305"/>
      <c r="O642" s="305"/>
    </row>
    <row r="643" spans="1:15" x14ac:dyDescent="0.35">
      <c r="A643" s="321"/>
      <c r="B643" s="305"/>
      <c r="D643" s="305"/>
      <c r="O643" s="305"/>
    </row>
    <row r="644" spans="1:15" x14ac:dyDescent="0.35">
      <c r="A644" s="321"/>
      <c r="B644" s="305"/>
      <c r="D644" s="305"/>
      <c r="O644" s="305"/>
    </row>
    <row r="645" spans="1:15" x14ac:dyDescent="0.35">
      <c r="A645" s="321"/>
      <c r="B645" s="305"/>
      <c r="D645" s="305"/>
      <c r="O645" s="305"/>
    </row>
    <row r="646" spans="1:15" x14ac:dyDescent="0.35">
      <c r="A646" s="321"/>
      <c r="B646" s="305"/>
      <c r="D646" s="305"/>
      <c r="O646" s="305"/>
    </row>
    <row r="647" spans="1:15" x14ac:dyDescent="0.35">
      <c r="A647" s="321"/>
      <c r="B647" s="305"/>
      <c r="D647" s="305"/>
      <c r="O647" s="305"/>
    </row>
    <row r="648" spans="1:15" x14ac:dyDescent="0.35">
      <c r="A648" s="321"/>
      <c r="B648" s="305"/>
      <c r="D648" s="305"/>
      <c r="O648" s="305"/>
    </row>
    <row r="649" spans="1:15" x14ac:dyDescent="0.35">
      <c r="A649" s="321"/>
      <c r="B649" s="305"/>
      <c r="D649" s="305"/>
      <c r="O649" s="305"/>
    </row>
    <row r="650" spans="1:15" x14ac:dyDescent="0.35">
      <c r="A650" s="321"/>
      <c r="B650" s="305"/>
      <c r="D650" s="305"/>
      <c r="O650" s="305"/>
    </row>
    <row r="651" spans="1:15" x14ac:dyDescent="0.35">
      <c r="A651" s="321"/>
      <c r="B651" s="305"/>
      <c r="D651" s="305"/>
      <c r="O651" s="305"/>
    </row>
    <row r="652" spans="1:15" x14ac:dyDescent="0.35">
      <c r="A652" s="321"/>
      <c r="B652" s="305"/>
      <c r="D652" s="305"/>
      <c r="O652" s="305"/>
    </row>
    <row r="653" spans="1:15" x14ac:dyDescent="0.35">
      <c r="A653" s="321"/>
      <c r="B653" s="305"/>
      <c r="D653" s="305"/>
      <c r="O653" s="305"/>
    </row>
    <row r="654" spans="1:15" x14ac:dyDescent="0.35">
      <c r="A654" s="321"/>
      <c r="B654" s="305"/>
      <c r="D654" s="305"/>
      <c r="O654" s="305"/>
    </row>
    <row r="655" spans="1:15" x14ac:dyDescent="0.35">
      <c r="A655" s="321"/>
      <c r="B655" s="305"/>
      <c r="D655" s="305"/>
      <c r="O655" s="305"/>
    </row>
    <row r="656" spans="1:15" x14ac:dyDescent="0.35">
      <c r="A656" s="321"/>
      <c r="B656" s="305"/>
      <c r="D656" s="305"/>
      <c r="O656" s="305"/>
    </row>
    <row r="657" spans="1:15" x14ac:dyDescent="0.35">
      <c r="A657" s="321"/>
      <c r="B657" s="305"/>
      <c r="D657" s="305"/>
      <c r="O657" s="305"/>
    </row>
    <row r="658" spans="1:15" x14ac:dyDescent="0.35">
      <c r="A658" s="321"/>
      <c r="B658" s="305"/>
      <c r="D658" s="305"/>
      <c r="O658" s="305"/>
    </row>
    <row r="659" spans="1:15" x14ac:dyDescent="0.35">
      <c r="A659" s="321"/>
      <c r="B659" s="305"/>
      <c r="D659" s="305"/>
      <c r="O659" s="305"/>
    </row>
    <row r="660" spans="1:15" x14ac:dyDescent="0.35">
      <c r="A660" s="321"/>
      <c r="B660" s="305"/>
      <c r="D660" s="305"/>
      <c r="O660" s="305"/>
    </row>
    <row r="661" spans="1:15" x14ac:dyDescent="0.35">
      <c r="A661" s="321"/>
      <c r="B661" s="305"/>
      <c r="D661" s="305"/>
      <c r="O661" s="305"/>
    </row>
    <row r="662" spans="1:15" x14ac:dyDescent="0.35">
      <c r="A662" s="321"/>
      <c r="B662" s="305"/>
      <c r="D662" s="305"/>
      <c r="O662" s="305"/>
    </row>
    <row r="663" spans="1:15" x14ac:dyDescent="0.35">
      <c r="A663" s="321"/>
      <c r="B663" s="305"/>
      <c r="D663" s="305"/>
      <c r="O663" s="305"/>
    </row>
    <row r="664" spans="1:15" x14ac:dyDescent="0.35">
      <c r="A664" s="321"/>
      <c r="B664" s="305"/>
      <c r="D664" s="305"/>
      <c r="O664" s="305"/>
    </row>
    <row r="665" spans="1:15" x14ac:dyDescent="0.35">
      <c r="A665" s="321"/>
      <c r="B665" s="305"/>
      <c r="D665" s="305"/>
      <c r="O665" s="305"/>
    </row>
    <row r="666" spans="1:15" x14ac:dyDescent="0.35">
      <c r="A666" s="321"/>
      <c r="B666" s="305"/>
      <c r="D666" s="305"/>
      <c r="O666" s="305"/>
    </row>
    <row r="667" spans="1:15" x14ac:dyDescent="0.35">
      <c r="A667" s="321"/>
      <c r="B667" s="305"/>
      <c r="D667" s="305"/>
      <c r="O667" s="305"/>
    </row>
    <row r="668" spans="1:15" x14ac:dyDescent="0.35">
      <c r="A668" s="321"/>
      <c r="B668" s="305"/>
      <c r="D668" s="305"/>
      <c r="O668" s="305"/>
    </row>
    <row r="669" spans="1:15" x14ac:dyDescent="0.35">
      <c r="A669" s="321"/>
      <c r="B669" s="305"/>
      <c r="D669" s="305"/>
      <c r="O669" s="305"/>
    </row>
    <row r="670" spans="1:15" x14ac:dyDescent="0.35">
      <c r="A670" s="321"/>
      <c r="B670" s="305"/>
      <c r="D670" s="305"/>
      <c r="O670" s="305"/>
    </row>
    <row r="671" spans="1:15" x14ac:dyDescent="0.35">
      <c r="A671" s="321"/>
      <c r="B671" s="305"/>
      <c r="D671" s="305"/>
      <c r="O671" s="305"/>
    </row>
    <row r="672" spans="1:15" x14ac:dyDescent="0.35">
      <c r="A672" s="321"/>
      <c r="B672" s="305"/>
      <c r="D672" s="305"/>
      <c r="O672" s="305"/>
    </row>
    <row r="673" spans="1:15" x14ac:dyDescent="0.35">
      <c r="A673" s="321"/>
      <c r="B673" s="305"/>
      <c r="D673" s="305"/>
      <c r="O673" s="305"/>
    </row>
    <row r="674" spans="1:15" x14ac:dyDescent="0.35">
      <c r="A674" s="321"/>
      <c r="B674" s="305"/>
      <c r="D674" s="305"/>
      <c r="O674" s="305"/>
    </row>
    <row r="675" spans="1:15" x14ac:dyDescent="0.35">
      <c r="A675" s="321"/>
      <c r="B675" s="305"/>
      <c r="D675" s="305"/>
      <c r="O675" s="305"/>
    </row>
    <row r="676" spans="1:15" x14ac:dyDescent="0.35">
      <c r="A676" s="321"/>
      <c r="B676" s="305"/>
      <c r="D676" s="305"/>
      <c r="O676" s="305"/>
    </row>
    <row r="677" spans="1:15" x14ac:dyDescent="0.35">
      <c r="A677" s="321"/>
      <c r="B677" s="305"/>
      <c r="D677" s="305"/>
      <c r="O677" s="305"/>
    </row>
    <row r="678" spans="1:15" x14ac:dyDescent="0.35">
      <c r="A678" s="321"/>
      <c r="B678" s="305"/>
      <c r="D678" s="305"/>
      <c r="O678" s="305"/>
    </row>
    <row r="679" spans="1:15" x14ac:dyDescent="0.35">
      <c r="A679" s="321"/>
      <c r="B679" s="305"/>
      <c r="D679" s="305"/>
      <c r="O679" s="305"/>
    </row>
    <row r="680" spans="1:15" x14ac:dyDescent="0.35">
      <c r="A680" s="321"/>
      <c r="B680" s="305"/>
      <c r="D680" s="305"/>
      <c r="O680" s="305"/>
    </row>
    <row r="681" spans="1:15" x14ac:dyDescent="0.35">
      <c r="A681" s="321"/>
      <c r="B681" s="305"/>
      <c r="D681" s="305"/>
      <c r="O681" s="305"/>
    </row>
    <row r="682" spans="1:15" x14ac:dyDescent="0.35">
      <c r="A682" s="321"/>
      <c r="B682" s="305"/>
      <c r="D682" s="305"/>
      <c r="O682" s="305"/>
    </row>
    <row r="683" spans="1:15" x14ac:dyDescent="0.35">
      <c r="A683" s="321"/>
      <c r="B683" s="305"/>
      <c r="D683" s="305"/>
      <c r="O683" s="305"/>
    </row>
    <row r="684" spans="1:15" x14ac:dyDescent="0.35">
      <c r="A684" s="321"/>
      <c r="B684" s="305"/>
      <c r="D684" s="305"/>
      <c r="O684" s="305"/>
    </row>
    <row r="685" spans="1:15" x14ac:dyDescent="0.35">
      <c r="A685" s="321"/>
      <c r="B685" s="305"/>
      <c r="D685" s="305"/>
      <c r="O685" s="305"/>
    </row>
    <row r="686" spans="1:15" x14ac:dyDescent="0.35">
      <c r="A686" s="321"/>
      <c r="B686" s="305"/>
      <c r="D686" s="305"/>
      <c r="O686" s="305"/>
    </row>
    <row r="687" spans="1:15" x14ac:dyDescent="0.35">
      <c r="A687" s="321"/>
      <c r="B687" s="305"/>
      <c r="D687" s="305"/>
      <c r="O687" s="305"/>
    </row>
    <row r="688" spans="1:15" x14ac:dyDescent="0.35">
      <c r="A688" s="321"/>
      <c r="B688" s="305"/>
      <c r="D688" s="305"/>
      <c r="O688" s="305"/>
    </row>
    <row r="689" spans="1:15" x14ac:dyDescent="0.35">
      <c r="A689" s="321"/>
      <c r="B689" s="305"/>
      <c r="D689" s="305"/>
      <c r="O689" s="305"/>
    </row>
    <row r="690" spans="1:15" x14ac:dyDescent="0.35">
      <c r="A690" s="321"/>
      <c r="B690" s="305"/>
      <c r="D690" s="305"/>
      <c r="O690" s="305"/>
    </row>
    <row r="691" spans="1:15" x14ac:dyDescent="0.35">
      <c r="A691" s="321"/>
      <c r="B691" s="305"/>
      <c r="D691" s="305"/>
      <c r="O691" s="305"/>
    </row>
    <row r="692" spans="1:15" x14ac:dyDescent="0.35">
      <c r="A692" s="321"/>
      <c r="B692" s="305"/>
      <c r="D692" s="305"/>
      <c r="O692" s="305"/>
    </row>
    <row r="693" spans="1:15" x14ac:dyDescent="0.35">
      <c r="A693" s="321"/>
      <c r="B693" s="305"/>
      <c r="D693" s="305"/>
      <c r="O693" s="305"/>
    </row>
    <row r="694" spans="1:15" x14ac:dyDescent="0.35">
      <c r="A694" s="321"/>
      <c r="B694" s="305"/>
      <c r="D694" s="305"/>
      <c r="O694" s="305"/>
    </row>
    <row r="695" spans="1:15" x14ac:dyDescent="0.35">
      <c r="A695" s="321"/>
      <c r="B695" s="305"/>
      <c r="D695" s="305"/>
      <c r="O695" s="305"/>
    </row>
    <row r="696" spans="1:15" x14ac:dyDescent="0.35">
      <c r="A696" s="321"/>
      <c r="B696" s="305"/>
      <c r="D696" s="305"/>
      <c r="O696" s="305"/>
    </row>
    <row r="697" spans="1:15" x14ac:dyDescent="0.35">
      <c r="A697" s="321"/>
      <c r="B697" s="305"/>
      <c r="D697" s="305"/>
      <c r="O697" s="305"/>
    </row>
    <row r="698" spans="1:15" x14ac:dyDescent="0.35">
      <c r="A698" s="321"/>
      <c r="B698" s="305"/>
      <c r="D698" s="305"/>
      <c r="O698" s="305"/>
    </row>
    <row r="699" spans="1:15" x14ac:dyDescent="0.35">
      <c r="A699" s="321"/>
      <c r="B699" s="305"/>
      <c r="D699" s="305"/>
      <c r="O699" s="305"/>
    </row>
    <row r="700" spans="1:15" x14ac:dyDescent="0.35">
      <c r="A700" s="321"/>
      <c r="B700" s="305"/>
      <c r="D700" s="305"/>
      <c r="O700" s="305"/>
    </row>
    <row r="701" spans="1:15" x14ac:dyDescent="0.35">
      <c r="A701" s="321"/>
      <c r="B701" s="305"/>
      <c r="D701" s="305"/>
      <c r="O701" s="305"/>
    </row>
    <row r="702" spans="1:15" x14ac:dyDescent="0.35">
      <c r="A702" s="321"/>
      <c r="B702" s="305"/>
      <c r="D702" s="305"/>
      <c r="O702" s="305"/>
    </row>
    <row r="703" spans="1:15" x14ac:dyDescent="0.35">
      <c r="A703" s="321"/>
      <c r="B703" s="305"/>
      <c r="D703" s="305"/>
      <c r="O703" s="305"/>
    </row>
    <row r="704" spans="1:15" x14ac:dyDescent="0.35">
      <c r="A704" s="321"/>
      <c r="B704" s="305"/>
      <c r="D704" s="305"/>
      <c r="O704" s="305"/>
    </row>
    <row r="705" spans="1:15" x14ac:dyDescent="0.35">
      <c r="A705" s="321"/>
      <c r="B705" s="305"/>
      <c r="D705" s="305"/>
      <c r="O705" s="305"/>
    </row>
    <row r="706" spans="1:15" x14ac:dyDescent="0.35">
      <c r="A706" s="321"/>
      <c r="B706" s="305"/>
      <c r="D706" s="305"/>
      <c r="O706" s="305"/>
    </row>
    <row r="707" spans="1:15" x14ac:dyDescent="0.35">
      <c r="A707" s="321"/>
      <c r="B707" s="305"/>
      <c r="D707" s="305"/>
      <c r="O707" s="305"/>
    </row>
    <row r="708" spans="1:15" x14ac:dyDescent="0.35">
      <c r="A708" s="321"/>
      <c r="B708" s="305"/>
      <c r="D708" s="305"/>
      <c r="O708" s="305"/>
    </row>
    <row r="709" spans="1:15" x14ac:dyDescent="0.35">
      <c r="A709" s="321"/>
      <c r="B709" s="305"/>
      <c r="D709" s="305"/>
      <c r="O709" s="305"/>
    </row>
    <row r="710" spans="1:15" x14ac:dyDescent="0.35">
      <c r="A710" s="321"/>
      <c r="B710" s="305"/>
      <c r="D710" s="305"/>
      <c r="O710" s="305"/>
    </row>
    <row r="711" spans="1:15" x14ac:dyDescent="0.35">
      <c r="A711" s="321"/>
      <c r="B711" s="305"/>
      <c r="D711" s="305"/>
      <c r="O711" s="305"/>
    </row>
    <row r="712" spans="1:15" x14ac:dyDescent="0.35">
      <c r="A712" s="321"/>
      <c r="B712" s="305"/>
      <c r="D712" s="305"/>
      <c r="O712" s="305"/>
    </row>
    <row r="713" spans="1:15" x14ac:dyDescent="0.35">
      <c r="A713" s="321"/>
      <c r="B713" s="305"/>
      <c r="D713" s="305"/>
      <c r="O713" s="305"/>
    </row>
    <row r="714" spans="1:15" x14ac:dyDescent="0.35">
      <c r="A714" s="321"/>
      <c r="B714" s="305"/>
      <c r="D714" s="305"/>
      <c r="O714" s="305"/>
    </row>
    <row r="715" spans="1:15" x14ac:dyDescent="0.35">
      <c r="A715" s="321"/>
      <c r="B715" s="305"/>
      <c r="D715" s="305"/>
      <c r="O715" s="305"/>
    </row>
    <row r="716" spans="1:15" x14ac:dyDescent="0.35">
      <c r="A716" s="321"/>
      <c r="B716" s="305"/>
      <c r="D716" s="305"/>
      <c r="O716" s="305"/>
    </row>
    <row r="717" spans="1:15" x14ac:dyDescent="0.35">
      <c r="A717" s="321"/>
      <c r="B717" s="305"/>
      <c r="D717" s="305"/>
      <c r="O717" s="305"/>
    </row>
    <row r="718" spans="1:15" x14ac:dyDescent="0.35">
      <c r="A718" s="321"/>
      <c r="B718" s="305"/>
      <c r="D718" s="305"/>
      <c r="O718" s="305"/>
    </row>
    <row r="719" spans="1:15" x14ac:dyDescent="0.35">
      <c r="A719" s="321"/>
      <c r="B719" s="305"/>
      <c r="D719" s="305"/>
      <c r="O719" s="305"/>
    </row>
    <row r="720" spans="1:15" x14ac:dyDescent="0.35">
      <c r="A720" s="321"/>
      <c r="B720" s="305"/>
      <c r="D720" s="305"/>
      <c r="O720" s="305"/>
    </row>
    <row r="721" spans="1:15" x14ac:dyDescent="0.35">
      <c r="A721" s="321"/>
      <c r="B721" s="305"/>
      <c r="D721" s="305"/>
      <c r="O721" s="305"/>
    </row>
    <row r="722" spans="1:15" x14ac:dyDescent="0.35">
      <c r="A722" s="321"/>
      <c r="B722" s="305"/>
      <c r="D722" s="305"/>
      <c r="O722" s="305"/>
    </row>
    <row r="723" spans="1:15" x14ac:dyDescent="0.35">
      <c r="A723" s="321"/>
      <c r="B723" s="305"/>
      <c r="D723" s="305"/>
      <c r="O723" s="305"/>
    </row>
    <row r="724" spans="1:15" x14ac:dyDescent="0.35">
      <c r="A724" s="321"/>
      <c r="B724" s="305"/>
      <c r="D724" s="305"/>
      <c r="O724" s="305"/>
    </row>
    <row r="725" spans="1:15" x14ac:dyDescent="0.35">
      <c r="A725" s="321"/>
      <c r="B725" s="305"/>
      <c r="D725" s="305"/>
      <c r="O725" s="305"/>
    </row>
    <row r="726" spans="1:15" x14ac:dyDescent="0.35">
      <c r="A726" s="321"/>
      <c r="B726" s="305"/>
      <c r="D726" s="305"/>
      <c r="O726" s="305"/>
    </row>
    <row r="727" spans="1:15" x14ac:dyDescent="0.35">
      <c r="A727" s="321"/>
      <c r="B727" s="305"/>
      <c r="D727" s="305"/>
      <c r="O727" s="305"/>
    </row>
    <row r="728" spans="1:15" x14ac:dyDescent="0.35">
      <c r="A728" s="321"/>
      <c r="B728" s="305"/>
      <c r="D728" s="305"/>
      <c r="O728" s="305"/>
    </row>
    <row r="729" spans="1:15" x14ac:dyDescent="0.35">
      <c r="A729" s="321"/>
      <c r="B729" s="305"/>
      <c r="D729" s="305"/>
      <c r="O729" s="305"/>
    </row>
    <row r="730" spans="1:15" x14ac:dyDescent="0.35">
      <c r="A730" s="321"/>
      <c r="B730" s="305"/>
      <c r="D730" s="305"/>
      <c r="O730" s="305"/>
    </row>
    <row r="731" spans="1:15" x14ac:dyDescent="0.35">
      <c r="A731" s="321"/>
      <c r="B731" s="305"/>
      <c r="D731" s="305"/>
      <c r="O731" s="305"/>
    </row>
    <row r="732" spans="1:15" x14ac:dyDescent="0.35">
      <c r="A732" s="321"/>
      <c r="B732" s="305"/>
      <c r="D732" s="305"/>
      <c r="O732" s="305"/>
    </row>
    <row r="733" spans="1:15" x14ac:dyDescent="0.35">
      <c r="A733" s="321"/>
      <c r="B733" s="305"/>
      <c r="D733" s="305"/>
      <c r="O733" s="305"/>
    </row>
    <row r="734" spans="1:15" x14ac:dyDescent="0.35">
      <c r="A734" s="321"/>
      <c r="B734" s="305"/>
      <c r="D734" s="305"/>
      <c r="O734" s="305"/>
    </row>
    <row r="735" spans="1:15" x14ac:dyDescent="0.35">
      <c r="A735" s="321"/>
      <c r="B735" s="305"/>
      <c r="D735" s="305"/>
      <c r="O735" s="305"/>
    </row>
    <row r="736" spans="1:15" x14ac:dyDescent="0.35">
      <c r="A736" s="321"/>
      <c r="B736" s="305"/>
      <c r="D736" s="305"/>
      <c r="O736" s="305"/>
    </row>
    <row r="737" spans="1:15" x14ac:dyDescent="0.35">
      <c r="A737" s="321"/>
      <c r="B737" s="305"/>
      <c r="D737" s="305"/>
      <c r="O737" s="305"/>
    </row>
    <row r="738" spans="1:15" x14ac:dyDescent="0.35">
      <c r="A738" s="321"/>
      <c r="B738" s="305"/>
      <c r="D738" s="305"/>
      <c r="O738" s="305"/>
    </row>
    <row r="739" spans="1:15" x14ac:dyDescent="0.35">
      <c r="A739" s="321"/>
      <c r="B739" s="305"/>
      <c r="D739" s="305"/>
      <c r="O739" s="305"/>
    </row>
    <row r="740" spans="1:15" x14ac:dyDescent="0.35">
      <c r="A740" s="321"/>
      <c r="B740" s="305"/>
      <c r="D740" s="305"/>
      <c r="O740" s="305"/>
    </row>
    <row r="741" spans="1:15" x14ac:dyDescent="0.35">
      <c r="A741" s="321"/>
      <c r="B741" s="305"/>
      <c r="D741" s="305"/>
      <c r="O741" s="305"/>
    </row>
    <row r="742" spans="1:15" x14ac:dyDescent="0.35">
      <c r="A742" s="321"/>
      <c r="B742" s="305"/>
      <c r="D742" s="305"/>
      <c r="O742" s="305"/>
    </row>
    <row r="743" spans="1:15" x14ac:dyDescent="0.35">
      <c r="A743" s="321"/>
      <c r="B743" s="305"/>
      <c r="D743" s="305"/>
      <c r="O743" s="305"/>
    </row>
    <row r="744" spans="1:15" x14ac:dyDescent="0.35">
      <c r="A744" s="321"/>
      <c r="B744" s="305"/>
      <c r="D744" s="305"/>
      <c r="O744" s="305"/>
    </row>
    <row r="745" spans="1:15" x14ac:dyDescent="0.35">
      <c r="A745" s="321"/>
      <c r="B745" s="305"/>
      <c r="D745" s="305"/>
      <c r="O745" s="305"/>
    </row>
    <row r="746" spans="1:15" x14ac:dyDescent="0.35">
      <c r="A746" s="321"/>
      <c r="B746" s="305"/>
      <c r="D746" s="305"/>
      <c r="O746" s="305"/>
    </row>
    <row r="747" spans="1:15" x14ac:dyDescent="0.35">
      <c r="A747" s="321"/>
      <c r="B747" s="305"/>
      <c r="D747" s="305"/>
      <c r="O747" s="305"/>
    </row>
    <row r="748" spans="1:15" x14ac:dyDescent="0.35">
      <c r="A748" s="321"/>
      <c r="B748" s="305"/>
      <c r="D748" s="305"/>
      <c r="O748" s="305"/>
    </row>
    <row r="749" spans="1:15" x14ac:dyDescent="0.35">
      <c r="A749" s="321"/>
      <c r="B749" s="305"/>
      <c r="D749" s="305"/>
      <c r="O749" s="305"/>
    </row>
    <row r="750" spans="1:15" x14ac:dyDescent="0.35">
      <c r="A750" s="321"/>
      <c r="B750" s="305"/>
      <c r="D750" s="305"/>
      <c r="O750" s="305"/>
    </row>
    <row r="751" spans="1:15" x14ac:dyDescent="0.35">
      <c r="A751" s="321"/>
      <c r="B751" s="305"/>
      <c r="D751" s="305"/>
      <c r="O751" s="305"/>
    </row>
    <row r="752" spans="1:15" x14ac:dyDescent="0.35">
      <c r="A752" s="321"/>
      <c r="B752" s="305"/>
      <c r="D752" s="305"/>
      <c r="O752" s="305"/>
    </row>
    <row r="753" spans="1:15" x14ac:dyDescent="0.35">
      <c r="A753" s="321"/>
      <c r="B753" s="305"/>
      <c r="D753" s="305"/>
      <c r="O753" s="305"/>
    </row>
    <row r="754" spans="1:15" x14ac:dyDescent="0.35">
      <c r="A754" s="321"/>
      <c r="B754" s="305"/>
      <c r="D754" s="305"/>
      <c r="O754" s="305"/>
    </row>
    <row r="755" spans="1:15" x14ac:dyDescent="0.35">
      <c r="A755" s="321"/>
      <c r="B755" s="305"/>
      <c r="D755" s="305"/>
      <c r="O755" s="305"/>
    </row>
    <row r="756" spans="1:15" x14ac:dyDescent="0.35">
      <c r="A756" s="321"/>
      <c r="B756" s="305"/>
      <c r="D756" s="305"/>
      <c r="O756" s="305"/>
    </row>
    <row r="757" spans="1:15" x14ac:dyDescent="0.35">
      <c r="A757" s="321"/>
      <c r="B757" s="305"/>
      <c r="D757" s="305"/>
      <c r="O757" s="305"/>
    </row>
    <row r="758" spans="1:15" x14ac:dyDescent="0.35">
      <c r="A758" s="321"/>
      <c r="B758" s="305"/>
      <c r="D758" s="305"/>
      <c r="O758" s="305"/>
    </row>
    <row r="759" spans="1:15" x14ac:dyDescent="0.35">
      <c r="A759" s="321"/>
      <c r="B759" s="305"/>
      <c r="D759" s="305"/>
      <c r="O759" s="305"/>
    </row>
    <row r="760" spans="1:15" x14ac:dyDescent="0.35">
      <c r="A760" s="321"/>
      <c r="B760" s="305"/>
      <c r="D760" s="305"/>
      <c r="O760" s="305"/>
    </row>
    <row r="761" spans="1:15" x14ac:dyDescent="0.35">
      <c r="A761" s="321"/>
      <c r="B761" s="305"/>
      <c r="D761" s="305"/>
      <c r="O761" s="305"/>
    </row>
    <row r="762" spans="1:15" x14ac:dyDescent="0.35">
      <c r="A762" s="321"/>
      <c r="B762" s="305"/>
      <c r="D762" s="305"/>
      <c r="O762" s="305"/>
    </row>
    <row r="763" spans="1:15" x14ac:dyDescent="0.35">
      <c r="A763" s="321"/>
      <c r="B763" s="305"/>
      <c r="D763" s="305"/>
      <c r="O763" s="305"/>
    </row>
    <row r="764" spans="1:15" x14ac:dyDescent="0.35">
      <c r="A764" s="321"/>
      <c r="B764" s="305"/>
      <c r="D764" s="305"/>
      <c r="O764" s="305"/>
    </row>
    <row r="765" spans="1:15" x14ac:dyDescent="0.35">
      <c r="A765" s="321"/>
      <c r="B765" s="305"/>
      <c r="D765" s="305"/>
      <c r="O765" s="305"/>
    </row>
    <row r="766" spans="1:15" x14ac:dyDescent="0.35">
      <c r="A766" s="321"/>
      <c r="B766" s="305"/>
      <c r="D766" s="305"/>
      <c r="O766" s="305"/>
    </row>
    <row r="767" spans="1:15" x14ac:dyDescent="0.35">
      <c r="A767" s="321"/>
      <c r="B767" s="305"/>
      <c r="D767" s="305"/>
      <c r="O767" s="305"/>
    </row>
    <row r="768" spans="1:15" x14ac:dyDescent="0.35">
      <c r="A768" s="321"/>
      <c r="B768" s="305"/>
      <c r="D768" s="305"/>
      <c r="O768" s="305"/>
    </row>
    <row r="769" spans="1:15" x14ac:dyDescent="0.35">
      <c r="A769" s="321"/>
      <c r="B769" s="305"/>
      <c r="D769" s="305"/>
      <c r="O769" s="305"/>
    </row>
    <row r="770" spans="1:15" x14ac:dyDescent="0.35">
      <c r="A770" s="321"/>
      <c r="B770" s="305"/>
      <c r="D770" s="305"/>
      <c r="O770" s="305"/>
    </row>
    <row r="771" spans="1:15" x14ac:dyDescent="0.35">
      <c r="A771" s="321"/>
      <c r="B771" s="305"/>
      <c r="D771" s="305"/>
      <c r="O771" s="305"/>
    </row>
    <row r="772" spans="1:15" x14ac:dyDescent="0.35">
      <c r="A772" s="321"/>
      <c r="B772" s="305"/>
      <c r="D772" s="305"/>
      <c r="O772" s="305"/>
    </row>
    <row r="773" spans="1:15" x14ac:dyDescent="0.35">
      <c r="A773" s="321"/>
      <c r="B773" s="305"/>
      <c r="D773" s="305"/>
      <c r="O773" s="305"/>
    </row>
    <row r="774" spans="1:15" x14ac:dyDescent="0.35">
      <c r="A774" s="321"/>
      <c r="B774" s="305"/>
      <c r="D774" s="305"/>
      <c r="O774" s="305"/>
    </row>
    <row r="775" spans="1:15" x14ac:dyDescent="0.35">
      <c r="A775" s="321"/>
      <c r="B775" s="305"/>
      <c r="D775" s="305"/>
      <c r="O775" s="305"/>
    </row>
    <row r="776" spans="1:15" x14ac:dyDescent="0.35">
      <c r="A776" s="321"/>
      <c r="B776" s="305"/>
      <c r="D776" s="305"/>
      <c r="O776" s="305"/>
    </row>
    <row r="777" spans="1:15" x14ac:dyDescent="0.35">
      <c r="A777" s="321"/>
      <c r="B777" s="305"/>
      <c r="D777" s="305"/>
      <c r="O777" s="305"/>
    </row>
    <row r="778" spans="1:15" x14ac:dyDescent="0.35">
      <c r="A778" s="321"/>
      <c r="B778" s="305"/>
      <c r="D778" s="305"/>
      <c r="O778" s="305"/>
    </row>
    <row r="779" spans="1:15" x14ac:dyDescent="0.35">
      <c r="A779" s="321"/>
      <c r="B779" s="305"/>
      <c r="D779" s="305"/>
      <c r="O779" s="305"/>
    </row>
    <row r="780" spans="1:15" x14ac:dyDescent="0.35">
      <c r="A780" s="321"/>
      <c r="B780" s="305"/>
      <c r="D780" s="305"/>
      <c r="O780" s="305"/>
    </row>
    <row r="781" spans="1:15" x14ac:dyDescent="0.35">
      <c r="A781" s="321"/>
      <c r="B781" s="305"/>
      <c r="D781" s="305"/>
      <c r="O781" s="305"/>
    </row>
    <row r="782" spans="1:15" x14ac:dyDescent="0.35">
      <c r="A782" s="321"/>
      <c r="B782" s="305"/>
      <c r="D782" s="305"/>
      <c r="O782" s="305"/>
    </row>
    <row r="783" spans="1:15" x14ac:dyDescent="0.35">
      <c r="A783" s="321"/>
      <c r="B783" s="305"/>
      <c r="D783" s="305"/>
      <c r="O783" s="305"/>
    </row>
    <row r="784" spans="1:15" x14ac:dyDescent="0.35">
      <c r="A784" s="321"/>
      <c r="B784" s="305"/>
      <c r="D784" s="305"/>
      <c r="O784" s="305"/>
    </row>
    <row r="785" spans="1:15" x14ac:dyDescent="0.35">
      <c r="A785" s="321"/>
      <c r="B785" s="305"/>
      <c r="D785" s="305"/>
      <c r="O785" s="305"/>
    </row>
    <row r="786" spans="1:15" x14ac:dyDescent="0.35">
      <c r="A786" s="321"/>
      <c r="B786" s="305"/>
      <c r="D786" s="305"/>
      <c r="O786" s="305"/>
    </row>
    <row r="787" spans="1:15" x14ac:dyDescent="0.35">
      <c r="A787" s="321"/>
      <c r="B787" s="305"/>
      <c r="D787" s="305"/>
      <c r="O787" s="305"/>
    </row>
    <row r="788" spans="1:15" x14ac:dyDescent="0.35">
      <c r="A788" s="321"/>
      <c r="B788" s="305"/>
      <c r="D788" s="305"/>
      <c r="O788" s="305"/>
    </row>
    <row r="789" spans="1:15" x14ac:dyDescent="0.35">
      <c r="A789" s="321"/>
      <c r="B789" s="305"/>
      <c r="D789" s="305"/>
      <c r="O789" s="305"/>
    </row>
    <row r="790" spans="1:15" x14ac:dyDescent="0.35">
      <c r="A790" s="321"/>
      <c r="B790" s="305"/>
      <c r="D790" s="305"/>
      <c r="O790" s="305"/>
    </row>
    <row r="791" spans="1:15" x14ac:dyDescent="0.35">
      <c r="A791" s="321"/>
      <c r="B791" s="305"/>
      <c r="D791" s="305"/>
      <c r="O791" s="305"/>
    </row>
    <row r="792" spans="1:15" x14ac:dyDescent="0.35">
      <c r="A792" s="321"/>
      <c r="B792" s="305"/>
      <c r="D792" s="305"/>
      <c r="O792" s="305"/>
    </row>
    <row r="793" spans="1:15" x14ac:dyDescent="0.35">
      <c r="A793" s="321"/>
      <c r="B793" s="305"/>
      <c r="D793" s="305"/>
      <c r="O793" s="305"/>
    </row>
    <row r="794" spans="1:15" x14ac:dyDescent="0.35">
      <c r="A794" s="321"/>
      <c r="B794" s="305"/>
      <c r="D794" s="305"/>
      <c r="O794" s="305"/>
    </row>
    <row r="795" spans="1:15" x14ac:dyDescent="0.35">
      <c r="A795" s="321"/>
      <c r="B795" s="305"/>
      <c r="D795" s="305"/>
      <c r="O795" s="305"/>
    </row>
    <row r="796" spans="1:15" x14ac:dyDescent="0.35">
      <c r="A796" s="321"/>
      <c r="B796" s="305"/>
      <c r="D796" s="305"/>
      <c r="O796" s="305"/>
    </row>
    <row r="797" spans="1:15" x14ac:dyDescent="0.35">
      <c r="A797" s="321"/>
      <c r="B797" s="305"/>
      <c r="D797" s="305"/>
      <c r="O797" s="305"/>
    </row>
    <row r="798" spans="1:15" x14ac:dyDescent="0.35">
      <c r="A798" s="321"/>
      <c r="B798" s="305"/>
      <c r="D798" s="305"/>
      <c r="O798" s="305"/>
    </row>
    <row r="799" spans="1:15" x14ac:dyDescent="0.35">
      <c r="A799" s="321"/>
      <c r="B799" s="305"/>
      <c r="D799" s="305"/>
      <c r="O799" s="305"/>
    </row>
    <row r="800" spans="1:15" x14ac:dyDescent="0.35">
      <c r="A800" s="321"/>
      <c r="B800" s="305"/>
      <c r="D800" s="305"/>
      <c r="O800" s="305"/>
    </row>
    <row r="801" spans="1:15" x14ac:dyDescent="0.35">
      <c r="A801" s="321"/>
      <c r="B801" s="305"/>
      <c r="D801" s="305"/>
      <c r="O801" s="305"/>
    </row>
    <row r="802" spans="1:15" x14ac:dyDescent="0.35">
      <c r="A802" s="321"/>
      <c r="B802" s="305"/>
      <c r="D802" s="305"/>
      <c r="O802" s="305"/>
    </row>
    <row r="803" spans="1:15" x14ac:dyDescent="0.35">
      <c r="A803" s="321"/>
      <c r="B803" s="305"/>
      <c r="D803" s="305"/>
      <c r="O803" s="305"/>
    </row>
    <row r="804" spans="1:15" x14ac:dyDescent="0.35">
      <c r="A804" s="321"/>
      <c r="B804" s="305"/>
      <c r="D804" s="305"/>
      <c r="O804" s="305"/>
    </row>
    <row r="805" spans="1:15" x14ac:dyDescent="0.35">
      <c r="A805" s="321"/>
      <c r="B805" s="305"/>
      <c r="D805" s="305"/>
      <c r="O805" s="305"/>
    </row>
    <row r="806" spans="1:15" x14ac:dyDescent="0.35">
      <c r="A806" s="321"/>
      <c r="B806" s="305"/>
      <c r="D806" s="305"/>
      <c r="O806" s="305"/>
    </row>
    <row r="807" spans="1:15" x14ac:dyDescent="0.35">
      <c r="A807" s="321"/>
      <c r="B807" s="305"/>
      <c r="D807" s="305"/>
      <c r="O807" s="305"/>
    </row>
    <row r="808" spans="1:15" x14ac:dyDescent="0.35">
      <c r="A808" s="321"/>
      <c r="B808" s="305"/>
      <c r="D808" s="305"/>
      <c r="O808" s="305"/>
    </row>
    <row r="809" spans="1:15" x14ac:dyDescent="0.35">
      <c r="A809" s="321"/>
      <c r="B809" s="305"/>
      <c r="D809" s="305"/>
      <c r="O809" s="305"/>
    </row>
    <row r="810" spans="1:15" x14ac:dyDescent="0.35">
      <c r="A810" s="321"/>
      <c r="B810" s="305"/>
      <c r="D810" s="305"/>
      <c r="O810" s="305"/>
    </row>
    <row r="811" spans="1:15" x14ac:dyDescent="0.35">
      <c r="A811" s="321"/>
      <c r="B811" s="305"/>
      <c r="D811" s="305"/>
      <c r="O811" s="305"/>
    </row>
    <row r="812" spans="1:15" x14ac:dyDescent="0.35">
      <c r="A812" s="321"/>
      <c r="B812" s="305"/>
      <c r="D812" s="305"/>
      <c r="O812" s="305"/>
    </row>
    <row r="813" spans="1:15" x14ac:dyDescent="0.35">
      <c r="A813" s="321"/>
      <c r="B813" s="305"/>
      <c r="D813" s="305"/>
      <c r="O813" s="305"/>
    </row>
    <row r="814" spans="1:15" x14ac:dyDescent="0.35">
      <c r="A814" s="321"/>
      <c r="B814" s="305"/>
      <c r="D814" s="305"/>
      <c r="O814" s="305"/>
    </row>
    <row r="815" spans="1:15" x14ac:dyDescent="0.35">
      <c r="A815" s="321"/>
      <c r="B815" s="305"/>
      <c r="D815" s="305"/>
      <c r="O815" s="305"/>
    </row>
    <row r="816" spans="1:15" x14ac:dyDescent="0.35">
      <c r="A816" s="321"/>
      <c r="B816" s="305"/>
      <c r="D816" s="305"/>
      <c r="O816" s="305"/>
    </row>
    <row r="817" spans="1:15" x14ac:dyDescent="0.35">
      <c r="A817" s="321"/>
      <c r="B817" s="305"/>
      <c r="D817" s="305"/>
      <c r="O817" s="305"/>
    </row>
    <row r="818" spans="1:15" x14ac:dyDescent="0.35">
      <c r="A818" s="321"/>
      <c r="B818" s="305"/>
      <c r="D818" s="305"/>
      <c r="O818" s="305"/>
    </row>
    <row r="819" spans="1:15" x14ac:dyDescent="0.35">
      <c r="A819" s="321"/>
      <c r="B819" s="305"/>
      <c r="D819" s="305"/>
      <c r="O819" s="305"/>
    </row>
    <row r="820" spans="1:15" x14ac:dyDescent="0.35">
      <c r="A820" s="321"/>
      <c r="B820" s="305"/>
      <c r="D820" s="305"/>
      <c r="O820" s="305"/>
    </row>
    <row r="821" spans="1:15" x14ac:dyDescent="0.35">
      <c r="A821" s="321"/>
      <c r="B821" s="305"/>
      <c r="D821" s="305"/>
      <c r="O821" s="305"/>
    </row>
    <row r="822" spans="1:15" x14ac:dyDescent="0.35">
      <c r="A822" s="321"/>
      <c r="B822" s="305"/>
      <c r="D822" s="305"/>
      <c r="O822" s="305"/>
    </row>
    <row r="823" spans="1:15" x14ac:dyDescent="0.35">
      <c r="A823" s="321"/>
      <c r="B823" s="305"/>
      <c r="D823" s="305"/>
      <c r="O823" s="305"/>
    </row>
    <row r="824" spans="1:15" x14ac:dyDescent="0.35">
      <c r="A824" s="321"/>
      <c r="B824" s="305"/>
      <c r="D824" s="305"/>
      <c r="O824" s="305"/>
    </row>
    <row r="825" spans="1:15" x14ac:dyDescent="0.35">
      <c r="A825" s="321"/>
      <c r="B825" s="305"/>
      <c r="D825" s="305"/>
      <c r="O825" s="305"/>
    </row>
    <row r="826" spans="1:15" x14ac:dyDescent="0.35">
      <c r="A826" s="321"/>
      <c r="B826" s="305"/>
      <c r="D826" s="305"/>
      <c r="O826" s="305"/>
    </row>
    <row r="827" spans="1:15" x14ac:dyDescent="0.35">
      <c r="A827" s="321"/>
      <c r="B827" s="305"/>
      <c r="D827" s="305"/>
      <c r="O827" s="305"/>
    </row>
    <row r="828" spans="1:15" x14ac:dyDescent="0.35">
      <c r="A828" s="321"/>
      <c r="B828" s="305"/>
      <c r="D828" s="305"/>
      <c r="O828" s="305"/>
    </row>
    <row r="829" spans="1:15" x14ac:dyDescent="0.35">
      <c r="A829" s="321"/>
      <c r="B829" s="305"/>
      <c r="D829" s="305"/>
      <c r="O829" s="305"/>
    </row>
    <row r="830" spans="1:15" x14ac:dyDescent="0.35">
      <c r="A830" s="321"/>
      <c r="B830" s="305"/>
      <c r="D830" s="305"/>
      <c r="O830" s="305"/>
    </row>
    <row r="831" spans="1:15" x14ac:dyDescent="0.35">
      <c r="A831" s="321"/>
      <c r="B831" s="305"/>
      <c r="D831" s="305"/>
      <c r="O831" s="305"/>
    </row>
    <row r="832" spans="1:15" x14ac:dyDescent="0.35">
      <c r="A832" s="321"/>
      <c r="B832" s="305"/>
      <c r="D832" s="305"/>
      <c r="O832" s="305"/>
    </row>
    <row r="833" spans="1:15" x14ac:dyDescent="0.35">
      <c r="A833" s="321"/>
      <c r="B833" s="305"/>
      <c r="D833" s="305"/>
      <c r="O833" s="305"/>
    </row>
    <row r="834" spans="1:15" x14ac:dyDescent="0.35">
      <c r="A834" s="321"/>
      <c r="B834" s="305"/>
      <c r="D834" s="305"/>
      <c r="O834" s="305"/>
    </row>
    <row r="835" spans="1:15" x14ac:dyDescent="0.35">
      <c r="A835" s="321"/>
      <c r="B835" s="305"/>
      <c r="D835" s="305"/>
      <c r="O835" s="305"/>
    </row>
    <row r="836" spans="1:15" x14ac:dyDescent="0.35">
      <c r="A836" s="321"/>
      <c r="B836" s="305"/>
      <c r="D836" s="305"/>
      <c r="O836" s="305"/>
    </row>
    <row r="837" spans="1:15" x14ac:dyDescent="0.35">
      <c r="A837" s="321"/>
      <c r="B837" s="305"/>
      <c r="D837" s="305"/>
      <c r="O837" s="305"/>
    </row>
    <row r="838" spans="1:15" x14ac:dyDescent="0.35">
      <c r="A838" s="321"/>
      <c r="B838" s="305"/>
      <c r="D838" s="305"/>
      <c r="O838" s="305"/>
    </row>
    <row r="839" spans="1:15" x14ac:dyDescent="0.35">
      <c r="A839" s="321"/>
      <c r="B839" s="305"/>
      <c r="D839" s="305"/>
      <c r="O839" s="305"/>
    </row>
    <row r="840" spans="1:15" x14ac:dyDescent="0.35">
      <c r="A840" s="321"/>
      <c r="B840" s="305"/>
      <c r="D840" s="305"/>
      <c r="O840" s="305"/>
    </row>
    <row r="841" spans="1:15" x14ac:dyDescent="0.35">
      <c r="A841" s="321"/>
      <c r="B841" s="305"/>
      <c r="D841" s="305"/>
      <c r="O841" s="305"/>
    </row>
    <row r="842" spans="1:15" x14ac:dyDescent="0.35">
      <c r="A842" s="321"/>
      <c r="B842" s="305"/>
      <c r="D842" s="305"/>
      <c r="O842" s="305"/>
    </row>
    <row r="843" spans="1:15" x14ac:dyDescent="0.35">
      <c r="A843" s="321"/>
      <c r="B843" s="305"/>
      <c r="D843" s="305"/>
      <c r="O843" s="305"/>
    </row>
    <row r="844" spans="1:15" x14ac:dyDescent="0.35">
      <c r="A844" s="321"/>
      <c r="B844" s="305"/>
      <c r="D844" s="305"/>
      <c r="O844" s="305"/>
    </row>
    <row r="845" spans="1:15" x14ac:dyDescent="0.35">
      <c r="A845" s="321"/>
      <c r="B845" s="305"/>
      <c r="D845" s="305"/>
      <c r="O845" s="305"/>
    </row>
    <row r="846" spans="1:15" x14ac:dyDescent="0.35">
      <c r="A846" s="321"/>
      <c r="B846" s="305"/>
      <c r="D846" s="305"/>
      <c r="O846" s="305"/>
    </row>
    <row r="847" spans="1:15" x14ac:dyDescent="0.35">
      <c r="A847" s="321"/>
      <c r="B847" s="305"/>
      <c r="D847" s="305"/>
      <c r="O847" s="305"/>
    </row>
    <row r="848" spans="1:15" x14ac:dyDescent="0.35">
      <c r="A848" s="321"/>
      <c r="B848" s="305"/>
      <c r="D848" s="305"/>
      <c r="O848" s="305"/>
    </row>
    <row r="849" spans="1:15" x14ac:dyDescent="0.35">
      <c r="A849" s="321"/>
      <c r="B849" s="305"/>
      <c r="D849" s="305"/>
      <c r="O849" s="305"/>
    </row>
    <row r="850" spans="1:15" x14ac:dyDescent="0.35">
      <c r="A850" s="321"/>
      <c r="B850" s="305"/>
      <c r="D850" s="305"/>
      <c r="O850" s="305"/>
    </row>
    <row r="851" spans="1:15" x14ac:dyDescent="0.35">
      <c r="A851" s="321"/>
      <c r="B851" s="305"/>
      <c r="D851" s="305"/>
      <c r="O851" s="305"/>
    </row>
    <row r="852" spans="1:15" x14ac:dyDescent="0.35">
      <c r="A852" s="321"/>
      <c r="B852" s="305"/>
      <c r="D852" s="305"/>
      <c r="O852" s="305"/>
    </row>
    <row r="853" spans="1:15" x14ac:dyDescent="0.35">
      <c r="A853" s="321"/>
      <c r="B853" s="305"/>
      <c r="D853" s="305"/>
      <c r="O853" s="305"/>
    </row>
    <row r="854" spans="1:15" x14ac:dyDescent="0.35">
      <c r="A854" s="321"/>
      <c r="B854" s="305"/>
      <c r="D854" s="305"/>
      <c r="O854" s="305"/>
    </row>
    <row r="855" spans="1:15" x14ac:dyDescent="0.35">
      <c r="A855" s="321"/>
      <c r="B855" s="305"/>
      <c r="D855" s="305"/>
      <c r="O855" s="305"/>
    </row>
    <row r="856" spans="1:15" x14ac:dyDescent="0.35">
      <c r="A856" s="321"/>
      <c r="B856" s="305"/>
      <c r="D856" s="305"/>
      <c r="O856" s="305"/>
    </row>
    <row r="857" spans="1:15" x14ac:dyDescent="0.35">
      <c r="A857" s="321"/>
      <c r="B857" s="305"/>
      <c r="D857" s="305"/>
      <c r="O857" s="305"/>
    </row>
    <row r="858" spans="1:15" x14ac:dyDescent="0.35">
      <c r="A858" s="321"/>
      <c r="B858" s="305"/>
      <c r="D858" s="305"/>
      <c r="O858" s="305"/>
    </row>
    <row r="859" spans="1:15" x14ac:dyDescent="0.35">
      <c r="A859" s="321"/>
      <c r="B859" s="305"/>
      <c r="D859" s="305"/>
      <c r="O859" s="305"/>
    </row>
    <row r="860" spans="1:15" x14ac:dyDescent="0.35">
      <c r="A860" s="321"/>
      <c r="B860" s="305"/>
      <c r="D860" s="305"/>
      <c r="O860" s="305"/>
    </row>
    <row r="861" spans="1:15" x14ac:dyDescent="0.35">
      <c r="A861" s="321"/>
      <c r="B861" s="305"/>
      <c r="D861" s="305"/>
      <c r="O861" s="305"/>
    </row>
    <row r="862" spans="1:15" x14ac:dyDescent="0.35">
      <c r="A862" s="321"/>
      <c r="B862" s="305"/>
      <c r="D862" s="305"/>
      <c r="O862" s="305"/>
    </row>
    <row r="863" spans="1:15" x14ac:dyDescent="0.35">
      <c r="A863" s="321"/>
      <c r="B863" s="305"/>
      <c r="D863" s="305"/>
      <c r="O863" s="305"/>
    </row>
    <row r="864" spans="1:15" x14ac:dyDescent="0.35">
      <c r="A864" s="321"/>
      <c r="B864" s="305"/>
      <c r="D864" s="305"/>
      <c r="O864" s="305"/>
    </row>
    <row r="865" spans="1:15" x14ac:dyDescent="0.35">
      <c r="A865" s="321"/>
      <c r="B865" s="305"/>
      <c r="D865" s="305"/>
      <c r="O865" s="305"/>
    </row>
    <row r="866" spans="1:15" x14ac:dyDescent="0.35">
      <c r="A866" s="321"/>
      <c r="B866" s="305"/>
      <c r="D866" s="305"/>
      <c r="O866" s="305"/>
    </row>
    <row r="867" spans="1:15" x14ac:dyDescent="0.35">
      <c r="A867" s="321"/>
      <c r="B867" s="305"/>
      <c r="D867" s="305"/>
      <c r="O867" s="305"/>
    </row>
    <row r="868" spans="1:15" x14ac:dyDescent="0.35">
      <c r="A868" s="321"/>
      <c r="B868" s="305"/>
      <c r="D868" s="305"/>
      <c r="O868" s="305"/>
    </row>
    <row r="869" spans="1:15" x14ac:dyDescent="0.35">
      <c r="A869" s="321"/>
      <c r="B869" s="305"/>
      <c r="D869" s="305"/>
      <c r="O869" s="305"/>
    </row>
    <row r="870" spans="1:15" x14ac:dyDescent="0.35">
      <c r="A870" s="321"/>
      <c r="B870" s="305"/>
      <c r="D870" s="305"/>
      <c r="O870" s="305"/>
    </row>
    <row r="871" spans="1:15" x14ac:dyDescent="0.35">
      <c r="A871" s="321"/>
      <c r="B871" s="305"/>
      <c r="D871" s="305"/>
      <c r="O871" s="305"/>
    </row>
    <row r="872" spans="1:15" x14ac:dyDescent="0.35">
      <c r="A872" s="321"/>
      <c r="B872" s="305"/>
      <c r="D872" s="305"/>
      <c r="O872" s="305"/>
    </row>
    <row r="873" spans="1:15" x14ac:dyDescent="0.35">
      <c r="A873" s="321"/>
      <c r="B873" s="305"/>
      <c r="D873" s="305"/>
      <c r="O873" s="305"/>
    </row>
    <row r="874" spans="1:15" x14ac:dyDescent="0.35">
      <c r="A874" s="321"/>
      <c r="B874" s="305"/>
      <c r="D874" s="305"/>
      <c r="O874" s="305"/>
    </row>
    <row r="875" spans="1:15" x14ac:dyDescent="0.35">
      <c r="A875" s="321"/>
      <c r="B875" s="305"/>
      <c r="D875" s="305"/>
      <c r="O875" s="305"/>
    </row>
    <row r="876" spans="1:15" x14ac:dyDescent="0.35">
      <c r="A876" s="321"/>
      <c r="B876" s="305"/>
      <c r="D876" s="305"/>
      <c r="O876" s="305"/>
    </row>
    <row r="877" spans="1:15" x14ac:dyDescent="0.35">
      <c r="A877" s="321"/>
      <c r="B877" s="305"/>
      <c r="D877" s="305"/>
      <c r="O877" s="305"/>
    </row>
    <row r="878" spans="1:15" x14ac:dyDescent="0.35">
      <c r="A878" s="321"/>
      <c r="B878" s="305"/>
      <c r="D878" s="305"/>
      <c r="O878" s="305"/>
    </row>
    <row r="879" spans="1:15" x14ac:dyDescent="0.35">
      <c r="A879" s="321"/>
      <c r="B879" s="305"/>
      <c r="D879" s="305"/>
      <c r="O879" s="305"/>
    </row>
    <row r="880" spans="1:15" x14ac:dyDescent="0.35">
      <c r="A880" s="321"/>
      <c r="B880" s="305"/>
      <c r="D880" s="305"/>
      <c r="O880" s="305"/>
    </row>
    <row r="881" spans="1:15" x14ac:dyDescent="0.35">
      <c r="A881" s="321"/>
      <c r="B881" s="305"/>
      <c r="D881" s="305"/>
      <c r="O881" s="305"/>
    </row>
    <row r="882" spans="1:15" x14ac:dyDescent="0.35">
      <c r="A882" s="321"/>
      <c r="B882" s="305"/>
      <c r="D882" s="305"/>
      <c r="O882" s="305"/>
    </row>
    <row r="883" spans="1:15" x14ac:dyDescent="0.35">
      <c r="A883" s="321"/>
      <c r="B883" s="305"/>
      <c r="D883" s="305"/>
      <c r="O883" s="305"/>
    </row>
    <row r="884" spans="1:15" x14ac:dyDescent="0.35">
      <c r="A884" s="321"/>
      <c r="B884" s="305"/>
      <c r="D884" s="305"/>
      <c r="O884" s="305"/>
    </row>
    <row r="885" spans="1:15" x14ac:dyDescent="0.35">
      <c r="A885" s="321"/>
      <c r="B885" s="305"/>
      <c r="D885" s="305"/>
      <c r="O885" s="305"/>
    </row>
    <row r="886" spans="1:15" x14ac:dyDescent="0.35">
      <c r="A886" s="321"/>
      <c r="B886" s="305"/>
      <c r="D886" s="305"/>
      <c r="O886" s="305"/>
    </row>
    <row r="887" spans="1:15" x14ac:dyDescent="0.35">
      <c r="A887" s="321"/>
      <c r="B887" s="305"/>
      <c r="D887" s="305"/>
      <c r="O887" s="305"/>
    </row>
    <row r="888" spans="1:15" x14ac:dyDescent="0.35">
      <c r="A888" s="321"/>
      <c r="B888" s="305"/>
      <c r="D888" s="305"/>
      <c r="O888" s="305"/>
    </row>
    <row r="889" spans="1:15" x14ac:dyDescent="0.35">
      <c r="A889" s="321"/>
      <c r="B889" s="305"/>
      <c r="D889" s="305"/>
      <c r="O889" s="305"/>
    </row>
    <row r="890" spans="1:15" x14ac:dyDescent="0.35">
      <c r="A890" s="321"/>
      <c r="B890" s="305"/>
      <c r="D890" s="305"/>
      <c r="O890" s="305"/>
    </row>
    <row r="891" spans="1:15" x14ac:dyDescent="0.35">
      <c r="A891" s="321"/>
      <c r="B891" s="305"/>
      <c r="D891" s="305"/>
      <c r="O891" s="305"/>
    </row>
    <row r="892" spans="1:15" x14ac:dyDescent="0.35">
      <c r="A892" s="321"/>
      <c r="B892" s="305"/>
      <c r="D892" s="305"/>
      <c r="O892" s="305"/>
    </row>
    <row r="893" spans="1:15" x14ac:dyDescent="0.35">
      <c r="A893" s="321"/>
      <c r="B893" s="305"/>
      <c r="D893" s="305"/>
      <c r="O893" s="305"/>
    </row>
    <row r="894" spans="1:15" x14ac:dyDescent="0.35">
      <c r="A894" s="321"/>
      <c r="B894" s="305"/>
      <c r="D894" s="305"/>
      <c r="O894" s="305"/>
    </row>
    <row r="895" spans="1:15" x14ac:dyDescent="0.35">
      <c r="A895" s="321"/>
      <c r="B895" s="305"/>
      <c r="D895" s="305"/>
      <c r="O895" s="305"/>
    </row>
    <row r="896" spans="1:15" x14ac:dyDescent="0.35">
      <c r="A896" s="321"/>
      <c r="B896" s="305"/>
      <c r="D896" s="305"/>
      <c r="O896" s="305"/>
    </row>
    <row r="897" spans="1:15" x14ac:dyDescent="0.35">
      <c r="A897" s="321"/>
      <c r="B897" s="305"/>
      <c r="D897" s="305"/>
      <c r="O897" s="305"/>
    </row>
    <row r="898" spans="1:15" x14ac:dyDescent="0.35">
      <c r="A898" s="321"/>
      <c r="B898" s="305"/>
      <c r="D898" s="305"/>
      <c r="O898" s="305"/>
    </row>
    <row r="899" spans="1:15" x14ac:dyDescent="0.35">
      <c r="A899" s="321"/>
      <c r="B899" s="305"/>
      <c r="D899" s="305"/>
      <c r="O899" s="305"/>
    </row>
    <row r="900" spans="1:15" x14ac:dyDescent="0.35">
      <c r="A900" s="321"/>
      <c r="B900" s="305"/>
      <c r="D900" s="305"/>
      <c r="O900" s="305"/>
    </row>
    <row r="901" spans="1:15" x14ac:dyDescent="0.35">
      <c r="A901" s="321"/>
      <c r="B901" s="305"/>
      <c r="D901" s="305"/>
      <c r="O901" s="305"/>
    </row>
    <row r="902" spans="1:15" x14ac:dyDescent="0.35">
      <c r="A902" s="321"/>
      <c r="B902" s="305"/>
      <c r="D902" s="305"/>
      <c r="O902" s="305"/>
    </row>
    <row r="903" spans="1:15" x14ac:dyDescent="0.35">
      <c r="A903" s="321"/>
      <c r="B903" s="305"/>
      <c r="D903" s="305"/>
      <c r="O903" s="305"/>
    </row>
    <row r="904" spans="1:15" x14ac:dyDescent="0.35">
      <c r="A904" s="321"/>
      <c r="B904" s="305"/>
      <c r="D904" s="305"/>
      <c r="O904" s="305"/>
    </row>
    <row r="905" spans="1:15" x14ac:dyDescent="0.35">
      <c r="A905" s="321"/>
      <c r="B905" s="305"/>
      <c r="D905" s="305"/>
      <c r="O905" s="305"/>
    </row>
    <row r="906" spans="1:15" x14ac:dyDescent="0.35">
      <c r="A906" s="321"/>
      <c r="B906" s="305"/>
      <c r="D906" s="305"/>
      <c r="O906" s="305"/>
    </row>
    <row r="907" spans="1:15" x14ac:dyDescent="0.35">
      <c r="A907" s="321"/>
      <c r="B907" s="305"/>
      <c r="D907" s="305"/>
      <c r="O907" s="305"/>
    </row>
    <row r="908" spans="1:15" x14ac:dyDescent="0.35">
      <c r="A908" s="321"/>
      <c r="B908" s="305"/>
      <c r="D908" s="305"/>
      <c r="O908" s="305"/>
    </row>
    <row r="909" spans="1:15" x14ac:dyDescent="0.35">
      <c r="A909" s="321"/>
      <c r="B909" s="305"/>
      <c r="D909" s="305"/>
      <c r="O909" s="305"/>
    </row>
    <row r="910" spans="1:15" x14ac:dyDescent="0.35">
      <c r="A910" s="321"/>
      <c r="B910" s="305"/>
      <c r="D910" s="305"/>
      <c r="O910" s="305"/>
    </row>
    <row r="911" spans="1:15" x14ac:dyDescent="0.35">
      <c r="A911" s="321"/>
      <c r="B911" s="305"/>
      <c r="D911" s="305"/>
      <c r="O911" s="305"/>
    </row>
    <row r="912" spans="1:15" x14ac:dyDescent="0.35">
      <c r="A912" s="321"/>
      <c r="B912" s="305"/>
      <c r="D912" s="305"/>
      <c r="O912" s="305"/>
    </row>
    <row r="913" spans="1:15" x14ac:dyDescent="0.35">
      <c r="A913" s="321"/>
      <c r="B913" s="305"/>
      <c r="D913" s="305"/>
      <c r="O913" s="305"/>
    </row>
    <row r="914" spans="1:15" x14ac:dyDescent="0.35">
      <c r="A914" s="321"/>
      <c r="B914" s="305"/>
      <c r="D914" s="305"/>
      <c r="O914" s="305"/>
    </row>
    <row r="915" spans="1:15" x14ac:dyDescent="0.35">
      <c r="A915" s="321"/>
      <c r="B915" s="305"/>
      <c r="D915" s="305"/>
      <c r="O915" s="305"/>
    </row>
    <row r="916" spans="1:15" x14ac:dyDescent="0.35">
      <c r="A916" s="321"/>
      <c r="B916" s="305"/>
      <c r="D916" s="305"/>
      <c r="O916" s="305"/>
    </row>
    <row r="917" spans="1:15" x14ac:dyDescent="0.35">
      <c r="A917" s="321"/>
      <c r="B917" s="305"/>
      <c r="D917" s="305"/>
      <c r="O917" s="305"/>
    </row>
    <row r="918" spans="1:15" x14ac:dyDescent="0.35">
      <c r="A918" s="321"/>
      <c r="B918" s="305"/>
      <c r="D918" s="305"/>
      <c r="O918" s="305"/>
    </row>
    <row r="919" spans="1:15" x14ac:dyDescent="0.35">
      <c r="A919" s="321"/>
      <c r="B919" s="305"/>
      <c r="D919" s="305"/>
      <c r="O919" s="305"/>
    </row>
    <row r="920" spans="1:15" x14ac:dyDescent="0.35">
      <c r="A920" s="321"/>
      <c r="B920" s="305"/>
      <c r="D920" s="305"/>
      <c r="O920" s="305"/>
    </row>
    <row r="921" spans="1:15" x14ac:dyDescent="0.35">
      <c r="A921" s="321"/>
      <c r="B921" s="305"/>
      <c r="D921" s="305"/>
      <c r="O921" s="305"/>
    </row>
    <row r="922" spans="1:15" x14ac:dyDescent="0.35">
      <c r="A922" s="321"/>
      <c r="B922" s="305"/>
      <c r="D922" s="305"/>
      <c r="O922" s="305"/>
    </row>
    <row r="923" spans="1:15" x14ac:dyDescent="0.35">
      <c r="A923" s="321"/>
      <c r="B923" s="305"/>
      <c r="D923" s="305"/>
      <c r="O923" s="305"/>
    </row>
    <row r="924" spans="1:15" x14ac:dyDescent="0.35">
      <c r="A924" s="321"/>
      <c r="B924" s="305"/>
      <c r="D924" s="305"/>
      <c r="O924" s="305"/>
    </row>
    <row r="925" spans="1:15" x14ac:dyDescent="0.35">
      <c r="A925" s="321"/>
      <c r="B925" s="305"/>
      <c r="D925" s="305"/>
      <c r="O925" s="305"/>
    </row>
    <row r="926" spans="1:15" x14ac:dyDescent="0.35">
      <c r="A926" s="321"/>
      <c r="B926" s="305"/>
      <c r="D926" s="305"/>
      <c r="O926" s="305"/>
    </row>
    <row r="927" spans="1:15" x14ac:dyDescent="0.35">
      <c r="A927" s="321"/>
      <c r="B927" s="305"/>
      <c r="D927" s="305"/>
      <c r="O927" s="305"/>
    </row>
    <row r="928" spans="1:15" x14ac:dyDescent="0.35">
      <c r="A928" s="321"/>
      <c r="B928" s="305"/>
      <c r="D928" s="305"/>
      <c r="O928" s="305"/>
    </row>
    <row r="929" spans="1:15" x14ac:dyDescent="0.35">
      <c r="A929" s="321"/>
      <c r="B929" s="305"/>
      <c r="D929" s="305"/>
      <c r="O929" s="305"/>
    </row>
    <row r="930" spans="1:15" x14ac:dyDescent="0.35">
      <c r="A930" s="321"/>
      <c r="B930" s="305"/>
      <c r="D930" s="305"/>
      <c r="O930" s="305"/>
    </row>
    <row r="931" spans="1:15" x14ac:dyDescent="0.35">
      <c r="A931" s="321"/>
      <c r="B931" s="305"/>
      <c r="D931" s="305"/>
      <c r="O931" s="305"/>
    </row>
    <row r="932" spans="1:15" x14ac:dyDescent="0.35">
      <c r="A932" s="321"/>
      <c r="B932" s="305"/>
      <c r="D932" s="305"/>
      <c r="O932" s="305"/>
    </row>
    <row r="933" spans="1:15" x14ac:dyDescent="0.35">
      <c r="A933" s="321"/>
      <c r="B933" s="305"/>
      <c r="D933" s="305"/>
      <c r="O933" s="305"/>
    </row>
    <row r="934" spans="1:15" x14ac:dyDescent="0.35">
      <c r="A934" s="321"/>
      <c r="B934" s="305"/>
      <c r="D934" s="305"/>
      <c r="O934" s="305"/>
    </row>
    <row r="935" spans="1:15" x14ac:dyDescent="0.35">
      <c r="A935" s="321"/>
      <c r="B935" s="305"/>
      <c r="D935" s="305"/>
      <c r="O935" s="305"/>
    </row>
    <row r="936" spans="1:15" x14ac:dyDescent="0.35">
      <c r="A936" s="321"/>
      <c r="B936" s="305"/>
      <c r="D936" s="305"/>
      <c r="O936" s="305"/>
    </row>
    <row r="937" spans="1:15" x14ac:dyDescent="0.35">
      <c r="A937" s="321"/>
      <c r="B937" s="305"/>
      <c r="D937" s="305"/>
      <c r="O937" s="305"/>
    </row>
    <row r="938" spans="1:15" x14ac:dyDescent="0.35">
      <c r="A938" s="321"/>
      <c r="B938" s="305"/>
      <c r="D938" s="305"/>
      <c r="O938" s="305"/>
    </row>
    <row r="939" spans="1:15" x14ac:dyDescent="0.35">
      <c r="A939" s="321"/>
      <c r="B939" s="305"/>
      <c r="D939" s="305"/>
      <c r="O939" s="305"/>
    </row>
    <row r="940" spans="1:15" x14ac:dyDescent="0.35">
      <c r="A940" s="321"/>
      <c r="B940" s="305"/>
      <c r="D940" s="305"/>
      <c r="O940" s="305"/>
    </row>
    <row r="941" spans="1:15" x14ac:dyDescent="0.35">
      <c r="A941" s="321"/>
      <c r="B941" s="305"/>
      <c r="D941" s="305"/>
      <c r="O941" s="305"/>
    </row>
    <row r="942" spans="1:15" x14ac:dyDescent="0.35">
      <c r="A942" s="321"/>
      <c r="B942" s="305"/>
      <c r="D942" s="305"/>
      <c r="O942" s="305"/>
    </row>
    <row r="943" spans="1:15" x14ac:dyDescent="0.35">
      <c r="A943" s="321"/>
      <c r="B943" s="305"/>
      <c r="D943" s="305"/>
      <c r="O943" s="305"/>
    </row>
    <row r="944" spans="1:15" x14ac:dyDescent="0.35">
      <c r="A944" s="321"/>
      <c r="B944" s="305"/>
      <c r="D944" s="305"/>
      <c r="O944" s="305"/>
    </row>
    <row r="945" spans="1:15" x14ac:dyDescent="0.35">
      <c r="A945" s="321"/>
      <c r="B945" s="305"/>
      <c r="D945" s="305"/>
      <c r="O945" s="305"/>
    </row>
    <row r="946" spans="1:15" x14ac:dyDescent="0.35">
      <c r="A946" s="321"/>
      <c r="B946" s="305"/>
      <c r="D946" s="305"/>
      <c r="O946" s="305"/>
    </row>
    <row r="947" spans="1:15" x14ac:dyDescent="0.35">
      <c r="A947" s="321"/>
      <c r="B947" s="305"/>
      <c r="D947" s="305"/>
      <c r="O947" s="305"/>
    </row>
    <row r="948" spans="1:15" x14ac:dyDescent="0.35">
      <c r="A948" s="321"/>
      <c r="B948" s="305"/>
      <c r="D948" s="305"/>
      <c r="O948" s="305"/>
    </row>
    <row r="949" spans="1:15" x14ac:dyDescent="0.35">
      <c r="A949" s="321"/>
      <c r="B949" s="305"/>
      <c r="D949" s="305"/>
      <c r="O949" s="305"/>
    </row>
    <row r="950" spans="1:15" x14ac:dyDescent="0.35">
      <c r="A950" s="321"/>
      <c r="B950" s="305"/>
      <c r="D950" s="305"/>
      <c r="O950" s="305"/>
    </row>
    <row r="951" spans="1:15" x14ac:dyDescent="0.35">
      <c r="A951" s="321"/>
      <c r="B951" s="305"/>
      <c r="D951" s="305"/>
      <c r="O951" s="305"/>
    </row>
    <row r="952" spans="1:15" x14ac:dyDescent="0.35">
      <c r="A952" s="321"/>
      <c r="B952" s="305"/>
      <c r="D952" s="305"/>
      <c r="O952" s="305"/>
    </row>
    <row r="953" spans="1:15" x14ac:dyDescent="0.35">
      <c r="A953" s="321"/>
      <c r="B953" s="305"/>
      <c r="D953" s="305"/>
      <c r="O953" s="305"/>
    </row>
    <row r="954" spans="1:15" x14ac:dyDescent="0.35">
      <c r="A954" s="321"/>
      <c r="B954" s="305"/>
      <c r="D954" s="305"/>
      <c r="O954" s="305"/>
    </row>
    <row r="955" spans="1:15" x14ac:dyDescent="0.35">
      <c r="A955" s="321"/>
      <c r="B955" s="305"/>
      <c r="D955" s="305"/>
      <c r="O955" s="305"/>
    </row>
    <row r="956" spans="1:15" x14ac:dyDescent="0.35">
      <c r="A956" s="321"/>
      <c r="B956" s="305"/>
      <c r="D956" s="305"/>
      <c r="O956" s="305"/>
    </row>
    <row r="957" spans="1:15" x14ac:dyDescent="0.35">
      <c r="A957" s="321"/>
      <c r="B957" s="305"/>
      <c r="D957" s="305"/>
      <c r="O957" s="305"/>
    </row>
    <row r="958" spans="1:15" x14ac:dyDescent="0.35">
      <c r="A958" s="321"/>
      <c r="B958" s="305"/>
      <c r="D958" s="305"/>
      <c r="O958" s="305"/>
    </row>
    <row r="959" spans="1:15" x14ac:dyDescent="0.35">
      <c r="A959" s="321"/>
      <c r="B959" s="305"/>
      <c r="D959" s="305"/>
      <c r="O959" s="305"/>
    </row>
    <row r="960" spans="1:15" x14ac:dyDescent="0.35">
      <c r="A960" s="321"/>
      <c r="B960" s="305"/>
      <c r="D960" s="305"/>
      <c r="O960" s="305"/>
    </row>
    <row r="961" spans="1:15" x14ac:dyDescent="0.35">
      <c r="A961" s="321"/>
      <c r="B961" s="305"/>
      <c r="D961" s="305"/>
      <c r="O961" s="305"/>
    </row>
    <row r="962" spans="1:15" x14ac:dyDescent="0.35">
      <c r="A962" s="321"/>
      <c r="B962" s="305"/>
      <c r="D962" s="305"/>
      <c r="O962" s="305"/>
    </row>
    <row r="963" spans="1:15" x14ac:dyDescent="0.35">
      <c r="A963" s="321"/>
      <c r="B963" s="305"/>
      <c r="D963" s="305"/>
      <c r="O963" s="305"/>
    </row>
    <row r="964" spans="1:15" x14ac:dyDescent="0.35">
      <c r="A964" s="321"/>
      <c r="B964" s="305"/>
      <c r="D964" s="305"/>
      <c r="O964" s="305"/>
    </row>
    <row r="965" spans="1:15" x14ac:dyDescent="0.35">
      <c r="A965" s="321"/>
      <c r="B965" s="305"/>
      <c r="D965" s="305"/>
      <c r="O965" s="305"/>
    </row>
    <row r="966" spans="1:15" x14ac:dyDescent="0.35">
      <c r="A966" s="321"/>
      <c r="B966" s="305"/>
      <c r="D966" s="305"/>
      <c r="O966" s="305"/>
    </row>
    <row r="967" spans="1:15" x14ac:dyDescent="0.35">
      <c r="A967" s="321"/>
      <c r="B967" s="305"/>
      <c r="D967" s="305"/>
      <c r="O967" s="305"/>
    </row>
    <row r="968" spans="1:15" x14ac:dyDescent="0.35">
      <c r="A968" s="321"/>
      <c r="B968" s="305"/>
      <c r="D968" s="305"/>
      <c r="O968" s="305"/>
    </row>
    <row r="969" spans="1:15" x14ac:dyDescent="0.35">
      <c r="A969" s="321"/>
      <c r="B969" s="305"/>
      <c r="D969" s="305"/>
      <c r="O969" s="305"/>
    </row>
    <row r="970" spans="1:15" x14ac:dyDescent="0.35">
      <c r="A970" s="321"/>
      <c r="B970" s="305"/>
      <c r="D970" s="305"/>
      <c r="O970" s="305"/>
    </row>
    <row r="971" spans="1:15" x14ac:dyDescent="0.35">
      <c r="A971" s="321"/>
      <c r="B971" s="305"/>
      <c r="D971" s="305"/>
      <c r="O971" s="305"/>
    </row>
    <row r="972" spans="1:15" x14ac:dyDescent="0.35">
      <c r="A972" s="321"/>
      <c r="B972" s="305"/>
      <c r="D972" s="305"/>
      <c r="O972" s="305"/>
    </row>
    <row r="973" spans="1:15" x14ac:dyDescent="0.35">
      <c r="A973" s="321"/>
      <c r="B973" s="305"/>
      <c r="D973" s="305"/>
      <c r="O973" s="305"/>
    </row>
    <row r="974" spans="1:15" x14ac:dyDescent="0.35">
      <c r="A974" s="321"/>
      <c r="B974" s="305"/>
      <c r="D974" s="305"/>
      <c r="O974" s="305"/>
    </row>
    <row r="975" spans="1:15" x14ac:dyDescent="0.35">
      <c r="A975" s="321"/>
      <c r="B975" s="305"/>
      <c r="D975" s="305"/>
      <c r="O975" s="305"/>
    </row>
    <row r="976" spans="1:15" x14ac:dyDescent="0.35">
      <c r="A976" s="321"/>
      <c r="B976" s="305"/>
      <c r="D976" s="305"/>
      <c r="O976" s="305"/>
    </row>
    <row r="977" spans="1:15" x14ac:dyDescent="0.35">
      <c r="A977" s="321"/>
      <c r="B977" s="305"/>
      <c r="D977" s="305"/>
      <c r="O977" s="305"/>
    </row>
    <row r="978" spans="1:15" x14ac:dyDescent="0.35">
      <c r="A978" s="321"/>
      <c r="B978" s="305"/>
      <c r="D978" s="305"/>
      <c r="O978" s="305"/>
    </row>
    <row r="979" spans="1:15" x14ac:dyDescent="0.35">
      <c r="A979" s="321"/>
      <c r="B979" s="305"/>
      <c r="D979" s="305"/>
      <c r="O979" s="305"/>
    </row>
    <row r="980" spans="1:15" x14ac:dyDescent="0.35">
      <c r="A980" s="321"/>
      <c r="B980" s="305"/>
      <c r="D980" s="305"/>
      <c r="O980" s="305"/>
    </row>
    <row r="981" spans="1:15" x14ac:dyDescent="0.35">
      <c r="A981" s="321"/>
      <c r="B981" s="305"/>
      <c r="D981" s="305"/>
      <c r="O981" s="305"/>
    </row>
    <row r="982" spans="1:15" x14ac:dyDescent="0.35">
      <c r="A982" s="321"/>
      <c r="B982" s="305"/>
      <c r="D982" s="305"/>
      <c r="O982" s="305"/>
    </row>
    <row r="983" spans="1:15" x14ac:dyDescent="0.35">
      <c r="A983" s="321"/>
      <c r="B983" s="305"/>
      <c r="D983" s="305"/>
      <c r="O983" s="305"/>
    </row>
    <row r="984" spans="1:15" x14ac:dyDescent="0.35">
      <c r="A984" s="321"/>
      <c r="B984" s="305"/>
      <c r="D984" s="305"/>
      <c r="O984" s="305"/>
    </row>
    <row r="985" spans="1:15" x14ac:dyDescent="0.35">
      <c r="A985" s="321"/>
      <c r="B985" s="305"/>
      <c r="D985" s="305"/>
      <c r="O985" s="305"/>
    </row>
    <row r="986" spans="1:15" x14ac:dyDescent="0.35">
      <c r="A986" s="321"/>
      <c r="B986" s="305"/>
      <c r="D986" s="305"/>
      <c r="O986" s="305"/>
    </row>
    <row r="987" spans="1:15" x14ac:dyDescent="0.35">
      <c r="A987" s="321"/>
      <c r="B987" s="305"/>
      <c r="D987" s="305"/>
      <c r="O987" s="305"/>
    </row>
    <row r="988" spans="1:15" x14ac:dyDescent="0.35">
      <c r="A988" s="321"/>
      <c r="B988" s="305"/>
      <c r="D988" s="305"/>
      <c r="O988" s="305"/>
    </row>
    <row r="989" spans="1:15" x14ac:dyDescent="0.35">
      <c r="A989" s="321"/>
      <c r="B989" s="305"/>
      <c r="D989" s="305"/>
      <c r="O989" s="305"/>
    </row>
    <row r="990" spans="1:15" x14ac:dyDescent="0.35">
      <c r="A990" s="321"/>
      <c r="B990" s="305"/>
      <c r="D990" s="305"/>
      <c r="O990" s="305"/>
    </row>
    <row r="991" spans="1:15" x14ac:dyDescent="0.35">
      <c r="A991" s="321"/>
      <c r="B991" s="305"/>
      <c r="D991" s="305"/>
      <c r="O991" s="305"/>
    </row>
    <row r="992" spans="1:15" x14ac:dyDescent="0.35">
      <c r="A992" s="321"/>
      <c r="B992" s="305"/>
      <c r="D992" s="305"/>
      <c r="O992" s="305"/>
    </row>
    <row r="993" spans="1:15" x14ac:dyDescent="0.35">
      <c r="A993" s="321"/>
      <c r="B993" s="305"/>
      <c r="D993" s="305"/>
      <c r="O993" s="305"/>
    </row>
    <row r="994" spans="1:15" x14ac:dyDescent="0.35">
      <c r="A994" s="321"/>
      <c r="B994" s="305"/>
      <c r="D994" s="305"/>
      <c r="O994" s="305"/>
    </row>
    <row r="995" spans="1:15" x14ac:dyDescent="0.35">
      <c r="A995" s="321"/>
      <c r="B995" s="305"/>
      <c r="D995" s="305"/>
      <c r="O995" s="305"/>
    </row>
    <row r="996" spans="1:15" x14ac:dyDescent="0.35">
      <c r="A996" s="321"/>
      <c r="B996" s="305"/>
      <c r="D996" s="305"/>
      <c r="O996" s="305"/>
    </row>
    <row r="997" spans="1:15" x14ac:dyDescent="0.35">
      <c r="A997" s="321"/>
      <c r="B997" s="305"/>
      <c r="D997" s="305"/>
      <c r="O997" s="305"/>
    </row>
    <row r="998" spans="1:15" x14ac:dyDescent="0.35">
      <c r="A998" s="321"/>
      <c r="B998" s="305"/>
      <c r="D998" s="305"/>
      <c r="O998" s="305"/>
    </row>
    <row r="999" spans="1:15" x14ac:dyDescent="0.35">
      <c r="A999" s="321"/>
      <c r="B999" s="305"/>
      <c r="D999" s="305"/>
      <c r="O999" s="305"/>
    </row>
    <row r="1000" spans="1:15" x14ac:dyDescent="0.35">
      <c r="A1000" s="321"/>
      <c r="B1000" s="305"/>
      <c r="D1000" s="305"/>
      <c r="O1000" s="305"/>
    </row>
    <row r="1001" spans="1:15" x14ac:dyDescent="0.35">
      <c r="A1001" s="321"/>
    </row>
    <row r="1002" spans="1:15" x14ac:dyDescent="0.35">
      <c r="A1002" s="321"/>
    </row>
    <row r="1003" spans="1:15" x14ac:dyDescent="0.35">
      <c r="A1003" s="321"/>
    </row>
    <row r="1004" spans="1:15" x14ac:dyDescent="0.35">
      <c r="A1004" s="321"/>
    </row>
    <row r="1005" spans="1:15" x14ac:dyDescent="0.35">
      <c r="A1005" s="321"/>
    </row>
    <row r="1006" spans="1:15" x14ac:dyDescent="0.35">
      <c r="A1006" s="321"/>
    </row>
    <row r="1007" spans="1:15" x14ac:dyDescent="0.35">
      <c r="A1007" s="321"/>
    </row>
    <row r="1008" spans="1:15" x14ac:dyDescent="0.35">
      <c r="A1008" s="321"/>
    </row>
    <row r="1009" spans="1:1" x14ac:dyDescent="0.35">
      <c r="A1009" s="321"/>
    </row>
    <row r="1010" spans="1:1" x14ac:dyDescent="0.35">
      <c r="A1010" s="321"/>
    </row>
    <row r="1011" spans="1:1" x14ac:dyDescent="0.35">
      <c r="A1011" s="321"/>
    </row>
    <row r="1012" spans="1:1" x14ac:dyDescent="0.35">
      <c r="A1012" s="321"/>
    </row>
    <row r="1013" spans="1:1" x14ac:dyDescent="0.35">
      <c r="A1013" s="321"/>
    </row>
    <row r="1014" spans="1:1" x14ac:dyDescent="0.35">
      <c r="A1014" s="321"/>
    </row>
    <row r="1015" spans="1:1" x14ac:dyDescent="0.35">
      <c r="A1015" s="321"/>
    </row>
    <row r="1016" spans="1:1" x14ac:dyDescent="0.35">
      <c r="A1016" s="321"/>
    </row>
    <row r="1017" spans="1:1" x14ac:dyDescent="0.35">
      <c r="A1017" s="321"/>
    </row>
    <row r="1018" spans="1:1" x14ac:dyDescent="0.35">
      <c r="A1018" s="321"/>
    </row>
    <row r="1019" spans="1:1" x14ac:dyDescent="0.35">
      <c r="A1019" s="321"/>
    </row>
    <row r="1020" spans="1:1" x14ac:dyDescent="0.35">
      <c r="A1020" s="321"/>
    </row>
    <row r="1021" spans="1:1" x14ac:dyDescent="0.35">
      <c r="A1021" s="321"/>
    </row>
    <row r="1022" spans="1:1" x14ac:dyDescent="0.35">
      <c r="A1022" s="321"/>
    </row>
    <row r="1023" spans="1:1" x14ac:dyDescent="0.35">
      <c r="A1023" s="321"/>
    </row>
    <row r="1024" spans="1:1" x14ac:dyDescent="0.35">
      <c r="A1024" s="321"/>
    </row>
    <row r="1025" spans="1:1" x14ac:dyDescent="0.35">
      <c r="A1025" s="321"/>
    </row>
    <row r="1026" spans="1:1" x14ac:dyDescent="0.35">
      <c r="A1026" s="321"/>
    </row>
    <row r="1027" spans="1:1" x14ac:dyDescent="0.35">
      <c r="A1027" s="321"/>
    </row>
    <row r="1028" spans="1:1" x14ac:dyDescent="0.35">
      <c r="A1028" s="321"/>
    </row>
    <row r="1029" spans="1:1" x14ac:dyDescent="0.35">
      <c r="A1029" s="321"/>
    </row>
    <row r="1030" spans="1:1" x14ac:dyDescent="0.35">
      <c r="A1030" s="321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2" bestFit="1" customWidth="1"/>
    <col min="2" max="2" width="20.81640625" style="282" bestFit="1" customWidth="1"/>
    <col min="3" max="3" width="20.26953125" style="282" bestFit="1" customWidth="1"/>
    <col min="4" max="4" width="14.81640625" style="282" bestFit="1" customWidth="1"/>
    <col min="5" max="5" width="25.81640625" style="284" bestFit="1" customWidth="1"/>
    <col min="6" max="6" width="19.81640625" style="282" bestFit="1" customWidth="1"/>
    <col min="7" max="7" width="21.7265625" style="282" bestFit="1" customWidth="1"/>
    <col min="8" max="8" width="15.1796875" style="282" bestFit="1" customWidth="1"/>
    <col min="9" max="9" width="22.7265625" style="282" bestFit="1" customWidth="1"/>
    <col min="10" max="10" width="17.54296875" style="282" bestFit="1" customWidth="1"/>
    <col min="11" max="11" width="23.08984375" style="428" customWidth="1"/>
    <col min="12" max="16384" width="10.90625" style="428"/>
  </cols>
  <sheetData>
    <row r="1" spans="1:10" x14ac:dyDescent="0.35">
      <c r="A1" s="428"/>
      <c r="B1" s="428"/>
      <c r="C1" s="428"/>
      <c r="D1" s="428"/>
      <c r="E1" s="274"/>
      <c r="F1" s="428"/>
      <c r="G1" s="428"/>
      <c r="H1" s="428"/>
      <c r="I1" s="428"/>
      <c r="J1" s="428"/>
    </row>
    <row r="2" spans="1:10" x14ac:dyDescent="0.35">
      <c r="A2" s="428"/>
      <c r="B2" s="428"/>
      <c r="C2" s="428"/>
      <c r="D2" s="428"/>
      <c r="E2" s="274"/>
      <c r="F2" s="428"/>
      <c r="G2" s="428"/>
      <c r="H2" s="428"/>
      <c r="I2" s="428"/>
      <c r="J2" s="428"/>
    </row>
    <row r="3" spans="1:10" ht="16" x14ac:dyDescent="0.35">
      <c r="A3" s="312" t="s">
        <v>293</v>
      </c>
      <c r="B3" s="313" t="s">
        <v>521</v>
      </c>
      <c r="C3" s="313" t="s">
        <v>540</v>
      </c>
      <c r="D3" s="313" t="s">
        <v>522</v>
      </c>
      <c r="E3" s="313" t="s">
        <v>533</v>
      </c>
      <c r="F3" s="313" t="s">
        <v>531</v>
      </c>
      <c r="G3" s="313" t="s">
        <v>532</v>
      </c>
      <c r="H3" s="313" t="s">
        <v>395</v>
      </c>
      <c r="I3" s="312" t="s">
        <v>534</v>
      </c>
      <c r="J3" s="316" t="s">
        <v>526</v>
      </c>
    </row>
    <row r="4" spans="1:10" x14ac:dyDescent="0.35">
      <c r="A4" s="285">
        <v>14</v>
      </c>
      <c r="B4" s="297"/>
      <c r="C4" s="297" t="s">
        <v>519</v>
      </c>
      <c r="D4" s="308">
        <v>46039</v>
      </c>
      <c r="E4" s="297"/>
      <c r="F4" s="297"/>
      <c r="G4" s="297"/>
      <c r="H4" s="297"/>
      <c r="I4" s="314"/>
      <c r="J4" s="317"/>
    </row>
    <row r="5" spans="1:10" x14ac:dyDescent="0.35">
      <c r="A5" s="296">
        <v>14</v>
      </c>
      <c r="B5" s="299"/>
      <c r="C5" s="299" t="s">
        <v>520</v>
      </c>
      <c r="D5" s="309">
        <v>46039</v>
      </c>
      <c r="E5" s="299"/>
      <c r="F5" s="299"/>
      <c r="G5" s="299"/>
      <c r="H5" s="299"/>
      <c r="I5" s="315"/>
      <c r="J5" s="318"/>
    </row>
    <row r="6" spans="1:10" x14ac:dyDescent="0.35">
      <c r="A6" s="285">
        <v>14</v>
      </c>
      <c r="B6" s="297"/>
      <c r="C6" s="297" t="s">
        <v>523</v>
      </c>
      <c r="D6" s="308">
        <v>46040</v>
      </c>
      <c r="E6" s="297"/>
      <c r="F6" s="297"/>
      <c r="G6" s="297"/>
      <c r="H6" s="297"/>
      <c r="I6" s="314"/>
      <c r="J6" s="317"/>
    </row>
    <row r="7" spans="1:10" x14ac:dyDescent="0.35">
      <c r="A7" s="296">
        <v>14</v>
      </c>
      <c r="B7" s="299" t="s">
        <v>528</v>
      </c>
      <c r="C7" s="299" t="s">
        <v>529</v>
      </c>
      <c r="D7" s="309">
        <v>46049</v>
      </c>
      <c r="E7" s="299" t="s">
        <v>530</v>
      </c>
      <c r="F7" s="299"/>
      <c r="G7" s="299"/>
      <c r="H7" s="299"/>
      <c r="I7" s="315"/>
      <c r="J7" s="318"/>
    </row>
    <row r="8" spans="1:10" x14ac:dyDescent="0.35">
      <c r="A8" s="285">
        <v>14</v>
      </c>
      <c r="B8" s="297" t="s">
        <v>535</v>
      </c>
      <c r="C8" s="297" t="s">
        <v>527</v>
      </c>
      <c r="D8" s="308">
        <v>46037</v>
      </c>
      <c r="E8" s="297" t="s">
        <v>530</v>
      </c>
      <c r="F8" s="297" t="s">
        <v>547</v>
      </c>
      <c r="G8" s="297" t="s">
        <v>536</v>
      </c>
      <c r="H8" s="297"/>
      <c r="I8" s="285"/>
      <c r="J8" s="317">
        <v>46050.835590277777</v>
      </c>
    </row>
    <row r="9" spans="1:10" x14ac:dyDescent="0.35">
      <c r="A9" s="296">
        <v>9</v>
      </c>
      <c r="B9" s="299" t="s">
        <v>536</v>
      </c>
      <c r="C9" s="299" t="s">
        <v>547</v>
      </c>
      <c r="D9" s="309">
        <v>46050</v>
      </c>
      <c r="E9" s="299" t="s">
        <v>542</v>
      </c>
      <c r="F9" s="299"/>
      <c r="G9" s="299"/>
      <c r="H9" s="299"/>
      <c r="I9" s="296"/>
      <c r="J9" s="318">
        <v>46050.923506944448</v>
      </c>
    </row>
    <row r="10" spans="1:10" x14ac:dyDescent="0.35">
      <c r="A10" s="285">
        <v>14</v>
      </c>
      <c r="B10" s="297" t="s">
        <v>543</v>
      </c>
      <c r="C10" s="297" t="s">
        <v>539</v>
      </c>
      <c r="D10" s="308">
        <v>46050</v>
      </c>
      <c r="E10" s="297" t="s">
        <v>530</v>
      </c>
      <c r="F10" s="297" t="s">
        <v>539</v>
      </c>
      <c r="G10" s="297" t="s">
        <v>543</v>
      </c>
      <c r="H10" s="297"/>
      <c r="I10" s="285"/>
      <c r="J10" s="317">
        <v>46050.938194444447</v>
      </c>
    </row>
    <row r="11" spans="1:10" x14ac:dyDescent="0.35">
      <c r="A11" s="296">
        <v>14</v>
      </c>
      <c r="B11" s="299" t="s">
        <v>541</v>
      </c>
      <c r="C11" s="299" t="s">
        <v>546</v>
      </c>
      <c r="D11" s="309">
        <v>46050</v>
      </c>
      <c r="E11" s="299" t="s">
        <v>530</v>
      </c>
      <c r="F11" s="299" t="s">
        <v>539</v>
      </c>
      <c r="G11" s="299" t="s">
        <v>543</v>
      </c>
      <c r="H11" s="299"/>
      <c r="I11" s="296"/>
      <c r="J11" s="318">
        <v>46050.951886574076</v>
      </c>
    </row>
    <row r="12" spans="1:10" x14ac:dyDescent="0.35">
      <c r="A12" s="285">
        <v>14</v>
      </c>
      <c r="B12" s="297" t="s">
        <v>543</v>
      </c>
      <c r="C12" s="297" t="s">
        <v>539</v>
      </c>
      <c r="D12" s="308">
        <v>46052</v>
      </c>
      <c r="E12" s="297" t="s">
        <v>548</v>
      </c>
      <c r="F12" s="297"/>
      <c r="G12" s="297"/>
      <c r="H12" s="297"/>
      <c r="I12" s="285"/>
      <c r="J12" s="317">
        <v>46052.939456018517</v>
      </c>
    </row>
    <row r="13" spans="1:10" x14ac:dyDescent="0.35">
      <c r="A13" s="296">
        <v>13</v>
      </c>
      <c r="B13" s="299" t="s">
        <v>510</v>
      </c>
      <c r="C13" s="299" t="s">
        <v>383</v>
      </c>
      <c r="D13" s="309">
        <v>46052</v>
      </c>
      <c r="E13" s="299" t="s">
        <v>549</v>
      </c>
      <c r="F13" s="299"/>
      <c r="G13" s="299"/>
      <c r="H13" s="299" t="s">
        <v>550</v>
      </c>
      <c r="I13" s="296"/>
      <c r="J13" s="318">
        <v>46052.948483796295</v>
      </c>
    </row>
    <row r="14" spans="1:10" x14ac:dyDescent="0.35">
      <c r="A14" s="285">
        <v>13</v>
      </c>
      <c r="B14" s="297" t="s">
        <v>551</v>
      </c>
      <c r="C14" s="297" t="s">
        <v>552</v>
      </c>
      <c r="D14" s="308">
        <v>46052</v>
      </c>
      <c r="E14" s="297" t="s">
        <v>549</v>
      </c>
      <c r="F14" s="297"/>
      <c r="G14" s="297"/>
      <c r="H14" s="297" t="s">
        <v>550</v>
      </c>
      <c r="I14" s="285"/>
      <c r="J14" s="317">
        <v>46052.975868055553</v>
      </c>
    </row>
    <row r="15" spans="1:10" x14ac:dyDescent="0.35">
      <c r="A15" s="296">
        <v>3</v>
      </c>
      <c r="B15" s="299" t="s">
        <v>494</v>
      </c>
      <c r="C15" s="299" t="s">
        <v>553</v>
      </c>
      <c r="D15" s="309">
        <v>46052</v>
      </c>
      <c r="E15" s="299" t="s">
        <v>554</v>
      </c>
      <c r="F15" s="299"/>
      <c r="G15" s="299"/>
      <c r="H15" s="299"/>
      <c r="I15" s="296"/>
      <c r="J15" s="318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cols>
    <col min="1" max="16384" width="10.90625" style="428"/>
  </cols>
  <sheetData>
    <row r="2" spans="2:4" x14ac:dyDescent="0.35">
      <c r="B2" s="519" t="s">
        <v>302</v>
      </c>
      <c r="C2" s="519"/>
      <c r="D2" s="519"/>
    </row>
    <row r="3" spans="2:4" x14ac:dyDescent="0.35">
      <c r="B3" s="428" t="s">
        <v>460</v>
      </c>
      <c r="D3" s="435">
        <v>7.5</v>
      </c>
    </row>
    <row r="4" spans="2:4" x14ac:dyDescent="0.35">
      <c r="B4" s="428" t="s">
        <v>461</v>
      </c>
      <c r="D4" s="435">
        <v>108.63</v>
      </c>
    </row>
    <row r="5" spans="2:4" x14ac:dyDescent="0.35">
      <c r="B5" s="428" t="s">
        <v>462</v>
      </c>
      <c r="D5" s="435">
        <v>15</v>
      </c>
    </row>
  </sheetData>
  <sheetProtection sheet="1" objects="1" scenarios="1"/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tabSelected="1" topLeftCell="J1" zoomScale="80" zoomScaleNormal="80" workbookViewId="0">
      <selection activeCell="J35" sqref="J35"/>
    </sheetView>
  </sheetViews>
  <sheetFormatPr baseColWidth="10" defaultColWidth="11.453125" defaultRowHeight="14.5" x14ac:dyDescent="0.35"/>
  <cols>
    <col min="1" max="1" width="3.54296875" style="428" customWidth="1"/>
    <col min="2" max="2" width="20.54296875" style="274" bestFit="1" customWidth="1"/>
    <col min="3" max="3" width="3.54296875" style="428" customWidth="1"/>
    <col min="4" max="4" width="16.1796875" style="274" bestFit="1" customWidth="1"/>
    <col min="5" max="5" width="3.54296875" style="428" customWidth="1"/>
    <col min="6" max="6" width="9.54296875" style="423" bestFit="1" customWidth="1"/>
    <col min="7" max="7" width="3.54296875" style="428" customWidth="1"/>
    <col min="8" max="8" width="6.54296875" style="274" bestFit="1" customWidth="1"/>
    <col min="9" max="9" width="3.54296875" style="428" customWidth="1"/>
    <col min="10" max="10" width="38.7265625" style="274" bestFit="1" customWidth="1"/>
    <col min="11" max="11" width="22.453125" style="423" bestFit="1" customWidth="1"/>
    <col min="12" max="12" width="21" style="269" bestFit="1" customWidth="1"/>
    <col min="13" max="13" width="9.453125" style="423" bestFit="1" customWidth="1"/>
    <col min="14" max="14" width="34.453125" style="274" bestFit="1" customWidth="1"/>
    <col min="15" max="15" width="15" style="274" bestFit="1" customWidth="1"/>
    <col min="16" max="16" width="30.54296875" style="274" bestFit="1" customWidth="1"/>
    <col min="17" max="17" width="3.54296875" style="428" customWidth="1"/>
    <col min="18" max="18" width="11.6328125" style="274" customWidth="1"/>
    <col min="19" max="19" width="25.81640625" style="274" bestFit="1" customWidth="1"/>
    <col min="20" max="20" width="36.6328125" style="274" customWidth="1"/>
    <col min="21" max="21" width="28.6328125" style="274" customWidth="1"/>
    <col min="22" max="22" width="9.6328125" style="423" customWidth="1"/>
    <col min="23" max="23" width="20.54296875" style="274" bestFit="1" customWidth="1"/>
    <col min="24" max="24" width="42.6328125" style="274" customWidth="1"/>
    <col min="25" max="25" width="3.453125" style="428" customWidth="1"/>
    <col min="26" max="26" width="32" style="428" bestFit="1" customWidth="1"/>
    <col min="27" max="27" width="18.81640625" style="428" bestFit="1" customWidth="1"/>
    <col min="28" max="28" width="23.26953125" style="428" bestFit="1" customWidth="1"/>
    <col min="29" max="29" width="20.1796875" style="423" bestFit="1" customWidth="1"/>
    <col min="30" max="30" width="21.26953125" style="428" bestFit="1" customWidth="1"/>
    <col min="31" max="31" width="26.453125" style="428" bestFit="1" customWidth="1"/>
    <col min="32" max="32" width="38.7265625" style="428" bestFit="1" customWidth="1"/>
    <col min="33" max="33" width="38.26953125" style="428" bestFit="1" customWidth="1"/>
    <col min="34" max="34" width="24.90625" style="428" bestFit="1" customWidth="1"/>
    <col min="35" max="16384" width="11.453125" style="428"/>
  </cols>
  <sheetData>
    <row r="1" spans="1:34" ht="22" customHeight="1" x14ac:dyDescent="0.35"/>
    <row r="2" spans="1:34" ht="23" customHeight="1" x14ac:dyDescent="0.35">
      <c r="J2" s="570" t="s">
        <v>792</v>
      </c>
      <c r="K2" s="570"/>
      <c r="L2" s="570"/>
      <c r="M2" s="570"/>
      <c r="N2" s="570"/>
      <c r="O2" s="570"/>
      <c r="P2" s="570"/>
      <c r="R2" s="571" t="s">
        <v>793</v>
      </c>
      <c r="S2" s="572"/>
      <c r="T2" s="572"/>
      <c r="U2" s="572"/>
      <c r="V2" s="572"/>
      <c r="W2" s="572"/>
      <c r="X2" s="573"/>
    </row>
    <row r="3" spans="1:34" ht="37" x14ac:dyDescent="0.35">
      <c r="A3" s="159"/>
      <c r="B3" s="464" t="s">
        <v>308</v>
      </c>
      <c r="C3" s="159"/>
      <c r="D3" s="464" t="s">
        <v>307</v>
      </c>
      <c r="E3" s="159"/>
      <c r="F3" s="465" t="s">
        <v>293</v>
      </c>
      <c r="G3" s="159"/>
      <c r="H3" s="464" t="s">
        <v>292</v>
      </c>
      <c r="I3" s="159"/>
      <c r="J3" s="466" t="s">
        <v>20</v>
      </c>
      <c r="K3" s="465" t="s">
        <v>392</v>
      </c>
      <c r="L3" s="467" t="s">
        <v>393</v>
      </c>
      <c r="M3" s="468" t="s">
        <v>394</v>
      </c>
      <c r="N3" s="464" t="s">
        <v>470</v>
      </c>
      <c r="O3" s="466" t="s">
        <v>406</v>
      </c>
      <c r="P3" s="464" t="s">
        <v>395</v>
      </c>
      <c r="Q3" s="159"/>
      <c r="R3" s="464" t="s">
        <v>372</v>
      </c>
      <c r="S3" s="464" t="s">
        <v>373</v>
      </c>
      <c r="T3" s="464" t="s">
        <v>374</v>
      </c>
      <c r="U3" s="464" t="s">
        <v>375</v>
      </c>
      <c r="V3" s="470" t="s">
        <v>376</v>
      </c>
      <c r="W3" s="464" t="s">
        <v>458</v>
      </c>
      <c r="X3" s="464" t="s">
        <v>377</v>
      </c>
      <c r="Z3" s="464" t="s">
        <v>398</v>
      </c>
      <c r="AA3" s="464" t="s">
        <v>399</v>
      </c>
      <c r="AB3" s="464" t="s">
        <v>518</v>
      </c>
      <c r="AC3" s="464" t="s">
        <v>407</v>
      </c>
      <c r="AD3" s="464" t="s">
        <v>453</v>
      </c>
      <c r="AE3" s="464" t="s">
        <v>471</v>
      </c>
      <c r="AF3" s="464" t="s">
        <v>482</v>
      </c>
      <c r="AG3" s="464" t="s">
        <v>483</v>
      </c>
      <c r="AH3" s="464" t="s">
        <v>795</v>
      </c>
    </row>
    <row r="4" spans="1:34" ht="29" x14ac:dyDescent="0.35">
      <c r="B4" s="480" t="s">
        <v>305</v>
      </c>
      <c r="C4" s="282"/>
      <c r="D4" s="480" t="s">
        <v>216</v>
      </c>
      <c r="E4" s="282"/>
      <c r="F4" s="482">
        <v>1</v>
      </c>
      <c r="G4" s="282"/>
      <c r="H4" s="480" t="s">
        <v>213</v>
      </c>
      <c r="I4" s="282"/>
      <c r="J4" s="485" t="s">
        <v>390</v>
      </c>
      <c r="K4" s="486" t="s">
        <v>397</v>
      </c>
      <c r="L4" s="487" t="s">
        <v>410</v>
      </c>
      <c r="M4" s="486">
        <v>2</v>
      </c>
      <c r="N4" s="485" t="s">
        <v>10</v>
      </c>
      <c r="O4" s="485" t="s">
        <v>409</v>
      </c>
      <c r="P4" s="488" t="s">
        <v>411</v>
      </c>
      <c r="R4" s="462" t="s">
        <v>491</v>
      </c>
      <c r="S4" s="462" t="s">
        <v>594</v>
      </c>
      <c r="T4" s="463" t="s">
        <v>799</v>
      </c>
      <c r="U4" s="452" t="s">
        <v>618</v>
      </c>
      <c r="V4" s="458">
        <v>1</v>
      </c>
      <c r="W4" s="457" t="s">
        <v>515</v>
      </c>
      <c r="X4" s="439" t="s">
        <v>761</v>
      </c>
      <c r="Z4" s="474" t="s">
        <v>396</v>
      </c>
      <c r="AA4" s="474">
        <v>1</v>
      </c>
      <c r="AB4" s="491" t="s">
        <v>400</v>
      </c>
      <c r="AC4" s="491" t="s">
        <v>402</v>
      </c>
      <c r="AD4" s="493" t="s">
        <v>515</v>
      </c>
      <c r="AE4" s="473">
        <v>0</v>
      </c>
      <c r="AF4" s="472" t="s">
        <v>473</v>
      </c>
      <c r="AG4" s="472">
        <v>0</v>
      </c>
      <c r="AH4" s="493" t="s">
        <v>79</v>
      </c>
    </row>
    <row r="5" spans="1:34" ht="29" x14ac:dyDescent="0.35">
      <c r="B5" s="481" t="s">
        <v>214</v>
      </c>
      <c r="C5" s="282"/>
      <c r="D5" s="481" t="s">
        <v>212</v>
      </c>
      <c r="E5" s="282"/>
      <c r="F5" s="483">
        <v>2</v>
      </c>
      <c r="G5" s="282"/>
      <c r="H5" s="481" t="s">
        <v>230</v>
      </c>
      <c r="I5" s="282"/>
      <c r="J5" s="442" t="s">
        <v>390</v>
      </c>
      <c r="K5" s="445" t="s">
        <v>397</v>
      </c>
      <c r="L5" s="489">
        <v>1312478</v>
      </c>
      <c r="M5" s="445">
        <v>3</v>
      </c>
      <c r="N5" s="442" t="s">
        <v>10</v>
      </c>
      <c r="O5" s="442" t="s">
        <v>409</v>
      </c>
      <c r="P5" s="453" t="s">
        <v>411</v>
      </c>
      <c r="R5" s="460" t="s">
        <v>766</v>
      </c>
      <c r="S5" s="460" t="s">
        <v>585</v>
      </c>
      <c r="T5" s="461" t="s">
        <v>584</v>
      </c>
      <c r="U5" s="452" t="s">
        <v>767</v>
      </c>
      <c r="V5" s="459">
        <v>2</v>
      </c>
      <c r="W5" s="439" t="s">
        <v>515</v>
      </c>
      <c r="X5" s="439" t="s">
        <v>768</v>
      </c>
      <c r="Z5" s="475" t="s">
        <v>397</v>
      </c>
      <c r="AA5" s="475">
        <v>2</v>
      </c>
      <c r="AB5" s="492" t="s">
        <v>401</v>
      </c>
      <c r="AC5" s="492" t="s">
        <v>404</v>
      </c>
      <c r="AD5" s="303" t="s">
        <v>516</v>
      </c>
      <c r="AF5" s="476" t="s">
        <v>304</v>
      </c>
      <c r="AG5" s="476" t="s">
        <v>478</v>
      </c>
      <c r="AH5" s="303" t="s">
        <v>78</v>
      </c>
    </row>
    <row r="6" spans="1:34" x14ac:dyDescent="0.35">
      <c r="B6" s="480" t="s">
        <v>252</v>
      </c>
      <c r="C6" s="282"/>
      <c r="D6" s="480" t="s">
        <v>303</v>
      </c>
      <c r="E6" s="282"/>
      <c r="F6" s="482">
        <v>3</v>
      </c>
      <c r="G6" s="282"/>
      <c r="H6" s="480" t="s">
        <v>205</v>
      </c>
      <c r="I6" s="282"/>
      <c r="J6" s="485" t="s">
        <v>473</v>
      </c>
      <c r="K6" s="486" t="s">
        <v>396</v>
      </c>
      <c r="L6" s="487" t="s">
        <v>474</v>
      </c>
      <c r="M6" s="486">
        <v>2</v>
      </c>
      <c r="N6" s="485" t="s">
        <v>11</v>
      </c>
      <c r="O6" s="485" t="s">
        <v>409</v>
      </c>
      <c r="P6" s="485" t="s">
        <v>475</v>
      </c>
      <c r="R6" s="462" t="s">
        <v>493</v>
      </c>
      <c r="S6" s="462" t="s">
        <v>620</v>
      </c>
      <c r="T6" s="463" t="s">
        <v>619</v>
      </c>
      <c r="U6" s="452" t="s">
        <v>778</v>
      </c>
      <c r="V6" s="459">
        <v>2</v>
      </c>
      <c r="W6" s="439" t="s">
        <v>515</v>
      </c>
      <c r="X6" s="439" t="s">
        <v>761</v>
      </c>
      <c r="AA6" s="469">
        <v>3</v>
      </c>
      <c r="AB6" s="320"/>
      <c r="AC6" s="491" t="s">
        <v>405</v>
      </c>
      <c r="AD6" s="493" t="s">
        <v>517</v>
      </c>
      <c r="AF6" s="472" t="s">
        <v>415</v>
      </c>
      <c r="AG6" s="472" t="s">
        <v>336</v>
      </c>
      <c r="AH6" s="493" t="s">
        <v>794</v>
      </c>
    </row>
    <row r="7" spans="1:34" ht="43.5" x14ac:dyDescent="0.35">
      <c r="B7" s="481" t="s">
        <v>301</v>
      </c>
      <c r="C7" s="282"/>
      <c r="D7" s="481" t="s">
        <v>300</v>
      </c>
      <c r="E7" s="282"/>
      <c r="F7" s="483">
        <v>4</v>
      </c>
      <c r="G7" s="282"/>
      <c r="H7" s="436"/>
      <c r="I7" s="282"/>
      <c r="J7" s="442" t="s">
        <v>478</v>
      </c>
      <c r="K7" s="445" t="s">
        <v>397</v>
      </c>
      <c r="L7" s="489" t="s">
        <v>480</v>
      </c>
      <c r="M7" s="445">
        <v>5</v>
      </c>
      <c r="N7" s="442" t="s">
        <v>10</v>
      </c>
      <c r="O7" s="442" t="s">
        <v>409</v>
      </c>
      <c r="P7" s="453" t="s">
        <v>477</v>
      </c>
      <c r="R7" s="460" t="s">
        <v>494</v>
      </c>
      <c r="S7" s="460" t="s">
        <v>593</v>
      </c>
      <c r="T7" s="461" t="s">
        <v>798</v>
      </c>
      <c r="U7" s="452" t="s">
        <v>553</v>
      </c>
      <c r="V7" s="458">
        <v>3</v>
      </c>
      <c r="W7" s="457" t="s">
        <v>771</v>
      </c>
      <c r="X7" s="439" t="s">
        <v>761</v>
      </c>
      <c r="AA7" s="296">
        <v>4</v>
      </c>
      <c r="AB7" s="270"/>
      <c r="AC7" s="492" t="s">
        <v>403</v>
      </c>
      <c r="AD7" s="303" t="s">
        <v>454</v>
      </c>
      <c r="AF7" s="476" t="s">
        <v>299</v>
      </c>
      <c r="AG7" s="476" t="s">
        <v>445</v>
      </c>
      <c r="AH7" s="303" t="s">
        <v>76</v>
      </c>
    </row>
    <row r="8" spans="1:34" x14ac:dyDescent="0.35">
      <c r="B8" s="480" t="s">
        <v>512</v>
      </c>
      <c r="C8" s="282"/>
      <c r="D8" s="480" t="s">
        <v>298</v>
      </c>
      <c r="E8" s="282"/>
      <c r="F8" s="482">
        <v>5</v>
      </c>
      <c r="G8" s="282"/>
      <c r="H8" s="478"/>
      <c r="I8" s="282"/>
      <c r="J8" s="485" t="s">
        <v>478</v>
      </c>
      <c r="K8" s="486" t="s">
        <v>397</v>
      </c>
      <c r="L8" s="487" t="s">
        <v>479</v>
      </c>
      <c r="M8" s="486">
        <v>5</v>
      </c>
      <c r="N8" s="485" t="s">
        <v>10</v>
      </c>
      <c r="O8" s="485" t="s">
        <v>409</v>
      </c>
      <c r="P8" s="488" t="s">
        <v>477</v>
      </c>
      <c r="R8" s="462" t="s">
        <v>495</v>
      </c>
      <c r="S8" s="462" t="s">
        <v>583</v>
      </c>
      <c r="T8" s="463" t="s">
        <v>582</v>
      </c>
      <c r="U8" s="452" t="s">
        <v>764</v>
      </c>
      <c r="V8" s="458">
        <v>4</v>
      </c>
      <c r="W8" s="457" t="s">
        <v>765</v>
      </c>
      <c r="X8" s="439" t="s">
        <v>761</v>
      </c>
      <c r="AA8" s="469">
        <v>5</v>
      </c>
      <c r="AB8" s="270"/>
      <c r="AC8" s="491" t="s">
        <v>408</v>
      </c>
      <c r="AD8" s="493" t="s">
        <v>455</v>
      </c>
      <c r="AF8" s="472" t="s">
        <v>302</v>
      </c>
      <c r="AG8" s="472" t="s">
        <v>388</v>
      </c>
      <c r="AH8" s="493" t="s">
        <v>75</v>
      </c>
    </row>
    <row r="9" spans="1:34" x14ac:dyDescent="0.35">
      <c r="B9" s="481" t="s">
        <v>513</v>
      </c>
      <c r="C9" s="282"/>
      <c r="D9" s="481" t="s">
        <v>297</v>
      </c>
      <c r="E9" s="282"/>
      <c r="F9" s="483">
        <v>6</v>
      </c>
      <c r="G9" s="282"/>
      <c r="H9" s="478"/>
      <c r="I9" s="282"/>
      <c r="J9" s="442" t="s">
        <v>478</v>
      </c>
      <c r="K9" s="445" t="s">
        <v>397</v>
      </c>
      <c r="L9" s="489" t="s">
        <v>476</v>
      </c>
      <c r="M9" s="445">
        <v>2</v>
      </c>
      <c r="N9" s="442" t="s">
        <v>10</v>
      </c>
      <c r="O9" s="442" t="s">
        <v>409</v>
      </c>
      <c r="P9" s="453" t="s">
        <v>477</v>
      </c>
      <c r="R9" s="460" t="s">
        <v>496</v>
      </c>
      <c r="S9" s="460" t="s">
        <v>604</v>
      </c>
      <c r="T9" s="461" t="s">
        <v>603</v>
      </c>
      <c r="U9" s="452" t="s">
        <v>775</v>
      </c>
      <c r="V9" s="458">
        <v>5</v>
      </c>
      <c r="W9" s="457" t="s">
        <v>771</v>
      </c>
      <c r="X9" s="439" t="s">
        <v>761</v>
      </c>
      <c r="AA9" s="296">
        <v>6</v>
      </c>
      <c r="AB9" s="270"/>
      <c r="AC9" s="492" t="s">
        <v>409</v>
      </c>
      <c r="AD9" s="303" t="s">
        <v>456</v>
      </c>
      <c r="AF9" s="476" t="s">
        <v>306</v>
      </c>
      <c r="AG9" s="476" t="s">
        <v>452</v>
      </c>
      <c r="AH9" s="303" t="s">
        <v>74</v>
      </c>
    </row>
    <row r="10" spans="1:34" x14ac:dyDescent="0.35">
      <c r="B10" s="480" t="s">
        <v>489</v>
      </c>
      <c r="C10" s="282"/>
      <c r="D10" s="436"/>
      <c r="E10" s="282"/>
      <c r="F10" s="482">
        <v>7</v>
      </c>
      <c r="G10" s="282"/>
      <c r="H10" s="478"/>
      <c r="I10" s="282"/>
      <c r="J10" s="485" t="s">
        <v>336</v>
      </c>
      <c r="K10" s="486" t="s">
        <v>397</v>
      </c>
      <c r="L10" s="487" t="s">
        <v>412</v>
      </c>
      <c r="M10" s="486">
        <v>2</v>
      </c>
      <c r="N10" s="485" t="s">
        <v>4</v>
      </c>
      <c r="O10" s="485" t="s">
        <v>409</v>
      </c>
      <c r="P10" s="488" t="s">
        <v>413</v>
      </c>
      <c r="R10" s="462" t="s">
        <v>497</v>
      </c>
      <c r="S10" s="462" t="s">
        <v>610</v>
      </c>
      <c r="T10" s="463" t="s">
        <v>609</v>
      </c>
      <c r="U10" s="452" t="s">
        <v>777</v>
      </c>
      <c r="V10" s="458">
        <v>5</v>
      </c>
      <c r="W10" s="457" t="s">
        <v>516</v>
      </c>
      <c r="X10" s="439" t="s">
        <v>761</v>
      </c>
      <c r="AA10" s="469">
        <v>7</v>
      </c>
      <c r="AB10" s="270"/>
      <c r="AC10" s="437"/>
      <c r="AD10" s="493" t="s">
        <v>457</v>
      </c>
      <c r="AF10" s="472" t="s">
        <v>419</v>
      </c>
      <c r="AG10" s="472" t="s">
        <v>436</v>
      </c>
      <c r="AH10" s="493" t="s">
        <v>73</v>
      </c>
    </row>
    <row r="11" spans="1:34" ht="29" x14ac:dyDescent="0.35">
      <c r="B11" s="481" t="s">
        <v>258</v>
      </c>
      <c r="C11" s="282"/>
      <c r="D11" s="478"/>
      <c r="E11" s="282"/>
      <c r="F11" s="483">
        <v>8</v>
      </c>
      <c r="G11" s="282"/>
      <c r="H11" s="478"/>
      <c r="I11" s="282"/>
      <c r="J11" s="442" t="s">
        <v>336</v>
      </c>
      <c r="K11" s="445" t="s">
        <v>397</v>
      </c>
      <c r="L11" s="489" t="s">
        <v>444</v>
      </c>
      <c r="M11" s="445">
        <v>6</v>
      </c>
      <c r="N11" s="442" t="s">
        <v>4</v>
      </c>
      <c r="O11" s="442" t="s">
        <v>409</v>
      </c>
      <c r="P11" s="453" t="s">
        <v>413</v>
      </c>
      <c r="R11" s="460" t="s">
        <v>498</v>
      </c>
      <c r="S11" s="460" t="s">
        <v>602</v>
      </c>
      <c r="T11" s="461" t="s">
        <v>800</v>
      </c>
      <c r="U11" s="452" t="s">
        <v>617</v>
      </c>
      <c r="V11" s="458">
        <v>6</v>
      </c>
      <c r="W11" s="457" t="s">
        <v>771</v>
      </c>
      <c r="X11" s="439" t="s">
        <v>761</v>
      </c>
      <c r="AA11" s="296">
        <v>8</v>
      </c>
      <c r="AB11" s="270"/>
      <c r="AC11" s="477"/>
      <c r="AD11" s="437"/>
      <c r="AF11" s="476" t="s">
        <v>467</v>
      </c>
      <c r="AG11" s="476" t="s">
        <v>440</v>
      </c>
      <c r="AH11" s="303" t="s">
        <v>72</v>
      </c>
    </row>
    <row r="12" spans="1:34" x14ac:dyDescent="0.35">
      <c r="B12" s="480" t="s">
        <v>206</v>
      </c>
      <c r="C12" s="282"/>
      <c r="D12" s="478"/>
      <c r="E12" s="282"/>
      <c r="F12" s="482">
        <v>9</v>
      </c>
      <c r="G12" s="282"/>
      <c r="H12" s="478"/>
      <c r="I12" s="282"/>
      <c r="J12" s="485" t="s">
        <v>335</v>
      </c>
      <c r="K12" s="486" t="s">
        <v>396</v>
      </c>
      <c r="L12" s="487" t="s">
        <v>304</v>
      </c>
      <c r="M12" s="486">
        <v>1</v>
      </c>
      <c r="N12" s="485" t="s">
        <v>11</v>
      </c>
      <c r="O12" s="485" t="s">
        <v>403</v>
      </c>
      <c r="P12" s="488" t="s">
        <v>414</v>
      </c>
      <c r="R12" s="462" t="s">
        <v>499</v>
      </c>
      <c r="S12" s="462" t="s">
        <v>596</v>
      </c>
      <c r="T12" s="463" t="s">
        <v>595</v>
      </c>
      <c r="U12" s="452" t="s">
        <v>772</v>
      </c>
      <c r="V12" s="458">
        <v>7</v>
      </c>
      <c r="W12" s="457" t="s">
        <v>515</v>
      </c>
      <c r="X12" s="439" t="s">
        <v>761</v>
      </c>
      <c r="AA12" s="469">
        <v>9</v>
      </c>
      <c r="AB12" s="270"/>
      <c r="AC12" s="477"/>
      <c r="AD12" s="477"/>
      <c r="AF12" s="472" t="s">
        <v>425</v>
      </c>
      <c r="AG12" s="472" t="s">
        <v>423</v>
      </c>
      <c r="AH12" s="493" t="s">
        <v>71</v>
      </c>
    </row>
    <row r="13" spans="1:34" x14ac:dyDescent="0.35">
      <c r="B13" s="436"/>
      <c r="C13" s="282"/>
      <c r="D13" s="478"/>
      <c r="E13" s="282"/>
      <c r="F13" s="483">
        <v>10</v>
      </c>
      <c r="G13" s="282"/>
      <c r="H13" s="478"/>
      <c r="I13" s="282"/>
      <c r="J13" s="442" t="s">
        <v>415</v>
      </c>
      <c r="K13" s="445" t="s">
        <v>396</v>
      </c>
      <c r="L13" s="489" t="s">
        <v>385</v>
      </c>
      <c r="M13" s="445">
        <v>1</v>
      </c>
      <c r="N13" s="442" t="s">
        <v>11</v>
      </c>
      <c r="O13" s="442" t="s">
        <v>402</v>
      </c>
      <c r="P13" s="453"/>
      <c r="R13" s="460" t="s">
        <v>501</v>
      </c>
      <c r="S13" s="460" t="s">
        <v>598</v>
      </c>
      <c r="T13" s="461" t="s">
        <v>597</v>
      </c>
      <c r="U13" s="452" t="s">
        <v>773</v>
      </c>
      <c r="V13" s="458">
        <v>8</v>
      </c>
      <c r="W13" s="457" t="s">
        <v>515</v>
      </c>
      <c r="X13" s="439" t="s">
        <v>761</v>
      </c>
      <c r="AA13" s="296">
        <v>10</v>
      </c>
      <c r="AB13" s="270"/>
      <c r="AC13" s="477"/>
      <c r="AD13" s="477"/>
      <c r="AF13" s="476" t="s">
        <v>463</v>
      </c>
      <c r="AG13" s="476" t="s">
        <v>391</v>
      </c>
      <c r="AH13" s="303" t="s">
        <v>70</v>
      </c>
    </row>
    <row r="14" spans="1:34" x14ac:dyDescent="0.35">
      <c r="B14" s="478"/>
      <c r="C14" s="282"/>
      <c r="D14" s="478"/>
      <c r="E14" s="282"/>
      <c r="F14" s="482">
        <v>11</v>
      </c>
      <c r="G14" s="282"/>
      <c r="H14" s="478"/>
      <c r="I14" s="282"/>
      <c r="J14" s="485" t="s">
        <v>415</v>
      </c>
      <c r="K14" s="486" t="s">
        <v>396</v>
      </c>
      <c r="L14" s="487" t="s">
        <v>416</v>
      </c>
      <c r="M14" s="486">
        <v>2</v>
      </c>
      <c r="N14" s="485" t="s">
        <v>11</v>
      </c>
      <c r="O14" s="485" t="s">
        <v>402</v>
      </c>
      <c r="P14" s="488"/>
      <c r="R14" s="462" t="s">
        <v>503</v>
      </c>
      <c r="S14" s="462" t="s">
        <v>589</v>
      </c>
      <c r="T14" s="463" t="s">
        <v>51</v>
      </c>
      <c r="U14" s="452" t="s">
        <v>770</v>
      </c>
      <c r="V14" s="458">
        <v>9</v>
      </c>
      <c r="W14" s="457" t="s">
        <v>515</v>
      </c>
      <c r="X14" s="439" t="s">
        <v>761</v>
      </c>
      <c r="AB14" s="270"/>
      <c r="AC14" s="477"/>
      <c r="AD14" s="477"/>
      <c r="AF14" s="472" t="s">
        <v>464</v>
      </c>
      <c r="AG14" s="472" t="s">
        <v>451</v>
      </c>
      <c r="AH14" s="493" t="s">
        <v>69</v>
      </c>
    </row>
    <row r="15" spans="1:34" x14ac:dyDescent="0.35">
      <c r="B15" s="478"/>
      <c r="C15" s="282"/>
      <c r="D15" s="478"/>
      <c r="E15" s="282"/>
      <c r="F15" s="483">
        <v>12</v>
      </c>
      <c r="G15" s="282"/>
      <c r="H15" s="478"/>
      <c r="I15" s="282"/>
      <c r="J15" s="442" t="s">
        <v>415</v>
      </c>
      <c r="K15" s="445" t="s">
        <v>396</v>
      </c>
      <c r="L15" s="489" t="s">
        <v>417</v>
      </c>
      <c r="M15" s="445">
        <v>2</v>
      </c>
      <c r="N15" s="442" t="s">
        <v>11</v>
      </c>
      <c r="O15" s="442" t="s">
        <v>402</v>
      </c>
      <c r="P15" s="453"/>
      <c r="R15" s="460" t="s">
        <v>504</v>
      </c>
      <c r="S15" s="460" t="s">
        <v>601</v>
      </c>
      <c r="T15" s="461" t="s">
        <v>600</v>
      </c>
      <c r="U15" s="452" t="s">
        <v>774</v>
      </c>
      <c r="V15" s="458">
        <v>10</v>
      </c>
      <c r="W15" s="457" t="s">
        <v>515</v>
      </c>
      <c r="X15" s="439" t="s">
        <v>761</v>
      </c>
      <c r="AB15" s="270"/>
      <c r="AC15" s="477"/>
      <c r="AD15" s="477"/>
      <c r="AG15" s="476" t="s">
        <v>389</v>
      </c>
      <c r="AH15" s="303" t="s">
        <v>68</v>
      </c>
    </row>
    <row r="16" spans="1:34" ht="43.5" x14ac:dyDescent="0.35">
      <c r="B16" s="478"/>
      <c r="C16" s="282"/>
      <c r="D16" s="478"/>
      <c r="E16" s="282"/>
      <c r="F16" s="482">
        <v>13</v>
      </c>
      <c r="G16" s="282"/>
      <c r="H16" s="478"/>
      <c r="I16" s="282"/>
      <c r="J16" s="485" t="s">
        <v>415</v>
      </c>
      <c r="K16" s="486" t="s">
        <v>396</v>
      </c>
      <c r="L16" s="487" t="s">
        <v>384</v>
      </c>
      <c r="M16" s="486">
        <v>3</v>
      </c>
      <c r="N16" s="485" t="s">
        <v>11</v>
      </c>
      <c r="O16" s="485" t="s">
        <v>402</v>
      </c>
      <c r="P16" s="488"/>
      <c r="R16" s="462" t="s">
        <v>802</v>
      </c>
      <c r="S16" s="462" t="s">
        <v>591</v>
      </c>
      <c r="T16" s="463" t="s">
        <v>797</v>
      </c>
      <c r="U16" s="452" t="s">
        <v>803</v>
      </c>
      <c r="V16" s="458">
        <v>11</v>
      </c>
      <c r="W16" s="457" t="s">
        <v>515</v>
      </c>
      <c r="X16" s="439" t="s">
        <v>768</v>
      </c>
      <c r="AB16" s="270"/>
      <c r="AC16" s="477"/>
      <c r="AD16" s="477"/>
      <c r="AG16" s="471" t="s">
        <v>12</v>
      </c>
      <c r="AH16" s="320"/>
    </row>
    <row r="17" spans="2:34" x14ac:dyDescent="0.35">
      <c r="B17" s="478"/>
      <c r="C17" s="282"/>
      <c r="D17" s="478"/>
      <c r="E17" s="282"/>
      <c r="F17" s="483">
        <v>14</v>
      </c>
      <c r="G17" s="282"/>
      <c r="H17" s="478"/>
      <c r="I17" s="282"/>
      <c r="J17" s="442" t="s">
        <v>445</v>
      </c>
      <c r="K17" s="445" t="s">
        <v>397</v>
      </c>
      <c r="L17" s="489" t="s">
        <v>446</v>
      </c>
      <c r="M17" s="445">
        <v>1</v>
      </c>
      <c r="N17" s="442" t="s">
        <v>10</v>
      </c>
      <c r="O17" s="442" t="s">
        <v>408</v>
      </c>
      <c r="P17" s="453" t="s">
        <v>448</v>
      </c>
      <c r="R17" s="460" t="s">
        <v>508</v>
      </c>
      <c r="S17" s="460" t="s">
        <v>572</v>
      </c>
      <c r="T17" s="461" t="s">
        <v>571</v>
      </c>
      <c r="U17" s="452" t="s">
        <v>760</v>
      </c>
      <c r="V17" s="458">
        <v>12</v>
      </c>
      <c r="W17" s="457" t="s">
        <v>515</v>
      </c>
      <c r="X17" s="439" t="s">
        <v>761</v>
      </c>
      <c r="AB17" s="270"/>
      <c r="AC17" s="477"/>
      <c r="AD17" s="477"/>
      <c r="AG17" s="298" t="s">
        <v>379</v>
      </c>
      <c r="AH17" s="270"/>
    </row>
    <row r="18" spans="2:34" x14ac:dyDescent="0.35">
      <c r="B18" s="478"/>
      <c r="C18" s="282"/>
      <c r="D18" s="478"/>
      <c r="E18" s="282"/>
      <c r="F18" s="482" t="s">
        <v>206</v>
      </c>
      <c r="G18" s="282"/>
      <c r="H18" s="478"/>
      <c r="I18" s="282"/>
      <c r="J18" s="485" t="s">
        <v>445</v>
      </c>
      <c r="K18" s="486" t="s">
        <v>397</v>
      </c>
      <c r="L18" s="487" t="s">
        <v>447</v>
      </c>
      <c r="M18" s="486">
        <v>1</v>
      </c>
      <c r="N18" s="485" t="s">
        <v>10</v>
      </c>
      <c r="O18" s="485" t="s">
        <v>408</v>
      </c>
      <c r="P18" s="488" t="s">
        <v>448</v>
      </c>
      <c r="R18" s="462" t="s">
        <v>509</v>
      </c>
      <c r="S18" s="462" t="s">
        <v>608</v>
      </c>
      <c r="T18" s="463" t="s">
        <v>607</v>
      </c>
      <c r="U18" s="452" t="s">
        <v>776</v>
      </c>
      <c r="V18" s="458">
        <v>12</v>
      </c>
      <c r="W18" s="457" t="s">
        <v>515</v>
      </c>
      <c r="X18" s="439" t="s">
        <v>761</v>
      </c>
      <c r="AB18" s="270"/>
      <c r="AC18" s="477"/>
      <c r="AD18" s="477"/>
      <c r="AG18" s="471" t="s">
        <v>459</v>
      </c>
      <c r="AH18" s="270"/>
    </row>
    <row r="19" spans="2:34" ht="29" x14ac:dyDescent="0.35">
      <c r="B19" s="478"/>
      <c r="C19" s="282"/>
      <c r="D19" s="478"/>
      <c r="E19" s="282"/>
      <c r="F19" s="444"/>
      <c r="G19" s="282"/>
      <c r="H19" s="478"/>
      <c r="I19" s="282"/>
      <c r="J19" s="442" t="s">
        <v>388</v>
      </c>
      <c r="K19" s="445" t="s">
        <v>397</v>
      </c>
      <c r="L19" s="489" t="s">
        <v>337</v>
      </c>
      <c r="M19" s="445">
        <v>4</v>
      </c>
      <c r="N19" s="442" t="s">
        <v>7</v>
      </c>
      <c r="O19" s="442" t="s">
        <v>409</v>
      </c>
      <c r="P19" s="453" t="s">
        <v>413</v>
      </c>
      <c r="R19" s="460" t="s">
        <v>510</v>
      </c>
      <c r="S19" s="460" t="s">
        <v>606</v>
      </c>
      <c r="T19" s="461" t="s">
        <v>801</v>
      </c>
      <c r="U19" s="452" t="s">
        <v>383</v>
      </c>
      <c r="V19" s="458">
        <v>13</v>
      </c>
      <c r="W19" s="457" t="s">
        <v>515</v>
      </c>
      <c r="X19" s="439" t="s">
        <v>761</v>
      </c>
      <c r="AB19" s="270"/>
      <c r="AC19" s="477"/>
      <c r="AD19" s="477"/>
      <c r="AH19" s="270"/>
    </row>
    <row r="20" spans="2:34" x14ac:dyDescent="0.35">
      <c r="B20" s="478"/>
      <c r="D20" s="478"/>
      <c r="F20" s="479"/>
      <c r="H20" s="478"/>
      <c r="J20" s="485" t="s">
        <v>299</v>
      </c>
      <c r="K20" s="486" t="s">
        <v>396</v>
      </c>
      <c r="L20" s="487" t="s">
        <v>299</v>
      </c>
      <c r="M20" s="486">
        <v>1</v>
      </c>
      <c r="N20" s="485" t="s">
        <v>11</v>
      </c>
      <c r="O20" s="485" t="s">
        <v>403</v>
      </c>
      <c r="P20" s="488" t="s">
        <v>421</v>
      </c>
      <c r="R20" s="462" t="s">
        <v>804</v>
      </c>
      <c r="S20" s="462" t="s">
        <v>580</v>
      </c>
      <c r="T20" s="463" t="s">
        <v>579</v>
      </c>
      <c r="U20" s="452" t="s">
        <v>579</v>
      </c>
      <c r="V20" s="458"/>
      <c r="W20" s="457" t="s">
        <v>455</v>
      </c>
      <c r="X20" s="439" t="s">
        <v>763</v>
      </c>
      <c r="AB20" s="270"/>
      <c r="AC20" s="477"/>
      <c r="AD20" s="477"/>
      <c r="AH20" s="270"/>
    </row>
    <row r="21" spans="2:34" ht="29" x14ac:dyDescent="0.35">
      <c r="B21" s="478"/>
      <c r="D21" s="478"/>
      <c r="F21" s="479"/>
      <c r="H21" s="478"/>
      <c r="J21" s="442" t="s">
        <v>452</v>
      </c>
      <c r="K21" s="445" t="s">
        <v>397</v>
      </c>
      <c r="L21" s="489" t="s">
        <v>381</v>
      </c>
      <c r="M21" s="445">
        <v>1</v>
      </c>
      <c r="N21" s="442" t="s">
        <v>5</v>
      </c>
      <c r="O21" s="442" t="s">
        <v>409</v>
      </c>
      <c r="P21" s="453"/>
      <c r="R21" s="460" t="s">
        <v>805</v>
      </c>
      <c r="S21" s="460" t="s">
        <v>586</v>
      </c>
      <c r="T21" s="461" t="s">
        <v>758</v>
      </c>
      <c r="U21" s="452" t="s">
        <v>769</v>
      </c>
      <c r="V21" s="458"/>
      <c r="W21" s="457" t="s">
        <v>455</v>
      </c>
      <c r="X21" s="439" t="s">
        <v>763</v>
      </c>
      <c r="AB21" s="270"/>
      <c r="AC21" s="477"/>
      <c r="AD21" s="477"/>
      <c r="AH21" s="270"/>
    </row>
    <row r="22" spans="2:34" ht="58" x14ac:dyDescent="0.35">
      <c r="B22" s="478"/>
      <c r="D22" s="478"/>
      <c r="F22" s="479"/>
      <c r="H22" s="478"/>
      <c r="J22" s="485" t="s">
        <v>452</v>
      </c>
      <c r="K22" s="486" t="s">
        <v>397</v>
      </c>
      <c r="L22" s="487" t="s">
        <v>382</v>
      </c>
      <c r="M22" s="486">
        <v>2</v>
      </c>
      <c r="N22" s="485" t="s">
        <v>5</v>
      </c>
      <c r="O22" s="485" t="s">
        <v>409</v>
      </c>
      <c r="P22" s="488"/>
      <c r="R22" s="462" t="s">
        <v>806</v>
      </c>
      <c r="S22" s="462" t="s">
        <v>588</v>
      </c>
      <c r="T22" s="463" t="s">
        <v>796</v>
      </c>
      <c r="U22" s="452" t="s">
        <v>759</v>
      </c>
      <c r="V22" s="458"/>
      <c r="W22" s="457" t="s">
        <v>455</v>
      </c>
      <c r="X22" s="439" t="s">
        <v>763</v>
      </c>
      <c r="AB22" s="270"/>
      <c r="AC22" s="477"/>
      <c r="AD22" s="477"/>
      <c r="AH22" s="270"/>
    </row>
    <row r="23" spans="2:34" ht="29" x14ac:dyDescent="0.35">
      <c r="B23" s="478"/>
      <c r="D23" s="478"/>
      <c r="F23" s="479"/>
      <c r="H23" s="478"/>
      <c r="J23" s="442" t="s">
        <v>302</v>
      </c>
      <c r="K23" s="445" t="s">
        <v>396</v>
      </c>
      <c r="L23" s="489" t="s">
        <v>302</v>
      </c>
      <c r="M23" s="445">
        <v>1</v>
      </c>
      <c r="N23" s="442" t="s">
        <v>11</v>
      </c>
      <c r="O23" s="442" t="s">
        <v>403</v>
      </c>
      <c r="P23" s="453" t="s">
        <v>414</v>
      </c>
      <c r="R23" s="460" t="s">
        <v>807</v>
      </c>
      <c r="S23" s="460" t="s">
        <v>626</v>
      </c>
      <c r="T23" s="461" t="s">
        <v>625</v>
      </c>
      <c r="U23" s="452" t="s">
        <v>625</v>
      </c>
      <c r="V23" s="459"/>
      <c r="W23" s="439" t="s">
        <v>455</v>
      </c>
      <c r="X23" s="439" t="s">
        <v>763</v>
      </c>
      <c r="AB23" s="270"/>
      <c r="AC23" s="477"/>
      <c r="AD23" s="477"/>
      <c r="AH23" s="270"/>
    </row>
    <row r="24" spans="2:34" x14ac:dyDescent="0.35">
      <c r="B24" s="478"/>
      <c r="D24" s="478"/>
      <c r="F24" s="479"/>
      <c r="H24" s="478"/>
      <c r="J24" s="485" t="s">
        <v>436</v>
      </c>
      <c r="K24" s="486" t="s">
        <v>397</v>
      </c>
      <c r="L24" s="487" t="s">
        <v>437</v>
      </c>
      <c r="M24" s="486">
        <v>3</v>
      </c>
      <c r="N24" s="485" t="s">
        <v>10</v>
      </c>
      <c r="O24" s="485" t="s">
        <v>403</v>
      </c>
      <c r="P24" s="488"/>
      <c r="R24" s="462"/>
      <c r="S24" s="462" t="s">
        <v>575</v>
      </c>
      <c r="T24" s="463" t="s">
        <v>574</v>
      </c>
      <c r="U24" s="452"/>
      <c r="V24" s="458"/>
      <c r="W24" s="457"/>
      <c r="X24" s="439" t="s">
        <v>762</v>
      </c>
      <c r="AB24" s="270"/>
      <c r="AC24" s="477"/>
      <c r="AD24" s="477"/>
      <c r="AH24" s="270"/>
    </row>
    <row r="25" spans="2:34" x14ac:dyDescent="0.35">
      <c r="B25" s="478"/>
      <c r="D25" s="478"/>
      <c r="F25" s="479"/>
      <c r="H25" s="478"/>
      <c r="J25" s="442" t="s">
        <v>436</v>
      </c>
      <c r="K25" s="445" t="s">
        <v>397</v>
      </c>
      <c r="L25" s="489" t="s">
        <v>438</v>
      </c>
      <c r="M25" s="445">
        <v>1</v>
      </c>
      <c r="N25" s="442" t="s">
        <v>10</v>
      </c>
      <c r="O25" s="442" t="s">
        <v>403</v>
      </c>
      <c r="P25" s="453"/>
      <c r="R25" s="460"/>
      <c r="S25" s="460" t="s">
        <v>578</v>
      </c>
      <c r="T25" s="461" t="s">
        <v>757</v>
      </c>
      <c r="U25" s="452"/>
      <c r="V25" s="459"/>
      <c r="W25" s="439"/>
      <c r="X25" s="439" t="s">
        <v>762</v>
      </c>
      <c r="AB25" s="270"/>
      <c r="AC25" s="477"/>
      <c r="AD25" s="477"/>
      <c r="AH25" s="270"/>
    </row>
    <row r="26" spans="2:34" x14ac:dyDescent="0.35">
      <c r="B26" s="478"/>
      <c r="D26" s="478"/>
      <c r="F26" s="479"/>
      <c r="H26" s="478"/>
      <c r="J26" s="485" t="s">
        <v>436</v>
      </c>
      <c r="K26" s="486" t="s">
        <v>397</v>
      </c>
      <c r="L26" s="487" t="s">
        <v>439</v>
      </c>
      <c r="M26" s="486">
        <v>1</v>
      </c>
      <c r="N26" s="485" t="s">
        <v>10</v>
      </c>
      <c r="O26" s="485" t="s">
        <v>403</v>
      </c>
      <c r="P26" s="488"/>
      <c r="R26" s="462"/>
      <c r="S26" s="462">
        <v>0</v>
      </c>
      <c r="T26" s="463" t="s">
        <v>635</v>
      </c>
      <c r="U26" s="452"/>
      <c r="V26" s="459"/>
      <c r="W26" s="439"/>
      <c r="X26" s="439" t="s">
        <v>762</v>
      </c>
      <c r="AB26" s="270"/>
      <c r="AC26" s="477"/>
      <c r="AD26" s="477"/>
      <c r="AH26" s="270"/>
    </row>
    <row r="27" spans="2:34" x14ac:dyDescent="0.35">
      <c r="B27" s="478"/>
      <c r="D27" s="478"/>
      <c r="F27" s="479"/>
      <c r="H27" s="478"/>
      <c r="J27" s="442" t="s">
        <v>436</v>
      </c>
      <c r="K27" s="445" t="s">
        <v>397</v>
      </c>
      <c r="L27" s="489" t="s">
        <v>438</v>
      </c>
      <c r="M27" s="445">
        <v>1</v>
      </c>
      <c r="N27" s="442" t="s">
        <v>10</v>
      </c>
      <c r="O27" s="442" t="s">
        <v>403</v>
      </c>
      <c r="P27" s="453"/>
      <c r="R27" s="460"/>
      <c r="S27" s="460" t="s">
        <v>612</v>
      </c>
      <c r="T27" s="461" t="s">
        <v>611</v>
      </c>
      <c r="U27" s="452"/>
      <c r="V27" s="459"/>
      <c r="W27" s="439"/>
      <c r="X27" s="439" t="s">
        <v>762</v>
      </c>
      <c r="AB27" s="270"/>
      <c r="AC27" s="477"/>
      <c r="AD27" s="477"/>
      <c r="AH27" s="270"/>
    </row>
    <row r="28" spans="2:34" x14ac:dyDescent="0.35">
      <c r="B28" s="478"/>
      <c r="D28" s="478"/>
      <c r="F28" s="479"/>
      <c r="H28" s="478"/>
      <c r="J28" s="485" t="s">
        <v>440</v>
      </c>
      <c r="K28" s="486" t="s">
        <v>397</v>
      </c>
      <c r="L28" s="487" t="s">
        <v>441</v>
      </c>
      <c r="M28" s="486">
        <v>2</v>
      </c>
      <c r="N28" s="485" t="s">
        <v>10</v>
      </c>
      <c r="O28" s="485" t="s">
        <v>403</v>
      </c>
      <c r="P28" s="488"/>
      <c r="R28" s="462"/>
      <c r="S28" s="462">
        <v>3529000972</v>
      </c>
      <c r="T28" s="463"/>
      <c r="U28" s="452"/>
      <c r="V28" s="458"/>
      <c r="W28" s="457"/>
      <c r="X28" s="439" t="s">
        <v>762</v>
      </c>
      <c r="AB28" s="270"/>
      <c r="AC28" s="477"/>
      <c r="AD28" s="477"/>
      <c r="AH28" s="270"/>
    </row>
    <row r="29" spans="2:34" x14ac:dyDescent="0.35">
      <c r="B29" s="478"/>
      <c r="D29" s="478"/>
      <c r="F29" s="479"/>
      <c r="H29" s="478"/>
      <c r="J29" s="442" t="s">
        <v>440</v>
      </c>
      <c r="K29" s="445" t="s">
        <v>397</v>
      </c>
      <c r="L29" s="489" t="s">
        <v>443</v>
      </c>
      <c r="M29" s="445">
        <v>2</v>
      </c>
      <c r="N29" s="442" t="s">
        <v>10</v>
      </c>
      <c r="O29" s="442" t="s">
        <v>403</v>
      </c>
      <c r="P29" s="453"/>
      <c r="R29" s="460"/>
      <c r="S29" s="460" t="s">
        <v>616</v>
      </c>
      <c r="T29" s="461" t="s">
        <v>615</v>
      </c>
      <c r="U29" s="452"/>
      <c r="V29" s="459"/>
      <c r="W29" s="439"/>
      <c r="X29" s="439" t="s">
        <v>762</v>
      </c>
      <c r="AB29" s="270"/>
      <c r="AC29" s="477"/>
      <c r="AD29" s="477"/>
      <c r="AH29" s="270"/>
    </row>
    <row r="30" spans="2:34" x14ac:dyDescent="0.35">
      <c r="B30" s="478"/>
      <c r="D30" s="478"/>
      <c r="F30" s="479"/>
      <c r="H30" s="478"/>
      <c r="J30" s="485" t="s">
        <v>440</v>
      </c>
      <c r="K30" s="486" t="s">
        <v>397</v>
      </c>
      <c r="L30" s="487" t="s">
        <v>442</v>
      </c>
      <c r="M30" s="486">
        <v>4</v>
      </c>
      <c r="N30" s="485" t="s">
        <v>7</v>
      </c>
      <c r="O30" s="485" t="s">
        <v>403</v>
      </c>
      <c r="P30" s="488"/>
      <c r="R30" s="462"/>
      <c r="S30" s="462" t="s">
        <v>623</v>
      </c>
      <c r="T30" s="463" t="s">
        <v>622</v>
      </c>
      <c r="U30" s="452"/>
      <c r="V30" s="458"/>
      <c r="W30" s="457"/>
      <c r="X30" s="439" t="s">
        <v>762</v>
      </c>
      <c r="AB30" s="270"/>
      <c r="AC30" s="477"/>
      <c r="AD30" s="477"/>
      <c r="AH30" s="270"/>
    </row>
    <row r="31" spans="2:34" ht="29" x14ac:dyDescent="0.35">
      <c r="B31" s="478"/>
      <c r="D31" s="478"/>
      <c r="F31" s="479"/>
      <c r="H31" s="478"/>
      <c r="J31" s="442" t="s">
        <v>423</v>
      </c>
      <c r="K31" s="445" t="s">
        <v>397</v>
      </c>
      <c r="L31" s="489" t="s">
        <v>424</v>
      </c>
      <c r="M31" s="445">
        <v>2</v>
      </c>
      <c r="N31" s="442" t="s">
        <v>10</v>
      </c>
      <c r="O31" s="442" t="s">
        <v>403</v>
      </c>
      <c r="P31" s="453"/>
      <c r="R31" s="460"/>
      <c r="S31" s="460" t="s">
        <v>629</v>
      </c>
      <c r="T31" s="461" t="s">
        <v>628</v>
      </c>
      <c r="U31" s="452"/>
      <c r="V31" s="459"/>
      <c r="W31" s="439"/>
      <c r="X31" s="439" t="s">
        <v>762</v>
      </c>
      <c r="AB31" s="270"/>
      <c r="AC31" s="477"/>
      <c r="AD31" s="477"/>
      <c r="AH31" s="270"/>
    </row>
    <row r="32" spans="2:34" x14ac:dyDescent="0.35">
      <c r="B32" s="478"/>
      <c r="D32" s="478"/>
      <c r="F32" s="479"/>
      <c r="H32" s="478"/>
      <c r="J32" s="485" t="s">
        <v>423</v>
      </c>
      <c r="K32" s="486" t="s">
        <v>397</v>
      </c>
      <c r="L32" s="487">
        <v>406900101</v>
      </c>
      <c r="M32" s="486">
        <v>2</v>
      </c>
      <c r="N32" s="485" t="s">
        <v>10</v>
      </c>
      <c r="O32" s="485" t="s">
        <v>403</v>
      </c>
      <c r="P32" s="488"/>
      <c r="R32" s="462" t="s">
        <v>808</v>
      </c>
      <c r="S32" s="462" t="s">
        <v>633</v>
      </c>
      <c r="T32" s="463" t="s">
        <v>632</v>
      </c>
      <c r="U32" s="452" t="s">
        <v>632</v>
      </c>
      <c r="V32" s="458"/>
      <c r="W32" s="457" t="s">
        <v>779</v>
      </c>
      <c r="X32" s="439" t="s">
        <v>780</v>
      </c>
      <c r="AB32" s="270"/>
      <c r="AC32" s="477"/>
      <c r="AD32" s="477"/>
      <c r="AH32" s="270"/>
    </row>
    <row r="33" spans="2:34" x14ac:dyDescent="0.35">
      <c r="B33" s="478"/>
      <c r="D33" s="478"/>
      <c r="F33" s="479"/>
      <c r="H33" s="478"/>
      <c r="J33" s="442" t="s">
        <v>306</v>
      </c>
      <c r="K33" s="445" t="s">
        <v>396</v>
      </c>
      <c r="L33" s="489" t="s">
        <v>306</v>
      </c>
      <c r="M33" s="445">
        <v>1</v>
      </c>
      <c r="N33" s="442" t="s">
        <v>17</v>
      </c>
      <c r="O33" s="442" t="s">
        <v>402</v>
      </c>
      <c r="P33" s="453" t="s">
        <v>422</v>
      </c>
      <c r="R33" s="262"/>
      <c r="S33" s="262"/>
      <c r="T33" s="262"/>
      <c r="U33" s="262"/>
      <c r="V33" s="262"/>
      <c r="W33" s="262"/>
      <c r="X33" s="262"/>
      <c r="AB33" s="270"/>
      <c r="AC33" s="477"/>
      <c r="AD33" s="477"/>
      <c r="AH33" s="270"/>
    </row>
    <row r="34" spans="2:34" x14ac:dyDescent="0.35">
      <c r="B34" s="478"/>
      <c r="D34" s="478"/>
      <c r="F34" s="479"/>
      <c r="H34" s="478"/>
      <c r="J34" s="485" t="s">
        <v>306</v>
      </c>
      <c r="K34" s="486" t="s">
        <v>396</v>
      </c>
      <c r="L34" s="487" t="s">
        <v>450</v>
      </c>
      <c r="M34" s="486">
        <v>1</v>
      </c>
      <c r="N34" s="485" t="s">
        <v>17</v>
      </c>
      <c r="O34" s="485" t="s">
        <v>402</v>
      </c>
      <c r="P34" s="488" t="s">
        <v>422</v>
      </c>
      <c r="R34" s="490"/>
      <c r="S34" s="490"/>
      <c r="T34" s="490"/>
      <c r="U34" s="490"/>
      <c r="V34" s="490"/>
      <c r="W34" s="490"/>
      <c r="X34" s="490"/>
      <c r="AB34" s="270"/>
      <c r="AC34" s="477"/>
      <c r="AD34" s="477"/>
      <c r="AH34" s="270"/>
    </row>
    <row r="35" spans="2:34" x14ac:dyDescent="0.35">
      <c r="B35" s="478"/>
      <c r="D35" s="478"/>
      <c r="F35" s="479"/>
      <c r="H35" s="478"/>
      <c r="J35" s="442" t="s">
        <v>306</v>
      </c>
      <c r="K35" s="445" t="s">
        <v>396</v>
      </c>
      <c r="L35" s="489" t="s">
        <v>386</v>
      </c>
      <c r="M35" s="445">
        <v>1</v>
      </c>
      <c r="N35" s="442" t="s">
        <v>17</v>
      </c>
      <c r="O35" s="442" t="s">
        <v>402</v>
      </c>
      <c r="P35" s="453" t="s">
        <v>422</v>
      </c>
      <c r="R35" s="490"/>
      <c r="S35" s="490"/>
      <c r="T35" s="490"/>
      <c r="U35" s="490"/>
      <c r="V35" s="490"/>
      <c r="W35" s="490"/>
      <c r="X35" s="490"/>
      <c r="AB35" s="270"/>
      <c r="AC35" s="477"/>
      <c r="AD35" s="477"/>
      <c r="AH35" s="270"/>
    </row>
    <row r="36" spans="2:34" x14ac:dyDescent="0.35">
      <c r="B36" s="478"/>
      <c r="D36" s="478"/>
      <c r="F36" s="479"/>
      <c r="H36" s="478"/>
      <c r="J36" s="485" t="s">
        <v>306</v>
      </c>
      <c r="K36" s="486" t="s">
        <v>396</v>
      </c>
      <c r="L36" s="487" t="s">
        <v>449</v>
      </c>
      <c r="M36" s="486">
        <v>2</v>
      </c>
      <c r="N36" s="485" t="s">
        <v>17</v>
      </c>
      <c r="O36" s="485" t="s">
        <v>402</v>
      </c>
      <c r="P36" s="488" t="s">
        <v>422</v>
      </c>
      <c r="R36" s="490"/>
      <c r="S36" s="490"/>
      <c r="T36" s="490"/>
      <c r="U36" s="490"/>
      <c r="V36" s="490"/>
      <c r="W36" s="490"/>
      <c r="X36" s="490"/>
      <c r="AB36" s="270"/>
      <c r="AC36" s="477"/>
      <c r="AD36" s="477"/>
      <c r="AH36" s="270"/>
    </row>
    <row r="37" spans="2:34" x14ac:dyDescent="0.35">
      <c r="B37" s="478"/>
      <c r="D37" s="478"/>
      <c r="F37" s="479"/>
      <c r="H37" s="478"/>
      <c r="J37" s="442" t="s">
        <v>306</v>
      </c>
      <c r="K37" s="445" t="s">
        <v>396</v>
      </c>
      <c r="L37" s="489" t="s">
        <v>418</v>
      </c>
      <c r="M37" s="445">
        <v>3</v>
      </c>
      <c r="N37" s="442" t="s">
        <v>17</v>
      </c>
      <c r="O37" s="442" t="s">
        <v>402</v>
      </c>
      <c r="P37" s="453" t="s">
        <v>422</v>
      </c>
      <c r="R37" s="490"/>
      <c r="S37" s="490"/>
      <c r="T37" s="490"/>
      <c r="U37" s="490"/>
      <c r="V37" s="490"/>
      <c r="W37" s="490"/>
      <c r="X37" s="490"/>
      <c r="AB37" s="270"/>
      <c r="AC37" s="477"/>
      <c r="AD37" s="477"/>
      <c r="AH37" s="270"/>
    </row>
    <row r="38" spans="2:34" x14ac:dyDescent="0.35">
      <c r="B38" s="478"/>
      <c r="D38" s="478"/>
      <c r="F38" s="479"/>
      <c r="H38" s="478"/>
      <c r="J38" s="485" t="s">
        <v>391</v>
      </c>
      <c r="K38" s="486" t="s">
        <v>397</v>
      </c>
      <c r="L38" s="487" t="s">
        <v>337</v>
      </c>
      <c r="M38" s="486">
        <v>2</v>
      </c>
      <c r="N38" s="485" t="s">
        <v>5</v>
      </c>
      <c r="O38" s="485" t="s">
        <v>409</v>
      </c>
      <c r="P38" s="488" t="s">
        <v>413</v>
      </c>
      <c r="R38" s="490"/>
      <c r="S38" s="490"/>
      <c r="T38" s="490"/>
      <c r="U38" s="490"/>
      <c r="V38" s="490"/>
      <c r="W38" s="490"/>
      <c r="X38" s="490"/>
      <c r="AB38" s="270"/>
      <c r="AC38" s="477"/>
      <c r="AD38" s="477"/>
      <c r="AH38" s="270"/>
    </row>
    <row r="39" spans="2:34" x14ac:dyDescent="0.35">
      <c r="B39" s="478"/>
      <c r="D39" s="478"/>
      <c r="F39" s="479"/>
      <c r="H39" s="478"/>
      <c r="J39" s="442" t="s">
        <v>419</v>
      </c>
      <c r="K39" s="445" t="s">
        <v>396</v>
      </c>
      <c r="L39" s="489" t="s">
        <v>128</v>
      </c>
      <c r="M39" s="445">
        <v>1</v>
      </c>
      <c r="N39" s="442" t="s">
        <v>11</v>
      </c>
      <c r="O39" s="442" t="s">
        <v>403</v>
      </c>
      <c r="P39" s="453" t="s">
        <v>420</v>
      </c>
      <c r="R39" s="490"/>
      <c r="S39" s="490"/>
      <c r="T39" s="490"/>
      <c r="U39" s="490"/>
      <c r="V39" s="490"/>
      <c r="W39" s="490"/>
      <c r="X39" s="490"/>
      <c r="AB39" s="270"/>
      <c r="AC39" s="477"/>
      <c r="AD39" s="477"/>
      <c r="AH39" s="270"/>
    </row>
    <row r="40" spans="2:34" x14ac:dyDescent="0.35">
      <c r="B40" s="478"/>
      <c r="D40" s="478"/>
      <c r="F40" s="479"/>
      <c r="H40" s="478"/>
      <c r="J40" s="485" t="s">
        <v>419</v>
      </c>
      <c r="K40" s="486" t="s">
        <v>396</v>
      </c>
      <c r="L40" s="487" t="s">
        <v>426</v>
      </c>
      <c r="M40" s="486">
        <v>1</v>
      </c>
      <c r="N40" s="485" t="s">
        <v>11</v>
      </c>
      <c r="O40" s="485" t="s">
        <v>403</v>
      </c>
      <c r="P40" s="488" t="s">
        <v>420</v>
      </c>
      <c r="R40" s="490"/>
      <c r="S40" s="490"/>
      <c r="T40" s="490"/>
      <c r="U40" s="490"/>
      <c r="V40" s="490"/>
      <c r="W40" s="490"/>
      <c r="X40" s="490"/>
      <c r="AB40" s="270"/>
      <c r="AC40" s="477"/>
      <c r="AD40" s="477"/>
      <c r="AH40" s="270"/>
    </row>
    <row r="41" spans="2:34" ht="29" x14ac:dyDescent="0.35">
      <c r="B41" s="478"/>
      <c r="D41" s="478"/>
      <c r="F41" s="479"/>
      <c r="H41" s="478"/>
      <c r="J41" s="442" t="s">
        <v>467</v>
      </c>
      <c r="K41" s="445" t="s">
        <v>396</v>
      </c>
      <c r="L41" s="489" t="s">
        <v>469</v>
      </c>
      <c r="M41" s="445">
        <v>10</v>
      </c>
      <c r="N41" s="442"/>
      <c r="O41" s="442" t="s">
        <v>403</v>
      </c>
      <c r="P41" s="453" t="s">
        <v>468</v>
      </c>
      <c r="R41" s="490"/>
      <c r="S41" s="490"/>
      <c r="T41" s="490"/>
      <c r="U41" s="490"/>
      <c r="V41" s="490"/>
      <c r="W41" s="490"/>
      <c r="X41" s="490"/>
      <c r="AB41" s="270"/>
      <c r="AC41" s="477"/>
      <c r="AD41" s="477"/>
      <c r="AH41" s="270"/>
    </row>
    <row r="42" spans="2:34" x14ac:dyDescent="0.35">
      <c r="B42" s="478"/>
      <c r="D42" s="478"/>
      <c r="F42" s="479"/>
      <c r="H42" s="478"/>
      <c r="J42" s="485" t="s">
        <v>425</v>
      </c>
      <c r="K42" s="486" t="s">
        <v>396</v>
      </c>
      <c r="L42" s="487" t="s">
        <v>179</v>
      </c>
      <c r="M42" s="486">
        <v>1</v>
      </c>
      <c r="N42" s="485" t="s">
        <v>11</v>
      </c>
      <c r="O42" s="485" t="s">
        <v>402</v>
      </c>
      <c r="P42" s="488"/>
      <c r="R42" s="490"/>
      <c r="S42" s="490"/>
      <c r="T42" s="490"/>
      <c r="U42" s="490"/>
      <c r="V42" s="490"/>
      <c r="W42" s="490"/>
      <c r="X42" s="490"/>
      <c r="AB42" s="270"/>
      <c r="AC42" s="477"/>
      <c r="AD42" s="477"/>
      <c r="AH42" s="270"/>
    </row>
    <row r="43" spans="2:34" x14ac:dyDescent="0.35">
      <c r="B43" s="478"/>
      <c r="D43" s="478"/>
      <c r="F43" s="479"/>
      <c r="H43" s="478"/>
      <c r="J43" s="442" t="s">
        <v>425</v>
      </c>
      <c r="K43" s="445" t="s">
        <v>396</v>
      </c>
      <c r="L43" s="489" t="s">
        <v>387</v>
      </c>
      <c r="M43" s="445">
        <v>7</v>
      </c>
      <c r="N43" s="442" t="s">
        <v>11</v>
      </c>
      <c r="O43" s="442" t="s">
        <v>402</v>
      </c>
      <c r="P43" s="453"/>
      <c r="R43" s="490"/>
      <c r="S43" s="490"/>
      <c r="T43" s="490"/>
      <c r="U43" s="490"/>
      <c r="V43" s="490"/>
      <c r="W43" s="490"/>
      <c r="X43" s="490"/>
      <c r="AB43" s="270"/>
      <c r="AC43" s="477"/>
      <c r="AD43" s="477"/>
      <c r="AH43" s="270"/>
    </row>
    <row r="44" spans="2:34" x14ac:dyDescent="0.35">
      <c r="B44" s="478"/>
      <c r="D44" s="478"/>
      <c r="F44" s="479"/>
      <c r="H44" s="478"/>
      <c r="J44" s="485" t="s">
        <v>451</v>
      </c>
      <c r="K44" s="486" t="s">
        <v>397</v>
      </c>
      <c r="L44" s="487" t="s">
        <v>432</v>
      </c>
      <c r="M44" s="486">
        <v>1</v>
      </c>
      <c r="N44" s="485" t="s">
        <v>10</v>
      </c>
      <c r="O44" s="485" t="s">
        <v>402</v>
      </c>
      <c r="P44" s="488" t="s">
        <v>434</v>
      </c>
      <c r="R44" s="490"/>
      <c r="S44" s="490"/>
      <c r="T44" s="490"/>
      <c r="U44" s="490"/>
      <c r="V44" s="490"/>
      <c r="W44" s="490"/>
      <c r="X44" s="490"/>
      <c r="AB44" s="270"/>
      <c r="AC44" s="477"/>
      <c r="AD44" s="477"/>
      <c r="AH44" s="270"/>
    </row>
    <row r="45" spans="2:34" x14ac:dyDescent="0.35">
      <c r="B45" s="478"/>
      <c r="D45" s="478"/>
      <c r="F45" s="479"/>
      <c r="H45" s="478"/>
      <c r="J45" s="442" t="s">
        <v>451</v>
      </c>
      <c r="K45" s="445" t="s">
        <v>397</v>
      </c>
      <c r="L45" s="489" t="s">
        <v>433</v>
      </c>
      <c r="M45" s="445">
        <v>1</v>
      </c>
      <c r="N45" s="442" t="s">
        <v>10</v>
      </c>
      <c r="O45" s="442" t="s">
        <v>402</v>
      </c>
      <c r="P45" s="453" t="s">
        <v>434</v>
      </c>
      <c r="R45" s="490"/>
      <c r="S45" s="490"/>
      <c r="T45" s="490"/>
      <c r="U45" s="490"/>
      <c r="V45" s="490"/>
      <c r="W45" s="490"/>
      <c r="X45" s="490"/>
      <c r="AB45" s="270"/>
      <c r="AC45" s="477"/>
      <c r="AD45" s="477"/>
      <c r="AH45" s="270"/>
    </row>
    <row r="46" spans="2:34" x14ac:dyDescent="0.35">
      <c r="B46" s="478"/>
      <c r="D46" s="478"/>
      <c r="F46" s="479"/>
      <c r="H46" s="478"/>
      <c r="J46" s="485" t="s">
        <v>451</v>
      </c>
      <c r="K46" s="486" t="s">
        <v>397</v>
      </c>
      <c r="L46" s="487" t="s">
        <v>179</v>
      </c>
      <c r="M46" s="486">
        <v>6</v>
      </c>
      <c r="N46" s="485" t="s">
        <v>10</v>
      </c>
      <c r="O46" s="485" t="s">
        <v>402</v>
      </c>
      <c r="P46" s="488" t="s">
        <v>434</v>
      </c>
      <c r="R46" s="490"/>
      <c r="S46" s="490"/>
      <c r="T46" s="490"/>
      <c r="U46" s="490"/>
      <c r="V46" s="490"/>
      <c r="W46" s="490"/>
      <c r="X46" s="490"/>
      <c r="AB46" s="270"/>
      <c r="AC46" s="477"/>
      <c r="AD46" s="477"/>
      <c r="AH46" s="270"/>
    </row>
    <row r="47" spans="2:34" x14ac:dyDescent="0.35">
      <c r="B47" s="478"/>
      <c r="D47" s="478"/>
      <c r="F47" s="479"/>
      <c r="H47" s="478"/>
      <c r="J47" s="442" t="s">
        <v>463</v>
      </c>
      <c r="K47" s="445" t="s">
        <v>396</v>
      </c>
      <c r="L47" s="489" t="s">
        <v>465</v>
      </c>
      <c r="M47" s="445">
        <v>1</v>
      </c>
      <c r="N47" s="442" t="s">
        <v>11</v>
      </c>
      <c r="O47" s="442"/>
      <c r="P47" s="453"/>
      <c r="R47" s="490"/>
      <c r="S47" s="490"/>
      <c r="T47" s="490"/>
      <c r="U47" s="490"/>
      <c r="V47" s="490"/>
      <c r="W47" s="490"/>
      <c r="X47" s="490"/>
      <c r="AB47" s="270"/>
      <c r="AC47" s="477"/>
      <c r="AD47" s="477"/>
      <c r="AH47" s="270"/>
    </row>
    <row r="48" spans="2:34" x14ac:dyDescent="0.35">
      <c r="B48" s="478"/>
      <c r="D48" s="478"/>
      <c r="F48" s="479"/>
      <c r="H48" s="478"/>
      <c r="J48" s="485" t="s">
        <v>463</v>
      </c>
      <c r="K48" s="486" t="s">
        <v>396</v>
      </c>
      <c r="L48" s="487" t="s">
        <v>466</v>
      </c>
      <c r="M48" s="486">
        <v>1</v>
      </c>
      <c r="N48" s="485" t="s">
        <v>11</v>
      </c>
      <c r="O48" s="485"/>
      <c r="P48" s="488"/>
      <c r="R48" s="490"/>
      <c r="S48" s="490"/>
      <c r="T48" s="490"/>
      <c r="U48" s="490"/>
      <c r="V48" s="490"/>
      <c r="W48" s="490"/>
      <c r="X48" s="490"/>
      <c r="AB48" s="270"/>
      <c r="AC48" s="477"/>
      <c r="AD48" s="477"/>
      <c r="AH48" s="270"/>
    </row>
    <row r="49" spans="2:34" x14ac:dyDescent="0.35">
      <c r="B49" s="478"/>
      <c r="D49" s="478"/>
      <c r="F49" s="479"/>
      <c r="H49" s="478"/>
      <c r="J49" s="442" t="s">
        <v>389</v>
      </c>
      <c r="K49" s="445" t="s">
        <v>397</v>
      </c>
      <c r="L49" s="489" t="s">
        <v>427</v>
      </c>
      <c r="M49" s="445">
        <v>1</v>
      </c>
      <c r="N49" s="442" t="s">
        <v>10</v>
      </c>
      <c r="O49" s="442" t="s">
        <v>402</v>
      </c>
      <c r="P49" s="453" t="s">
        <v>428</v>
      </c>
      <c r="R49" s="490"/>
      <c r="S49" s="490"/>
      <c r="T49" s="490"/>
      <c r="U49" s="490"/>
      <c r="V49" s="490"/>
      <c r="W49" s="490"/>
      <c r="X49" s="490"/>
      <c r="AB49" s="270"/>
      <c r="AC49" s="477"/>
      <c r="AD49" s="477"/>
      <c r="AH49" s="270"/>
    </row>
    <row r="50" spans="2:34" x14ac:dyDescent="0.35">
      <c r="B50" s="478"/>
      <c r="D50" s="478"/>
      <c r="F50" s="479"/>
      <c r="H50" s="478"/>
      <c r="J50" s="485" t="s">
        <v>389</v>
      </c>
      <c r="K50" s="486" t="s">
        <v>397</v>
      </c>
      <c r="L50" s="487">
        <v>5629763010</v>
      </c>
      <c r="M50" s="486">
        <v>1</v>
      </c>
      <c r="N50" s="485" t="s">
        <v>10</v>
      </c>
      <c r="O50" s="485" t="s">
        <v>402</v>
      </c>
      <c r="P50" s="488" t="s">
        <v>428</v>
      </c>
      <c r="R50" s="490"/>
      <c r="S50" s="490"/>
      <c r="T50" s="490"/>
      <c r="U50" s="490"/>
      <c r="V50" s="490"/>
      <c r="W50" s="490"/>
      <c r="X50" s="490"/>
      <c r="AB50" s="270"/>
      <c r="AC50" s="477"/>
      <c r="AD50" s="477"/>
      <c r="AH50" s="270"/>
    </row>
    <row r="51" spans="2:34" x14ac:dyDescent="0.35">
      <c r="B51" s="478"/>
      <c r="D51" s="478"/>
      <c r="F51" s="479"/>
      <c r="H51" s="478"/>
      <c r="J51" s="442" t="s">
        <v>389</v>
      </c>
      <c r="K51" s="445" t="s">
        <v>397</v>
      </c>
      <c r="L51" s="489">
        <v>7717757261</v>
      </c>
      <c r="M51" s="445">
        <v>2</v>
      </c>
      <c r="N51" s="442" t="s">
        <v>10</v>
      </c>
      <c r="O51" s="442" t="s">
        <v>402</v>
      </c>
      <c r="P51" s="453" t="s">
        <v>428</v>
      </c>
      <c r="R51" s="490"/>
      <c r="S51" s="490"/>
      <c r="T51" s="490"/>
      <c r="U51" s="490"/>
      <c r="V51" s="490"/>
      <c r="W51" s="490"/>
      <c r="X51" s="490"/>
      <c r="AB51" s="270"/>
      <c r="AC51" s="477"/>
      <c r="AD51" s="477"/>
      <c r="AH51" s="270"/>
    </row>
    <row r="52" spans="2:34" x14ac:dyDescent="0.35">
      <c r="B52" s="478"/>
      <c r="D52" s="478"/>
      <c r="F52" s="479"/>
      <c r="H52" s="478"/>
      <c r="J52" s="485" t="s">
        <v>389</v>
      </c>
      <c r="K52" s="486" t="s">
        <v>397</v>
      </c>
      <c r="L52" s="487" t="s">
        <v>429</v>
      </c>
      <c r="M52" s="486">
        <v>5</v>
      </c>
      <c r="N52" s="485" t="s">
        <v>10</v>
      </c>
      <c r="O52" s="485" t="s">
        <v>402</v>
      </c>
      <c r="P52" s="488" t="s">
        <v>428</v>
      </c>
      <c r="R52" s="490"/>
      <c r="S52" s="490"/>
      <c r="T52" s="490"/>
      <c r="U52" s="490"/>
      <c r="V52" s="490"/>
      <c r="W52" s="490"/>
      <c r="X52" s="490"/>
      <c r="AB52" s="270"/>
      <c r="AC52" s="477"/>
      <c r="AD52" s="477"/>
      <c r="AH52" s="270"/>
    </row>
    <row r="53" spans="2:34" x14ac:dyDescent="0.35">
      <c r="B53" s="478"/>
      <c r="D53" s="478"/>
      <c r="F53" s="479"/>
      <c r="H53" s="478"/>
      <c r="J53" s="442" t="s">
        <v>12</v>
      </c>
      <c r="K53" s="445" t="s">
        <v>397</v>
      </c>
      <c r="L53" s="489" t="s">
        <v>378</v>
      </c>
      <c r="M53" s="445">
        <v>4</v>
      </c>
      <c r="N53" s="442" t="s">
        <v>8</v>
      </c>
      <c r="O53" s="442" t="s">
        <v>409</v>
      </c>
      <c r="P53" s="453" t="s">
        <v>413</v>
      </c>
      <c r="R53" s="490"/>
      <c r="S53" s="490"/>
      <c r="T53" s="490"/>
      <c r="U53" s="490"/>
      <c r="V53" s="490"/>
      <c r="W53" s="490"/>
      <c r="X53" s="490"/>
      <c r="AB53" s="270"/>
      <c r="AC53" s="477"/>
      <c r="AD53" s="477"/>
      <c r="AH53" s="270"/>
    </row>
    <row r="54" spans="2:34" x14ac:dyDescent="0.35">
      <c r="B54" s="478"/>
      <c r="D54" s="478"/>
      <c r="F54" s="479"/>
      <c r="H54" s="478"/>
      <c r="J54" s="485" t="s">
        <v>379</v>
      </c>
      <c r="K54" s="486" t="s">
        <v>397</v>
      </c>
      <c r="L54" s="487" t="s">
        <v>379</v>
      </c>
      <c r="M54" s="486">
        <v>1</v>
      </c>
      <c r="N54" s="485" t="s">
        <v>10</v>
      </c>
      <c r="O54" s="485" t="s">
        <v>403</v>
      </c>
      <c r="P54" s="488" t="s">
        <v>430</v>
      </c>
      <c r="R54" s="490"/>
      <c r="S54" s="490"/>
      <c r="T54" s="490"/>
      <c r="U54" s="490"/>
      <c r="V54" s="490"/>
      <c r="W54" s="490"/>
      <c r="X54" s="490"/>
      <c r="AB54" s="270"/>
      <c r="AC54" s="477"/>
      <c r="AD54" s="477"/>
      <c r="AH54" s="270"/>
    </row>
    <row r="55" spans="2:34" x14ac:dyDescent="0.35">
      <c r="B55" s="478"/>
      <c r="D55" s="478"/>
      <c r="F55" s="479"/>
      <c r="H55" s="478"/>
      <c r="J55" s="442" t="s">
        <v>379</v>
      </c>
      <c r="K55" s="445" t="s">
        <v>397</v>
      </c>
      <c r="L55" s="489">
        <v>10240612781</v>
      </c>
      <c r="M55" s="445">
        <v>1</v>
      </c>
      <c r="N55" s="442" t="s">
        <v>10</v>
      </c>
      <c r="O55" s="442" t="s">
        <v>403</v>
      </c>
      <c r="P55" s="453" t="s">
        <v>430</v>
      </c>
      <c r="R55" s="490"/>
      <c r="S55" s="490"/>
      <c r="T55" s="490"/>
      <c r="U55" s="490"/>
      <c r="V55" s="490"/>
      <c r="W55" s="490"/>
      <c r="X55" s="490"/>
      <c r="AB55" s="270"/>
      <c r="AC55" s="477"/>
      <c r="AD55" s="477"/>
      <c r="AH55" s="270"/>
    </row>
    <row r="56" spans="2:34" x14ac:dyDescent="0.35">
      <c r="B56" s="478"/>
      <c r="D56" s="478"/>
      <c r="F56" s="479"/>
      <c r="H56" s="478"/>
      <c r="J56" s="485" t="s">
        <v>379</v>
      </c>
      <c r="K56" s="486" t="s">
        <v>397</v>
      </c>
      <c r="L56" s="487" t="s">
        <v>431</v>
      </c>
      <c r="M56" s="486">
        <v>1</v>
      </c>
      <c r="N56" s="485" t="s">
        <v>10</v>
      </c>
      <c r="O56" s="485" t="s">
        <v>403</v>
      </c>
      <c r="P56" s="488" t="s">
        <v>430</v>
      </c>
      <c r="R56" s="490"/>
      <c r="S56" s="490"/>
      <c r="T56" s="490"/>
      <c r="U56" s="490"/>
      <c r="V56" s="490"/>
      <c r="W56" s="490"/>
      <c r="X56" s="490"/>
      <c r="AB56" s="270"/>
      <c r="AC56" s="477"/>
      <c r="AD56" s="477"/>
      <c r="AH56" s="270"/>
    </row>
    <row r="57" spans="2:34" x14ac:dyDescent="0.35">
      <c r="B57" s="478"/>
      <c r="D57" s="478"/>
      <c r="F57" s="479"/>
      <c r="H57" s="490"/>
      <c r="J57" s="442" t="s">
        <v>464</v>
      </c>
      <c r="K57" s="445" t="s">
        <v>396</v>
      </c>
      <c r="L57" s="489"/>
      <c r="M57" s="445">
        <v>1</v>
      </c>
      <c r="N57" s="442"/>
      <c r="O57" s="442"/>
      <c r="P57" s="453"/>
      <c r="R57" s="490"/>
      <c r="S57" s="490"/>
      <c r="T57" s="490"/>
      <c r="U57" s="490"/>
      <c r="V57" s="490"/>
      <c r="W57" s="490"/>
      <c r="X57" s="490"/>
      <c r="AC57" s="477"/>
      <c r="AD57" s="477"/>
      <c r="AH57" s="270"/>
    </row>
    <row r="58" spans="2:34" x14ac:dyDescent="0.35">
      <c r="B58" s="478"/>
      <c r="D58" s="478"/>
      <c r="F58" s="479"/>
      <c r="J58" s="485" t="s">
        <v>459</v>
      </c>
      <c r="K58" s="486" t="s">
        <v>397</v>
      </c>
      <c r="L58" s="487" t="s">
        <v>435</v>
      </c>
      <c r="M58" s="486">
        <v>1</v>
      </c>
      <c r="N58" s="485" t="s">
        <v>10</v>
      </c>
      <c r="O58" s="485" t="s">
        <v>402</v>
      </c>
      <c r="P58" s="488" t="s">
        <v>434</v>
      </c>
      <c r="R58" s="490"/>
      <c r="S58" s="490"/>
      <c r="T58" s="490"/>
      <c r="U58" s="490"/>
      <c r="V58" s="490"/>
      <c r="W58" s="490"/>
      <c r="X58" s="490"/>
      <c r="AC58" s="477"/>
      <c r="AD58" s="477"/>
      <c r="AH58" s="270"/>
    </row>
    <row r="59" spans="2:34" x14ac:dyDescent="0.35">
      <c r="B59" s="478"/>
      <c r="D59" s="478"/>
      <c r="F59" s="479"/>
      <c r="J59" s="442" t="s">
        <v>459</v>
      </c>
      <c r="K59" s="445" t="s">
        <v>397</v>
      </c>
      <c r="L59" s="489" t="s">
        <v>177</v>
      </c>
      <c r="M59" s="445">
        <v>6</v>
      </c>
      <c r="N59" s="442" t="s">
        <v>10</v>
      </c>
      <c r="O59" s="442" t="s">
        <v>402</v>
      </c>
      <c r="P59" s="453" t="s">
        <v>434</v>
      </c>
      <c r="R59" s="490"/>
      <c r="S59" s="490"/>
      <c r="T59" s="490"/>
      <c r="U59" s="490"/>
      <c r="V59" s="490"/>
      <c r="W59" s="490"/>
      <c r="X59" s="490"/>
      <c r="AC59" s="477"/>
      <c r="AD59" s="477"/>
      <c r="AH59" s="270"/>
    </row>
    <row r="60" spans="2:34" x14ac:dyDescent="0.35">
      <c r="B60" s="478"/>
      <c r="D60" s="490"/>
      <c r="F60" s="479"/>
      <c r="J60" s="485" t="s">
        <v>459</v>
      </c>
      <c r="K60" s="486" t="s">
        <v>397</v>
      </c>
      <c r="L60" s="487" t="s">
        <v>191</v>
      </c>
      <c r="M60" s="486">
        <v>2</v>
      </c>
      <c r="N60" s="485" t="s">
        <v>10</v>
      </c>
      <c r="O60" s="485" t="s">
        <v>402</v>
      </c>
      <c r="P60" s="488" t="s">
        <v>434</v>
      </c>
      <c r="R60" s="490"/>
      <c r="S60" s="490"/>
      <c r="T60" s="490"/>
      <c r="U60" s="490"/>
      <c r="V60" s="490"/>
      <c r="W60" s="490"/>
      <c r="X60" s="490"/>
      <c r="AC60" s="270"/>
      <c r="AD60" s="477"/>
      <c r="AH60" s="270"/>
    </row>
    <row r="61" spans="2:34" x14ac:dyDescent="0.35">
      <c r="B61" s="478"/>
      <c r="F61" s="479"/>
      <c r="J61" s="262"/>
      <c r="K61" s="327"/>
      <c r="L61" s="262"/>
      <c r="M61" s="327"/>
      <c r="N61" s="262"/>
      <c r="O61" s="262"/>
      <c r="P61" s="262"/>
      <c r="R61" s="490"/>
      <c r="S61" s="490"/>
      <c r="T61" s="490"/>
      <c r="U61" s="490"/>
      <c r="V61" s="490"/>
      <c r="W61" s="490"/>
      <c r="X61" s="490"/>
      <c r="AC61" s="428"/>
      <c r="AD61" s="477"/>
      <c r="AH61" s="270"/>
    </row>
    <row r="62" spans="2:34" x14ac:dyDescent="0.35">
      <c r="B62" s="478"/>
      <c r="F62" s="479"/>
      <c r="J62" s="490"/>
      <c r="K62" s="484"/>
      <c r="L62" s="490"/>
      <c r="M62" s="484"/>
      <c r="N62" s="490"/>
      <c r="O62" s="490"/>
      <c r="P62" s="490"/>
      <c r="R62" s="490"/>
      <c r="S62" s="490"/>
      <c r="T62" s="490"/>
      <c r="U62" s="490"/>
      <c r="V62" s="490"/>
      <c r="W62" s="490"/>
      <c r="X62" s="490"/>
      <c r="AC62" s="428"/>
      <c r="AD62" s="270"/>
      <c r="AH62" s="270"/>
    </row>
    <row r="63" spans="2:34" x14ac:dyDescent="0.35">
      <c r="B63" s="478"/>
      <c r="F63" s="479"/>
      <c r="J63" s="490"/>
      <c r="K63" s="484"/>
      <c r="L63" s="490"/>
      <c r="M63" s="484"/>
      <c r="N63" s="490"/>
      <c r="O63" s="490"/>
      <c r="P63" s="490"/>
      <c r="R63" s="490"/>
      <c r="S63" s="490"/>
      <c r="T63" s="490"/>
      <c r="U63" s="490"/>
      <c r="V63" s="490"/>
      <c r="W63" s="490"/>
      <c r="X63" s="490"/>
      <c r="AC63" s="428"/>
      <c r="AH63" s="270"/>
    </row>
    <row r="64" spans="2:34" x14ac:dyDescent="0.35">
      <c r="F64" s="479"/>
      <c r="J64" s="490"/>
      <c r="K64" s="484"/>
      <c r="L64" s="490"/>
      <c r="M64" s="484"/>
      <c r="N64" s="490"/>
      <c r="O64" s="490"/>
      <c r="P64" s="490"/>
      <c r="R64" s="490"/>
      <c r="S64" s="490"/>
      <c r="T64" s="490"/>
      <c r="U64" s="490"/>
      <c r="V64" s="490"/>
      <c r="W64" s="490"/>
      <c r="X64" s="490"/>
      <c r="AC64" s="428"/>
      <c r="AH64" s="270"/>
    </row>
    <row r="65" spans="6:34" x14ac:dyDescent="0.35">
      <c r="F65" s="479"/>
      <c r="J65" s="490"/>
      <c r="K65" s="484"/>
      <c r="L65" s="490"/>
      <c r="M65" s="484"/>
      <c r="N65" s="490"/>
      <c r="O65" s="490"/>
      <c r="P65" s="490"/>
      <c r="R65" s="490"/>
      <c r="S65" s="490"/>
      <c r="T65" s="490"/>
      <c r="U65" s="490"/>
      <c r="V65" s="490"/>
      <c r="W65" s="490"/>
      <c r="X65" s="490"/>
      <c r="AC65" s="428"/>
      <c r="AH65" s="270"/>
    </row>
    <row r="66" spans="6:34" x14ac:dyDescent="0.35">
      <c r="F66" s="479"/>
      <c r="J66" s="490"/>
      <c r="K66" s="484"/>
      <c r="L66" s="490"/>
      <c r="M66" s="484"/>
      <c r="N66" s="490"/>
      <c r="O66" s="490"/>
      <c r="P66" s="490"/>
      <c r="R66" s="490"/>
      <c r="S66" s="490"/>
      <c r="T66" s="490"/>
      <c r="U66" s="490"/>
      <c r="V66" s="490"/>
      <c r="W66" s="490"/>
      <c r="X66" s="490"/>
      <c r="AC66" s="428"/>
      <c r="AH66" s="270"/>
    </row>
    <row r="67" spans="6:34" x14ac:dyDescent="0.35">
      <c r="F67" s="479"/>
      <c r="J67" s="490"/>
      <c r="K67" s="484"/>
      <c r="L67" s="490"/>
      <c r="M67" s="484"/>
      <c r="N67" s="490"/>
      <c r="O67" s="490"/>
      <c r="P67" s="490"/>
      <c r="R67" s="490"/>
      <c r="S67" s="490"/>
      <c r="T67" s="490"/>
      <c r="U67" s="490"/>
      <c r="V67" s="490"/>
      <c r="W67" s="490"/>
      <c r="X67" s="490"/>
      <c r="AC67" s="428"/>
    </row>
    <row r="68" spans="6:34" x14ac:dyDescent="0.35">
      <c r="F68" s="479"/>
      <c r="J68" s="490"/>
      <c r="K68" s="484"/>
      <c r="L68" s="490"/>
      <c r="M68" s="484"/>
      <c r="N68" s="490"/>
      <c r="O68" s="490"/>
      <c r="P68" s="490"/>
      <c r="R68" s="490"/>
      <c r="S68" s="490"/>
      <c r="T68" s="490"/>
      <c r="U68" s="490"/>
      <c r="V68" s="490"/>
      <c r="W68" s="490"/>
      <c r="X68" s="490"/>
      <c r="AC68" s="428"/>
    </row>
    <row r="69" spans="6:34" x14ac:dyDescent="0.35">
      <c r="F69" s="484"/>
      <c r="J69" s="490"/>
      <c r="K69" s="484"/>
      <c r="L69" s="490"/>
      <c r="M69" s="484"/>
      <c r="N69" s="490"/>
      <c r="O69" s="490"/>
      <c r="P69" s="490"/>
      <c r="R69" s="490"/>
      <c r="S69" s="490"/>
      <c r="T69" s="490"/>
      <c r="U69" s="490"/>
      <c r="V69" s="490"/>
      <c r="W69" s="490"/>
      <c r="X69" s="490"/>
      <c r="AC69" s="428"/>
    </row>
    <row r="70" spans="6:34" x14ac:dyDescent="0.35">
      <c r="J70" s="490"/>
      <c r="K70" s="484"/>
      <c r="L70" s="490"/>
      <c r="M70" s="484"/>
      <c r="N70" s="490"/>
      <c r="O70" s="490"/>
      <c r="P70" s="490"/>
      <c r="R70" s="490"/>
      <c r="S70" s="490"/>
      <c r="T70" s="490"/>
      <c r="U70" s="490"/>
      <c r="V70" s="490"/>
      <c r="W70" s="490"/>
      <c r="X70" s="490"/>
      <c r="AC70" s="428"/>
    </row>
    <row r="71" spans="6:34" x14ac:dyDescent="0.35">
      <c r="J71" s="490"/>
      <c r="K71" s="484"/>
      <c r="L71" s="490"/>
      <c r="M71" s="484"/>
      <c r="N71" s="490"/>
      <c r="O71" s="490"/>
      <c r="P71" s="490"/>
      <c r="R71" s="490"/>
      <c r="S71" s="490"/>
      <c r="T71" s="490"/>
      <c r="U71" s="490"/>
      <c r="V71" s="490"/>
      <c r="W71" s="490"/>
      <c r="X71" s="490"/>
      <c r="AC71" s="428"/>
    </row>
    <row r="72" spans="6:34" x14ac:dyDescent="0.35">
      <c r="J72" s="490"/>
      <c r="K72" s="484"/>
      <c r="L72" s="490"/>
      <c r="M72" s="484"/>
      <c r="N72" s="490"/>
      <c r="O72" s="490"/>
      <c r="P72" s="490"/>
      <c r="R72" s="490"/>
      <c r="S72" s="490"/>
      <c r="T72" s="490"/>
      <c r="U72" s="490"/>
      <c r="V72" s="490"/>
      <c r="W72" s="490"/>
      <c r="X72" s="490"/>
      <c r="AC72" s="428"/>
    </row>
    <row r="73" spans="6:34" x14ac:dyDescent="0.35">
      <c r="J73" s="490"/>
      <c r="K73" s="484"/>
      <c r="L73" s="490"/>
      <c r="M73" s="484"/>
      <c r="N73" s="490"/>
      <c r="O73" s="490"/>
      <c r="P73" s="490"/>
      <c r="R73" s="490"/>
      <c r="S73" s="490"/>
      <c r="T73" s="490"/>
      <c r="U73" s="490"/>
      <c r="V73" s="490"/>
      <c r="W73" s="490"/>
      <c r="X73" s="490"/>
      <c r="AC73" s="428"/>
    </row>
    <row r="74" spans="6:34" x14ac:dyDescent="0.35">
      <c r="J74" s="490"/>
      <c r="K74" s="484"/>
      <c r="L74" s="490"/>
      <c r="M74" s="484"/>
      <c r="N74" s="490"/>
      <c r="O74" s="490"/>
      <c r="P74" s="490"/>
      <c r="R74" s="490"/>
      <c r="S74" s="490"/>
      <c r="T74" s="490"/>
      <c r="U74" s="490"/>
      <c r="V74" s="490"/>
      <c r="W74" s="490"/>
      <c r="X74" s="490"/>
      <c r="AC74" s="428"/>
    </row>
    <row r="75" spans="6:34" x14ac:dyDescent="0.35">
      <c r="J75" s="490"/>
      <c r="K75" s="484"/>
      <c r="L75" s="490"/>
      <c r="M75" s="484"/>
      <c r="N75" s="490"/>
      <c r="O75" s="490"/>
      <c r="P75" s="490"/>
      <c r="R75" s="490"/>
      <c r="S75" s="490"/>
      <c r="T75" s="490"/>
      <c r="U75" s="490"/>
      <c r="V75" s="490"/>
      <c r="W75" s="490"/>
      <c r="X75" s="490"/>
      <c r="AC75" s="428"/>
    </row>
    <row r="76" spans="6:34" x14ac:dyDescent="0.35">
      <c r="J76" s="490"/>
      <c r="K76" s="484"/>
      <c r="L76" s="490"/>
      <c r="M76" s="484"/>
      <c r="N76" s="490"/>
      <c r="O76" s="490"/>
      <c r="P76" s="490"/>
      <c r="R76" s="490"/>
      <c r="S76" s="490"/>
      <c r="T76" s="490"/>
      <c r="U76" s="490"/>
      <c r="V76" s="490"/>
      <c r="W76" s="490"/>
      <c r="X76" s="490"/>
      <c r="AC76" s="428"/>
    </row>
    <row r="77" spans="6:34" x14ac:dyDescent="0.35">
      <c r="J77" s="490"/>
      <c r="K77" s="484"/>
      <c r="L77" s="490"/>
      <c r="M77" s="484"/>
      <c r="N77" s="490"/>
      <c r="O77" s="490"/>
      <c r="P77" s="490"/>
      <c r="R77" s="490"/>
      <c r="S77" s="490"/>
      <c r="T77" s="490"/>
      <c r="U77" s="490"/>
      <c r="V77" s="490"/>
      <c r="W77" s="490"/>
      <c r="X77" s="490"/>
      <c r="AC77" s="428"/>
    </row>
    <row r="78" spans="6:34" x14ac:dyDescent="0.35">
      <c r="J78" s="490"/>
      <c r="K78" s="484"/>
      <c r="L78" s="490"/>
      <c r="M78" s="484"/>
      <c r="N78" s="490"/>
      <c r="O78" s="490"/>
      <c r="P78" s="490"/>
      <c r="R78" s="490"/>
      <c r="S78" s="490"/>
      <c r="T78" s="490"/>
      <c r="U78" s="490"/>
      <c r="V78" s="490"/>
      <c r="W78" s="490"/>
      <c r="X78" s="490"/>
      <c r="AC78" s="428"/>
    </row>
    <row r="79" spans="6:34" x14ac:dyDescent="0.35">
      <c r="J79" s="490"/>
      <c r="K79" s="484"/>
      <c r="L79" s="490"/>
      <c r="M79" s="484"/>
      <c r="N79" s="490"/>
      <c r="O79" s="490"/>
      <c r="P79" s="490"/>
      <c r="R79" s="490"/>
      <c r="S79" s="490"/>
      <c r="T79" s="490"/>
      <c r="U79" s="490"/>
      <c r="V79" s="490"/>
      <c r="W79" s="490"/>
      <c r="X79" s="490"/>
      <c r="AC79" s="428"/>
    </row>
    <row r="80" spans="6:34" x14ac:dyDescent="0.35">
      <c r="J80" s="490"/>
      <c r="K80" s="484"/>
      <c r="L80" s="490"/>
      <c r="M80" s="484"/>
      <c r="N80" s="490"/>
      <c r="O80" s="490"/>
      <c r="P80" s="490"/>
      <c r="R80" s="490"/>
      <c r="S80" s="490"/>
      <c r="T80" s="490"/>
      <c r="U80" s="490"/>
      <c r="V80" s="490"/>
      <c r="W80" s="490"/>
      <c r="X80" s="490"/>
      <c r="AC80" s="428"/>
    </row>
    <row r="81" spans="10:29" x14ac:dyDescent="0.35">
      <c r="J81" s="490"/>
      <c r="K81" s="484"/>
      <c r="L81" s="490"/>
      <c r="M81" s="484"/>
      <c r="N81" s="490"/>
      <c r="O81" s="490"/>
      <c r="P81" s="490"/>
      <c r="R81" s="490"/>
      <c r="S81" s="490"/>
      <c r="T81" s="490"/>
      <c r="U81" s="490"/>
      <c r="V81" s="490"/>
      <c r="W81" s="490"/>
      <c r="X81" s="490"/>
      <c r="AC81" s="428"/>
    </row>
    <row r="82" spans="10:29" x14ac:dyDescent="0.35">
      <c r="J82" s="490"/>
      <c r="K82" s="484"/>
      <c r="L82" s="490"/>
      <c r="M82" s="484"/>
      <c r="N82" s="490"/>
      <c r="O82" s="490"/>
      <c r="P82" s="490"/>
      <c r="R82" s="490"/>
      <c r="S82" s="490"/>
      <c r="T82" s="490"/>
      <c r="U82" s="490"/>
      <c r="V82" s="490"/>
      <c r="W82" s="490"/>
      <c r="X82" s="490"/>
      <c r="AC82" s="428"/>
    </row>
    <row r="83" spans="10:29" x14ac:dyDescent="0.35">
      <c r="J83" s="490"/>
      <c r="K83" s="484"/>
      <c r="L83" s="490"/>
      <c r="M83" s="484"/>
      <c r="N83" s="490"/>
      <c r="O83" s="490"/>
      <c r="P83" s="490"/>
      <c r="R83" s="490"/>
      <c r="S83" s="490"/>
      <c r="T83" s="490"/>
      <c r="U83" s="490"/>
      <c r="V83" s="490"/>
      <c r="W83" s="490"/>
      <c r="X83" s="490"/>
      <c r="AC83" s="428"/>
    </row>
    <row r="84" spans="10:29" x14ac:dyDescent="0.35">
      <c r="J84" s="490"/>
      <c r="K84" s="484"/>
      <c r="L84" s="490"/>
      <c r="M84" s="484"/>
      <c r="N84" s="490"/>
      <c r="O84" s="490"/>
      <c r="P84" s="490"/>
      <c r="R84" s="490"/>
      <c r="S84" s="490"/>
      <c r="T84" s="490"/>
      <c r="U84" s="490"/>
      <c r="V84" s="490"/>
      <c r="W84" s="490"/>
      <c r="X84" s="490"/>
      <c r="AC84" s="428"/>
    </row>
    <row r="85" spans="10:29" x14ac:dyDescent="0.35">
      <c r="J85" s="490"/>
      <c r="K85" s="484"/>
      <c r="L85" s="490"/>
      <c r="M85" s="484"/>
      <c r="N85" s="490"/>
      <c r="O85" s="490"/>
      <c r="P85" s="490"/>
      <c r="R85" s="490"/>
      <c r="S85" s="490"/>
      <c r="T85" s="490"/>
      <c r="U85" s="490"/>
      <c r="V85" s="490"/>
      <c r="W85" s="490"/>
      <c r="X85" s="490"/>
      <c r="AC85" s="428"/>
    </row>
    <row r="86" spans="10:29" x14ac:dyDescent="0.35">
      <c r="J86" s="490"/>
      <c r="K86" s="484"/>
      <c r="L86" s="490"/>
      <c r="M86" s="484"/>
      <c r="N86" s="490"/>
      <c r="O86" s="490"/>
      <c r="P86" s="490"/>
      <c r="R86" s="490"/>
      <c r="S86" s="490"/>
      <c r="T86" s="490"/>
      <c r="U86" s="490"/>
      <c r="V86" s="490"/>
      <c r="W86" s="490"/>
      <c r="X86" s="490"/>
      <c r="AC86" s="428"/>
    </row>
    <row r="87" spans="10:29" x14ac:dyDescent="0.35">
      <c r="J87" s="490"/>
      <c r="K87" s="484"/>
      <c r="L87" s="490"/>
      <c r="M87" s="484"/>
      <c r="N87" s="490"/>
      <c r="O87" s="490"/>
      <c r="P87" s="490"/>
      <c r="R87" s="490"/>
      <c r="S87" s="490"/>
      <c r="T87" s="490"/>
      <c r="U87" s="490"/>
      <c r="V87" s="490"/>
      <c r="W87" s="490"/>
      <c r="X87" s="490"/>
      <c r="AC87" s="428"/>
    </row>
    <row r="88" spans="10:29" x14ac:dyDescent="0.35">
      <c r="J88" s="490"/>
      <c r="K88" s="484"/>
      <c r="L88" s="490"/>
      <c r="M88" s="484"/>
      <c r="N88" s="490"/>
      <c r="O88" s="490"/>
      <c r="P88" s="490"/>
      <c r="R88" s="490"/>
      <c r="S88" s="490"/>
      <c r="T88" s="490"/>
      <c r="U88" s="490"/>
      <c r="V88" s="490"/>
      <c r="W88" s="490"/>
      <c r="X88" s="490"/>
      <c r="AC88" s="428"/>
    </row>
    <row r="89" spans="10:29" x14ac:dyDescent="0.35">
      <c r="J89" s="490"/>
      <c r="K89" s="484"/>
      <c r="L89" s="490"/>
      <c r="M89" s="484"/>
      <c r="N89" s="490"/>
      <c r="O89" s="490"/>
      <c r="P89" s="490"/>
      <c r="R89" s="490"/>
      <c r="S89" s="490"/>
      <c r="T89" s="490"/>
      <c r="U89" s="490"/>
      <c r="V89" s="490"/>
      <c r="W89" s="490"/>
      <c r="X89" s="490"/>
      <c r="AC89" s="428"/>
    </row>
    <row r="90" spans="10:29" x14ac:dyDescent="0.35">
      <c r="J90" s="490"/>
      <c r="K90" s="484"/>
      <c r="L90" s="490"/>
      <c r="M90" s="484"/>
      <c r="N90" s="490"/>
      <c r="O90" s="490"/>
      <c r="P90" s="490"/>
      <c r="R90" s="490"/>
      <c r="S90" s="490"/>
      <c r="T90" s="490"/>
      <c r="U90" s="490"/>
      <c r="V90" s="490"/>
      <c r="W90" s="490"/>
      <c r="X90" s="490"/>
      <c r="AC90" s="428"/>
    </row>
    <row r="91" spans="10:29" x14ac:dyDescent="0.35">
      <c r="J91" s="490"/>
      <c r="K91" s="484"/>
      <c r="L91" s="490"/>
      <c r="M91" s="484"/>
      <c r="N91" s="490"/>
      <c r="O91" s="490"/>
      <c r="P91" s="490"/>
      <c r="R91" s="490"/>
      <c r="S91" s="490"/>
      <c r="T91" s="490"/>
      <c r="U91" s="490"/>
      <c r="V91" s="490"/>
      <c r="W91" s="490"/>
      <c r="X91" s="490"/>
      <c r="AC91" s="428"/>
    </row>
    <row r="92" spans="10:29" x14ac:dyDescent="0.35">
      <c r="J92" s="490"/>
      <c r="K92" s="484"/>
      <c r="L92" s="490"/>
      <c r="M92" s="484"/>
      <c r="N92" s="490"/>
      <c r="O92" s="490"/>
      <c r="P92" s="490"/>
      <c r="R92" s="490"/>
      <c r="S92" s="490"/>
      <c r="T92" s="490"/>
      <c r="U92" s="490"/>
      <c r="V92" s="490"/>
      <c r="W92" s="490"/>
      <c r="X92" s="490"/>
      <c r="AC92" s="428"/>
    </row>
    <row r="93" spans="10:29" x14ac:dyDescent="0.35">
      <c r="J93" s="490"/>
      <c r="K93" s="484"/>
      <c r="L93" s="490"/>
      <c r="M93" s="484"/>
      <c r="N93" s="490"/>
      <c r="O93" s="490"/>
      <c r="P93" s="490"/>
      <c r="R93" s="490"/>
      <c r="S93" s="490"/>
      <c r="T93" s="490"/>
      <c r="U93" s="490"/>
      <c r="V93" s="490"/>
      <c r="W93" s="490"/>
      <c r="X93" s="490"/>
      <c r="AC93" s="428"/>
    </row>
    <row r="94" spans="10:29" x14ac:dyDescent="0.35">
      <c r="J94" s="490"/>
      <c r="K94" s="484"/>
      <c r="L94" s="490"/>
      <c r="M94" s="484"/>
      <c r="N94" s="490"/>
      <c r="O94" s="490"/>
      <c r="P94" s="490"/>
      <c r="R94" s="490"/>
      <c r="S94" s="490"/>
      <c r="T94" s="490"/>
      <c r="U94" s="490"/>
      <c r="V94" s="490"/>
      <c r="W94" s="490"/>
      <c r="X94" s="490"/>
      <c r="AC94" s="428"/>
    </row>
    <row r="95" spans="10:29" x14ac:dyDescent="0.35">
      <c r="J95" s="490"/>
      <c r="K95" s="484"/>
      <c r="L95" s="490"/>
      <c r="M95" s="484"/>
      <c r="N95" s="490"/>
      <c r="O95" s="490"/>
      <c r="P95" s="490"/>
      <c r="R95" s="490"/>
      <c r="S95" s="490"/>
      <c r="T95" s="490"/>
      <c r="U95" s="490"/>
      <c r="V95" s="490"/>
      <c r="W95" s="490"/>
      <c r="X95" s="490"/>
      <c r="AC95" s="428"/>
    </row>
    <row r="96" spans="10:29" x14ac:dyDescent="0.35">
      <c r="J96" s="490"/>
      <c r="K96" s="484"/>
      <c r="L96" s="490"/>
      <c r="M96" s="484"/>
      <c r="N96" s="490"/>
      <c r="O96" s="490"/>
      <c r="P96" s="490"/>
      <c r="R96" s="490"/>
      <c r="S96" s="490"/>
      <c r="T96" s="490"/>
      <c r="U96" s="490"/>
      <c r="V96" s="490"/>
      <c r="W96" s="490"/>
      <c r="X96" s="490"/>
      <c r="AC96" s="428"/>
    </row>
    <row r="97" spans="10:29" x14ac:dyDescent="0.35">
      <c r="J97" s="490"/>
      <c r="K97" s="484"/>
      <c r="L97" s="490"/>
      <c r="M97" s="484"/>
      <c r="N97" s="490"/>
      <c r="O97" s="490"/>
      <c r="P97" s="490"/>
      <c r="R97" s="490"/>
      <c r="S97" s="490"/>
      <c r="T97" s="490"/>
      <c r="U97" s="490"/>
      <c r="V97" s="490"/>
      <c r="W97" s="490"/>
      <c r="X97" s="490"/>
      <c r="AC97" s="428"/>
    </row>
    <row r="98" spans="10:29" x14ac:dyDescent="0.35">
      <c r="J98" s="490"/>
      <c r="K98" s="484"/>
      <c r="L98" s="490"/>
      <c r="M98" s="484"/>
      <c r="N98" s="490"/>
      <c r="O98" s="490"/>
      <c r="P98" s="490"/>
      <c r="R98" s="490"/>
      <c r="S98" s="490"/>
      <c r="T98" s="490"/>
      <c r="U98" s="490"/>
      <c r="V98" s="490"/>
      <c r="W98" s="490"/>
      <c r="X98" s="490"/>
      <c r="AC98" s="428"/>
    </row>
    <row r="99" spans="10:29" x14ac:dyDescent="0.35">
      <c r="J99" s="490"/>
      <c r="K99" s="484"/>
      <c r="L99" s="490"/>
      <c r="M99" s="484"/>
      <c r="N99" s="490"/>
      <c r="O99" s="490"/>
      <c r="P99" s="490"/>
      <c r="R99" s="490"/>
      <c r="S99" s="490"/>
      <c r="T99" s="490"/>
      <c r="U99" s="490"/>
      <c r="V99" s="490"/>
      <c r="W99" s="490"/>
      <c r="X99" s="490"/>
      <c r="AC99" s="428"/>
    </row>
    <row r="100" spans="10:29" ht="409.5" x14ac:dyDescent="0.35">
      <c r="J100" s="490"/>
      <c r="K100" s="484"/>
      <c r="L100" s="490"/>
      <c r="M100" s="484"/>
      <c r="N100" s="490"/>
      <c r="O100" s="490"/>
      <c r="P100" s="490"/>
      <c r="R100" s="490"/>
      <c r="S100" s="490"/>
      <c r="T100" s="490"/>
      <c r="U100" s="490"/>
      <c r="V100" s="490"/>
      <c r="W100" s="490"/>
      <c r="X100" s="490"/>
      <c r="Y100" s="14" t="s">
        <v>481</v>
      </c>
      <c r="AC100" s="428"/>
    </row>
    <row r="101" spans="10:29" x14ac:dyDescent="0.35">
      <c r="J101" s="490"/>
      <c r="K101" s="484"/>
      <c r="L101" s="490"/>
      <c r="M101" s="484"/>
      <c r="N101" s="490"/>
      <c r="O101" s="490"/>
      <c r="P101" s="490"/>
      <c r="R101" s="490"/>
      <c r="S101" s="490"/>
      <c r="T101" s="490"/>
      <c r="U101" s="490"/>
      <c r="V101" s="490"/>
      <c r="W101" s="490"/>
      <c r="X101" s="490"/>
      <c r="AC101" s="428"/>
    </row>
    <row r="102" spans="10:29" x14ac:dyDescent="0.35">
      <c r="J102" s="490"/>
      <c r="K102" s="484"/>
      <c r="L102" s="490"/>
      <c r="M102" s="484"/>
      <c r="N102" s="490"/>
      <c r="O102" s="490"/>
      <c r="P102" s="490"/>
      <c r="R102" s="490"/>
      <c r="S102" s="490"/>
      <c r="T102" s="490"/>
      <c r="U102" s="490"/>
      <c r="V102" s="490"/>
      <c r="W102" s="490"/>
      <c r="X102" s="490"/>
      <c r="AC102" s="428"/>
    </row>
    <row r="103" spans="10:29" x14ac:dyDescent="0.35">
      <c r="J103" s="490"/>
      <c r="K103" s="484"/>
      <c r="L103" s="490"/>
      <c r="M103" s="484"/>
      <c r="N103" s="490"/>
      <c r="O103" s="490"/>
      <c r="P103" s="490"/>
      <c r="R103" s="490"/>
      <c r="S103" s="490"/>
      <c r="T103" s="490"/>
      <c r="U103" s="490"/>
      <c r="V103" s="490"/>
      <c r="W103" s="490"/>
      <c r="X103" s="490"/>
      <c r="AC103" s="428"/>
    </row>
    <row r="104" spans="10:29" x14ac:dyDescent="0.35">
      <c r="J104" s="490"/>
      <c r="K104" s="484"/>
      <c r="L104" s="490"/>
      <c r="M104" s="484"/>
      <c r="N104" s="490"/>
      <c r="O104" s="490"/>
      <c r="P104" s="490"/>
      <c r="R104" s="490"/>
      <c r="S104" s="490"/>
      <c r="T104" s="490"/>
      <c r="U104" s="490"/>
      <c r="V104" s="490"/>
      <c r="W104" s="490"/>
      <c r="X104" s="490"/>
      <c r="AC104" s="428"/>
    </row>
    <row r="105" spans="10:29" x14ac:dyDescent="0.35">
      <c r="J105" s="490"/>
      <c r="K105" s="484"/>
      <c r="L105" s="490"/>
      <c r="M105" s="484"/>
      <c r="N105" s="490"/>
      <c r="O105" s="490"/>
      <c r="P105" s="490"/>
      <c r="R105" s="490"/>
      <c r="S105" s="490"/>
      <c r="T105" s="490"/>
      <c r="U105" s="490"/>
      <c r="V105" s="490"/>
      <c r="W105" s="490"/>
      <c r="X105" s="490"/>
      <c r="AC105" s="428"/>
    </row>
    <row r="106" spans="10:29" x14ac:dyDescent="0.35">
      <c r="J106" s="490"/>
      <c r="K106" s="484"/>
      <c r="L106" s="490"/>
      <c r="M106" s="484"/>
      <c r="N106" s="490"/>
      <c r="O106" s="490"/>
      <c r="P106" s="490"/>
      <c r="R106" s="490"/>
      <c r="S106" s="490"/>
      <c r="T106" s="490"/>
      <c r="U106" s="490"/>
      <c r="V106" s="490"/>
      <c r="W106" s="490"/>
      <c r="X106" s="490"/>
      <c r="AC106" s="428"/>
    </row>
    <row r="107" spans="10:29" x14ac:dyDescent="0.35">
      <c r="J107" s="490"/>
      <c r="K107" s="484"/>
      <c r="L107" s="490"/>
      <c r="M107" s="484"/>
      <c r="N107" s="490"/>
      <c r="O107" s="490"/>
      <c r="P107" s="490"/>
      <c r="R107" s="490"/>
      <c r="S107" s="490"/>
      <c r="T107" s="490"/>
      <c r="U107" s="490"/>
      <c r="V107" s="490"/>
      <c r="W107" s="490"/>
      <c r="X107" s="490"/>
      <c r="AC107" s="428"/>
    </row>
    <row r="108" spans="10:29" x14ac:dyDescent="0.35">
      <c r="J108" s="490"/>
      <c r="K108" s="484"/>
      <c r="L108" s="490"/>
      <c r="M108" s="484"/>
      <c r="N108" s="490"/>
      <c r="O108" s="490"/>
      <c r="P108" s="490"/>
      <c r="R108" s="490"/>
      <c r="S108" s="490"/>
      <c r="T108" s="490"/>
      <c r="U108" s="490"/>
      <c r="V108" s="490"/>
      <c r="W108" s="490"/>
      <c r="X108" s="490"/>
      <c r="AC108" s="428"/>
    </row>
    <row r="109" spans="10:29" x14ac:dyDescent="0.35">
      <c r="J109" s="490"/>
      <c r="K109" s="484"/>
      <c r="L109" s="490"/>
      <c r="M109" s="484"/>
      <c r="N109" s="490"/>
      <c r="O109" s="490"/>
      <c r="P109" s="490"/>
      <c r="R109" s="490"/>
      <c r="S109" s="490"/>
      <c r="T109" s="490"/>
      <c r="U109" s="490"/>
      <c r="V109" s="490"/>
      <c r="W109" s="490"/>
      <c r="X109" s="490"/>
      <c r="AC109" s="428"/>
    </row>
    <row r="110" spans="10:29" x14ac:dyDescent="0.35">
      <c r="J110" s="490"/>
      <c r="K110" s="484"/>
      <c r="L110" s="490"/>
      <c r="M110" s="484"/>
      <c r="N110" s="490"/>
      <c r="O110" s="490"/>
      <c r="P110" s="490"/>
      <c r="R110" s="490"/>
      <c r="S110" s="490"/>
      <c r="T110" s="490"/>
      <c r="U110" s="490"/>
      <c r="V110" s="490"/>
      <c r="W110" s="490"/>
      <c r="X110" s="490"/>
      <c r="AC110" s="428"/>
    </row>
    <row r="111" spans="10:29" x14ac:dyDescent="0.35">
      <c r="J111" s="490"/>
      <c r="K111" s="484"/>
      <c r="L111" s="490"/>
      <c r="M111" s="484"/>
      <c r="N111" s="490"/>
      <c r="O111" s="490"/>
      <c r="P111" s="490"/>
      <c r="R111" s="490"/>
      <c r="S111" s="490"/>
      <c r="T111" s="490"/>
      <c r="U111" s="490"/>
      <c r="V111" s="490"/>
      <c r="W111" s="490"/>
      <c r="X111" s="490"/>
      <c r="AC111" s="428"/>
    </row>
    <row r="112" spans="10:29" x14ac:dyDescent="0.35">
      <c r="L112" s="274"/>
      <c r="R112" s="490"/>
      <c r="S112" s="490"/>
      <c r="T112" s="490"/>
      <c r="U112" s="490"/>
      <c r="V112" s="490"/>
      <c r="W112" s="490"/>
      <c r="X112" s="490"/>
      <c r="AC112" s="428"/>
    </row>
    <row r="113" spans="12:29" x14ac:dyDescent="0.35">
      <c r="L113" s="274"/>
      <c r="R113" s="490"/>
      <c r="S113" s="490"/>
      <c r="T113" s="490"/>
      <c r="U113" s="490"/>
      <c r="V113" s="490"/>
      <c r="W113" s="490"/>
      <c r="X113" s="490"/>
      <c r="AC113" s="428"/>
    </row>
    <row r="114" spans="12:29" x14ac:dyDescent="0.35">
      <c r="L114" s="274"/>
      <c r="R114" s="490"/>
      <c r="S114" s="490"/>
      <c r="T114" s="490"/>
      <c r="U114" s="490"/>
      <c r="V114" s="490"/>
      <c r="W114" s="490"/>
      <c r="X114" s="490"/>
      <c r="AC114" s="428"/>
    </row>
    <row r="115" spans="12:29" x14ac:dyDescent="0.35">
      <c r="L115" s="274"/>
      <c r="R115" s="490"/>
      <c r="S115" s="490"/>
      <c r="T115" s="490"/>
      <c r="U115" s="490"/>
      <c r="V115" s="490"/>
      <c r="W115" s="490"/>
      <c r="X115" s="490"/>
      <c r="AC115" s="428"/>
    </row>
    <row r="116" spans="12:29" x14ac:dyDescent="0.35">
      <c r="L116" s="274"/>
      <c r="R116" s="490"/>
      <c r="S116" s="490"/>
      <c r="T116" s="490"/>
      <c r="U116" s="490"/>
      <c r="V116" s="490"/>
      <c r="W116" s="490"/>
      <c r="X116" s="490"/>
      <c r="AC116" s="428"/>
    </row>
    <row r="117" spans="12:29" x14ac:dyDescent="0.35">
      <c r="L117" s="274"/>
      <c r="R117" s="490"/>
      <c r="S117" s="490"/>
      <c r="T117" s="490"/>
      <c r="U117" s="490"/>
      <c r="V117" s="490"/>
      <c r="W117" s="490"/>
      <c r="X117" s="490"/>
      <c r="AC117" s="428"/>
    </row>
    <row r="118" spans="12:29" x14ac:dyDescent="0.35">
      <c r="L118" s="274"/>
      <c r="R118" s="490"/>
      <c r="S118" s="490"/>
      <c r="T118" s="490"/>
      <c r="U118" s="490"/>
      <c r="V118" s="490"/>
      <c r="W118" s="490"/>
      <c r="X118" s="490"/>
      <c r="AC118" s="428"/>
    </row>
    <row r="119" spans="12:29" x14ac:dyDescent="0.35">
      <c r="L119" s="274"/>
      <c r="R119" s="490"/>
      <c r="S119" s="490"/>
      <c r="T119" s="490"/>
      <c r="U119" s="490"/>
      <c r="V119" s="490"/>
      <c r="W119" s="490"/>
      <c r="X119" s="490"/>
      <c r="AC119" s="428"/>
    </row>
    <row r="120" spans="12:29" x14ac:dyDescent="0.35">
      <c r="L120" s="274"/>
      <c r="R120" s="490"/>
      <c r="S120" s="490"/>
      <c r="T120" s="490"/>
      <c r="U120" s="490"/>
      <c r="V120" s="490"/>
      <c r="W120" s="490"/>
      <c r="X120" s="490"/>
      <c r="AC120" s="428"/>
    </row>
    <row r="121" spans="12:29" x14ac:dyDescent="0.35">
      <c r="L121" s="274"/>
      <c r="R121" s="490"/>
      <c r="S121" s="490"/>
      <c r="T121" s="490"/>
      <c r="U121" s="490"/>
      <c r="V121" s="490"/>
      <c r="W121" s="490"/>
      <c r="X121" s="490"/>
      <c r="AC121" s="428"/>
    </row>
    <row r="122" spans="12:29" x14ac:dyDescent="0.35">
      <c r="L122" s="274"/>
      <c r="R122" s="490"/>
      <c r="S122" s="490"/>
      <c r="T122" s="490"/>
      <c r="U122" s="490"/>
      <c r="V122" s="490"/>
      <c r="W122" s="490"/>
      <c r="X122" s="490"/>
      <c r="AC122" s="428"/>
    </row>
    <row r="123" spans="12:29" x14ac:dyDescent="0.35">
      <c r="L123" s="274"/>
      <c r="R123" s="490"/>
      <c r="S123" s="490"/>
      <c r="T123" s="490"/>
      <c r="U123" s="490"/>
      <c r="V123" s="490"/>
      <c r="W123" s="490"/>
      <c r="X123" s="490"/>
      <c r="AC123" s="428"/>
    </row>
    <row r="124" spans="12:29" x14ac:dyDescent="0.35">
      <c r="L124" s="274"/>
      <c r="R124" s="490"/>
      <c r="S124" s="490"/>
      <c r="T124" s="490"/>
      <c r="U124" s="490"/>
      <c r="V124" s="490"/>
      <c r="W124" s="490"/>
      <c r="X124" s="490"/>
      <c r="AC124" s="428"/>
    </row>
    <row r="125" spans="12:29" x14ac:dyDescent="0.35">
      <c r="L125" s="274"/>
      <c r="R125" s="490"/>
      <c r="S125" s="490"/>
      <c r="T125" s="490"/>
      <c r="U125" s="490"/>
      <c r="V125" s="490"/>
      <c r="W125" s="490"/>
      <c r="X125" s="490"/>
      <c r="AC125" s="428"/>
    </row>
    <row r="126" spans="12:29" x14ac:dyDescent="0.35">
      <c r="L126" s="274"/>
      <c r="R126" s="490"/>
      <c r="S126" s="490"/>
      <c r="T126" s="490"/>
      <c r="U126" s="490"/>
      <c r="V126" s="490"/>
      <c r="W126" s="490"/>
      <c r="X126" s="490"/>
      <c r="AC126" s="428"/>
    </row>
    <row r="127" spans="12:29" x14ac:dyDescent="0.35">
      <c r="L127" s="274"/>
      <c r="R127" s="490"/>
      <c r="S127" s="490"/>
      <c r="T127" s="490"/>
      <c r="U127" s="490"/>
      <c r="V127" s="490"/>
      <c r="W127" s="490"/>
      <c r="X127" s="490"/>
      <c r="AC127" s="428"/>
    </row>
    <row r="128" spans="12:29" x14ac:dyDescent="0.35">
      <c r="L128" s="274"/>
      <c r="R128" s="490"/>
      <c r="S128" s="490"/>
      <c r="T128" s="490"/>
      <c r="U128" s="490"/>
      <c r="V128" s="490"/>
      <c r="W128" s="490"/>
      <c r="X128" s="490"/>
      <c r="AC128" s="428"/>
    </row>
    <row r="129" spans="12:29" x14ac:dyDescent="0.35">
      <c r="L129" s="274"/>
      <c r="R129" s="490"/>
      <c r="S129" s="490"/>
      <c r="T129" s="490"/>
      <c r="U129" s="490"/>
      <c r="V129" s="490"/>
      <c r="W129" s="490"/>
      <c r="X129" s="490"/>
      <c r="AC129" s="428"/>
    </row>
    <row r="130" spans="12:29" x14ac:dyDescent="0.35">
      <c r="L130" s="274"/>
      <c r="R130" s="490"/>
      <c r="S130" s="490"/>
      <c r="T130" s="490"/>
      <c r="U130" s="490"/>
      <c r="V130" s="490"/>
      <c r="W130" s="490"/>
      <c r="X130" s="490"/>
      <c r="AC130" s="428"/>
    </row>
    <row r="131" spans="12:29" x14ac:dyDescent="0.35">
      <c r="L131" s="274"/>
      <c r="R131" s="490"/>
      <c r="S131" s="490"/>
      <c r="T131" s="490"/>
      <c r="U131" s="490"/>
      <c r="V131" s="490"/>
      <c r="W131" s="490"/>
      <c r="X131" s="490"/>
      <c r="AC131" s="428"/>
    </row>
    <row r="132" spans="12:29" x14ac:dyDescent="0.35">
      <c r="L132" s="274"/>
      <c r="R132" s="490"/>
      <c r="S132" s="490"/>
      <c r="T132" s="490"/>
      <c r="U132" s="490"/>
      <c r="V132" s="490"/>
      <c r="W132" s="490"/>
      <c r="X132" s="490"/>
      <c r="AC132" s="428"/>
    </row>
    <row r="133" spans="12:29" x14ac:dyDescent="0.35">
      <c r="L133" s="274"/>
      <c r="R133" s="490"/>
      <c r="S133" s="490"/>
      <c r="T133" s="490"/>
      <c r="U133" s="490"/>
      <c r="V133" s="490"/>
      <c r="W133" s="490"/>
      <c r="X133" s="490"/>
      <c r="AC133" s="428"/>
    </row>
    <row r="134" spans="12:29" x14ac:dyDescent="0.35">
      <c r="L134" s="274"/>
      <c r="R134" s="490"/>
      <c r="S134" s="490"/>
      <c r="T134" s="490"/>
      <c r="U134" s="490"/>
      <c r="V134" s="490"/>
      <c r="W134" s="490"/>
      <c r="X134" s="490"/>
      <c r="AC134" s="428"/>
    </row>
    <row r="135" spans="12:29" x14ac:dyDescent="0.35">
      <c r="L135" s="274"/>
      <c r="R135" s="490"/>
      <c r="S135" s="490"/>
      <c r="T135" s="490"/>
      <c r="U135" s="490"/>
      <c r="V135" s="490"/>
      <c r="W135" s="490"/>
      <c r="X135" s="490"/>
      <c r="AC135" s="428"/>
    </row>
    <row r="136" spans="12:29" x14ac:dyDescent="0.35">
      <c r="L136" s="274"/>
      <c r="R136" s="490"/>
      <c r="S136" s="490"/>
      <c r="T136" s="490"/>
      <c r="U136" s="490"/>
      <c r="V136" s="490"/>
      <c r="W136" s="490"/>
      <c r="X136" s="490"/>
      <c r="AC136" s="428"/>
    </row>
    <row r="137" spans="12:29" x14ac:dyDescent="0.35">
      <c r="L137" s="274"/>
      <c r="R137" s="490"/>
      <c r="S137" s="490"/>
      <c r="T137" s="490"/>
      <c r="U137" s="490"/>
      <c r="V137" s="490"/>
      <c r="W137" s="490"/>
      <c r="X137" s="490"/>
      <c r="AC137" s="428"/>
    </row>
    <row r="138" spans="12:29" x14ac:dyDescent="0.35">
      <c r="L138" s="274"/>
      <c r="R138" s="490"/>
      <c r="S138" s="490"/>
      <c r="T138" s="490"/>
      <c r="U138" s="490"/>
      <c r="V138" s="490"/>
      <c r="W138" s="490"/>
      <c r="X138" s="490"/>
      <c r="AC138" s="428"/>
    </row>
    <row r="139" spans="12:29" x14ac:dyDescent="0.35">
      <c r="L139" s="274"/>
      <c r="R139" s="490"/>
      <c r="S139" s="490"/>
      <c r="T139" s="490"/>
      <c r="U139" s="490"/>
      <c r="V139" s="490"/>
      <c r="W139" s="490"/>
      <c r="X139" s="490"/>
      <c r="AC139" s="428"/>
    </row>
    <row r="140" spans="12:29" x14ac:dyDescent="0.35">
      <c r="L140" s="274"/>
      <c r="R140" s="490"/>
      <c r="S140" s="490"/>
      <c r="T140" s="490"/>
      <c r="U140" s="490"/>
      <c r="V140" s="490"/>
      <c r="W140" s="490"/>
      <c r="X140" s="490"/>
    </row>
    <row r="141" spans="12:29" x14ac:dyDescent="0.35">
      <c r="L141" s="274"/>
      <c r="R141" s="490"/>
      <c r="S141" s="490"/>
      <c r="T141" s="490"/>
      <c r="U141" s="490"/>
      <c r="V141" s="490"/>
      <c r="W141" s="490"/>
      <c r="X141" s="490"/>
    </row>
    <row r="142" spans="12:29" x14ac:dyDescent="0.35">
      <c r="L142" s="274"/>
      <c r="R142" s="490"/>
      <c r="S142" s="490"/>
      <c r="T142" s="490"/>
      <c r="U142" s="490"/>
      <c r="V142" s="490"/>
      <c r="W142" s="490"/>
      <c r="X142" s="490"/>
    </row>
    <row r="143" spans="12:29" x14ac:dyDescent="0.35">
      <c r="L143" s="274"/>
      <c r="R143" s="490"/>
      <c r="S143" s="490"/>
      <c r="T143" s="490"/>
      <c r="U143" s="490"/>
      <c r="V143" s="490"/>
      <c r="W143" s="490"/>
      <c r="X143" s="490"/>
    </row>
    <row r="144" spans="12:29" x14ac:dyDescent="0.35">
      <c r="L144" s="274"/>
      <c r="R144" s="490"/>
      <c r="S144" s="490"/>
      <c r="T144" s="490"/>
      <c r="U144" s="490"/>
      <c r="V144" s="490"/>
      <c r="W144" s="490"/>
      <c r="X144" s="490"/>
    </row>
    <row r="145" spans="12:24" x14ac:dyDescent="0.35">
      <c r="L145" s="274"/>
      <c r="R145" s="490"/>
      <c r="S145" s="490"/>
      <c r="T145" s="490"/>
      <c r="U145" s="490"/>
      <c r="V145" s="490"/>
      <c r="W145" s="490"/>
      <c r="X145" s="490"/>
    </row>
    <row r="146" spans="12:24" x14ac:dyDescent="0.35">
      <c r="L146" s="274"/>
      <c r="R146" s="490"/>
      <c r="S146" s="490"/>
      <c r="T146" s="490"/>
      <c r="U146" s="490"/>
      <c r="V146" s="490"/>
      <c r="W146" s="490"/>
      <c r="X146" s="490"/>
    </row>
    <row r="147" spans="12:24" x14ac:dyDescent="0.35">
      <c r="L147" s="274"/>
      <c r="W147" s="262"/>
    </row>
    <row r="148" spans="12:24" x14ac:dyDescent="0.35">
      <c r="L148" s="274"/>
      <c r="W148" s="262"/>
    </row>
    <row r="149" spans="12:24" x14ac:dyDescent="0.35">
      <c r="L149" s="274"/>
      <c r="W149" s="262"/>
    </row>
    <row r="150" spans="12:24" x14ac:dyDescent="0.35">
      <c r="L150" s="274"/>
      <c r="W150" s="262"/>
    </row>
    <row r="151" spans="12:24" x14ac:dyDescent="0.35">
      <c r="L151" s="274"/>
      <c r="W151" s="262"/>
    </row>
    <row r="152" spans="12:24" x14ac:dyDescent="0.35">
      <c r="L152" s="274"/>
      <c r="W152" s="262"/>
    </row>
    <row r="153" spans="12:24" x14ac:dyDescent="0.35">
      <c r="L153" s="274"/>
      <c r="W153" s="262"/>
    </row>
    <row r="154" spans="12:24" x14ac:dyDescent="0.35">
      <c r="L154" s="274"/>
      <c r="W154" s="262"/>
    </row>
    <row r="155" spans="12:24" x14ac:dyDescent="0.35">
      <c r="L155" s="274"/>
      <c r="W155" s="262"/>
    </row>
    <row r="156" spans="12:24" x14ac:dyDescent="0.35">
      <c r="L156" s="274"/>
      <c r="W156" s="262"/>
    </row>
    <row r="157" spans="12:24" x14ac:dyDescent="0.35">
      <c r="L157" s="274"/>
      <c r="W157" s="262"/>
    </row>
    <row r="158" spans="12:24" x14ac:dyDescent="0.35">
      <c r="L158" s="274"/>
      <c r="W158" s="262"/>
    </row>
    <row r="159" spans="12:24" x14ac:dyDescent="0.35">
      <c r="L159" s="274"/>
      <c r="W159" s="262"/>
    </row>
    <row r="160" spans="12:24" x14ac:dyDescent="0.35">
      <c r="L160" s="274"/>
      <c r="W160" s="262"/>
    </row>
    <row r="161" spans="12:23" x14ac:dyDescent="0.35">
      <c r="L161" s="274"/>
      <c r="W161" s="262"/>
    </row>
    <row r="162" spans="12:23" x14ac:dyDescent="0.35">
      <c r="L162" s="274"/>
      <c r="W162" s="262"/>
    </row>
    <row r="163" spans="12:23" x14ac:dyDescent="0.35">
      <c r="L163" s="274"/>
      <c r="W163" s="262"/>
    </row>
    <row r="164" spans="12:23" x14ac:dyDescent="0.35">
      <c r="L164" s="274"/>
      <c r="W164" s="262"/>
    </row>
    <row r="165" spans="12:23" x14ac:dyDescent="0.35">
      <c r="L165" s="274"/>
      <c r="W165" s="262"/>
    </row>
    <row r="166" spans="12:23" x14ac:dyDescent="0.35">
      <c r="L166" s="274"/>
      <c r="W166" s="262"/>
    </row>
    <row r="167" spans="12:23" x14ac:dyDescent="0.35">
      <c r="L167" s="274"/>
      <c r="W167" s="262"/>
    </row>
    <row r="168" spans="12:23" x14ac:dyDescent="0.35">
      <c r="L168" s="274"/>
      <c r="W168" s="262"/>
    </row>
    <row r="169" spans="12:23" x14ac:dyDescent="0.35">
      <c r="L169" s="274"/>
      <c r="W169" s="262"/>
    </row>
    <row r="170" spans="12:23" x14ac:dyDescent="0.35">
      <c r="L170" s="274"/>
      <c r="W170" s="262"/>
    </row>
    <row r="171" spans="12:23" x14ac:dyDescent="0.35">
      <c r="L171" s="274"/>
      <c r="W171" s="262"/>
    </row>
    <row r="172" spans="12:23" x14ac:dyDescent="0.35">
      <c r="L172" s="274"/>
      <c r="W172" s="262"/>
    </row>
    <row r="173" spans="12:23" x14ac:dyDescent="0.35">
      <c r="L173" s="274"/>
      <c r="W173" s="262"/>
    </row>
    <row r="174" spans="12:23" x14ac:dyDescent="0.35">
      <c r="L174" s="274"/>
      <c r="W174" s="262"/>
    </row>
    <row r="175" spans="12:23" x14ac:dyDescent="0.35">
      <c r="L175" s="274"/>
      <c r="W175" s="262"/>
    </row>
    <row r="176" spans="12:23" x14ac:dyDescent="0.35">
      <c r="L176" s="274"/>
      <c r="W176" s="262"/>
    </row>
    <row r="177" spans="12:23" x14ac:dyDescent="0.35">
      <c r="L177" s="274"/>
      <c r="W177" s="262"/>
    </row>
    <row r="178" spans="12:23" x14ac:dyDescent="0.35">
      <c r="L178" s="274"/>
      <c r="W178" s="262"/>
    </row>
    <row r="179" spans="12:23" x14ac:dyDescent="0.35">
      <c r="L179" s="274"/>
      <c r="W179" s="262"/>
    </row>
    <row r="180" spans="12:23" x14ac:dyDescent="0.35">
      <c r="L180" s="274"/>
      <c r="W180" s="262"/>
    </row>
    <row r="181" spans="12:23" x14ac:dyDescent="0.35">
      <c r="L181" s="274"/>
      <c r="W181" s="262"/>
    </row>
    <row r="182" spans="12:23" x14ac:dyDescent="0.35">
      <c r="L182" s="274"/>
      <c r="W182" s="262"/>
    </row>
    <row r="183" spans="12:23" x14ac:dyDescent="0.35">
      <c r="L183" s="274"/>
      <c r="W183" s="262"/>
    </row>
    <row r="184" spans="12:23" x14ac:dyDescent="0.35">
      <c r="L184" s="274"/>
      <c r="W184" s="262"/>
    </row>
    <row r="185" spans="12:23" x14ac:dyDescent="0.35">
      <c r="L185" s="274"/>
      <c r="W185" s="262"/>
    </row>
    <row r="186" spans="12:23" x14ac:dyDescent="0.35">
      <c r="L186" s="274"/>
      <c r="W186" s="262"/>
    </row>
    <row r="187" spans="12:23" x14ac:dyDescent="0.35">
      <c r="L187" s="274"/>
      <c r="W187" s="262"/>
    </row>
    <row r="188" spans="12:23" x14ac:dyDescent="0.35">
      <c r="L188" s="274"/>
      <c r="W188" s="262"/>
    </row>
    <row r="189" spans="12:23" x14ac:dyDescent="0.35">
      <c r="L189" s="274"/>
      <c r="W189" s="262"/>
    </row>
    <row r="190" spans="12:23" x14ac:dyDescent="0.35">
      <c r="L190" s="274"/>
      <c r="W190" s="262"/>
    </row>
    <row r="191" spans="12:23" x14ac:dyDescent="0.35">
      <c r="L191" s="274"/>
      <c r="W191" s="262"/>
    </row>
    <row r="192" spans="12:23" x14ac:dyDescent="0.35">
      <c r="L192" s="274"/>
      <c r="W192" s="262"/>
    </row>
    <row r="193" spans="12:23" x14ac:dyDescent="0.35">
      <c r="L193" s="274"/>
      <c r="W193" s="262"/>
    </row>
    <row r="194" spans="12:23" x14ac:dyDescent="0.35">
      <c r="L194" s="274"/>
      <c r="W194" s="262"/>
    </row>
    <row r="195" spans="12:23" x14ac:dyDescent="0.35">
      <c r="L195" s="274"/>
      <c r="W195" s="262"/>
    </row>
    <row r="196" spans="12:23" x14ac:dyDescent="0.35">
      <c r="L196" s="274"/>
      <c r="W196" s="262"/>
    </row>
    <row r="197" spans="12:23" x14ac:dyDescent="0.35">
      <c r="L197" s="274"/>
      <c r="W197" s="262"/>
    </row>
    <row r="198" spans="12:23" x14ac:dyDescent="0.35">
      <c r="L198" s="274"/>
      <c r="W198" s="262"/>
    </row>
    <row r="199" spans="12:23" x14ac:dyDescent="0.35">
      <c r="L199" s="274"/>
      <c r="W199" s="262"/>
    </row>
    <row r="200" spans="12:23" x14ac:dyDescent="0.35">
      <c r="L200" s="274"/>
      <c r="W200" s="262"/>
    </row>
    <row r="201" spans="12:23" x14ac:dyDescent="0.35">
      <c r="L201" s="274"/>
      <c r="W201" s="262"/>
    </row>
    <row r="202" spans="12:23" x14ac:dyDescent="0.35">
      <c r="L202" s="274"/>
      <c r="W202" s="262"/>
    </row>
    <row r="203" spans="12:23" x14ac:dyDescent="0.35">
      <c r="L203" s="274"/>
      <c r="W203" s="262"/>
    </row>
    <row r="204" spans="12:23" x14ac:dyDescent="0.35">
      <c r="L204" s="274"/>
      <c r="W204" s="262"/>
    </row>
    <row r="205" spans="12:23" x14ac:dyDescent="0.35">
      <c r="L205" s="274"/>
      <c r="W205" s="262"/>
    </row>
    <row r="206" spans="12:23" x14ac:dyDescent="0.35">
      <c r="L206" s="274"/>
      <c r="W206" s="262"/>
    </row>
    <row r="207" spans="12:23" x14ac:dyDescent="0.35">
      <c r="L207" s="274"/>
      <c r="W207" s="262"/>
    </row>
    <row r="208" spans="12:23" x14ac:dyDescent="0.35">
      <c r="L208" s="274"/>
      <c r="W208" s="262"/>
    </row>
    <row r="209" spans="12:23" x14ac:dyDescent="0.35">
      <c r="L209" s="274"/>
      <c r="W209" s="262"/>
    </row>
    <row r="210" spans="12:23" x14ac:dyDescent="0.35">
      <c r="L210" s="274"/>
      <c r="W210" s="262"/>
    </row>
    <row r="211" spans="12:23" x14ac:dyDescent="0.35">
      <c r="L211" s="274"/>
      <c r="W211" s="262"/>
    </row>
    <row r="212" spans="12:23" x14ac:dyDescent="0.35">
      <c r="L212" s="274"/>
      <c r="W212" s="262"/>
    </row>
    <row r="213" spans="12:23" x14ac:dyDescent="0.35">
      <c r="L213" s="274"/>
      <c r="W213" s="262"/>
    </row>
    <row r="214" spans="12:23" x14ac:dyDescent="0.35">
      <c r="L214" s="274"/>
      <c r="W214" s="262"/>
    </row>
    <row r="215" spans="12:23" x14ac:dyDescent="0.35">
      <c r="L215" s="274"/>
      <c r="W215" s="262"/>
    </row>
    <row r="216" spans="12:23" x14ac:dyDescent="0.35">
      <c r="L216" s="274"/>
      <c r="W216" s="262"/>
    </row>
    <row r="217" spans="12:23" x14ac:dyDescent="0.35">
      <c r="L217" s="274"/>
      <c r="W217" s="262"/>
    </row>
    <row r="218" spans="12:23" x14ac:dyDescent="0.35">
      <c r="L218" s="274"/>
      <c r="W218" s="262"/>
    </row>
    <row r="219" spans="12:23" x14ac:dyDescent="0.35">
      <c r="L219" s="274"/>
      <c r="W219" s="262"/>
    </row>
    <row r="220" spans="12:23" x14ac:dyDescent="0.35">
      <c r="L220" s="274"/>
      <c r="W220" s="262"/>
    </row>
    <row r="221" spans="12:23" x14ac:dyDescent="0.35">
      <c r="L221" s="274"/>
      <c r="W221" s="262"/>
    </row>
    <row r="222" spans="12:23" x14ac:dyDescent="0.35">
      <c r="L222" s="274"/>
      <c r="W222" s="262"/>
    </row>
    <row r="223" spans="12:23" x14ac:dyDescent="0.35">
      <c r="L223" s="274"/>
      <c r="W223" s="262"/>
    </row>
    <row r="224" spans="12:23" x14ac:dyDescent="0.35">
      <c r="L224" s="274"/>
      <c r="W224" s="262"/>
    </row>
    <row r="225" spans="12:23" x14ac:dyDescent="0.35">
      <c r="L225" s="274"/>
      <c r="W225" s="262"/>
    </row>
    <row r="226" spans="12:23" x14ac:dyDescent="0.35">
      <c r="L226" s="274"/>
      <c r="W226" s="262"/>
    </row>
    <row r="227" spans="12:23" x14ac:dyDescent="0.35">
      <c r="L227" s="274"/>
      <c r="W227" s="262"/>
    </row>
    <row r="228" spans="12:23" x14ac:dyDescent="0.35">
      <c r="L228" s="274"/>
      <c r="W228" s="262"/>
    </row>
    <row r="229" spans="12:23" x14ac:dyDescent="0.35">
      <c r="L229" s="274"/>
      <c r="W229" s="262"/>
    </row>
    <row r="230" spans="12:23" x14ac:dyDescent="0.35">
      <c r="L230" s="274"/>
      <c r="W230" s="262"/>
    </row>
    <row r="231" spans="12:23" x14ac:dyDescent="0.35">
      <c r="L231" s="274"/>
      <c r="W231" s="262"/>
    </row>
    <row r="232" spans="12:23" x14ac:dyDescent="0.35">
      <c r="L232" s="274"/>
      <c r="W232" s="262"/>
    </row>
    <row r="233" spans="12:23" x14ac:dyDescent="0.35">
      <c r="L233" s="274"/>
      <c r="W233" s="262"/>
    </row>
    <row r="234" spans="12:23" x14ac:dyDescent="0.35">
      <c r="L234" s="274"/>
      <c r="W234" s="262"/>
    </row>
    <row r="235" spans="12:23" x14ac:dyDescent="0.35">
      <c r="L235" s="274"/>
      <c r="W235" s="262"/>
    </row>
    <row r="236" spans="12:23" x14ac:dyDescent="0.35">
      <c r="L236" s="274"/>
      <c r="W236" s="262"/>
    </row>
    <row r="237" spans="12:23" x14ac:dyDescent="0.35">
      <c r="L237" s="274"/>
      <c r="W237" s="262"/>
    </row>
    <row r="238" spans="12:23" x14ac:dyDescent="0.35">
      <c r="L238" s="274"/>
      <c r="W238" s="262"/>
    </row>
    <row r="239" spans="12:23" x14ac:dyDescent="0.35">
      <c r="L239" s="274"/>
      <c r="W239" s="262"/>
    </row>
    <row r="240" spans="12:23" x14ac:dyDescent="0.35">
      <c r="L240" s="274"/>
      <c r="W240" s="262"/>
    </row>
    <row r="241" spans="12:23" x14ac:dyDescent="0.35">
      <c r="L241" s="274"/>
      <c r="W241" s="262"/>
    </row>
    <row r="242" spans="12:23" x14ac:dyDescent="0.35">
      <c r="L242" s="274"/>
      <c r="W242" s="262"/>
    </row>
    <row r="243" spans="12:23" x14ac:dyDescent="0.35">
      <c r="L243" s="274"/>
      <c r="W243" s="262"/>
    </row>
    <row r="244" spans="12:23" x14ac:dyDescent="0.35">
      <c r="L244" s="274"/>
      <c r="W244" s="262"/>
    </row>
    <row r="245" spans="12:23" x14ac:dyDescent="0.35">
      <c r="L245" s="274"/>
      <c r="W245" s="262"/>
    </row>
    <row r="246" spans="12:23" x14ac:dyDescent="0.35">
      <c r="L246" s="274"/>
      <c r="W246" s="262"/>
    </row>
    <row r="247" spans="12:23" x14ac:dyDescent="0.35">
      <c r="L247" s="274"/>
      <c r="W247" s="262"/>
    </row>
    <row r="248" spans="12:23" x14ac:dyDescent="0.35">
      <c r="L248" s="274"/>
      <c r="W248" s="262"/>
    </row>
    <row r="249" spans="12:23" x14ac:dyDescent="0.35">
      <c r="L249" s="274"/>
      <c r="W249" s="262"/>
    </row>
    <row r="250" spans="12:23" x14ac:dyDescent="0.35">
      <c r="L250" s="274"/>
      <c r="W250" s="262"/>
    </row>
    <row r="251" spans="12:23" x14ac:dyDescent="0.35">
      <c r="L251" s="274"/>
      <c r="W251" s="262"/>
    </row>
    <row r="252" spans="12:23" x14ac:dyDescent="0.35">
      <c r="L252" s="274"/>
      <c r="W252" s="262"/>
    </row>
    <row r="253" spans="12:23" x14ac:dyDescent="0.35">
      <c r="L253" s="274"/>
      <c r="W253" s="262"/>
    </row>
    <row r="254" spans="12:23" x14ac:dyDescent="0.35">
      <c r="L254" s="274"/>
      <c r="W254" s="262"/>
    </row>
    <row r="255" spans="12:23" x14ac:dyDescent="0.35">
      <c r="L255" s="274"/>
      <c r="W255" s="262"/>
    </row>
    <row r="256" spans="12:23" x14ac:dyDescent="0.35">
      <c r="L256" s="274"/>
      <c r="W256" s="262"/>
    </row>
    <row r="257" spans="12:23" x14ac:dyDescent="0.35">
      <c r="L257" s="274"/>
      <c r="W257" s="262"/>
    </row>
    <row r="258" spans="12:23" x14ac:dyDescent="0.35">
      <c r="L258" s="274"/>
      <c r="W258" s="262"/>
    </row>
    <row r="259" spans="12:23" x14ac:dyDescent="0.35">
      <c r="L259" s="274"/>
      <c r="W259" s="262"/>
    </row>
    <row r="260" spans="12:23" x14ac:dyDescent="0.35">
      <c r="L260" s="274"/>
      <c r="W260" s="262"/>
    </row>
    <row r="261" spans="12:23" x14ac:dyDescent="0.35">
      <c r="L261" s="274"/>
      <c r="W261" s="262"/>
    </row>
    <row r="262" spans="12:23" x14ac:dyDescent="0.35">
      <c r="L262" s="274"/>
      <c r="W262" s="262"/>
    </row>
    <row r="263" spans="12:23" x14ac:dyDescent="0.35">
      <c r="L263" s="274"/>
      <c r="W263" s="262"/>
    </row>
    <row r="264" spans="12:23" x14ac:dyDescent="0.35">
      <c r="L264" s="274"/>
      <c r="W264" s="262"/>
    </row>
    <row r="265" spans="12:23" x14ac:dyDescent="0.35">
      <c r="L265" s="274"/>
      <c r="W265" s="262"/>
    </row>
    <row r="266" spans="12:23" x14ac:dyDescent="0.35">
      <c r="L266" s="274"/>
      <c r="W266" s="262"/>
    </row>
    <row r="267" spans="12:23" x14ac:dyDescent="0.35">
      <c r="L267" s="274"/>
      <c r="W267" s="262"/>
    </row>
    <row r="268" spans="12:23" x14ac:dyDescent="0.35">
      <c r="L268" s="274"/>
      <c r="W268" s="262"/>
    </row>
    <row r="269" spans="12:23" x14ac:dyDescent="0.35">
      <c r="L269" s="274"/>
      <c r="W269" s="262"/>
    </row>
    <row r="270" spans="12:23" x14ac:dyDescent="0.35">
      <c r="L270" s="274"/>
      <c r="W270" s="262"/>
    </row>
    <row r="271" spans="12:23" x14ac:dyDescent="0.35">
      <c r="L271" s="274"/>
      <c r="W271" s="262"/>
    </row>
    <row r="272" spans="12:23" x14ac:dyDescent="0.35">
      <c r="L272" s="274"/>
      <c r="W272" s="262"/>
    </row>
    <row r="273" spans="12:23" x14ac:dyDescent="0.35">
      <c r="L273" s="274"/>
      <c r="W273" s="262"/>
    </row>
    <row r="274" spans="12:23" x14ac:dyDescent="0.35">
      <c r="L274" s="274"/>
      <c r="W274" s="262"/>
    </row>
    <row r="275" spans="12:23" x14ac:dyDescent="0.35">
      <c r="L275" s="274"/>
      <c r="W275" s="262"/>
    </row>
    <row r="276" spans="12:23" x14ac:dyDescent="0.35">
      <c r="L276" s="274"/>
      <c r="W276" s="262"/>
    </row>
    <row r="277" spans="12:23" x14ac:dyDescent="0.35">
      <c r="L277" s="274"/>
      <c r="W277" s="262"/>
    </row>
    <row r="278" spans="12:23" x14ac:dyDescent="0.35">
      <c r="L278" s="274"/>
      <c r="W278" s="262"/>
    </row>
    <row r="279" spans="12:23" x14ac:dyDescent="0.35">
      <c r="L279" s="274"/>
      <c r="W279" s="262"/>
    </row>
    <row r="280" spans="12:23" x14ac:dyDescent="0.35">
      <c r="L280" s="274"/>
      <c r="W280" s="262"/>
    </row>
    <row r="281" spans="12:23" x14ac:dyDescent="0.35">
      <c r="L281" s="274"/>
      <c r="W281" s="262"/>
    </row>
    <row r="282" spans="12:23" x14ac:dyDescent="0.35">
      <c r="L282" s="274"/>
      <c r="W282" s="262"/>
    </row>
    <row r="283" spans="12:23" x14ac:dyDescent="0.35">
      <c r="L283" s="274"/>
      <c r="W283" s="262"/>
    </row>
    <row r="284" spans="12:23" x14ac:dyDescent="0.35">
      <c r="L284" s="274"/>
      <c r="W284" s="262"/>
    </row>
    <row r="285" spans="12:23" x14ac:dyDescent="0.35">
      <c r="L285" s="274"/>
      <c r="W285" s="262"/>
    </row>
    <row r="286" spans="12:23" x14ac:dyDescent="0.35">
      <c r="L286" s="274"/>
      <c r="W286" s="262"/>
    </row>
    <row r="287" spans="12:23" x14ac:dyDescent="0.35">
      <c r="L287" s="274"/>
      <c r="W287" s="262"/>
    </row>
    <row r="288" spans="12:23" x14ac:dyDescent="0.35">
      <c r="L288" s="274"/>
      <c r="W288" s="262"/>
    </row>
    <row r="289" spans="12:23" x14ac:dyDescent="0.35">
      <c r="L289" s="274"/>
      <c r="W289" s="262"/>
    </row>
    <row r="290" spans="12:23" x14ac:dyDescent="0.35">
      <c r="L290" s="274"/>
      <c r="W290" s="262"/>
    </row>
    <row r="291" spans="12:23" x14ac:dyDescent="0.35">
      <c r="L291" s="274"/>
      <c r="W291" s="262"/>
    </row>
    <row r="292" spans="12:23" x14ac:dyDescent="0.35">
      <c r="L292" s="274"/>
      <c r="W292" s="262"/>
    </row>
    <row r="293" spans="12:23" x14ac:dyDescent="0.35">
      <c r="L293" s="274"/>
      <c r="W293" s="262"/>
    </row>
    <row r="294" spans="12:23" x14ac:dyDescent="0.35">
      <c r="L294" s="274"/>
      <c r="W294" s="262"/>
    </row>
    <row r="295" spans="12:23" x14ac:dyDescent="0.35">
      <c r="L295" s="274"/>
      <c r="W295" s="262"/>
    </row>
    <row r="296" spans="12:23" x14ac:dyDescent="0.35">
      <c r="L296" s="274"/>
      <c r="W296" s="262"/>
    </row>
    <row r="297" spans="12:23" x14ac:dyDescent="0.35">
      <c r="L297" s="274"/>
      <c r="W297" s="262"/>
    </row>
    <row r="298" spans="12:23" x14ac:dyDescent="0.35">
      <c r="L298" s="274"/>
      <c r="W298" s="262"/>
    </row>
    <row r="299" spans="12:23" x14ac:dyDescent="0.35">
      <c r="L299" s="274"/>
      <c r="W299" s="262"/>
    </row>
    <row r="300" spans="12:23" x14ac:dyDescent="0.35">
      <c r="L300" s="274"/>
      <c r="W300" s="262"/>
    </row>
    <row r="301" spans="12:23" x14ac:dyDescent="0.35">
      <c r="L301" s="274"/>
      <c r="W301" s="262"/>
    </row>
    <row r="302" spans="12:23" x14ac:dyDescent="0.35">
      <c r="L302" s="274"/>
      <c r="W302" s="262"/>
    </row>
    <row r="303" spans="12:23" x14ac:dyDescent="0.35">
      <c r="L303" s="274"/>
      <c r="W303" s="262"/>
    </row>
    <row r="304" spans="12:23" x14ac:dyDescent="0.35">
      <c r="L304" s="274"/>
      <c r="W304" s="262"/>
    </row>
    <row r="305" spans="12:23" x14ac:dyDescent="0.35">
      <c r="L305" s="274"/>
      <c r="W305" s="262"/>
    </row>
    <row r="306" spans="12:23" x14ac:dyDescent="0.35">
      <c r="L306" s="274"/>
      <c r="W306" s="262"/>
    </row>
    <row r="307" spans="12:23" x14ac:dyDescent="0.35">
      <c r="L307" s="274"/>
      <c r="W307" s="262"/>
    </row>
    <row r="308" spans="12:23" x14ac:dyDescent="0.35">
      <c r="L308" s="274"/>
      <c r="W308" s="262"/>
    </row>
    <row r="309" spans="12:23" x14ac:dyDescent="0.35">
      <c r="L309" s="274"/>
      <c r="W309" s="262"/>
    </row>
    <row r="310" spans="12:23" x14ac:dyDescent="0.35">
      <c r="L310" s="274"/>
      <c r="W310" s="262"/>
    </row>
    <row r="311" spans="12:23" x14ac:dyDescent="0.35">
      <c r="L311" s="274"/>
      <c r="W311" s="262"/>
    </row>
    <row r="312" spans="12:23" x14ac:dyDescent="0.35">
      <c r="L312" s="274"/>
      <c r="W312" s="262"/>
    </row>
    <row r="313" spans="12:23" x14ac:dyDescent="0.35">
      <c r="L313" s="274"/>
      <c r="W313" s="262"/>
    </row>
    <row r="314" spans="12:23" x14ac:dyDescent="0.35">
      <c r="L314" s="274"/>
      <c r="W314" s="262"/>
    </row>
    <row r="315" spans="12:23" x14ac:dyDescent="0.35">
      <c r="L315" s="274"/>
      <c r="W315" s="262"/>
    </row>
    <row r="316" spans="12:23" x14ac:dyDescent="0.35">
      <c r="L316" s="274"/>
      <c r="W316" s="262"/>
    </row>
    <row r="317" spans="12:23" x14ac:dyDescent="0.35">
      <c r="L317" s="274"/>
      <c r="W317" s="262"/>
    </row>
    <row r="318" spans="12:23" x14ac:dyDescent="0.35">
      <c r="L318" s="274"/>
      <c r="W318" s="262"/>
    </row>
    <row r="319" spans="12:23" x14ac:dyDescent="0.35">
      <c r="L319" s="274"/>
      <c r="W319" s="262"/>
    </row>
    <row r="320" spans="12:23" x14ac:dyDescent="0.35">
      <c r="L320" s="274"/>
      <c r="W320" s="262"/>
    </row>
    <row r="321" spans="12:23" x14ac:dyDescent="0.35">
      <c r="L321" s="274"/>
      <c r="W321" s="262"/>
    </row>
    <row r="322" spans="12:23" x14ac:dyDescent="0.35">
      <c r="L322" s="274"/>
      <c r="W322" s="262"/>
    </row>
    <row r="323" spans="12:23" x14ac:dyDescent="0.35">
      <c r="L323" s="274"/>
      <c r="W323" s="262"/>
    </row>
    <row r="324" spans="12:23" x14ac:dyDescent="0.35">
      <c r="L324" s="274"/>
      <c r="W324" s="262"/>
    </row>
    <row r="325" spans="12:23" x14ac:dyDescent="0.35">
      <c r="L325" s="274"/>
      <c r="W325" s="262"/>
    </row>
    <row r="326" spans="12:23" x14ac:dyDescent="0.35">
      <c r="L326" s="274"/>
      <c r="W326" s="262"/>
    </row>
    <row r="327" spans="12:23" x14ac:dyDescent="0.35">
      <c r="L327" s="274"/>
      <c r="W327" s="262"/>
    </row>
    <row r="328" spans="12:23" x14ac:dyDescent="0.35">
      <c r="L328" s="274"/>
      <c r="W328" s="262"/>
    </row>
    <row r="329" spans="12:23" x14ac:dyDescent="0.35">
      <c r="L329" s="274"/>
      <c r="W329" s="262"/>
    </row>
    <row r="330" spans="12:23" x14ac:dyDescent="0.35">
      <c r="L330" s="274"/>
      <c r="W330" s="262"/>
    </row>
    <row r="331" spans="12:23" x14ac:dyDescent="0.35">
      <c r="L331" s="274"/>
      <c r="W331" s="262"/>
    </row>
    <row r="332" spans="12:23" x14ac:dyDescent="0.35">
      <c r="L332" s="274"/>
      <c r="W332" s="262"/>
    </row>
    <row r="333" spans="12:23" x14ac:dyDescent="0.35">
      <c r="L333" s="274"/>
      <c r="W333" s="262"/>
    </row>
    <row r="334" spans="12:23" x14ac:dyDescent="0.35">
      <c r="L334" s="274"/>
      <c r="W334" s="262"/>
    </row>
    <row r="335" spans="12:23" x14ac:dyDescent="0.35">
      <c r="L335" s="274"/>
      <c r="W335" s="262"/>
    </row>
    <row r="336" spans="12:23" x14ac:dyDescent="0.35">
      <c r="L336" s="274"/>
      <c r="W336" s="262"/>
    </row>
    <row r="337" spans="12:23" x14ac:dyDescent="0.35">
      <c r="L337" s="274"/>
      <c r="W337" s="262"/>
    </row>
    <row r="338" spans="12:23" x14ac:dyDescent="0.35">
      <c r="L338" s="274"/>
      <c r="W338" s="262"/>
    </row>
    <row r="339" spans="12:23" x14ac:dyDescent="0.35">
      <c r="L339" s="274"/>
      <c r="W339" s="262"/>
    </row>
    <row r="340" spans="12:23" x14ac:dyDescent="0.35">
      <c r="L340" s="274"/>
      <c r="W340" s="262"/>
    </row>
    <row r="341" spans="12:23" x14ac:dyDescent="0.35">
      <c r="L341" s="274"/>
      <c r="W341" s="262"/>
    </row>
    <row r="342" spans="12:23" x14ac:dyDescent="0.35">
      <c r="L342" s="274"/>
      <c r="W342" s="262"/>
    </row>
    <row r="343" spans="12:23" x14ac:dyDescent="0.35">
      <c r="L343" s="274"/>
      <c r="W343" s="262"/>
    </row>
    <row r="344" spans="12:23" x14ac:dyDescent="0.35">
      <c r="L344" s="274"/>
      <c r="W344" s="262"/>
    </row>
    <row r="345" spans="12:23" x14ac:dyDescent="0.35">
      <c r="L345" s="274"/>
      <c r="W345" s="262"/>
    </row>
    <row r="346" spans="12:23" x14ac:dyDescent="0.35">
      <c r="L346" s="274"/>
      <c r="W346" s="262"/>
    </row>
    <row r="347" spans="12:23" x14ac:dyDescent="0.35">
      <c r="L347" s="274"/>
      <c r="W347" s="262"/>
    </row>
    <row r="348" spans="12:23" x14ac:dyDescent="0.35">
      <c r="L348" s="274"/>
      <c r="W348" s="262"/>
    </row>
    <row r="349" spans="12:23" x14ac:dyDescent="0.35">
      <c r="L349" s="274"/>
      <c r="W349" s="262"/>
    </row>
    <row r="350" spans="12:23" x14ac:dyDescent="0.35">
      <c r="L350" s="274"/>
      <c r="W350" s="262"/>
    </row>
    <row r="351" spans="12:23" x14ac:dyDescent="0.35">
      <c r="L351" s="274"/>
      <c r="W351" s="262"/>
    </row>
    <row r="352" spans="12:23" x14ac:dyDescent="0.35">
      <c r="L352" s="274"/>
      <c r="W352" s="262"/>
    </row>
    <row r="353" spans="12:23" x14ac:dyDescent="0.35">
      <c r="L353" s="274"/>
      <c r="W353" s="262"/>
    </row>
    <row r="354" spans="12:23" x14ac:dyDescent="0.35">
      <c r="L354" s="274"/>
      <c r="W354" s="262"/>
    </row>
    <row r="355" spans="12:23" x14ac:dyDescent="0.35">
      <c r="L355" s="274"/>
      <c r="W355" s="262"/>
    </row>
    <row r="356" spans="12:23" x14ac:dyDescent="0.35">
      <c r="L356" s="274"/>
      <c r="W356" s="262"/>
    </row>
    <row r="357" spans="12:23" x14ac:dyDescent="0.35">
      <c r="L357" s="274"/>
      <c r="W357" s="262"/>
    </row>
    <row r="358" spans="12:23" x14ac:dyDescent="0.35">
      <c r="L358" s="274"/>
      <c r="W358" s="262"/>
    </row>
    <row r="359" spans="12:23" x14ac:dyDescent="0.35">
      <c r="L359" s="274"/>
      <c r="W359" s="262"/>
    </row>
    <row r="360" spans="12:23" x14ac:dyDescent="0.35">
      <c r="L360" s="274"/>
      <c r="W360" s="262"/>
    </row>
    <row r="361" spans="12:23" x14ac:dyDescent="0.35">
      <c r="L361" s="274"/>
      <c r="W361" s="262"/>
    </row>
    <row r="362" spans="12:23" x14ac:dyDescent="0.35">
      <c r="L362" s="274"/>
      <c r="W362" s="262"/>
    </row>
    <row r="363" spans="12:23" x14ac:dyDescent="0.35">
      <c r="L363" s="274"/>
      <c r="W363" s="262"/>
    </row>
    <row r="364" spans="12:23" x14ac:dyDescent="0.35">
      <c r="L364" s="274"/>
      <c r="W364" s="262"/>
    </row>
    <row r="365" spans="12:23" x14ac:dyDescent="0.35">
      <c r="L365" s="274"/>
      <c r="W365" s="262"/>
    </row>
    <row r="366" spans="12:23" x14ac:dyDescent="0.35">
      <c r="L366" s="274"/>
      <c r="W366" s="262"/>
    </row>
    <row r="367" spans="12:23" x14ac:dyDescent="0.35">
      <c r="L367" s="274"/>
      <c r="W367" s="262"/>
    </row>
    <row r="368" spans="12:23" x14ac:dyDescent="0.35">
      <c r="L368" s="274"/>
      <c r="W368" s="262"/>
    </row>
    <row r="369" spans="12:23" x14ac:dyDescent="0.35">
      <c r="L369" s="274"/>
      <c r="W369" s="262"/>
    </row>
    <row r="370" spans="12:23" x14ac:dyDescent="0.35">
      <c r="L370" s="274"/>
      <c r="W370" s="262"/>
    </row>
    <row r="371" spans="12:23" x14ac:dyDescent="0.35">
      <c r="L371" s="274"/>
      <c r="W371" s="262"/>
    </row>
    <row r="372" spans="12:23" x14ac:dyDescent="0.35">
      <c r="L372" s="274"/>
      <c r="W372" s="262"/>
    </row>
    <row r="373" spans="12:23" x14ac:dyDescent="0.35">
      <c r="L373" s="274"/>
      <c r="W373" s="262"/>
    </row>
    <row r="374" spans="12:23" x14ac:dyDescent="0.35">
      <c r="L374" s="274"/>
      <c r="W374" s="262"/>
    </row>
    <row r="375" spans="12:23" x14ac:dyDescent="0.35">
      <c r="L375" s="274"/>
      <c r="W375" s="262"/>
    </row>
    <row r="376" spans="12:23" x14ac:dyDescent="0.35">
      <c r="L376" s="274"/>
      <c r="W376" s="262"/>
    </row>
    <row r="377" spans="12:23" x14ac:dyDescent="0.35">
      <c r="L377" s="274"/>
      <c r="W377" s="262"/>
    </row>
    <row r="378" spans="12:23" x14ac:dyDescent="0.35">
      <c r="L378" s="274"/>
      <c r="W378" s="262"/>
    </row>
    <row r="379" spans="12:23" x14ac:dyDescent="0.35">
      <c r="L379" s="274"/>
      <c r="W379" s="262"/>
    </row>
    <row r="380" spans="12:23" x14ac:dyDescent="0.35">
      <c r="L380" s="274"/>
      <c r="W380" s="262"/>
    </row>
    <row r="381" spans="12:23" x14ac:dyDescent="0.35">
      <c r="L381" s="274"/>
      <c r="W381" s="262"/>
    </row>
    <row r="382" spans="12:23" x14ac:dyDescent="0.35">
      <c r="L382" s="274"/>
      <c r="W382" s="262"/>
    </row>
    <row r="383" spans="12:23" x14ac:dyDescent="0.35">
      <c r="L383" s="274"/>
      <c r="W383" s="262"/>
    </row>
    <row r="384" spans="12:23" x14ac:dyDescent="0.35">
      <c r="L384" s="274"/>
      <c r="W384" s="262"/>
    </row>
    <row r="385" spans="12:23" x14ac:dyDescent="0.35">
      <c r="L385" s="274"/>
      <c r="W385" s="262"/>
    </row>
    <row r="386" spans="12:23" x14ac:dyDescent="0.35">
      <c r="L386" s="274"/>
      <c r="W386" s="262"/>
    </row>
    <row r="387" spans="12:23" x14ac:dyDescent="0.35">
      <c r="L387" s="274"/>
      <c r="W387" s="262"/>
    </row>
    <row r="388" spans="12:23" x14ac:dyDescent="0.35">
      <c r="L388" s="274"/>
      <c r="W388" s="262"/>
    </row>
    <row r="389" spans="12:23" x14ac:dyDescent="0.35">
      <c r="L389" s="274"/>
      <c r="W389" s="262"/>
    </row>
    <row r="390" spans="12:23" x14ac:dyDescent="0.35">
      <c r="L390" s="274"/>
      <c r="W390" s="262"/>
    </row>
    <row r="391" spans="12:23" x14ac:dyDescent="0.35">
      <c r="L391" s="274"/>
      <c r="W391" s="262"/>
    </row>
    <row r="392" spans="12:23" x14ac:dyDescent="0.35">
      <c r="L392" s="274"/>
      <c r="W392" s="262"/>
    </row>
    <row r="393" spans="12:23" x14ac:dyDescent="0.35">
      <c r="L393" s="274"/>
      <c r="W393" s="262"/>
    </row>
    <row r="394" spans="12:23" x14ac:dyDescent="0.35">
      <c r="L394" s="274"/>
      <c r="W394" s="262"/>
    </row>
    <row r="395" spans="12:23" x14ac:dyDescent="0.35">
      <c r="L395" s="274"/>
      <c r="W395" s="262"/>
    </row>
    <row r="396" spans="12:23" x14ac:dyDescent="0.35">
      <c r="L396" s="274"/>
      <c r="W396" s="262"/>
    </row>
    <row r="397" spans="12:23" x14ac:dyDescent="0.35">
      <c r="L397" s="274"/>
      <c r="W397" s="262"/>
    </row>
    <row r="398" spans="12:23" x14ac:dyDescent="0.35">
      <c r="L398" s="274"/>
      <c r="W398" s="262"/>
    </row>
    <row r="399" spans="12:23" x14ac:dyDescent="0.35">
      <c r="L399" s="274"/>
      <c r="W399" s="262"/>
    </row>
    <row r="400" spans="12:23" x14ac:dyDescent="0.35">
      <c r="L400" s="274"/>
      <c r="W400" s="262"/>
    </row>
    <row r="401" spans="12:23" x14ac:dyDescent="0.35">
      <c r="L401" s="274"/>
      <c r="W401" s="262"/>
    </row>
    <row r="402" spans="12:23" x14ac:dyDescent="0.35">
      <c r="L402" s="274"/>
      <c r="W402" s="262"/>
    </row>
    <row r="403" spans="12:23" x14ac:dyDescent="0.35">
      <c r="L403" s="274"/>
      <c r="W403" s="262"/>
    </row>
    <row r="404" spans="12:23" x14ac:dyDescent="0.35">
      <c r="L404" s="274"/>
      <c r="W404" s="262"/>
    </row>
    <row r="405" spans="12:23" x14ac:dyDescent="0.35">
      <c r="L405" s="274"/>
      <c r="W405" s="262"/>
    </row>
    <row r="406" spans="12:23" x14ac:dyDescent="0.35">
      <c r="L406" s="274"/>
      <c r="W406" s="262"/>
    </row>
    <row r="407" spans="12:23" x14ac:dyDescent="0.35">
      <c r="L407" s="274"/>
      <c r="W407" s="262"/>
    </row>
    <row r="408" spans="12:23" x14ac:dyDescent="0.35">
      <c r="L408" s="274"/>
      <c r="W408" s="262"/>
    </row>
    <row r="409" spans="12:23" x14ac:dyDescent="0.35">
      <c r="L409" s="274"/>
      <c r="W409" s="262"/>
    </row>
    <row r="410" spans="12:23" x14ac:dyDescent="0.35">
      <c r="L410" s="274"/>
      <c r="W410" s="262"/>
    </row>
    <row r="411" spans="12:23" x14ac:dyDescent="0.35">
      <c r="L411" s="274"/>
      <c r="W411" s="262"/>
    </row>
    <row r="412" spans="12:23" x14ac:dyDescent="0.35">
      <c r="L412" s="274"/>
      <c r="W412" s="262"/>
    </row>
    <row r="413" spans="12:23" x14ac:dyDescent="0.35">
      <c r="L413" s="274"/>
      <c r="W413" s="262"/>
    </row>
    <row r="414" spans="12:23" x14ac:dyDescent="0.35">
      <c r="L414" s="274"/>
      <c r="W414" s="262"/>
    </row>
    <row r="415" spans="12:23" x14ac:dyDescent="0.35">
      <c r="L415" s="274"/>
      <c r="W415" s="262"/>
    </row>
    <row r="416" spans="12:23" x14ac:dyDescent="0.35">
      <c r="L416" s="274"/>
      <c r="W416" s="262"/>
    </row>
    <row r="417" spans="12:23" x14ac:dyDescent="0.35">
      <c r="L417" s="274"/>
      <c r="W417" s="262"/>
    </row>
    <row r="418" spans="12:23" x14ac:dyDescent="0.35">
      <c r="L418" s="274"/>
      <c r="W418" s="262"/>
    </row>
    <row r="419" spans="12:23" x14ac:dyDescent="0.35">
      <c r="L419" s="274"/>
      <c r="W419" s="262"/>
    </row>
    <row r="420" spans="12:23" x14ac:dyDescent="0.35">
      <c r="L420" s="274"/>
      <c r="W420" s="262"/>
    </row>
    <row r="421" spans="12:23" x14ac:dyDescent="0.35">
      <c r="L421" s="274"/>
      <c r="W421" s="262"/>
    </row>
    <row r="422" spans="12:23" x14ac:dyDescent="0.35">
      <c r="L422" s="274"/>
      <c r="W422" s="262"/>
    </row>
    <row r="423" spans="12:23" x14ac:dyDescent="0.35">
      <c r="L423" s="274"/>
      <c r="W423" s="262"/>
    </row>
    <row r="424" spans="12:23" x14ac:dyDescent="0.35">
      <c r="L424" s="274"/>
      <c r="W424" s="262"/>
    </row>
    <row r="425" spans="12:23" x14ac:dyDescent="0.35">
      <c r="L425" s="274"/>
      <c r="W425" s="262"/>
    </row>
    <row r="426" spans="12:23" x14ac:dyDescent="0.35">
      <c r="L426" s="274"/>
      <c r="W426" s="262"/>
    </row>
    <row r="427" spans="12:23" x14ac:dyDescent="0.35">
      <c r="L427" s="274"/>
      <c r="W427" s="262"/>
    </row>
    <row r="428" spans="12:23" x14ac:dyDescent="0.35">
      <c r="L428" s="274"/>
      <c r="W428" s="262"/>
    </row>
    <row r="429" spans="12:23" x14ac:dyDescent="0.35">
      <c r="L429" s="274"/>
      <c r="W429" s="262"/>
    </row>
    <row r="430" spans="12:23" x14ac:dyDescent="0.35">
      <c r="L430" s="274"/>
      <c r="W430" s="262"/>
    </row>
    <row r="431" spans="12:23" x14ac:dyDescent="0.35">
      <c r="L431" s="274"/>
      <c r="W431" s="262"/>
    </row>
    <row r="432" spans="12:23" x14ac:dyDescent="0.35">
      <c r="L432" s="274"/>
      <c r="W432" s="262"/>
    </row>
    <row r="433" spans="12:23" x14ac:dyDescent="0.35">
      <c r="L433" s="274"/>
      <c r="W433" s="262"/>
    </row>
    <row r="434" spans="12:23" x14ac:dyDescent="0.35">
      <c r="L434" s="274"/>
      <c r="W434" s="262"/>
    </row>
    <row r="435" spans="12:23" x14ac:dyDescent="0.35">
      <c r="L435" s="274"/>
      <c r="W435" s="262"/>
    </row>
    <row r="436" spans="12:23" x14ac:dyDescent="0.35">
      <c r="L436" s="274"/>
      <c r="W436" s="262"/>
    </row>
    <row r="437" spans="12:23" x14ac:dyDescent="0.35">
      <c r="L437" s="274"/>
      <c r="W437" s="262"/>
    </row>
    <row r="438" spans="12:23" x14ac:dyDescent="0.35">
      <c r="L438" s="274"/>
      <c r="W438" s="262"/>
    </row>
    <row r="439" spans="12:23" x14ac:dyDescent="0.35">
      <c r="L439" s="274"/>
      <c r="W439" s="262"/>
    </row>
    <row r="440" spans="12:23" x14ac:dyDescent="0.35">
      <c r="L440" s="274"/>
      <c r="W440" s="262"/>
    </row>
    <row r="441" spans="12:23" x14ac:dyDescent="0.35">
      <c r="L441" s="274"/>
      <c r="W441" s="262"/>
    </row>
    <row r="442" spans="12:23" x14ac:dyDescent="0.35">
      <c r="L442" s="274"/>
      <c r="W442" s="262"/>
    </row>
    <row r="443" spans="12:23" x14ac:dyDescent="0.35">
      <c r="L443" s="274"/>
      <c r="W443" s="262"/>
    </row>
    <row r="444" spans="12:23" x14ac:dyDescent="0.35">
      <c r="L444" s="274"/>
      <c r="W444" s="262"/>
    </row>
    <row r="445" spans="12:23" x14ac:dyDescent="0.35">
      <c r="L445" s="274"/>
      <c r="W445" s="262"/>
    </row>
    <row r="446" spans="12:23" x14ac:dyDescent="0.35">
      <c r="L446" s="274"/>
      <c r="W446" s="262"/>
    </row>
    <row r="447" spans="12:23" x14ac:dyDescent="0.35">
      <c r="L447" s="274"/>
      <c r="W447" s="262"/>
    </row>
    <row r="448" spans="12:23" x14ac:dyDescent="0.35">
      <c r="L448" s="274"/>
      <c r="W448" s="262"/>
    </row>
    <row r="449" spans="12:23" x14ac:dyDescent="0.35">
      <c r="L449" s="274"/>
      <c r="W449" s="262"/>
    </row>
    <row r="450" spans="12:23" x14ac:dyDescent="0.35">
      <c r="L450" s="274"/>
      <c r="W450" s="262"/>
    </row>
    <row r="451" spans="12:23" x14ac:dyDescent="0.35">
      <c r="L451" s="274"/>
      <c r="W451" s="262"/>
    </row>
    <row r="452" spans="12:23" x14ac:dyDescent="0.35">
      <c r="L452" s="274"/>
      <c r="W452" s="262"/>
    </row>
    <row r="453" spans="12:23" x14ac:dyDescent="0.35">
      <c r="L453" s="274"/>
      <c r="W453" s="262"/>
    </row>
    <row r="454" spans="12:23" x14ac:dyDescent="0.35">
      <c r="L454" s="274"/>
      <c r="W454" s="262"/>
    </row>
    <row r="455" spans="12:23" x14ac:dyDescent="0.35">
      <c r="L455" s="274"/>
      <c r="W455" s="262"/>
    </row>
    <row r="456" spans="12:23" x14ac:dyDescent="0.35">
      <c r="L456" s="274"/>
      <c r="W456" s="262"/>
    </row>
    <row r="457" spans="12:23" x14ac:dyDescent="0.35">
      <c r="L457" s="274"/>
      <c r="W457" s="262"/>
    </row>
    <row r="458" spans="12:23" x14ac:dyDescent="0.35">
      <c r="L458" s="274"/>
      <c r="W458" s="262"/>
    </row>
    <row r="459" spans="12:23" x14ac:dyDescent="0.35">
      <c r="L459" s="274"/>
      <c r="W459" s="262"/>
    </row>
    <row r="460" spans="12:23" x14ac:dyDescent="0.35">
      <c r="L460" s="274"/>
      <c r="W460" s="262"/>
    </row>
    <row r="461" spans="12:23" x14ac:dyDescent="0.35">
      <c r="L461" s="274"/>
      <c r="W461" s="262"/>
    </row>
    <row r="462" spans="12:23" x14ac:dyDescent="0.35">
      <c r="L462" s="274"/>
      <c r="W462" s="262"/>
    </row>
    <row r="463" spans="12:23" x14ac:dyDescent="0.35">
      <c r="L463" s="274"/>
      <c r="W463" s="262"/>
    </row>
    <row r="464" spans="12:23" x14ac:dyDescent="0.35">
      <c r="L464" s="274"/>
      <c r="W464" s="262"/>
    </row>
    <row r="465" spans="12:23" x14ac:dyDescent="0.35">
      <c r="L465" s="274"/>
      <c r="W465" s="262"/>
    </row>
    <row r="466" spans="12:23" x14ac:dyDescent="0.35">
      <c r="L466" s="274"/>
      <c r="W466" s="262"/>
    </row>
    <row r="467" spans="12:23" x14ac:dyDescent="0.35">
      <c r="L467" s="274"/>
      <c r="W467" s="262"/>
    </row>
    <row r="468" spans="12:23" x14ac:dyDescent="0.35">
      <c r="L468" s="274"/>
      <c r="W468" s="262"/>
    </row>
    <row r="469" spans="12:23" x14ac:dyDescent="0.35">
      <c r="L469" s="274"/>
      <c r="W469" s="262"/>
    </row>
    <row r="470" spans="12:23" x14ac:dyDescent="0.35">
      <c r="L470" s="274"/>
      <c r="W470" s="262"/>
    </row>
    <row r="471" spans="12:23" x14ac:dyDescent="0.35">
      <c r="L471" s="274"/>
      <c r="W471" s="262"/>
    </row>
    <row r="472" spans="12:23" x14ac:dyDescent="0.35">
      <c r="L472" s="274"/>
      <c r="W472" s="262"/>
    </row>
    <row r="473" spans="12:23" x14ac:dyDescent="0.35">
      <c r="L473" s="274"/>
      <c r="W473" s="262"/>
    </row>
    <row r="474" spans="12:23" x14ac:dyDescent="0.35">
      <c r="L474" s="274"/>
      <c r="W474" s="262"/>
    </row>
    <row r="475" spans="12:23" x14ac:dyDescent="0.35">
      <c r="L475" s="274"/>
      <c r="W475" s="262"/>
    </row>
    <row r="476" spans="12:23" x14ac:dyDescent="0.35">
      <c r="L476" s="274"/>
      <c r="W476" s="262"/>
    </row>
    <row r="477" spans="12:23" x14ac:dyDescent="0.35">
      <c r="L477" s="274"/>
      <c r="W477" s="262"/>
    </row>
    <row r="478" spans="12:23" x14ac:dyDescent="0.35">
      <c r="L478" s="274"/>
      <c r="W478" s="262"/>
    </row>
    <row r="479" spans="12:23" x14ac:dyDescent="0.35">
      <c r="L479" s="274"/>
      <c r="W479" s="262"/>
    </row>
    <row r="480" spans="12:23" x14ac:dyDescent="0.35">
      <c r="L480" s="274"/>
      <c r="W480" s="262"/>
    </row>
    <row r="481" spans="12:23" x14ac:dyDescent="0.35">
      <c r="L481" s="274"/>
      <c r="W481" s="262"/>
    </row>
    <row r="482" spans="12:23" x14ac:dyDescent="0.35">
      <c r="L482" s="274"/>
      <c r="W482" s="262"/>
    </row>
    <row r="483" spans="12:23" x14ac:dyDescent="0.35">
      <c r="L483" s="274"/>
      <c r="W483" s="262"/>
    </row>
    <row r="484" spans="12:23" x14ac:dyDescent="0.35">
      <c r="L484" s="274"/>
      <c r="W484" s="262"/>
    </row>
    <row r="485" spans="12:23" x14ac:dyDescent="0.35">
      <c r="L485" s="274"/>
      <c r="W485" s="262"/>
    </row>
    <row r="486" spans="12:23" x14ac:dyDescent="0.35">
      <c r="L486" s="274"/>
      <c r="W486" s="262"/>
    </row>
    <row r="487" spans="12:23" x14ac:dyDescent="0.35">
      <c r="L487" s="274"/>
      <c r="W487" s="262"/>
    </row>
    <row r="488" spans="12:23" x14ac:dyDescent="0.35">
      <c r="L488" s="274"/>
      <c r="W488" s="262"/>
    </row>
    <row r="489" spans="12:23" x14ac:dyDescent="0.35">
      <c r="L489" s="274"/>
      <c r="W489" s="262"/>
    </row>
    <row r="490" spans="12:23" x14ac:dyDescent="0.35">
      <c r="L490" s="274"/>
      <c r="W490" s="262"/>
    </row>
    <row r="491" spans="12:23" x14ac:dyDescent="0.35">
      <c r="L491" s="274"/>
      <c r="W491" s="262"/>
    </row>
    <row r="492" spans="12:23" x14ac:dyDescent="0.35">
      <c r="L492" s="274"/>
      <c r="W492" s="262"/>
    </row>
    <row r="493" spans="12:23" x14ac:dyDescent="0.35">
      <c r="L493" s="274"/>
      <c r="W493" s="262"/>
    </row>
    <row r="494" spans="12:23" x14ac:dyDescent="0.35">
      <c r="L494" s="274"/>
      <c r="W494" s="262"/>
    </row>
    <row r="495" spans="12:23" x14ac:dyDescent="0.35">
      <c r="L495" s="274"/>
      <c r="W495" s="262"/>
    </row>
    <row r="496" spans="12:23" x14ac:dyDescent="0.35">
      <c r="L496" s="274"/>
      <c r="W496" s="262"/>
    </row>
    <row r="497" spans="12:23" x14ac:dyDescent="0.35">
      <c r="L497" s="274"/>
      <c r="W497" s="262"/>
    </row>
    <row r="498" spans="12:23" x14ac:dyDescent="0.35">
      <c r="L498" s="274"/>
      <c r="W498" s="262"/>
    </row>
    <row r="499" spans="12:23" x14ac:dyDescent="0.35">
      <c r="L499" s="274"/>
      <c r="W499" s="262"/>
    </row>
    <row r="500" spans="12:23" x14ac:dyDescent="0.35">
      <c r="L500" s="274"/>
      <c r="W500" s="262"/>
    </row>
    <row r="501" spans="12:23" x14ac:dyDescent="0.35">
      <c r="L501" s="274"/>
      <c r="W501" s="262"/>
    </row>
    <row r="502" spans="12:23" x14ac:dyDescent="0.35">
      <c r="L502" s="274"/>
      <c r="W502" s="262"/>
    </row>
    <row r="503" spans="12:23" x14ac:dyDescent="0.35">
      <c r="L503" s="274"/>
      <c r="W503" s="262"/>
    </row>
    <row r="504" spans="12:23" x14ac:dyDescent="0.35">
      <c r="L504" s="274"/>
      <c r="W504" s="262"/>
    </row>
    <row r="505" spans="12:23" x14ac:dyDescent="0.35">
      <c r="L505" s="274"/>
      <c r="W505" s="262"/>
    </row>
    <row r="506" spans="12:23" x14ac:dyDescent="0.35">
      <c r="L506" s="274"/>
      <c r="W506" s="262"/>
    </row>
    <row r="507" spans="12:23" x14ac:dyDescent="0.35">
      <c r="L507" s="274"/>
      <c r="W507" s="262"/>
    </row>
    <row r="508" spans="12:23" x14ac:dyDescent="0.35">
      <c r="L508" s="274"/>
      <c r="W508" s="262"/>
    </row>
    <row r="509" spans="12:23" x14ac:dyDescent="0.35">
      <c r="L509" s="274"/>
      <c r="W509" s="262"/>
    </row>
    <row r="510" spans="12:23" x14ac:dyDescent="0.35">
      <c r="L510" s="274"/>
      <c r="W510" s="262"/>
    </row>
    <row r="511" spans="12:23" x14ac:dyDescent="0.35">
      <c r="L511" s="274"/>
      <c r="W511" s="262"/>
    </row>
    <row r="512" spans="12:23" x14ac:dyDescent="0.35">
      <c r="L512" s="274"/>
      <c r="W512" s="262"/>
    </row>
    <row r="513" spans="12:23" x14ac:dyDescent="0.35">
      <c r="L513" s="274"/>
      <c r="W513" s="262"/>
    </row>
    <row r="514" spans="12:23" x14ac:dyDescent="0.35">
      <c r="L514" s="274"/>
      <c r="W514" s="262"/>
    </row>
    <row r="515" spans="12:23" x14ac:dyDescent="0.35">
      <c r="L515" s="274"/>
      <c r="W515" s="262"/>
    </row>
    <row r="516" spans="12:23" x14ac:dyDescent="0.35">
      <c r="L516" s="274"/>
      <c r="W516" s="262"/>
    </row>
    <row r="517" spans="12:23" x14ac:dyDescent="0.35">
      <c r="L517" s="274"/>
      <c r="W517" s="262"/>
    </row>
    <row r="518" spans="12:23" x14ac:dyDescent="0.35">
      <c r="L518" s="274"/>
      <c r="W518" s="262"/>
    </row>
    <row r="519" spans="12:23" x14ac:dyDescent="0.35">
      <c r="L519" s="274"/>
      <c r="W519" s="262"/>
    </row>
    <row r="520" spans="12:23" x14ac:dyDescent="0.35">
      <c r="L520" s="274"/>
      <c r="W520" s="262"/>
    </row>
    <row r="521" spans="12:23" x14ac:dyDescent="0.35">
      <c r="L521" s="274"/>
      <c r="W521" s="262"/>
    </row>
    <row r="522" spans="12:23" x14ac:dyDescent="0.35">
      <c r="L522" s="274"/>
      <c r="W522" s="262"/>
    </row>
    <row r="523" spans="12:23" x14ac:dyDescent="0.35">
      <c r="L523" s="274"/>
      <c r="W523" s="262"/>
    </row>
    <row r="524" spans="12:23" x14ac:dyDescent="0.35">
      <c r="L524" s="274"/>
      <c r="W524" s="262"/>
    </row>
    <row r="525" spans="12:23" x14ac:dyDescent="0.35">
      <c r="L525" s="274"/>
      <c r="W525" s="262"/>
    </row>
    <row r="526" spans="12:23" x14ac:dyDescent="0.35">
      <c r="L526" s="274"/>
      <c r="W526" s="262"/>
    </row>
    <row r="527" spans="12:23" x14ac:dyDescent="0.35">
      <c r="L527" s="274"/>
      <c r="W527" s="262"/>
    </row>
    <row r="528" spans="12:23" x14ac:dyDescent="0.35">
      <c r="L528" s="274"/>
      <c r="W528" s="262"/>
    </row>
    <row r="529" spans="12:23" x14ac:dyDescent="0.35">
      <c r="L529" s="274"/>
      <c r="W529" s="262"/>
    </row>
    <row r="530" spans="12:23" x14ac:dyDescent="0.35">
      <c r="L530" s="274"/>
      <c r="W530" s="262"/>
    </row>
    <row r="531" spans="12:23" x14ac:dyDescent="0.35">
      <c r="L531" s="274"/>
      <c r="W531" s="262"/>
    </row>
    <row r="532" spans="12:23" x14ac:dyDescent="0.35">
      <c r="L532" s="274"/>
      <c r="W532" s="262"/>
    </row>
    <row r="533" spans="12:23" x14ac:dyDescent="0.35">
      <c r="L533" s="274"/>
      <c r="W533" s="262"/>
    </row>
    <row r="534" spans="12:23" x14ac:dyDescent="0.35">
      <c r="L534" s="274"/>
      <c r="W534" s="262"/>
    </row>
    <row r="535" spans="12:23" x14ac:dyDescent="0.35">
      <c r="L535" s="274"/>
      <c r="W535" s="262"/>
    </row>
    <row r="536" spans="12:23" x14ac:dyDescent="0.35">
      <c r="L536" s="274"/>
      <c r="W536" s="262"/>
    </row>
    <row r="537" spans="12:23" x14ac:dyDescent="0.35">
      <c r="L537" s="274"/>
      <c r="W537" s="262"/>
    </row>
    <row r="538" spans="12:23" x14ac:dyDescent="0.35">
      <c r="L538" s="274"/>
      <c r="W538" s="262"/>
    </row>
    <row r="539" spans="12:23" x14ac:dyDescent="0.35">
      <c r="L539" s="274"/>
      <c r="W539" s="262"/>
    </row>
    <row r="540" spans="12:23" x14ac:dyDescent="0.35">
      <c r="L540" s="274"/>
      <c r="W540" s="262"/>
    </row>
    <row r="541" spans="12:23" x14ac:dyDescent="0.35">
      <c r="L541" s="274"/>
      <c r="W541" s="262"/>
    </row>
    <row r="542" spans="12:23" x14ac:dyDescent="0.35">
      <c r="L542" s="274"/>
      <c r="W542" s="262"/>
    </row>
    <row r="543" spans="12:23" x14ac:dyDescent="0.35">
      <c r="L543" s="274"/>
      <c r="W543" s="262"/>
    </row>
    <row r="544" spans="12:23" x14ac:dyDescent="0.35">
      <c r="L544" s="274"/>
      <c r="W544" s="262"/>
    </row>
    <row r="545" spans="12:23" x14ac:dyDescent="0.35">
      <c r="L545" s="274"/>
      <c r="W545" s="262"/>
    </row>
    <row r="546" spans="12:23" x14ac:dyDescent="0.35">
      <c r="L546" s="274"/>
      <c r="W546" s="262"/>
    </row>
    <row r="547" spans="12:23" x14ac:dyDescent="0.35">
      <c r="L547" s="274"/>
      <c r="W547" s="262"/>
    </row>
    <row r="548" spans="12:23" x14ac:dyDescent="0.35">
      <c r="L548" s="274"/>
      <c r="W548" s="262"/>
    </row>
    <row r="549" spans="12:23" x14ac:dyDescent="0.35">
      <c r="L549" s="274"/>
      <c r="W549" s="262"/>
    </row>
    <row r="550" spans="12:23" x14ac:dyDescent="0.35">
      <c r="L550" s="274"/>
      <c r="W550" s="262"/>
    </row>
    <row r="551" spans="12:23" x14ac:dyDescent="0.35">
      <c r="L551" s="274"/>
      <c r="W551" s="262"/>
    </row>
    <row r="552" spans="12:23" x14ac:dyDescent="0.35">
      <c r="L552" s="274"/>
      <c r="W552" s="262"/>
    </row>
    <row r="553" spans="12:23" x14ac:dyDescent="0.35">
      <c r="L553" s="274"/>
      <c r="W553" s="262"/>
    </row>
    <row r="554" spans="12:23" x14ac:dyDescent="0.35">
      <c r="L554" s="274"/>
      <c r="W554" s="262"/>
    </row>
    <row r="555" spans="12:23" x14ac:dyDescent="0.35">
      <c r="L555" s="274"/>
      <c r="W555" s="262"/>
    </row>
    <row r="556" spans="12:23" x14ac:dyDescent="0.35">
      <c r="L556" s="274"/>
      <c r="W556" s="262"/>
    </row>
    <row r="557" spans="12:23" x14ac:dyDescent="0.35">
      <c r="L557" s="274"/>
      <c r="W557" s="262"/>
    </row>
    <row r="558" spans="12:23" x14ac:dyDescent="0.35">
      <c r="L558" s="274"/>
      <c r="W558" s="262"/>
    </row>
    <row r="559" spans="12:23" x14ac:dyDescent="0.35">
      <c r="L559" s="274"/>
      <c r="W559" s="262"/>
    </row>
    <row r="560" spans="12:23" x14ac:dyDescent="0.35">
      <c r="L560" s="274"/>
      <c r="W560" s="262"/>
    </row>
    <row r="561" spans="12:23" x14ac:dyDescent="0.35">
      <c r="L561" s="274"/>
      <c r="W561" s="262"/>
    </row>
    <row r="562" spans="12:23" x14ac:dyDescent="0.35">
      <c r="L562" s="274"/>
      <c r="W562" s="262"/>
    </row>
    <row r="563" spans="12:23" x14ac:dyDescent="0.35">
      <c r="L563" s="274"/>
      <c r="W563" s="262"/>
    </row>
    <row r="564" spans="12:23" x14ac:dyDescent="0.35">
      <c r="L564" s="274"/>
      <c r="W564" s="262"/>
    </row>
    <row r="565" spans="12:23" x14ac:dyDescent="0.35">
      <c r="L565" s="274"/>
      <c r="W565" s="262"/>
    </row>
    <row r="566" spans="12:23" x14ac:dyDescent="0.35">
      <c r="L566" s="274"/>
      <c r="W566" s="262"/>
    </row>
    <row r="567" spans="12:23" x14ac:dyDescent="0.35">
      <c r="L567" s="274"/>
      <c r="W567" s="262"/>
    </row>
    <row r="568" spans="12:23" x14ac:dyDescent="0.35">
      <c r="L568" s="274"/>
      <c r="W568" s="262"/>
    </row>
    <row r="569" spans="12:23" x14ac:dyDescent="0.35">
      <c r="L569" s="274"/>
      <c r="W569" s="262"/>
    </row>
    <row r="570" spans="12:23" x14ac:dyDescent="0.35">
      <c r="L570" s="274"/>
      <c r="W570" s="262"/>
    </row>
    <row r="571" spans="12:23" x14ac:dyDescent="0.35">
      <c r="L571" s="274"/>
      <c r="W571" s="262"/>
    </row>
    <row r="572" spans="12:23" x14ac:dyDescent="0.35">
      <c r="L572" s="274"/>
      <c r="W572" s="262"/>
    </row>
    <row r="573" spans="12:23" x14ac:dyDescent="0.35">
      <c r="L573" s="274"/>
      <c r="W573" s="262"/>
    </row>
    <row r="574" spans="12:23" x14ac:dyDescent="0.35">
      <c r="L574" s="274"/>
      <c r="W574" s="262"/>
    </row>
    <row r="575" spans="12:23" x14ac:dyDescent="0.35">
      <c r="L575" s="274"/>
      <c r="W575" s="262"/>
    </row>
    <row r="576" spans="12:23" x14ac:dyDescent="0.35">
      <c r="L576" s="274"/>
      <c r="W576" s="262"/>
    </row>
    <row r="577" spans="12:23" x14ac:dyDescent="0.35">
      <c r="L577" s="274"/>
      <c r="W577" s="262"/>
    </row>
    <row r="578" spans="12:23" x14ac:dyDescent="0.35">
      <c r="L578" s="274"/>
      <c r="W578" s="262"/>
    </row>
    <row r="579" spans="12:23" x14ac:dyDescent="0.35">
      <c r="L579" s="274"/>
      <c r="W579" s="262"/>
    </row>
    <row r="580" spans="12:23" x14ac:dyDescent="0.35">
      <c r="L580" s="274"/>
      <c r="W580" s="262"/>
    </row>
    <row r="581" spans="12:23" x14ac:dyDescent="0.35">
      <c r="L581" s="274"/>
      <c r="W581" s="262"/>
    </row>
    <row r="582" spans="12:23" x14ac:dyDescent="0.35">
      <c r="L582" s="274"/>
      <c r="W582" s="262"/>
    </row>
    <row r="583" spans="12:23" x14ac:dyDescent="0.35">
      <c r="L583" s="274"/>
      <c r="W583" s="262"/>
    </row>
    <row r="584" spans="12:23" x14ac:dyDescent="0.35">
      <c r="L584" s="274"/>
      <c r="W584" s="262"/>
    </row>
    <row r="585" spans="12:23" x14ac:dyDescent="0.35">
      <c r="L585" s="274"/>
      <c r="W585" s="262"/>
    </row>
    <row r="586" spans="12:23" x14ac:dyDescent="0.35">
      <c r="L586" s="274"/>
      <c r="W586" s="262"/>
    </row>
    <row r="587" spans="12:23" x14ac:dyDescent="0.35">
      <c r="L587" s="274"/>
      <c r="W587" s="262"/>
    </row>
    <row r="588" spans="12:23" x14ac:dyDescent="0.35">
      <c r="L588" s="274"/>
      <c r="W588" s="262"/>
    </row>
    <row r="589" spans="12:23" x14ac:dyDescent="0.35">
      <c r="L589" s="274"/>
      <c r="W589" s="262"/>
    </row>
    <row r="590" spans="12:23" x14ac:dyDescent="0.35">
      <c r="L590" s="274"/>
      <c r="W590" s="262"/>
    </row>
    <row r="591" spans="12:23" x14ac:dyDescent="0.35">
      <c r="L591" s="274"/>
      <c r="W591" s="262"/>
    </row>
    <row r="592" spans="12:23" x14ac:dyDescent="0.35">
      <c r="L592" s="274"/>
      <c r="W592" s="262"/>
    </row>
    <row r="593" spans="12:23" x14ac:dyDescent="0.35">
      <c r="L593" s="274"/>
      <c r="W593" s="262"/>
    </row>
    <row r="594" spans="12:23" x14ac:dyDescent="0.35">
      <c r="L594" s="274"/>
      <c r="W594" s="262"/>
    </row>
    <row r="595" spans="12:23" x14ac:dyDescent="0.35">
      <c r="L595" s="274"/>
      <c r="W595" s="262"/>
    </row>
    <row r="596" spans="12:23" x14ac:dyDescent="0.35">
      <c r="L596" s="274"/>
      <c r="W596" s="262"/>
    </row>
    <row r="597" spans="12:23" x14ac:dyDescent="0.35">
      <c r="L597" s="274"/>
      <c r="W597" s="262"/>
    </row>
    <row r="598" spans="12:23" x14ac:dyDescent="0.35">
      <c r="L598" s="274"/>
      <c r="W598" s="262"/>
    </row>
    <row r="599" spans="12:23" x14ac:dyDescent="0.35">
      <c r="L599" s="274"/>
      <c r="W599" s="262"/>
    </row>
    <row r="600" spans="12:23" x14ac:dyDescent="0.35">
      <c r="L600" s="274"/>
      <c r="W600" s="262"/>
    </row>
    <row r="601" spans="12:23" x14ac:dyDescent="0.35">
      <c r="L601" s="274"/>
      <c r="W601" s="262"/>
    </row>
    <row r="602" spans="12:23" x14ac:dyDescent="0.35">
      <c r="L602" s="274"/>
      <c r="W602" s="262"/>
    </row>
    <row r="603" spans="12:23" x14ac:dyDescent="0.35">
      <c r="L603" s="274"/>
      <c r="W603" s="262"/>
    </row>
    <row r="604" spans="12:23" x14ac:dyDescent="0.35">
      <c r="L604" s="274"/>
      <c r="W604" s="262"/>
    </row>
    <row r="605" spans="12:23" x14ac:dyDescent="0.35">
      <c r="L605" s="274"/>
      <c r="W605" s="262"/>
    </row>
    <row r="606" spans="12:23" x14ac:dyDescent="0.35">
      <c r="L606" s="274"/>
      <c r="W606" s="262"/>
    </row>
    <row r="607" spans="12:23" x14ac:dyDescent="0.35">
      <c r="L607" s="274"/>
      <c r="W607" s="262"/>
    </row>
    <row r="608" spans="12:23" x14ac:dyDescent="0.35">
      <c r="L608" s="274"/>
      <c r="W608" s="262"/>
    </row>
    <row r="609" spans="12:23" x14ac:dyDescent="0.35">
      <c r="L609" s="274"/>
      <c r="W609" s="262"/>
    </row>
    <row r="610" spans="12:23" x14ac:dyDescent="0.35">
      <c r="L610" s="274"/>
      <c r="W610" s="262"/>
    </row>
    <row r="611" spans="12:23" x14ac:dyDescent="0.35">
      <c r="L611" s="274"/>
      <c r="W611" s="262"/>
    </row>
    <row r="612" spans="12:23" x14ac:dyDescent="0.35">
      <c r="L612" s="274"/>
      <c r="W612" s="262"/>
    </row>
    <row r="613" spans="12:23" x14ac:dyDescent="0.35">
      <c r="L613" s="274"/>
      <c r="W613" s="262"/>
    </row>
    <row r="614" spans="12:23" x14ac:dyDescent="0.35">
      <c r="L614" s="274"/>
      <c r="W614" s="262"/>
    </row>
    <row r="615" spans="12:23" x14ac:dyDescent="0.35">
      <c r="L615" s="274"/>
      <c r="W615" s="262"/>
    </row>
    <row r="616" spans="12:23" x14ac:dyDescent="0.35">
      <c r="L616" s="274"/>
      <c r="W616" s="262"/>
    </row>
    <row r="617" spans="12:23" x14ac:dyDescent="0.35">
      <c r="L617" s="274"/>
      <c r="W617" s="262"/>
    </row>
    <row r="618" spans="12:23" x14ac:dyDescent="0.35">
      <c r="L618" s="274"/>
      <c r="W618" s="262"/>
    </row>
    <row r="619" spans="12:23" x14ac:dyDescent="0.35">
      <c r="L619" s="274"/>
      <c r="W619" s="262"/>
    </row>
    <row r="620" spans="12:23" x14ac:dyDescent="0.35">
      <c r="L620" s="274"/>
      <c r="W620" s="262"/>
    </row>
    <row r="621" spans="12:23" x14ac:dyDescent="0.35">
      <c r="L621" s="274"/>
      <c r="W621" s="262"/>
    </row>
    <row r="622" spans="12:23" x14ac:dyDescent="0.35">
      <c r="L622" s="274"/>
      <c r="W622" s="262"/>
    </row>
    <row r="623" spans="12:23" x14ac:dyDescent="0.35">
      <c r="L623" s="274"/>
      <c r="W623" s="262"/>
    </row>
    <row r="624" spans="12:23" x14ac:dyDescent="0.35">
      <c r="L624" s="274"/>
      <c r="W624" s="262"/>
    </row>
    <row r="625" spans="12:23" x14ac:dyDescent="0.35">
      <c r="L625" s="274"/>
      <c r="W625" s="262"/>
    </row>
    <row r="626" spans="12:23" x14ac:dyDescent="0.35">
      <c r="L626" s="274"/>
      <c r="W626" s="262"/>
    </row>
    <row r="627" spans="12:23" x14ac:dyDescent="0.35">
      <c r="L627" s="274"/>
      <c r="W627" s="262"/>
    </row>
    <row r="628" spans="12:23" x14ac:dyDescent="0.35">
      <c r="L628" s="274"/>
      <c r="W628" s="262"/>
    </row>
    <row r="629" spans="12:23" x14ac:dyDescent="0.35">
      <c r="L629" s="274"/>
      <c r="W629" s="262"/>
    </row>
    <row r="630" spans="12:23" x14ac:dyDescent="0.35">
      <c r="L630" s="274"/>
      <c r="W630" s="262"/>
    </row>
    <row r="631" spans="12:23" x14ac:dyDescent="0.35">
      <c r="L631" s="274"/>
      <c r="W631" s="262"/>
    </row>
    <row r="632" spans="12:23" x14ac:dyDescent="0.35">
      <c r="L632" s="274"/>
      <c r="W632" s="262"/>
    </row>
    <row r="633" spans="12:23" x14ac:dyDescent="0.35">
      <c r="L633" s="274"/>
      <c r="W633" s="262"/>
    </row>
    <row r="634" spans="12:23" x14ac:dyDescent="0.35">
      <c r="L634" s="274"/>
      <c r="W634" s="262"/>
    </row>
    <row r="635" spans="12:23" x14ac:dyDescent="0.35">
      <c r="L635" s="274"/>
      <c r="W635" s="262"/>
    </row>
    <row r="636" spans="12:23" x14ac:dyDescent="0.35">
      <c r="L636" s="274"/>
      <c r="W636" s="262"/>
    </row>
    <row r="637" spans="12:23" x14ac:dyDescent="0.35">
      <c r="L637" s="274"/>
      <c r="W637" s="262"/>
    </row>
    <row r="638" spans="12:23" x14ac:dyDescent="0.35">
      <c r="L638" s="274"/>
      <c r="W638" s="262"/>
    </row>
    <row r="639" spans="12:23" x14ac:dyDescent="0.35">
      <c r="L639" s="274"/>
      <c r="W639" s="262"/>
    </row>
    <row r="640" spans="12:23" x14ac:dyDescent="0.35">
      <c r="L640" s="274"/>
      <c r="W640" s="262"/>
    </row>
    <row r="641" spans="12:23" x14ac:dyDescent="0.35">
      <c r="L641" s="274"/>
      <c r="W641" s="262"/>
    </row>
    <row r="642" spans="12:23" x14ac:dyDescent="0.35">
      <c r="L642" s="274"/>
      <c r="W642" s="262"/>
    </row>
    <row r="643" spans="12:23" x14ac:dyDescent="0.35">
      <c r="L643" s="274"/>
      <c r="W643" s="262"/>
    </row>
    <row r="644" spans="12:23" x14ac:dyDescent="0.35">
      <c r="L644" s="274"/>
      <c r="W644" s="262"/>
    </row>
    <row r="645" spans="12:23" x14ac:dyDescent="0.35">
      <c r="L645" s="274"/>
      <c r="W645" s="262"/>
    </row>
    <row r="646" spans="12:23" x14ac:dyDescent="0.35">
      <c r="L646" s="274"/>
      <c r="W646" s="262"/>
    </row>
    <row r="647" spans="12:23" x14ac:dyDescent="0.35">
      <c r="L647" s="274"/>
      <c r="W647" s="262"/>
    </row>
    <row r="648" spans="12:23" x14ac:dyDescent="0.35">
      <c r="L648" s="274"/>
      <c r="W648" s="262"/>
    </row>
    <row r="649" spans="12:23" x14ac:dyDescent="0.35">
      <c r="L649" s="274"/>
      <c r="W649" s="262"/>
    </row>
    <row r="650" spans="12:23" x14ac:dyDescent="0.35">
      <c r="L650" s="274"/>
      <c r="W650" s="262"/>
    </row>
    <row r="651" spans="12:23" x14ac:dyDescent="0.35">
      <c r="L651" s="274"/>
      <c r="W651" s="262"/>
    </row>
    <row r="652" spans="12:23" x14ac:dyDescent="0.35">
      <c r="L652" s="274"/>
      <c r="W652" s="262"/>
    </row>
    <row r="653" spans="12:23" x14ac:dyDescent="0.35">
      <c r="L653" s="274"/>
      <c r="W653" s="262"/>
    </row>
    <row r="654" spans="12:23" x14ac:dyDescent="0.35">
      <c r="L654" s="274"/>
      <c r="W654" s="262"/>
    </row>
    <row r="655" spans="12:23" x14ac:dyDescent="0.35">
      <c r="L655" s="274"/>
      <c r="W655" s="262"/>
    </row>
    <row r="656" spans="12:23" x14ac:dyDescent="0.35">
      <c r="L656" s="274"/>
      <c r="W656" s="262"/>
    </row>
    <row r="657" spans="12:23" x14ac:dyDescent="0.35">
      <c r="L657" s="274"/>
      <c r="W657" s="262"/>
    </row>
    <row r="658" spans="12:23" x14ac:dyDescent="0.35">
      <c r="L658" s="274"/>
      <c r="W658" s="262"/>
    </row>
    <row r="659" spans="12:23" x14ac:dyDescent="0.35">
      <c r="L659" s="274"/>
      <c r="W659" s="262"/>
    </row>
    <row r="660" spans="12:23" x14ac:dyDescent="0.35">
      <c r="L660" s="274"/>
      <c r="W660" s="262"/>
    </row>
    <row r="661" spans="12:23" x14ac:dyDescent="0.35">
      <c r="L661" s="274"/>
      <c r="W661" s="262"/>
    </row>
    <row r="662" spans="12:23" x14ac:dyDescent="0.35">
      <c r="L662" s="274"/>
      <c r="W662" s="262"/>
    </row>
    <row r="663" spans="12:23" x14ac:dyDescent="0.35">
      <c r="L663" s="274"/>
      <c r="W663" s="262"/>
    </row>
    <row r="664" spans="12:23" x14ac:dyDescent="0.35">
      <c r="L664" s="274"/>
      <c r="W664" s="262"/>
    </row>
    <row r="665" spans="12:23" x14ac:dyDescent="0.35">
      <c r="L665" s="274"/>
      <c r="W665" s="262"/>
    </row>
    <row r="666" spans="12:23" x14ac:dyDescent="0.35">
      <c r="L666" s="274"/>
      <c r="W666" s="262"/>
    </row>
    <row r="667" spans="12:23" x14ac:dyDescent="0.35">
      <c r="L667" s="274"/>
      <c r="W667" s="262"/>
    </row>
    <row r="668" spans="12:23" x14ac:dyDescent="0.35">
      <c r="L668" s="274"/>
      <c r="W668" s="262"/>
    </row>
    <row r="669" spans="12:23" x14ac:dyDescent="0.35">
      <c r="L669" s="274"/>
      <c r="W669" s="262"/>
    </row>
    <row r="670" spans="12:23" x14ac:dyDescent="0.35">
      <c r="L670" s="274"/>
      <c r="W670" s="262"/>
    </row>
    <row r="671" spans="12:23" x14ac:dyDescent="0.35">
      <c r="L671" s="274"/>
      <c r="W671" s="262"/>
    </row>
    <row r="672" spans="12:23" x14ac:dyDescent="0.35">
      <c r="L672" s="274"/>
      <c r="W672" s="262"/>
    </row>
    <row r="673" spans="12:23" x14ac:dyDescent="0.35">
      <c r="L673" s="274"/>
      <c r="W673" s="262"/>
    </row>
    <row r="674" spans="12:23" x14ac:dyDescent="0.35">
      <c r="L674" s="274"/>
      <c r="W674" s="262"/>
    </row>
    <row r="675" spans="12:23" x14ac:dyDescent="0.35">
      <c r="L675" s="274"/>
      <c r="W675" s="262"/>
    </row>
    <row r="676" spans="12:23" x14ac:dyDescent="0.35">
      <c r="L676" s="274"/>
      <c r="W676" s="262"/>
    </row>
    <row r="677" spans="12:23" x14ac:dyDescent="0.35">
      <c r="L677" s="274"/>
      <c r="W677" s="262"/>
    </row>
    <row r="678" spans="12:23" x14ac:dyDescent="0.35">
      <c r="L678" s="274"/>
      <c r="W678" s="262"/>
    </row>
    <row r="679" spans="12:23" x14ac:dyDescent="0.35">
      <c r="L679" s="274"/>
      <c r="W679" s="262"/>
    </row>
    <row r="680" spans="12:23" x14ac:dyDescent="0.35">
      <c r="L680" s="274"/>
      <c r="W680" s="262"/>
    </row>
    <row r="681" spans="12:23" x14ac:dyDescent="0.35">
      <c r="L681" s="274"/>
      <c r="W681" s="262"/>
    </row>
    <row r="682" spans="12:23" x14ac:dyDescent="0.35">
      <c r="L682" s="274"/>
      <c r="W682" s="262"/>
    </row>
    <row r="683" spans="12:23" x14ac:dyDescent="0.35">
      <c r="L683" s="274"/>
      <c r="W683" s="262"/>
    </row>
    <row r="684" spans="12:23" x14ac:dyDescent="0.35">
      <c r="L684" s="274"/>
      <c r="W684" s="262"/>
    </row>
    <row r="685" spans="12:23" x14ac:dyDescent="0.35">
      <c r="L685" s="274"/>
      <c r="W685" s="262"/>
    </row>
    <row r="686" spans="12:23" x14ac:dyDescent="0.35">
      <c r="L686" s="274"/>
      <c r="W686" s="262"/>
    </row>
    <row r="687" spans="12:23" x14ac:dyDescent="0.35">
      <c r="L687" s="274"/>
      <c r="W687" s="262"/>
    </row>
    <row r="688" spans="12:23" x14ac:dyDescent="0.35">
      <c r="L688" s="274"/>
      <c r="W688" s="262"/>
    </row>
    <row r="689" spans="12:23" x14ac:dyDescent="0.35">
      <c r="L689" s="274"/>
      <c r="W689" s="262"/>
    </row>
    <row r="690" spans="12:23" x14ac:dyDescent="0.35">
      <c r="L690" s="274"/>
      <c r="W690" s="262"/>
    </row>
    <row r="691" spans="12:23" x14ac:dyDescent="0.35">
      <c r="L691" s="274"/>
      <c r="W691" s="262"/>
    </row>
    <row r="692" spans="12:23" x14ac:dyDescent="0.35">
      <c r="L692" s="274"/>
      <c r="W692" s="262"/>
    </row>
    <row r="693" spans="12:23" x14ac:dyDescent="0.35">
      <c r="L693" s="274"/>
      <c r="W693" s="262"/>
    </row>
    <row r="694" spans="12:23" x14ac:dyDescent="0.35">
      <c r="L694" s="274"/>
      <c r="W694" s="262"/>
    </row>
    <row r="695" spans="12:23" x14ac:dyDescent="0.35">
      <c r="L695" s="274"/>
      <c r="W695" s="262"/>
    </row>
    <row r="696" spans="12:23" x14ac:dyDescent="0.35">
      <c r="L696" s="274"/>
      <c r="W696" s="262"/>
    </row>
    <row r="697" spans="12:23" x14ac:dyDescent="0.35">
      <c r="L697" s="274"/>
      <c r="W697" s="262"/>
    </row>
    <row r="698" spans="12:23" x14ac:dyDescent="0.35">
      <c r="L698" s="274"/>
      <c r="W698" s="262"/>
    </row>
    <row r="699" spans="12:23" x14ac:dyDescent="0.35">
      <c r="L699" s="274"/>
      <c r="W699" s="262"/>
    </row>
    <row r="700" spans="12:23" x14ac:dyDescent="0.35">
      <c r="L700" s="274"/>
      <c r="W700" s="262"/>
    </row>
    <row r="701" spans="12:23" x14ac:dyDescent="0.35">
      <c r="L701" s="274"/>
      <c r="W701" s="262"/>
    </row>
    <row r="702" spans="12:23" x14ac:dyDescent="0.35">
      <c r="L702" s="274"/>
      <c r="W702" s="262"/>
    </row>
    <row r="703" spans="12:23" x14ac:dyDescent="0.35">
      <c r="L703" s="274"/>
      <c r="W703" s="262"/>
    </row>
    <row r="704" spans="12:23" x14ac:dyDescent="0.35">
      <c r="L704" s="274"/>
      <c r="W704" s="262"/>
    </row>
    <row r="705" spans="12:23" x14ac:dyDescent="0.35">
      <c r="L705" s="274"/>
      <c r="W705" s="262"/>
    </row>
    <row r="706" spans="12:23" x14ac:dyDescent="0.35">
      <c r="L706" s="274"/>
      <c r="W706" s="262"/>
    </row>
    <row r="707" spans="12:23" x14ac:dyDescent="0.35">
      <c r="L707" s="274"/>
      <c r="W707" s="262"/>
    </row>
    <row r="708" spans="12:23" x14ac:dyDescent="0.35">
      <c r="L708" s="274"/>
      <c r="W708" s="262"/>
    </row>
    <row r="709" spans="12:23" x14ac:dyDescent="0.35">
      <c r="L709" s="274"/>
      <c r="W709" s="262"/>
    </row>
    <row r="710" spans="12:23" x14ac:dyDescent="0.35">
      <c r="L710" s="274"/>
      <c r="W710" s="262"/>
    </row>
    <row r="711" spans="12:23" x14ac:dyDescent="0.35">
      <c r="L711" s="274"/>
      <c r="W711" s="262"/>
    </row>
    <row r="712" spans="12:23" x14ac:dyDescent="0.35">
      <c r="L712" s="274"/>
      <c r="W712" s="262"/>
    </row>
    <row r="713" spans="12:23" x14ac:dyDescent="0.35">
      <c r="L713" s="274"/>
      <c r="W713" s="262"/>
    </row>
    <row r="714" spans="12:23" x14ac:dyDescent="0.35">
      <c r="L714" s="274"/>
      <c r="W714" s="262"/>
    </row>
    <row r="715" spans="12:23" x14ac:dyDescent="0.35">
      <c r="L715" s="274"/>
      <c r="W715" s="262"/>
    </row>
    <row r="716" spans="12:23" x14ac:dyDescent="0.35">
      <c r="L716" s="274"/>
      <c r="W716" s="262"/>
    </row>
    <row r="717" spans="12:23" x14ac:dyDescent="0.35">
      <c r="L717" s="274"/>
      <c r="W717" s="262"/>
    </row>
    <row r="718" spans="12:23" x14ac:dyDescent="0.35">
      <c r="L718" s="274"/>
      <c r="W718" s="262"/>
    </row>
    <row r="719" spans="12:23" x14ac:dyDescent="0.35">
      <c r="L719" s="274"/>
      <c r="W719" s="262"/>
    </row>
    <row r="720" spans="12:23" x14ac:dyDescent="0.35">
      <c r="L720" s="274"/>
      <c r="W720" s="262"/>
    </row>
    <row r="721" spans="12:23" x14ac:dyDescent="0.35">
      <c r="L721" s="274"/>
      <c r="W721" s="262"/>
    </row>
    <row r="722" spans="12:23" x14ac:dyDescent="0.35">
      <c r="L722" s="274"/>
      <c r="W722" s="262"/>
    </row>
    <row r="723" spans="12:23" x14ac:dyDescent="0.35">
      <c r="L723" s="274"/>
      <c r="W723" s="262"/>
    </row>
    <row r="724" spans="12:23" x14ac:dyDescent="0.35">
      <c r="L724" s="274"/>
      <c r="W724" s="262"/>
    </row>
    <row r="725" spans="12:23" x14ac:dyDescent="0.35">
      <c r="L725" s="274"/>
      <c r="W725" s="262"/>
    </row>
    <row r="726" spans="12:23" x14ac:dyDescent="0.35">
      <c r="L726" s="274"/>
      <c r="W726" s="262"/>
    </row>
    <row r="727" spans="12:23" x14ac:dyDescent="0.35">
      <c r="L727" s="274"/>
      <c r="W727" s="262"/>
    </row>
    <row r="728" spans="12:23" x14ac:dyDescent="0.35">
      <c r="L728" s="274"/>
      <c r="W728" s="262"/>
    </row>
    <row r="729" spans="12:23" x14ac:dyDescent="0.35">
      <c r="L729" s="274"/>
      <c r="W729" s="262"/>
    </row>
    <row r="730" spans="12:23" x14ac:dyDescent="0.35">
      <c r="L730" s="274"/>
      <c r="W730" s="262"/>
    </row>
    <row r="731" spans="12:23" x14ac:dyDescent="0.35">
      <c r="L731" s="274"/>
      <c r="W731" s="262"/>
    </row>
    <row r="732" spans="12:23" x14ac:dyDescent="0.35">
      <c r="L732" s="274"/>
      <c r="W732" s="262"/>
    </row>
    <row r="733" spans="12:23" x14ac:dyDescent="0.35">
      <c r="L733" s="274"/>
      <c r="W733" s="262"/>
    </row>
    <row r="734" spans="12:23" x14ac:dyDescent="0.35">
      <c r="L734" s="274"/>
      <c r="W734" s="262"/>
    </row>
    <row r="735" spans="12:23" x14ac:dyDescent="0.35">
      <c r="L735" s="274"/>
      <c r="W735" s="262"/>
    </row>
    <row r="736" spans="12:23" x14ac:dyDescent="0.35">
      <c r="L736" s="274"/>
      <c r="W736" s="262"/>
    </row>
    <row r="737" spans="12:23" x14ac:dyDescent="0.35">
      <c r="L737" s="274"/>
      <c r="W737" s="262"/>
    </row>
    <row r="738" spans="12:23" x14ac:dyDescent="0.35">
      <c r="L738" s="274"/>
      <c r="W738" s="262"/>
    </row>
    <row r="739" spans="12:23" x14ac:dyDescent="0.35">
      <c r="L739" s="274"/>
      <c r="W739" s="262"/>
    </row>
    <row r="740" spans="12:23" x14ac:dyDescent="0.35">
      <c r="L740" s="274"/>
      <c r="W740" s="262"/>
    </row>
    <row r="741" spans="12:23" x14ac:dyDescent="0.35">
      <c r="L741" s="274"/>
      <c r="W741" s="262"/>
    </row>
    <row r="742" spans="12:23" x14ac:dyDescent="0.35">
      <c r="L742" s="274"/>
      <c r="W742" s="262"/>
    </row>
    <row r="743" spans="12:23" x14ac:dyDescent="0.35">
      <c r="L743" s="274"/>
      <c r="W743" s="262"/>
    </row>
    <row r="744" spans="12:23" x14ac:dyDescent="0.35">
      <c r="L744" s="274"/>
      <c r="W744" s="262"/>
    </row>
    <row r="745" spans="12:23" x14ac:dyDescent="0.35">
      <c r="L745" s="274"/>
      <c r="W745" s="262"/>
    </row>
    <row r="746" spans="12:23" x14ac:dyDescent="0.35">
      <c r="L746" s="274"/>
      <c r="W746" s="262"/>
    </row>
    <row r="747" spans="12:23" x14ac:dyDescent="0.35">
      <c r="L747" s="274"/>
      <c r="W747" s="262"/>
    </row>
    <row r="748" spans="12:23" x14ac:dyDescent="0.35">
      <c r="L748" s="274"/>
      <c r="W748" s="262"/>
    </row>
    <row r="749" spans="12:23" x14ac:dyDescent="0.35">
      <c r="L749" s="274"/>
      <c r="W749" s="262"/>
    </row>
    <row r="750" spans="12:23" x14ac:dyDescent="0.35">
      <c r="L750" s="274"/>
      <c r="W750" s="262"/>
    </row>
    <row r="751" spans="12:23" x14ac:dyDescent="0.35">
      <c r="L751" s="274"/>
      <c r="W751" s="262"/>
    </row>
    <row r="752" spans="12:23" x14ac:dyDescent="0.35">
      <c r="L752" s="274"/>
      <c r="W752" s="262"/>
    </row>
    <row r="753" spans="12:23" x14ac:dyDescent="0.35">
      <c r="L753" s="274"/>
      <c r="W753" s="262"/>
    </row>
    <row r="754" spans="12:23" x14ac:dyDescent="0.35">
      <c r="L754" s="274"/>
      <c r="W754" s="262"/>
    </row>
    <row r="755" spans="12:23" x14ac:dyDescent="0.35">
      <c r="L755" s="274"/>
      <c r="W755" s="262"/>
    </row>
    <row r="756" spans="12:23" x14ac:dyDescent="0.35">
      <c r="L756" s="274"/>
      <c r="W756" s="262"/>
    </row>
    <row r="757" spans="12:23" x14ac:dyDescent="0.35">
      <c r="L757" s="274"/>
      <c r="W757" s="262"/>
    </row>
    <row r="758" spans="12:23" x14ac:dyDescent="0.35">
      <c r="L758" s="274"/>
      <c r="W758" s="262"/>
    </row>
    <row r="759" spans="12:23" x14ac:dyDescent="0.35">
      <c r="L759" s="274"/>
      <c r="W759" s="262"/>
    </row>
    <row r="760" spans="12:23" x14ac:dyDescent="0.35">
      <c r="L760" s="274"/>
      <c r="W760" s="262"/>
    </row>
    <row r="761" spans="12:23" x14ac:dyDescent="0.35">
      <c r="L761" s="274"/>
      <c r="W761" s="262"/>
    </row>
    <row r="762" spans="12:23" x14ac:dyDescent="0.35">
      <c r="L762" s="274"/>
      <c r="W762" s="262"/>
    </row>
    <row r="763" spans="12:23" x14ac:dyDescent="0.35">
      <c r="L763" s="274"/>
      <c r="W763" s="262"/>
    </row>
    <row r="764" spans="12:23" x14ac:dyDescent="0.35">
      <c r="L764" s="274"/>
      <c r="W764" s="262"/>
    </row>
    <row r="765" spans="12:23" x14ac:dyDescent="0.35">
      <c r="L765" s="274"/>
      <c r="W765" s="262"/>
    </row>
    <row r="766" spans="12:23" x14ac:dyDescent="0.35">
      <c r="L766" s="274"/>
      <c r="W766" s="262"/>
    </row>
    <row r="767" spans="12:23" x14ac:dyDescent="0.35">
      <c r="L767" s="274"/>
      <c r="W767" s="262"/>
    </row>
    <row r="768" spans="12:23" x14ac:dyDescent="0.35">
      <c r="L768" s="274"/>
      <c r="W768" s="262"/>
    </row>
    <row r="769" spans="12:23" x14ac:dyDescent="0.35">
      <c r="L769" s="274"/>
      <c r="W769" s="262"/>
    </row>
    <row r="770" spans="12:23" x14ac:dyDescent="0.35">
      <c r="L770" s="274"/>
      <c r="W770" s="262"/>
    </row>
    <row r="771" spans="12:23" x14ac:dyDescent="0.35">
      <c r="L771" s="274"/>
      <c r="W771" s="262"/>
    </row>
    <row r="772" spans="12:23" x14ac:dyDescent="0.35">
      <c r="L772" s="274"/>
      <c r="W772" s="262"/>
    </row>
    <row r="773" spans="12:23" x14ac:dyDescent="0.35">
      <c r="L773" s="274"/>
      <c r="W773" s="262"/>
    </row>
    <row r="774" spans="12:23" x14ac:dyDescent="0.35">
      <c r="L774" s="274"/>
      <c r="W774" s="262"/>
    </row>
    <row r="775" spans="12:23" x14ac:dyDescent="0.35">
      <c r="L775" s="274"/>
      <c r="W775" s="262"/>
    </row>
    <row r="776" spans="12:23" x14ac:dyDescent="0.35">
      <c r="L776" s="274"/>
      <c r="W776" s="262"/>
    </row>
    <row r="777" spans="12:23" x14ac:dyDescent="0.35">
      <c r="L777" s="274"/>
      <c r="W777" s="262"/>
    </row>
    <row r="778" spans="12:23" x14ac:dyDescent="0.35">
      <c r="L778" s="274"/>
      <c r="W778" s="262"/>
    </row>
    <row r="779" spans="12:23" x14ac:dyDescent="0.35">
      <c r="L779" s="274"/>
      <c r="W779" s="262"/>
    </row>
    <row r="780" spans="12:23" x14ac:dyDescent="0.35">
      <c r="L780" s="274"/>
      <c r="W780" s="262"/>
    </row>
    <row r="781" spans="12:23" x14ac:dyDescent="0.35">
      <c r="L781" s="274"/>
      <c r="W781" s="262"/>
    </row>
    <row r="782" spans="12:23" x14ac:dyDescent="0.35">
      <c r="L782" s="274"/>
      <c r="W782" s="262"/>
    </row>
    <row r="783" spans="12:23" x14ac:dyDescent="0.35">
      <c r="L783" s="274"/>
      <c r="W783" s="262"/>
    </row>
    <row r="784" spans="12:23" x14ac:dyDescent="0.35">
      <c r="L784" s="274"/>
      <c r="W784" s="262"/>
    </row>
    <row r="785" spans="12:23" x14ac:dyDescent="0.35">
      <c r="L785" s="274"/>
      <c r="W785" s="262"/>
    </row>
    <row r="786" spans="12:23" x14ac:dyDescent="0.35">
      <c r="L786" s="274"/>
      <c r="W786" s="262"/>
    </row>
    <row r="787" spans="12:23" x14ac:dyDescent="0.35">
      <c r="L787" s="274"/>
      <c r="W787" s="262"/>
    </row>
    <row r="788" spans="12:23" x14ac:dyDescent="0.35">
      <c r="L788" s="274"/>
      <c r="W788" s="262"/>
    </row>
    <row r="789" spans="12:23" x14ac:dyDescent="0.35">
      <c r="L789" s="274"/>
      <c r="W789" s="262"/>
    </row>
    <row r="790" spans="12:23" x14ac:dyDescent="0.35">
      <c r="L790" s="274"/>
      <c r="W790" s="262"/>
    </row>
    <row r="791" spans="12:23" x14ac:dyDescent="0.35">
      <c r="L791" s="274"/>
      <c r="W791" s="262"/>
    </row>
    <row r="792" spans="12:23" x14ac:dyDescent="0.35">
      <c r="L792" s="274"/>
      <c r="W792" s="262"/>
    </row>
    <row r="793" spans="12:23" x14ac:dyDescent="0.35">
      <c r="L793" s="274"/>
      <c r="W793" s="262"/>
    </row>
    <row r="794" spans="12:23" x14ac:dyDescent="0.35">
      <c r="L794" s="274"/>
      <c r="W794" s="262"/>
    </row>
    <row r="795" spans="12:23" x14ac:dyDescent="0.35">
      <c r="L795" s="274"/>
      <c r="W795" s="262"/>
    </row>
    <row r="796" spans="12:23" x14ac:dyDescent="0.35">
      <c r="L796" s="274"/>
      <c r="W796" s="262"/>
    </row>
    <row r="797" spans="12:23" x14ac:dyDescent="0.35">
      <c r="L797" s="274"/>
      <c r="W797" s="262"/>
    </row>
    <row r="798" spans="12:23" x14ac:dyDescent="0.35">
      <c r="L798" s="274"/>
      <c r="W798" s="262"/>
    </row>
    <row r="799" spans="12:23" x14ac:dyDescent="0.35">
      <c r="L799" s="274"/>
      <c r="W799" s="262"/>
    </row>
    <row r="800" spans="12:23" x14ac:dyDescent="0.35">
      <c r="L800" s="274"/>
      <c r="W800" s="262"/>
    </row>
    <row r="801" spans="12:23" x14ac:dyDescent="0.35">
      <c r="L801" s="274"/>
      <c r="W801" s="262"/>
    </row>
    <row r="802" spans="12:23" x14ac:dyDescent="0.35">
      <c r="L802" s="274"/>
      <c r="W802" s="262"/>
    </row>
    <row r="803" spans="12:23" x14ac:dyDescent="0.35">
      <c r="L803" s="274"/>
      <c r="W803" s="262"/>
    </row>
    <row r="804" spans="12:23" x14ac:dyDescent="0.35">
      <c r="L804" s="274"/>
      <c r="W804" s="262"/>
    </row>
    <row r="805" spans="12:23" x14ac:dyDescent="0.35">
      <c r="L805" s="274"/>
      <c r="W805" s="262"/>
    </row>
    <row r="806" spans="12:23" x14ac:dyDescent="0.35">
      <c r="L806" s="274"/>
      <c r="W806" s="262"/>
    </row>
    <row r="807" spans="12:23" x14ac:dyDescent="0.35">
      <c r="L807" s="274"/>
      <c r="W807" s="262"/>
    </row>
    <row r="808" spans="12:23" x14ac:dyDescent="0.35">
      <c r="L808" s="274"/>
      <c r="W808" s="262"/>
    </row>
    <row r="809" spans="12:23" x14ac:dyDescent="0.35">
      <c r="L809" s="274"/>
      <c r="W809" s="262"/>
    </row>
    <row r="810" spans="12:23" x14ac:dyDescent="0.35">
      <c r="L810" s="274"/>
      <c r="W810" s="262"/>
    </row>
    <row r="811" spans="12:23" x14ac:dyDescent="0.35">
      <c r="L811" s="274"/>
      <c r="W811" s="262"/>
    </row>
    <row r="812" spans="12:23" x14ac:dyDescent="0.35">
      <c r="L812" s="274"/>
      <c r="W812" s="262"/>
    </row>
    <row r="813" spans="12:23" x14ac:dyDescent="0.35">
      <c r="L813" s="274"/>
      <c r="W813" s="262"/>
    </row>
    <row r="814" spans="12:23" x14ac:dyDescent="0.35">
      <c r="L814" s="274"/>
      <c r="W814" s="262"/>
    </row>
    <row r="815" spans="12:23" x14ac:dyDescent="0.35">
      <c r="L815" s="274"/>
      <c r="W815" s="262"/>
    </row>
    <row r="816" spans="12:23" x14ac:dyDescent="0.35">
      <c r="L816" s="274"/>
      <c r="W816" s="262"/>
    </row>
    <row r="817" spans="12:23" x14ac:dyDescent="0.35">
      <c r="L817" s="274"/>
      <c r="W817" s="262"/>
    </row>
    <row r="818" spans="12:23" x14ac:dyDescent="0.35">
      <c r="L818" s="274"/>
      <c r="W818" s="262"/>
    </row>
    <row r="819" spans="12:23" x14ac:dyDescent="0.35">
      <c r="L819" s="274"/>
      <c r="W819" s="262"/>
    </row>
    <row r="820" spans="12:23" x14ac:dyDescent="0.35">
      <c r="L820" s="274"/>
      <c r="W820" s="262"/>
    </row>
    <row r="821" spans="12:23" x14ac:dyDescent="0.35">
      <c r="L821" s="274"/>
      <c r="W821" s="262"/>
    </row>
    <row r="822" spans="12:23" x14ac:dyDescent="0.35">
      <c r="L822" s="274"/>
      <c r="W822" s="262"/>
    </row>
    <row r="823" spans="12:23" x14ac:dyDescent="0.35">
      <c r="L823" s="274"/>
      <c r="W823" s="262"/>
    </row>
    <row r="824" spans="12:23" x14ac:dyDescent="0.35">
      <c r="L824" s="274"/>
      <c r="W824" s="262"/>
    </row>
    <row r="825" spans="12:23" x14ac:dyDescent="0.35">
      <c r="L825" s="274"/>
      <c r="W825" s="262"/>
    </row>
    <row r="826" spans="12:23" x14ac:dyDescent="0.35">
      <c r="L826" s="274"/>
      <c r="W826" s="262"/>
    </row>
    <row r="827" spans="12:23" x14ac:dyDescent="0.35">
      <c r="L827" s="274"/>
      <c r="W827" s="262"/>
    </row>
    <row r="828" spans="12:23" x14ac:dyDescent="0.35">
      <c r="L828" s="274"/>
      <c r="W828" s="262"/>
    </row>
    <row r="829" spans="12:23" x14ac:dyDescent="0.35">
      <c r="L829" s="274"/>
      <c r="W829" s="262"/>
    </row>
    <row r="830" spans="12:23" x14ac:dyDescent="0.35">
      <c r="L830" s="274"/>
      <c r="W830" s="262"/>
    </row>
    <row r="831" spans="12:23" x14ac:dyDescent="0.35">
      <c r="L831" s="274"/>
      <c r="W831" s="262"/>
    </row>
    <row r="832" spans="12:23" x14ac:dyDescent="0.35">
      <c r="L832" s="274"/>
      <c r="W832" s="262"/>
    </row>
    <row r="833" spans="12:23" x14ac:dyDescent="0.35">
      <c r="L833" s="274"/>
      <c r="W833" s="262"/>
    </row>
    <row r="834" spans="12:23" x14ac:dyDescent="0.35">
      <c r="L834" s="274"/>
      <c r="W834" s="262"/>
    </row>
    <row r="835" spans="12:23" x14ac:dyDescent="0.35">
      <c r="L835" s="274"/>
      <c r="W835" s="262"/>
    </row>
    <row r="836" spans="12:23" x14ac:dyDescent="0.35">
      <c r="L836" s="274"/>
      <c r="W836" s="262"/>
    </row>
    <row r="837" spans="12:23" x14ac:dyDescent="0.35">
      <c r="L837" s="274"/>
      <c r="W837" s="262"/>
    </row>
    <row r="838" spans="12:23" x14ac:dyDescent="0.35">
      <c r="L838" s="274"/>
      <c r="W838" s="262"/>
    </row>
    <row r="839" spans="12:23" x14ac:dyDescent="0.35">
      <c r="L839" s="274"/>
      <c r="W839" s="262"/>
    </row>
    <row r="840" spans="12:23" x14ac:dyDescent="0.35">
      <c r="L840" s="274"/>
      <c r="W840" s="262"/>
    </row>
    <row r="841" spans="12:23" x14ac:dyDescent="0.35">
      <c r="L841" s="274"/>
      <c r="W841" s="262"/>
    </row>
    <row r="842" spans="12:23" x14ac:dyDescent="0.35">
      <c r="L842" s="274"/>
      <c r="W842" s="262"/>
    </row>
    <row r="843" spans="12:23" x14ac:dyDescent="0.35">
      <c r="L843" s="274"/>
      <c r="W843" s="262"/>
    </row>
    <row r="844" spans="12:23" x14ac:dyDescent="0.35">
      <c r="L844" s="274"/>
      <c r="W844" s="262"/>
    </row>
    <row r="845" spans="12:23" x14ac:dyDescent="0.35">
      <c r="L845" s="274"/>
      <c r="W845" s="262"/>
    </row>
    <row r="846" spans="12:23" x14ac:dyDescent="0.35">
      <c r="L846" s="274"/>
      <c r="W846" s="262"/>
    </row>
    <row r="847" spans="12:23" x14ac:dyDescent="0.35">
      <c r="L847" s="274"/>
      <c r="W847" s="262"/>
    </row>
    <row r="848" spans="12:23" x14ac:dyDescent="0.35">
      <c r="L848" s="274"/>
      <c r="W848" s="262"/>
    </row>
    <row r="849" spans="12:23" x14ac:dyDescent="0.35">
      <c r="L849" s="274"/>
      <c r="W849" s="262"/>
    </row>
    <row r="850" spans="12:23" x14ac:dyDescent="0.35">
      <c r="L850" s="274"/>
      <c r="W850" s="262"/>
    </row>
    <row r="851" spans="12:23" x14ac:dyDescent="0.35">
      <c r="L851" s="274"/>
      <c r="W851" s="262"/>
    </row>
    <row r="852" spans="12:23" x14ac:dyDescent="0.35">
      <c r="L852" s="274"/>
      <c r="W852" s="262"/>
    </row>
    <row r="853" spans="12:23" x14ac:dyDescent="0.35">
      <c r="L853" s="274"/>
      <c r="W853" s="262"/>
    </row>
    <row r="854" spans="12:23" x14ac:dyDescent="0.35">
      <c r="L854" s="274"/>
      <c r="W854" s="262"/>
    </row>
    <row r="855" spans="12:23" x14ac:dyDescent="0.35">
      <c r="L855" s="274"/>
      <c r="W855" s="262"/>
    </row>
    <row r="856" spans="12:23" x14ac:dyDescent="0.35">
      <c r="L856" s="274"/>
      <c r="W856" s="262"/>
    </row>
    <row r="857" spans="12:23" x14ac:dyDescent="0.35">
      <c r="L857" s="274"/>
      <c r="W857" s="262"/>
    </row>
    <row r="858" spans="12:23" x14ac:dyDescent="0.35">
      <c r="L858" s="274"/>
      <c r="W858" s="262"/>
    </row>
    <row r="859" spans="12:23" x14ac:dyDescent="0.35">
      <c r="L859" s="274"/>
      <c r="W859" s="262"/>
    </row>
    <row r="860" spans="12:23" x14ac:dyDescent="0.35">
      <c r="L860" s="274"/>
      <c r="W860" s="262"/>
    </row>
    <row r="861" spans="12:23" x14ac:dyDescent="0.35">
      <c r="L861" s="274"/>
      <c r="W861" s="262"/>
    </row>
    <row r="862" spans="12:23" x14ac:dyDescent="0.35">
      <c r="L862" s="274"/>
      <c r="W862" s="262"/>
    </row>
    <row r="863" spans="12:23" x14ac:dyDescent="0.35">
      <c r="L863" s="274"/>
      <c r="W863" s="262"/>
    </row>
    <row r="864" spans="12:23" x14ac:dyDescent="0.35">
      <c r="L864" s="274"/>
      <c r="W864" s="262"/>
    </row>
    <row r="865" spans="12:23" x14ac:dyDescent="0.35">
      <c r="L865" s="274"/>
      <c r="W865" s="262"/>
    </row>
    <row r="866" spans="12:23" x14ac:dyDescent="0.35">
      <c r="L866" s="274"/>
      <c r="W866" s="262"/>
    </row>
    <row r="867" spans="12:23" x14ac:dyDescent="0.35">
      <c r="L867" s="274"/>
      <c r="W867" s="262"/>
    </row>
    <row r="868" spans="12:23" x14ac:dyDescent="0.35">
      <c r="L868" s="274"/>
      <c r="W868" s="262"/>
    </row>
    <row r="869" spans="12:23" x14ac:dyDescent="0.35">
      <c r="L869" s="274"/>
      <c r="W869" s="262"/>
    </row>
    <row r="870" spans="12:23" x14ac:dyDescent="0.35">
      <c r="L870" s="274"/>
      <c r="W870" s="262"/>
    </row>
    <row r="871" spans="12:23" x14ac:dyDescent="0.35">
      <c r="L871" s="274"/>
      <c r="W871" s="262"/>
    </row>
    <row r="872" spans="12:23" x14ac:dyDescent="0.35">
      <c r="L872" s="274"/>
      <c r="W872" s="262"/>
    </row>
    <row r="873" spans="12:23" x14ac:dyDescent="0.35">
      <c r="L873" s="274"/>
      <c r="W873" s="262"/>
    </row>
    <row r="874" spans="12:23" x14ac:dyDescent="0.35">
      <c r="L874" s="274"/>
      <c r="W874" s="262"/>
    </row>
    <row r="875" spans="12:23" x14ac:dyDescent="0.35">
      <c r="L875" s="274"/>
      <c r="W875" s="262"/>
    </row>
    <row r="876" spans="12:23" x14ac:dyDescent="0.35">
      <c r="L876" s="274"/>
      <c r="W876" s="262"/>
    </row>
    <row r="877" spans="12:23" x14ac:dyDescent="0.35">
      <c r="L877" s="274"/>
      <c r="W877" s="262"/>
    </row>
    <row r="878" spans="12:23" x14ac:dyDescent="0.35">
      <c r="L878" s="274"/>
      <c r="W878" s="262"/>
    </row>
    <row r="879" spans="12:23" x14ac:dyDescent="0.35">
      <c r="L879" s="274"/>
      <c r="W879" s="262"/>
    </row>
    <row r="880" spans="12:23" x14ac:dyDescent="0.35">
      <c r="L880" s="274"/>
      <c r="W880" s="262"/>
    </row>
    <row r="881" spans="12:23" x14ac:dyDescent="0.35">
      <c r="L881" s="274"/>
      <c r="W881" s="262"/>
    </row>
    <row r="882" spans="12:23" x14ac:dyDescent="0.35">
      <c r="L882" s="274"/>
      <c r="W882" s="262"/>
    </row>
    <row r="883" spans="12:23" x14ac:dyDescent="0.35">
      <c r="L883" s="274"/>
      <c r="W883" s="262"/>
    </row>
    <row r="884" spans="12:23" x14ac:dyDescent="0.35">
      <c r="L884" s="274"/>
      <c r="W884" s="262"/>
    </row>
    <row r="885" spans="12:23" x14ac:dyDescent="0.35">
      <c r="L885" s="274"/>
      <c r="W885" s="262"/>
    </row>
    <row r="886" spans="12:23" x14ac:dyDescent="0.35">
      <c r="L886" s="274"/>
      <c r="W886" s="262"/>
    </row>
    <row r="887" spans="12:23" x14ac:dyDescent="0.35">
      <c r="L887" s="274"/>
      <c r="W887" s="262"/>
    </row>
    <row r="888" spans="12:23" x14ac:dyDescent="0.35">
      <c r="L888" s="274"/>
      <c r="W888" s="262"/>
    </row>
    <row r="889" spans="12:23" x14ac:dyDescent="0.35">
      <c r="L889" s="274"/>
      <c r="W889" s="262"/>
    </row>
    <row r="890" spans="12:23" x14ac:dyDescent="0.35">
      <c r="L890" s="274"/>
      <c r="W890" s="262"/>
    </row>
    <row r="891" spans="12:23" x14ac:dyDescent="0.35">
      <c r="L891" s="274"/>
      <c r="W891" s="262"/>
    </row>
    <row r="892" spans="12:23" x14ac:dyDescent="0.35">
      <c r="L892" s="274"/>
      <c r="W892" s="262"/>
    </row>
    <row r="893" spans="12:23" x14ac:dyDescent="0.35">
      <c r="L893" s="274"/>
      <c r="W893" s="262"/>
    </row>
    <row r="894" spans="12:23" x14ac:dyDescent="0.35">
      <c r="L894" s="274"/>
      <c r="W894" s="262"/>
    </row>
    <row r="895" spans="12:23" x14ac:dyDescent="0.35">
      <c r="L895" s="274"/>
      <c r="W895" s="262"/>
    </row>
    <row r="896" spans="12:23" x14ac:dyDescent="0.35">
      <c r="L896" s="274"/>
      <c r="W896" s="262"/>
    </row>
    <row r="897" spans="12:23" x14ac:dyDescent="0.35">
      <c r="L897" s="274"/>
      <c r="W897" s="262"/>
    </row>
    <row r="898" spans="12:23" x14ac:dyDescent="0.35">
      <c r="L898" s="274"/>
      <c r="W898" s="262"/>
    </row>
    <row r="899" spans="12:23" x14ac:dyDescent="0.35">
      <c r="L899" s="274"/>
      <c r="W899" s="262"/>
    </row>
    <row r="900" spans="12:23" x14ac:dyDescent="0.35">
      <c r="L900" s="274"/>
      <c r="W900" s="262"/>
    </row>
    <row r="901" spans="12:23" x14ac:dyDescent="0.35">
      <c r="L901" s="274"/>
      <c r="W901" s="262"/>
    </row>
    <row r="902" spans="12:23" x14ac:dyDescent="0.35">
      <c r="L902" s="274"/>
      <c r="W902" s="262"/>
    </row>
    <row r="903" spans="12:23" x14ac:dyDescent="0.35">
      <c r="L903" s="274"/>
      <c r="W903" s="262"/>
    </row>
    <row r="904" spans="12:23" x14ac:dyDescent="0.35">
      <c r="L904" s="274"/>
      <c r="W904" s="262"/>
    </row>
    <row r="905" spans="12:23" x14ac:dyDescent="0.35">
      <c r="L905" s="274"/>
      <c r="W905" s="262"/>
    </row>
    <row r="906" spans="12:23" x14ac:dyDescent="0.35">
      <c r="L906" s="274"/>
      <c r="W906" s="262"/>
    </row>
    <row r="907" spans="12:23" x14ac:dyDescent="0.35">
      <c r="L907" s="274"/>
      <c r="W907" s="262"/>
    </row>
    <row r="908" spans="12:23" x14ac:dyDescent="0.35">
      <c r="L908" s="274"/>
      <c r="W908" s="262"/>
    </row>
    <row r="909" spans="12:23" x14ac:dyDescent="0.35">
      <c r="L909" s="274"/>
      <c r="W909" s="262"/>
    </row>
    <row r="910" spans="12:23" x14ac:dyDescent="0.35">
      <c r="L910" s="274"/>
      <c r="W910" s="262"/>
    </row>
    <row r="911" spans="12:23" x14ac:dyDescent="0.35">
      <c r="L911" s="274"/>
      <c r="W911" s="262"/>
    </row>
    <row r="912" spans="12:23" x14ac:dyDescent="0.35">
      <c r="L912" s="274"/>
      <c r="W912" s="262"/>
    </row>
    <row r="913" spans="12:23" x14ac:dyDescent="0.35">
      <c r="L913" s="274"/>
      <c r="W913" s="262"/>
    </row>
    <row r="914" spans="12:23" x14ac:dyDescent="0.35">
      <c r="L914" s="274"/>
      <c r="W914" s="262"/>
    </row>
    <row r="915" spans="12:23" x14ac:dyDescent="0.35">
      <c r="L915" s="274"/>
      <c r="W915" s="262"/>
    </row>
    <row r="916" spans="12:23" x14ac:dyDescent="0.35">
      <c r="L916" s="274"/>
      <c r="W916" s="262"/>
    </row>
    <row r="917" spans="12:23" x14ac:dyDescent="0.35">
      <c r="L917" s="274"/>
      <c r="W917" s="262"/>
    </row>
    <row r="918" spans="12:23" x14ac:dyDescent="0.35">
      <c r="L918" s="274"/>
      <c r="W918" s="262"/>
    </row>
    <row r="919" spans="12:23" x14ac:dyDescent="0.35">
      <c r="L919" s="274"/>
      <c r="W919" s="262"/>
    </row>
    <row r="920" spans="12:23" x14ac:dyDescent="0.35">
      <c r="L920" s="274"/>
      <c r="W920" s="262"/>
    </row>
    <row r="921" spans="12:23" x14ac:dyDescent="0.35">
      <c r="L921" s="274"/>
      <c r="W921" s="262"/>
    </row>
    <row r="922" spans="12:23" x14ac:dyDescent="0.35">
      <c r="L922" s="274"/>
      <c r="W922" s="262"/>
    </row>
    <row r="923" spans="12:23" x14ac:dyDescent="0.35">
      <c r="L923" s="274"/>
      <c r="W923" s="262"/>
    </row>
    <row r="924" spans="12:23" x14ac:dyDescent="0.35">
      <c r="L924" s="274"/>
      <c r="W924" s="262"/>
    </row>
    <row r="925" spans="12:23" x14ac:dyDescent="0.35">
      <c r="L925" s="274"/>
      <c r="W925" s="262"/>
    </row>
    <row r="926" spans="12:23" x14ac:dyDescent="0.35">
      <c r="L926" s="274"/>
      <c r="W926" s="262"/>
    </row>
    <row r="927" spans="12:23" x14ac:dyDescent="0.35">
      <c r="L927" s="274"/>
      <c r="W927" s="262"/>
    </row>
    <row r="928" spans="12:23" x14ac:dyDescent="0.35">
      <c r="L928" s="274"/>
      <c r="W928" s="262"/>
    </row>
    <row r="929" spans="12:23" x14ac:dyDescent="0.35">
      <c r="L929" s="274"/>
      <c r="W929" s="262"/>
    </row>
    <row r="930" spans="12:23" x14ac:dyDescent="0.35">
      <c r="L930" s="274"/>
      <c r="W930" s="262"/>
    </row>
    <row r="931" spans="12:23" x14ac:dyDescent="0.35">
      <c r="L931" s="274"/>
      <c r="W931" s="262"/>
    </row>
    <row r="932" spans="12:23" x14ac:dyDescent="0.35">
      <c r="L932" s="274"/>
      <c r="W932" s="262"/>
    </row>
    <row r="933" spans="12:23" x14ac:dyDescent="0.35">
      <c r="L933" s="274"/>
      <c r="W933" s="262"/>
    </row>
    <row r="934" spans="12:23" x14ac:dyDescent="0.35">
      <c r="L934" s="274"/>
      <c r="W934" s="262"/>
    </row>
    <row r="935" spans="12:23" x14ac:dyDescent="0.35">
      <c r="L935" s="274"/>
      <c r="W935" s="262"/>
    </row>
    <row r="936" spans="12:23" x14ac:dyDescent="0.35">
      <c r="L936" s="274"/>
      <c r="W936" s="262"/>
    </row>
    <row r="937" spans="12:23" x14ac:dyDescent="0.35">
      <c r="L937" s="274"/>
      <c r="W937" s="262"/>
    </row>
    <row r="938" spans="12:23" x14ac:dyDescent="0.35">
      <c r="L938" s="274"/>
      <c r="W938" s="262"/>
    </row>
    <row r="939" spans="12:23" x14ac:dyDescent="0.35">
      <c r="L939" s="274"/>
      <c r="W939" s="262"/>
    </row>
    <row r="940" spans="12:23" x14ac:dyDescent="0.35">
      <c r="L940" s="274"/>
      <c r="W940" s="262"/>
    </row>
    <row r="941" spans="12:23" x14ac:dyDescent="0.35">
      <c r="L941" s="274"/>
      <c r="W941" s="262"/>
    </row>
    <row r="942" spans="12:23" x14ac:dyDescent="0.35">
      <c r="L942" s="274"/>
      <c r="W942" s="262"/>
    </row>
    <row r="943" spans="12:23" x14ac:dyDescent="0.35">
      <c r="L943" s="274"/>
      <c r="W943" s="262"/>
    </row>
    <row r="944" spans="12:23" x14ac:dyDescent="0.35">
      <c r="L944" s="274"/>
      <c r="W944" s="262"/>
    </row>
    <row r="945" spans="12:23" x14ac:dyDescent="0.35">
      <c r="L945" s="274"/>
      <c r="W945" s="262"/>
    </row>
    <row r="946" spans="12:23" x14ac:dyDescent="0.35">
      <c r="L946" s="274"/>
      <c r="W946" s="262"/>
    </row>
    <row r="947" spans="12:23" x14ac:dyDescent="0.35">
      <c r="L947" s="274"/>
      <c r="W947" s="262"/>
    </row>
    <row r="948" spans="12:23" x14ac:dyDescent="0.35">
      <c r="L948" s="274"/>
      <c r="W948" s="262"/>
    </row>
    <row r="949" spans="12:23" x14ac:dyDescent="0.35">
      <c r="L949" s="274"/>
      <c r="W949" s="262"/>
    </row>
    <row r="950" spans="12:23" x14ac:dyDescent="0.35">
      <c r="L950" s="274"/>
      <c r="W950" s="262"/>
    </row>
    <row r="951" spans="12:23" x14ac:dyDescent="0.35">
      <c r="L951" s="274"/>
      <c r="W951" s="262"/>
    </row>
    <row r="952" spans="12:23" x14ac:dyDescent="0.35">
      <c r="L952" s="274"/>
      <c r="W952" s="262"/>
    </row>
    <row r="953" spans="12:23" x14ac:dyDescent="0.35">
      <c r="L953" s="274"/>
      <c r="W953" s="262"/>
    </row>
    <row r="954" spans="12:23" x14ac:dyDescent="0.35">
      <c r="L954" s="274"/>
      <c r="W954" s="262"/>
    </row>
    <row r="955" spans="12:23" x14ac:dyDescent="0.35">
      <c r="L955" s="274"/>
      <c r="W955" s="262"/>
    </row>
    <row r="956" spans="12:23" x14ac:dyDescent="0.35">
      <c r="L956" s="274"/>
      <c r="W956" s="262"/>
    </row>
    <row r="957" spans="12:23" x14ac:dyDescent="0.35">
      <c r="L957" s="274"/>
      <c r="W957" s="262"/>
    </row>
    <row r="958" spans="12:23" x14ac:dyDescent="0.35">
      <c r="L958" s="274"/>
      <c r="W958" s="262"/>
    </row>
    <row r="959" spans="12:23" x14ac:dyDescent="0.35">
      <c r="L959" s="274"/>
      <c r="W959" s="262"/>
    </row>
    <row r="960" spans="12:23" x14ac:dyDescent="0.35">
      <c r="L960" s="274"/>
      <c r="W960" s="262"/>
    </row>
    <row r="961" spans="12:23" x14ac:dyDescent="0.35">
      <c r="L961" s="274"/>
      <c r="W961" s="262"/>
    </row>
    <row r="962" spans="12:23" x14ac:dyDescent="0.35">
      <c r="L962" s="274"/>
      <c r="W962" s="262"/>
    </row>
    <row r="963" spans="12:23" x14ac:dyDescent="0.35">
      <c r="L963" s="274"/>
      <c r="W963" s="262"/>
    </row>
    <row r="964" spans="12:23" x14ac:dyDescent="0.35">
      <c r="L964" s="274"/>
      <c r="W964" s="262"/>
    </row>
    <row r="965" spans="12:23" x14ac:dyDescent="0.35">
      <c r="L965" s="274"/>
      <c r="W965" s="262"/>
    </row>
    <row r="966" spans="12:23" x14ac:dyDescent="0.35">
      <c r="L966" s="274"/>
      <c r="W966" s="262"/>
    </row>
    <row r="967" spans="12:23" x14ac:dyDescent="0.35">
      <c r="L967" s="274"/>
      <c r="W967" s="262"/>
    </row>
    <row r="968" spans="12:23" x14ac:dyDescent="0.35">
      <c r="L968" s="274"/>
      <c r="W968" s="262"/>
    </row>
    <row r="969" spans="12:23" x14ac:dyDescent="0.35">
      <c r="L969" s="274"/>
      <c r="W969" s="262"/>
    </row>
    <row r="970" spans="12:23" x14ac:dyDescent="0.35">
      <c r="L970" s="274"/>
      <c r="W970" s="262"/>
    </row>
    <row r="971" spans="12:23" x14ac:dyDescent="0.35">
      <c r="L971" s="274"/>
      <c r="W971" s="262"/>
    </row>
    <row r="972" spans="12:23" x14ac:dyDescent="0.35">
      <c r="L972" s="274"/>
      <c r="W972" s="262"/>
    </row>
    <row r="973" spans="12:23" x14ac:dyDescent="0.35">
      <c r="L973" s="274"/>
      <c r="W973" s="262"/>
    </row>
    <row r="974" spans="12:23" x14ac:dyDescent="0.35">
      <c r="L974" s="274"/>
      <c r="W974" s="262"/>
    </row>
    <row r="975" spans="12:23" x14ac:dyDescent="0.35">
      <c r="L975" s="274"/>
      <c r="W975" s="262"/>
    </row>
    <row r="976" spans="12:23" x14ac:dyDescent="0.35">
      <c r="L976" s="274"/>
      <c r="W976" s="262"/>
    </row>
    <row r="977" spans="12:23" x14ac:dyDescent="0.35">
      <c r="L977" s="274"/>
      <c r="W977" s="262"/>
    </row>
    <row r="978" spans="12:23" x14ac:dyDescent="0.35">
      <c r="L978" s="274"/>
      <c r="W978" s="262"/>
    </row>
    <row r="979" spans="12:23" x14ac:dyDescent="0.35">
      <c r="L979" s="274"/>
      <c r="W979" s="262"/>
    </row>
    <row r="980" spans="12:23" x14ac:dyDescent="0.35">
      <c r="L980" s="274"/>
      <c r="W980" s="262"/>
    </row>
    <row r="981" spans="12:23" x14ac:dyDescent="0.35">
      <c r="L981" s="274"/>
      <c r="W981" s="262"/>
    </row>
    <row r="982" spans="12:23" x14ac:dyDescent="0.35">
      <c r="L982" s="274"/>
      <c r="W982" s="262"/>
    </row>
    <row r="983" spans="12:23" x14ac:dyDescent="0.35">
      <c r="L983" s="274"/>
      <c r="W983" s="262"/>
    </row>
    <row r="984" spans="12:23" x14ac:dyDescent="0.35">
      <c r="L984" s="274"/>
      <c r="W984" s="262"/>
    </row>
    <row r="985" spans="12:23" x14ac:dyDescent="0.35">
      <c r="L985" s="274"/>
      <c r="W985" s="262"/>
    </row>
    <row r="986" spans="12:23" x14ac:dyDescent="0.35">
      <c r="L986" s="274"/>
      <c r="W986" s="262"/>
    </row>
    <row r="987" spans="12:23" x14ac:dyDescent="0.35">
      <c r="L987" s="274"/>
      <c r="W987" s="262"/>
    </row>
    <row r="988" spans="12:23" x14ac:dyDescent="0.35">
      <c r="L988" s="274"/>
      <c r="W988" s="262"/>
    </row>
    <row r="989" spans="12:23" x14ac:dyDescent="0.35">
      <c r="L989" s="274"/>
      <c r="W989" s="262"/>
    </row>
    <row r="990" spans="12:23" x14ac:dyDescent="0.35">
      <c r="L990" s="274"/>
      <c r="W990" s="262"/>
    </row>
    <row r="991" spans="12:23" x14ac:dyDescent="0.35">
      <c r="L991" s="274"/>
      <c r="W991" s="262"/>
    </row>
    <row r="992" spans="12:23" x14ac:dyDescent="0.35">
      <c r="L992" s="274"/>
      <c r="W992" s="262"/>
    </row>
    <row r="993" spans="12:23" x14ac:dyDescent="0.35">
      <c r="L993" s="274"/>
      <c r="W993" s="262"/>
    </row>
    <row r="994" spans="12:23" x14ac:dyDescent="0.35">
      <c r="L994" s="274"/>
      <c r="W994" s="262"/>
    </row>
    <row r="995" spans="12:23" x14ac:dyDescent="0.35">
      <c r="L995" s="274"/>
      <c r="W995" s="262"/>
    </row>
    <row r="996" spans="12:23" x14ac:dyDescent="0.35">
      <c r="L996" s="274"/>
      <c r="W996" s="262"/>
    </row>
    <row r="997" spans="12:23" x14ac:dyDescent="0.35">
      <c r="L997" s="274"/>
      <c r="W997" s="262"/>
    </row>
    <row r="998" spans="12:23" x14ac:dyDescent="0.35">
      <c r="L998" s="274"/>
      <c r="W998" s="262"/>
    </row>
    <row r="999" spans="12:23" x14ac:dyDescent="0.35">
      <c r="L999" s="274"/>
      <c r="W999" s="262"/>
    </row>
    <row r="1000" spans="12:23" x14ac:dyDescent="0.35">
      <c r="L1000" s="274"/>
      <c r="W1000" s="262"/>
    </row>
  </sheetData>
  <sheetProtection sheet="1" objects="1" scenarios="1" selectLockedCells="1"/>
  <autoFilter ref="Z3:AH5" xr:uid="{50EF3E09-4177-4C89-B433-C604260CC01F}"/>
  <sortState xmlns:xlrd2="http://schemas.microsoft.com/office/spreadsheetml/2017/richdata2" ref="J4:P60">
    <sortCondition ref="J4:J60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34:W504 W26:W30 W5:W24" xr:uid="{D89FED2A-19DC-4BCB-AABC-71820FDA5C19}">
      <formula1>$AD$4:$AD$10</formula1>
    </dataValidation>
    <dataValidation type="list" allowBlank="1" showInputMessage="1" showErrorMessage="1" sqref="K4:K60 K64:K1004" xr:uid="{5F28FE9F-E4FB-4C81-80BB-887D426AFED4}">
      <formula1>lst_EinnahmeAusgabe</formula1>
    </dataValidation>
    <dataValidation type="list" allowBlank="1" showInputMessage="1" showErrorMessage="1" sqref="O4:O60 O64:O1004" xr:uid="{5C16C198-B3F8-4AF3-A794-F646C2C8F26D}">
      <formula1>lst_Faelligkeit</formula1>
    </dataValidation>
    <dataValidation type="list" allowBlank="1" showInputMessage="1" showErrorMessage="1" sqref="M4:M60 M64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4:V15 V18:V20 V24 V31" xr:uid="{37075337-3EEE-4272-9E2B-4AC5F25ED5CE}">
      <formula1>"1,2,3,4,5,6,7,8,9,10,11,12,13"</formula1>
    </dataValidation>
    <dataValidation type="list" errorStyle="warning" allowBlank="1" showErrorMessage="1" sqref="K61:K63" xr:uid="{39F5ED6A-D7D7-4C69-B1E0-5D401C157211}">
      <formula1>"E,A"</formula1>
    </dataValidation>
    <dataValidation type="list" errorStyle="warning" allowBlank="1" showErrorMessage="1" sqref="M61:M63" xr:uid="{8A8AF435-AC86-40F0-A96F-5E50287B8BE5}">
      <formula1>$AA$4:$AA$13</formula1>
    </dataValidation>
    <dataValidation type="list" errorStyle="warning" allowBlank="1" showErrorMessage="1" sqref="O61:O63" xr:uid="{F657BA74-0C81-43C1-B5DD-0C057142BE48}">
      <formula1>$AC$4:$AC$9</formula1>
    </dataValidation>
    <dataValidation type="list" errorStyle="warning" allowBlank="1" showErrorMessage="1" sqref="W4 W25 W31:W33" xr:uid="{FD5A0405-5D7A-4D54-A4A6-DFEB68E5F097}">
      <formula1>$AD$4:$AD$10</formula1>
    </dataValidation>
    <dataValidation type="list" errorStyle="warning" allowBlank="1" showErrorMessage="1" sqref="V28 V16 V30" xr:uid="{887C615C-71B1-4E5F-97EF-C45E357DA039}">
      <formula1>$F$4:$F$18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B075CA48-CCBE-4F71-8B8D-EA339542491E}">
          <x14:formula1>
            <xm:f>Bankkonto!$M$27:$Z$27</xm:f>
          </x14:formula1>
          <xm:sqref>N61:N63</xm:sqref>
        </x14:dataValidation>
        <x14:dataValidation type="list" errorStyle="warning" allowBlank="1" showErrorMessage="1" xr:uid="{5FC3C0FD-AEE3-4654-BE25-64E00E8D312E}">
          <x14:formula1>
            <xm:f>Bankkonto!$T$27:$Z$27</xm:f>
          </x14:formula1>
          <xm:sqref>N58:N60 N49:N56 N44:N46 N38 N24:N32 N21:N22 N17:N19 N7:N11 N4:N5</xm:sqref>
        </x14:dataValidation>
        <x14:dataValidation type="list" errorStyle="warning" allowBlank="1" showErrorMessage="1" xr:uid="{7A760D17-0976-41E6-B3FD-E271E47AE551}">
          <x14:formula1>
            <xm:f>Bankkonto!$M$27:$S$27</xm:f>
          </x14:formula1>
          <xm:sqref>N6 N57 N47:N48 N39:N43 N33:N37 N23 N20 N12:N16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4"/>
    <col min="2" max="16384" width="10.90625" style="428"/>
  </cols>
  <sheetData>
    <row r="1" spans="1:1" x14ac:dyDescent="0.35">
      <c r="A1" s="354" t="s">
        <v>569</v>
      </c>
    </row>
    <row r="2" spans="1:1" x14ac:dyDescent="0.35">
      <c r="A2" s="354" t="s">
        <v>567</v>
      </c>
    </row>
    <row r="3" spans="1:1" x14ac:dyDescent="0.35">
      <c r="A3" s="354" t="s">
        <v>556</v>
      </c>
    </row>
    <row r="4" spans="1:1" x14ac:dyDescent="0.35">
      <c r="A4" s="354" t="s">
        <v>559</v>
      </c>
    </row>
    <row r="5" spans="1:1" x14ac:dyDescent="0.35">
      <c r="A5" s="354" t="s">
        <v>555</v>
      </c>
    </row>
    <row r="6" spans="1:1" x14ac:dyDescent="0.35">
      <c r="A6" s="354" t="s">
        <v>568</v>
      </c>
    </row>
    <row r="7" spans="1:1" x14ac:dyDescent="0.35">
      <c r="A7" s="354" t="s">
        <v>567</v>
      </c>
    </row>
    <row r="8" spans="1:1" x14ac:dyDescent="0.35">
      <c r="A8" s="354" t="s">
        <v>556</v>
      </c>
    </row>
    <row r="9" spans="1:1" x14ac:dyDescent="0.35">
      <c r="A9" s="354" t="s">
        <v>559</v>
      </c>
    </row>
    <row r="10" spans="1:1" x14ac:dyDescent="0.35">
      <c r="A10" s="354" t="s">
        <v>555</v>
      </c>
    </row>
    <row r="11" spans="1:1" x14ac:dyDescent="0.35">
      <c r="A11" s="354" t="s">
        <v>566</v>
      </c>
    </row>
    <row r="12" spans="1:1" x14ac:dyDescent="0.35">
      <c r="A12" s="354" t="s">
        <v>567</v>
      </c>
    </row>
    <row r="13" spans="1:1" x14ac:dyDescent="0.35">
      <c r="A13" s="354" t="s">
        <v>556</v>
      </c>
    </row>
    <row r="14" spans="1:1" x14ac:dyDescent="0.35">
      <c r="A14" s="354" t="s">
        <v>559</v>
      </c>
    </row>
    <row r="15" spans="1:1" x14ac:dyDescent="0.35">
      <c r="A15" s="354" t="s">
        <v>555</v>
      </c>
    </row>
    <row r="16" spans="1:1" x14ac:dyDescent="0.35">
      <c r="A16" s="354" t="s">
        <v>565</v>
      </c>
    </row>
    <row r="17" spans="1:1" x14ac:dyDescent="0.35">
      <c r="A17" s="354" t="s">
        <v>560</v>
      </c>
    </row>
    <row r="18" spans="1:1" x14ac:dyDescent="0.35">
      <c r="A18" s="354" t="s">
        <v>556</v>
      </c>
    </row>
    <row r="19" spans="1:1" x14ac:dyDescent="0.35">
      <c r="A19" s="354" t="s">
        <v>557</v>
      </c>
    </row>
    <row r="20" spans="1:1" x14ac:dyDescent="0.35">
      <c r="A20" s="354" t="s">
        <v>555</v>
      </c>
    </row>
    <row r="21" spans="1:1" x14ac:dyDescent="0.35">
      <c r="A21" s="354" t="s">
        <v>564</v>
      </c>
    </row>
    <row r="22" spans="1:1" x14ac:dyDescent="0.35">
      <c r="A22" s="354" t="s">
        <v>560</v>
      </c>
    </row>
    <row r="23" spans="1:1" x14ac:dyDescent="0.35">
      <c r="A23" s="354" t="s">
        <v>556</v>
      </c>
    </row>
    <row r="24" spans="1:1" x14ac:dyDescent="0.35">
      <c r="A24" s="354" t="s">
        <v>557</v>
      </c>
    </row>
    <row r="25" spans="1:1" x14ac:dyDescent="0.35">
      <c r="A25" s="354" t="s">
        <v>555</v>
      </c>
    </row>
    <row r="26" spans="1:1" x14ac:dyDescent="0.35">
      <c r="A26" s="354" t="s">
        <v>563</v>
      </c>
    </row>
    <row r="27" spans="1:1" x14ac:dyDescent="0.35">
      <c r="A27" s="354" t="s">
        <v>560</v>
      </c>
    </row>
    <row r="28" spans="1:1" x14ac:dyDescent="0.35">
      <c r="A28" s="354" t="s">
        <v>556</v>
      </c>
    </row>
    <row r="29" spans="1:1" x14ac:dyDescent="0.35">
      <c r="A29" s="354" t="s">
        <v>559</v>
      </c>
    </row>
    <row r="30" spans="1:1" x14ac:dyDescent="0.35">
      <c r="A30" s="354" t="s">
        <v>555</v>
      </c>
    </row>
    <row r="31" spans="1:1" x14ac:dyDescent="0.35">
      <c r="A31" s="354" t="s">
        <v>563</v>
      </c>
    </row>
    <row r="32" spans="1:1" x14ac:dyDescent="0.35">
      <c r="A32" s="354" t="s">
        <v>560</v>
      </c>
    </row>
    <row r="33" spans="1:1" x14ac:dyDescent="0.35">
      <c r="A33" s="354" t="s">
        <v>556</v>
      </c>
    </row>
    <row r="34" spans="1:1" x14ac:dyDescent="0.35">
      <c r="A34" s="354" t="s">
        <v>557</v>
      </c>
    </row>
    <row r="35" spans="1:1" x14ac:dyDescent="0.35">
      <c r="A35" s="354" t="s">
        <v>555</v>
      </c>
    </row>
    <row r="36" spans="1:1" x14ac:dyDescent="0.35">
      <c r="A36" s="354" t="s">
        <v>562</v>
      </c>
    </row>
    <row r="37" spans="1:1" x14ac:dyDescent="0.35">
      <c r="A37" s="354" t="s">
        <v>560</v>
      </c>
    </row>
    <row r="38" spans="1:1" x14ac:dyDescent="0.35">
      <c r="A38" s="354" t="s">
        <v>556</v>
      </c>
    </row>
    <row r="39" spans="1:1" x14ac:dyDescent="0.35">
      <c r="A39" s="354" t="s">
        <v>559</v>
      </c>
    </row>
    <row r="40" spans="1:1" x14ac:dyDescent="0.35">
      <c r="A40" s="354" t="s">
        <v>555</v>
      </c>
    </row>
    <row r="41" spans="1:1" x14ac:dyDescent="0.35">
      <c r="A41" s="354" t="s">
        <v>562</v>
      </c>
    </row>
    <row r="42" spans="1:1" x14ac:dyDescent="0.35">
      <c r="A42" s="354" t="s">
        <v>560</v>
      </c>
    </row>
    <row r="43" spans="1:1" x14ac:dyDescent="0.35">
      <c r="A43" s="354" t="s">
        <v>556</v>
      </c>
    </row>
    <row r="44" spans="1:1" x14ac:dyDescent="0.35">
      <c r="A44" s="354" t="s">
        <v>557</v>
      </c>
    </row>
    <row r="45" spans="1:1" x14ac:dyDescent="0.35">
      <c r="A45" s="354" t="s">
        <v>555</v>
      </c>
    </row>
    <row r="46" spans="1:1" x14ac:dyDescent="0.35">
      <c r="A46" s="354" t="s">
        <v>561</v>
      </c>
    </row>
    <row r="47" spans="1:1" x14ac:dyDescent="0.35">
      <c r="A47" s="354" t="s">
        <v>560</v>
      </c>
    </row>
    <row r="48" spans="1:1" x14ac:dyDescent="0.35">
      <c r="A48" s="354" t="s">
        <v>556</v>
      </c>
    </row>
    <row r="49" spans="1:1" x14ac:dyDescent="0.35">
      <c r="A49" s="354" t="s">
        <v>559</v>
      </c>
    </row>
    <row r="50" spans="1:1" x14ac:dyDescent="0.35">
      <c r="A50" s="354" t="s">
        <v>555</v>
      </c>
    </row>
    <row r="51" spans="1:1" x14ac:dyDescent="0.35">
      <c r="A51" s="354" t="s">
        <v>561</v>
      </c>
    </row>
    <row r="52" spans="1:1" x14ac:dyDescent="0.35">
      <c r="A52" s="354" t="s">
        <v>560</v>
      </c>
    </row>
    <row r="53" spans="1:1" x14ac:dyDescent="0.35">
      <c r="A53" s="354" t="s">
        <v>556</v>
      </c>
    </row>
    <row r="54" spans="1:1" x14ac:dyDescent="0.35">
      <c r="A54" s="354" t="s">
        <v>557</v>
      </c>
    </row>
    <row r="55" spans="1:1" x14ac:dyDescent="0.35">
      <c r="A55" s="354" t="s">
        <v>555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16</vt:i4>
      </vt:variant>
    </vt:vector>
  </HeadingPairs>
  <TitlesOfParts>
    <vt:vector size="26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Bankkonto!lst_Faelligkeit</vt:lpstr>
      <vt:lpstr>Daten!lst_Faelligkeit</vt:lpstr>
      <vt:lpstr>Bankkonto!lst_JaNein</vt:lpstr>
      <vt:lpstr>Daten!lst_JaNein</vt:lpstr>
      <vt:lpstr>lst_KategorienAusgaben</vt:lpstr>
      <vt:lpstr>lst_KategorienEinnahmen</vt:lpstr>
      <vt:lpstr>lst_MonatPeriode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2026-02-06T12:17:23Z</dcterms:modified>
</cp:coreProperties>
</file>