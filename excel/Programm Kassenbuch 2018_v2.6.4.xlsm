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activeX/activeX6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8_{0D02F2D7-F587-401B-8CA5-0061B6F41127}" xr6:coauthVersionLast="47" xr6:coauthVersionMax="47" xr10:uidLastSave="{00000000-0000-0000-0000-000000000000}"/>
  <bookViews>
    <workbookView xWindow="-110" yWindow="-110" windowWidth="19420" windowHeight="10300" tabRatio="720" firstSheet="1" activeTab="9" xr2:uid="{E9EBA3B8-A804-42E6-B9C3-6DB13DECF0B7}"/>
  </bookViews>
  <sheets>
    <sheet name="Startmenü" sheetId="2" r:id="rId1"/>
    <sheet name="Übersicht" sheetId="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</sheets>
  <functionGroups builtInGroupCount="19"/>
  <definedNames>
    <definedName name="_xlnm._FilterDatabase" localSheetId="2" hidden="1">Bankkonto!$A$27:$Z$472</definedName>
    <definedName name="_xlnm._FilterDatabase" localSheetId="9" hidden="1">Daten!$Z$3:$AD$5</definedName>
    <definedName name="_xlnm._FilterDatabase" localSheetId="6" hidden="1">Mitgliederliste!$A$5:$R$24</definedName>
    <definedName name="_xlnm._FilterDatabase" localSheetId="1" hidden="1">Übersicht!$B$4:$D$124</definedName>
    <definedName name="Liste_Anrede" localSheetId="2">#REF!</definedName>
    <definedName name="Liste_Anrede" localSheetId="9">Daten!$D$4:$D$9</definedName>
    <definedName name="Liste_Parzelle" localSheetId="2">#REF!</definedName>
    <definedName name="Liste_Parzelle" localSheetId="9">Daten!$F$4:$F$18</definedName>
    <definedName name="Liste_Vereinsfunktion" localSheetId="2">#REF!</definedName>
    <definedName name="Liste_Vereinsfunktion" localSheetId="9">Daten!$B$4:$B$12</definedName>
    <definedName name="lst_EinnahmeAusgabe" localSheetId="2">Daten!$AB$4:$AB$5</definedName>
    <definedName name="lst_EinnahmeAusgabe" localSheetId="9">Daten!$Z$4:$Z$5</definedName>
    <definedName name="lst_Faelligkeit" localSheetId="2">Daten!#REF!</definedName>
    <definedName name="lst_Faelligkeit" localSheetId="9">Daten!$AC$4:$AC$9</definedName>
    <definedName name="lst_JaNein" localSheetId="2">Daten!$AD$4:$AD$5</definedName>
    <definedName name="lst_JaNein" localSheetId="9">Daten!$AB$4:$AB$5</definedName>
    <definedName name="lst_KategorienAusgaben">Daten!$AG$4:$AG$18</definedName>
    <definedName name="lst_KategorienEinnahmen">Daten!$AF$4:$AF$13</definedName>
    <definedName name="lst_MonatPeriode">Daten!$AH$4:$AH$15</definedName>
    <definedName name="lst_Prioritaet" localSheetId="2">Daten!$AC$4:$AC$13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3" i="51" l="1"/>
  <c r="G42" i="51"/>
  <c r="G41" i="51"/>
  <c r="G40" i="51"/>
  <c r="G39" i="51"/>
  <c r="G38" i="51"/>
  <c r="G37" i="51"/>
  <c r="G36" i="51"/>
  <c r="G35" i="51"/>
  <c r="G34" i="51"/>
  <c r="G33" i="51"/>
  <c r="G32" i="51"/>
  <c r="G31" i="51"/>
  <c r="G30" i="51"/>
  <c r="E14" i="51" s="1"/>
  <c r="G29" i="51"/>
  <c r="G28" i="51"/>
  <c r="E23" i="51" s="1"/>
  <c r="G47" i="51"/>
  <c r="G46" i="51"/>
  <c r="G45" i="51"/>
  <c r="G44" i="51"/>
  <c r="G43" i="51"/>
  <c r="G48" i="51"/>
  <c r="G49" i="51"/>
  <c r="G50" i="51"/>
  <c r="G51" i="51"/>
  <c r="G54" i="51"/>
  <c r="G53" i="51"/>
  <c r="G52" i="51"/>
  <c r="G55" i="51"/>
  <c r="G74" i="51"/>
  <c r="G73" i="51"/>
  <c r="G72" i="51"/>
  <c r="G71" i="51"/>
  <c r="G70" i="51"/>
  <c r="G69" i="51"/>
  <c r="G68" i="51"/>
  <c r="G67" i="51"/>
  <c r="G66" i="51"/>
  <c r="G65" i="51"/>
  <c r="G64" i="51"/>
  <c r="G63" i="51"/>
  <c r="G62" i="51"/>
  <c r="G61" i="51"/>
  <c r="G60" i="51"/>
  <c r="G59" i="51"/>
  <c r="G58" i="51"/>
  <c r="G57" i="51"/>
  <c r="G56" i="51"/>
  <c r="G78" i="51"/>
  <c r="G77" i="51"/>
  <c r="G76" i="51"/>
  <c r="G75" i="51"/>
  <c r="G82" i="51"/>
  <c r="G81" i="51"/>
  <c r="G80" i="51"/>
  <c r="G79" i="51"/>
  <c r="G84" i="51"/>
  <c r="G83" i="51"/>
  <c r="G85" i="51"/>
  <c r="G89" i="51"/>
  <c r="G88" i="51"/>
  <c r="G87" i="51"/>
  <c r="G86" i="51"/>
  <c r="G91" i="51"/>
  <c r="G90" i="51"/>
  <c r="G92" i="51"/>
  <c r="G94" i="51"/>
  <c r="G93" i="51"/>
  <c r="G96" i="51"/>
  <c r="G95" i="51"/>
  <c r="G98" i="51"/>
  <c r="G97" i="51"/>
  <c r="G99" i="51"/>
  <c r="G101" i="51"/>
  <c r="G100" i="51"/>
  <c r="G121" i="51"/>
  <c r="G120" i="51"/>
  <c r="G119" i="51"/>
  <c r="G118" i="51"/>
  <c r="G117" i="51"/>
  <c r="G116" i="51"/>
  <c r="G115" i="51"/>
  <c r="G114" i="51"/>
  <c r="G113" i="51"/>
  <c r="G112" i="51"/>
  <c r="G111" i="51"/>
  <c r="G110" i="51"/>
  <c r="G109" i="51"/>
  <c r="G108" i="51"/>
  <c r="G107" i="51"/>
  <c r="G106" i="51"/>
  <c r="G105" i="51"/>
  <c r="G104" i="51"/>
  <c r="G103" i="51"/>
  <c r="G102" i="51"/>
  <c r="G125" i="51"/>
  <c r="G124" i="51"/>
  <c r="G123" i="51"/>
  <c r="G122" i="51"/>
  <c r="G128" i="51"/>
  <c r="G127" i="51"/>
  <c r="G126" i="51"/>
  <c r="G132" i="51"/>
  <c r="G131" i="51"/>
  <c r="G130" i="51"/>
  <c r="G129" i="51"/>
  <c r="G135" i="51"/>
  <c r="G134" i="51"/>
  <c r="G133" i="51"/>
  <c r="G136" i="51"/>
  <c r="G139" i="51"/>
  <c r="G138" i="51"/>
  <c r="G137" i="51"/>
  <c r="G140" i="51"/>
  <c r="G142" i="51"/>
  <c r="G141" i="51"/>
  <c r="G145" i="51"/>
  <c r="G144" i="51"/>
  <c r="G143" i="51"/>
  <c r="G147" i="51"/>
  <c r="G146" i="51"/>
  <c r="G149" i="51"/>
  <c r="G148" i="51"/>
  <c r="G160" i="51"/>
  <c r="G159" i="51"/>
  <c r="G158" i="51"/>
  <c r="G157" i="51"/>
  <c r="G156" i="51"/>
  <c r="G155" i="51"/>
  <c r="G154" i="51"/>
  <c r="G153" i="51"/>
  <c r="G152" i="51"/>
  <c r="G151" i="51"/>
  <c r="G150" i="51"/>
  <c r="G168" i="51"/>
  <c r="G167" i="51"/>
  <c r="G166" i="51"/>
  <c r="G165" i="51"/>
  <c r="G164" i="51"/>
  <c r="G163" i="51"/>
  <c r="G162" i="51"/>
  <c r="G161" i="51"/>
  <c r="G170" i="51"/>
  <c r="G169" i="51"/>
  <c r="G172" i="51"/>
  <c r="G171" i="51"/>
  <c r="G175" i="51"/>
  <c r="G174" i="51"/>
  <c r="G173" i="51"/>
  <c r="G176" i="51"/>
  <c r="G178" i="51"/>
  <c r="G177" i="51"/>
  <c r="G180" i="51"/>
  <c r="G179" i="51"/>
  <c r="G181" i="51"/>
  <c r="G197" i="51"/>
  <c r="G196" i="51"/>
  <c r="G195" i="51"/>
  <c r="G194" i="51"/>
  <c r="G193" i="51"/>
  <c r="G192" i="51"/>
  <c r="G191" i="51"/>
  <c r="G190" i="51"/>
  <c r="G189" i="51"/>
  <c r="G188" i="51"/>
  <c r="G187" i="51"/>
  <c r="G186" i="51"/>
  <c r="G185" i="51"/>
  <c r="G184" i="51"/>
  <c r="G183" i="51"/>
  <c r="G182" i="51"/>
  <c r="G204" i="51"/>
  <c r="G203" i="51"/>
  <c r="G202" i="51"/>
  <c r="G201" i="51"/>
  <c r="G200" i="51"/>
  <c r="G199" i="51"/>
  <c r="G198" i="51"/>
  <c r="G205" i="51"/>
  <c r="G207" i="51"/>
  <c r="G206" i="51"/>
  <c r="G208" i="51"/>
  <c r="G210" i="51"/>
  <c r="G209" i="51"/>
  <c r="G211" i="51"/>
  <c r="G213" i="51"/>
  <c r="G212" i="51"/>
  <c r="G214" i="51"/>
  <c r="G215" i="51"/>
  <c r="G232" i="51"/>
  <c r="G231" i="51"/>
  <c r="G230" i="51"/>
  <c r="G229" i="51"/>
  <c r="G228" i="51"/>
  <c r="G227" i="51"/>
  <c r="G226" i="51"/>
  <c r="G225" i="51"/>
  <c r="G224" i="51"/>
  <c r="G223" i="51"/>
  <c r="G222" i="51"/>
  <c r="G221" i="51"/>
  <c r="G220" i="51"/>
  <c r="G219" i="51"/>
  <c r="G218" i="51"/>
  <c r="G217" i="51"/>
  <c r="G216" i="51"/>
  <c r="G238" i="51"/>
  <c r="G237" i="51"/>
  <c r="G236" i="51"/>
  <c r="G235" i="51"/>
  <c r="G234" i="51"/>
  <c r="G233" i="51"/>
  <c r="G240" i="51"/>
  <c r="G239" i="51"/>
  <c r="G241" i="51"/>
  <c r="G242" i="51"/>
  <c r="G244" i="51"/>
  <c r="G243" i="51"/>
  <c r="G246" i="51"/>
  <c r="G245" i="51"/>
  <c r="G248" i="51"/>
  <c r="G247" i="51"/>
  <c r="G249" i="51"/>
  <c r="G250" i="51"/>
  <c r="G251" i="51"/>
  <c r="G253" i="51"/>
  <c r="G252" i="51"/>
  <c r="G255" i="51"/>
  <c r="G254" i="51"/>
  <c r="G256" i="51"/>
  <c r="G266" i="51"/>
  <c r="G265" i="51"/>
  <c r="G264" i="51"/>
  <c r="G263" i="51"/>
  <c r="G262" i="51"/>
  <c r="G261" i="51"/>
  <c r="G260" i="51"/>
  <c r="G259" i="51"/>
  <c r="G258" i="51"/>
  <c r="G257" i="51"/>
  <c r="G275" i="51"/>
  <c r="G274" i="51"/>
  <c r="G273" i="51"/>
  <c r="G272" i="51"/>
  <c r="G271" i="51"/>
  <c r="G270" i="51"/>
  <c r="G269" i="51"/>
  <c r="G268" i="51"/>
  <c r="G267" i="51"/>
  <c r="G278" i="51"/>
  <c r="G277" i="51"/>
  <c r="G276" i="51"/>
  <c r="G281" i="51"/>
  <c r="G280" i="51"/>
  <c r="G279" i="51"/>
  <c r="G283" i="51"/>
  <c r="G282" i="51"/>
  <c r="G286" i="51"/>
  <c r="G285" i="51"/>
  <c r="G284" i="51"/>
  <c r="G289" i="51"/>
  <c r="G288" i="51"/>
  <c r="G287" i="51"/>
  <c r="G290" i="51"/>
  <c r="G291" i="51"/>
  <c r="G292" i="51"/>
  <c r="G294" i="51"/>
  <c r="G293" i="51"/>
  <c r="G296" i="51"/>
  <c r="G295" i="51"/>
  <c r="G299" i="51"/>
  <c r="G298" i="51"/>
  <c r="G297" i="51"/>
  <c r="G300" i="51"/>
  <c r="G309" i="51"/>
  <c r="G308" i="51"/>
  <c r="G307" i="51"/>
  <c r="G306" i="51"/>
  <c r="G305" i="51"/>
  <c r="G304" i="51"/>
  <c r="G303" i="51"/>
  <c r="G302" i="51"/>
  <c r="G301" i="51"/>
  <c r="G318" i="51"/>
  <c r="G317" i="51"/>
  <c r="G316" i="51"/>
  <c r="G315" i="51"/>
  <c r="G314" i="51"/>
  <c r="G313" i="51"/>
  <c r="G312" i="51"/>
  <c r="G311" i="51"/>
  <c r="G310" i="51"/>
  <c r="G322" i="51"/>
  <c r="G321" i="51"/>
  <c r="G320" i="51"/>
  <c r="G319" i="51"/>
  <c r="G324" i="51"/>
  <c r="G323" i="51"/>
  <c r="G327" i="51"/>
  <c r="G326" i="51"/>
  <c r="G325" i="51"/>
  <c r="G328" i="51"/>
  <c r="G329" i="51"/>
  <c r="G330" i="51"/>
  <c r="G331" i="51"/>
  <c r="G332" i="51"/>
  <c r="G342" i="51"/>
  <c r="G341" i="51"/>
  <c r="G340" i="51"/>
  <c r="G339" i="51"/>
  <c r="G338" i="51"/>
  <c r="G337" i="51"/>
  <c r="G336" i="51"/>
  <c r="G335" i="51"/>
  <c r="G334" i="51"/>
  <c r="G333" i="51"/>
  <c r="G351" i="51"/>
  <c r="G350" i="51"/>
  <c r="G349" i="51"/>
  <c r="G348" i="51"/>
  <c r="G347" i="51"/>
  <c r="G346" i="51"/>
  <c r="G345" i="51"/>
  <c r="G344" i="51"/>
  <c r="G343" i="51"/>
  <c r="G354" i="51"/>
  <c r="G353" i="51"/>
  <c r="G352" i="51"/>
  <c r="G356" i="51"/>
  <c r="G355" i="51"/>
  <c r="G358" i="51"/>
  <c r="G357" i="51"/>
  <c r="G359" i="51"/>
  <c r="G360" i="51"/>
  <c r="G367" i="51"/>
  <c r="G366" i="51"/>
  <c r="G365" i="51"/>
  <c r="G364" i="51"/>
  <c r="G363" i="51"/>
  <c r="G362" i="51"/>
  <c r="G361" i="51"/>
  <c r="G368" i="51"/>
  <c r="G369" i="51"/>
  <c r="G372" i="51"/>
  <c r="G371" i="51"/>
  <c r="G370" i="51"/>
  <c r="G376" i="51"/>
  <c r="G375" i="51"/>
  <c r="G374" i="51"/>
  <c r="G373" i="51"/>
  <c r="G377" i="51"/>
  <c r="G386" i="51"/>
  <c r="G385" i="51"/>
  <c r="G384" i="51"/>
  <c r="G383" i="51"/>
  <c r="G382" i="51"/>
  <c r="G381" i="51"/>
  <c r="G380" i="51"/>
  <c r="G379" i="51"/>
  <c r="G378" i="51"/>
  <c r="G395" i="51"/>
  <c r="G394" i="51"/>
  <c r="G393" i="51"/>
  <c r="G392" i="51"/>
  <c r="G391" i="51"/>
  <c r="G390" i="51"/>
  <c r="G389" i="51"/>
  <c r="G388" i="51"/>
  <c r="G387" i="51"/>
  <c r="G399" i="51"/>
  <c r="G398" i="51"/>
  <c r="G397" i="51"/>
  <c r="G396" i="51"/>
  <c r="G401" i="51"/>
  <c r="G400" i="51"/>
  <c r="G404" i="51"/>
  <c r="G403" i="51"/>
  <c r="G402" i="51"/>
  <c r="G406" i="51"/>
  <c r="G405" i="51"/>
  <c r="G407" i="51"/>
  <c r="G410" i="51"/>
  <c r="G409" i="51"/>
  <c r="G408" i="51"/>
  <c r="G411" i="51"/>
  <c r="G429" i="51"/>
  <c r="G428" i="51"/>
  <c r="G427" i="51"/>
  <c r="G426" i="51"/>
  <c r="G425" i="51"/>
  <c r="G424" i="51"/>
  <c r="G423" i="51"/>
  <c r="G422" i="51"/>
  <c r="G421" i="51"/>
  <c r="G420" i="51"/>
  <c r="G419" i="51"/>
  <c r="G418" i="51"/>
  <c r="G417" i="51"/>
  <c r="G416" i="51"/>
  <c r="G415" i="51"/>
  <c r="G414" i="51"/>
  <c r="G413" i="51"/>
  <c r="G412" i="51"/>
  <c r="G432" i="51"/>
  <c r="G431" i="51"/>
  <c r="G430" i="51"/>
  <c r="G433" i="51"/>
  <c r="G434" i="51"/>
  <c r="G435" i="51"/>
  <c r="G436" i="51"/>
  <c r="G437" i="51"/>
  <c r="G438" i="51"/>
  <c r="G439" i="51"/>
  <c r="G440" i="51"/>
  <c r="G453" i="51"/>
  <c r="G452" i="51"/>
  <c r="G451" i="51"/>
  <c r="G450" i="51"/>
  <c r="G449" i="51"/>
  <c r="G448" i="51"/>
  <c r="G447" i="51"/>
  <c r="G446" i="51"/>
  <c r="G445" i="51"/>
  <c r="G444" i="51"/>
  <c r="G443" i="51"/>
  <c r="G442" i="51"/>
  <c r="G441" i="51"/>
  <c r="G462" i="51"/>
  <c r="G461" i="51"/>
  <c r="G460" i="51"/>
  <c r="G459" i="51"/>
  <c r="G458" i="51"/>
  <c r="G457" i="51"/>
  <c r="G456" i="51"/>
  <c r="G455" i="51"/>
  <c r="G454" i="51"/>
  <c r="G464" i="51"/>
  <c r="G463" i="51"/>
  <c r="G467" i="51"/>
  <c r="G466" i="51"/>
  <c r="G465" i="51"/>
  <c r="G468" i="51"/>
  <c r="G469" i="51"/>
  <c r="G471" i="51"/>
  <c r="G470" i="51"/>
  <c r="G472" i="51"/>
  <c r="E11" i="51" l="1"/>
  <c r="E16" i="51"/>
  <c r="E20" i="51"/>
  <c r="E10" i="51"/>
  <c r="E19" i="51"/>
  <c r="E8" i="51"/>
  <c r="E12" i="51"/>
  <c r="E17" i="51"/>
  <c r="E21" i="51"/>
  <c r="E9" i="51"/>
  <c r="E13" i="51"/>
  <c r="E18" i="51"/>
  <c r="E2" i="51"/>
  <c r="C2" i="51" l="1"/>
  <c r="M25" i="51" l="1"/>
  <c r="R6" i="51"/>
  <c r="K23" i="8" l="1"/>
  <c r="K15" i="8"/>
  <c r="K8" i="8"/>
  <c r="E22" i="51" l="1"/>
  <c r="E15" i="51"/>
  <c r="B102" i="7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G23" i="7"/>
  <c r="I23" i="7" s="1"/>
  <c r="F23" i="7"/>
  <c r="J22" i="7"/>
  <c r="H22" i="7"/>
  <c r="F22" i="7"/>
  <c r="Q21" i="7"/>
  <c r="J21" i="7"/>
  <c r="H21" i="7"/>
  <c r="F21" i="7"/>
  <c r="O20" i="7"/>
  <c r="J20" i="7"/>
  <c r="H20" i="7"/>
  <c r="F20" i="7"/>
  <c r="J19" i="7"/>
  <c r="H19" i="7"/>
  <c r="F19" i="7"/>
  <c r="J18" i="7"/>
  <c r="H18" i="7"/>
  <c r="F18" i="7"/>
  <c r="J17" i="7"/>
  <c r="H17" i="7"/>
  <c r="F17" i="7"/>
  <c r="J16" i="7"/>
  <c r="H16" i="7"/>
  <c r="F16" i="7"/>
  <c r="J15" i="7"/>
  <c r="H15" i="7"/>
  <c r="F15" i="7"/>
  <c r="J14" i="7"/>
  <c r="H14" i="7"/>
  <c r="F14" i="7"/>
  <c r="J13" i="7"/>
  <c r="H13" i="7"/>
  <c r="F13" i="7"/>
  <c r="G13" i="7" s="1"/>
  <c r="I13" i="7" s="1"/>
  <c r="K13" i="7" s="1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F23" i="6"/>
  <c r="G23" i="6" s="1"/>
  <c r="H23" i="6" s="1"/>
  <c r="N22" i="6"/>
  <c r="F22" i="6"/>
  <c r="G22" i="6" s="1"/>
  <c r="H22" i="6" s="1"/>
  <c r="N21" i="6"/>
  <c r="F21" i="6"/>
  <c r="G21" i="6" s="1"/>
  <c r="H21" i="6" s="1"/>
  <c r="Q20" i="6"/>
  <c r="F20" i="6"/>
  <c r="G20" i="6" s="1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F14" i="6"/>
  <c r="G14" i="6" s="1"/>
  <c r="H14" i="6" s="1"/>
  <c r="F13" i="6"/>
  <c r="F12" i="6"/>
  <c r="F11" i="6"/>
  <c r="G11" i="6" s="1"/>
  <c r="H11" i="6" s="1"/>
  <c r="F10" i="6"/>
  <c r="G10" i="6" s="1"/>
  <c r="H10" i="6" s="1"/>
  <c r="F9" i="6"/>
  <c r="F8" i="6"/>
  <c r="G8" i="6" s="1"/>
  <c r="N7" i="6"/>
  <c r="L7" i="6"/>
  <c r="K7" i="6"/>
  <c r="G7" i="6"/>
  <c r="K5" i="6"/>
  <c r="K4" i="6"/>
  <c r="L4" i="6" s="1"/>
  <c r="M4" i="6" s="1"/>
  <c r="N2" i="6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Q124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Q122" i="4"/>
  <c r="Q121" i="4"/>
  <c r="Q119" i="4"/>
  <c r="Q118" i="4"/>
  <c r="Q117" i="4"/>
  <c r="Q116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Q114" i="4"/>
  <c r="Q113" i="4"/>
  <c r="Q111" i="4"/>
  <c r="Q110" i="4"/>
  <c r="Q109" i="4"/>
  <c r="Q108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Q106" i="4"/>
  <c r="Q105" i="4"/>
  <c r="Q104" i="4"/>
  <c r="Q102" i="4"/>
  <c r="Q101" i="4"/>
  <c r="Q100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Q98" i="4"/>
  <c r="Q97" i="4"/>
  <c r="Q96" i="4"/>
  <c r="Q94" i="4"/>
  <c r="Q93" i="4"/>
  <c r="Q92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Q90" i="4"/>
  <c r="Q89" i="4"/>
  <c r="Q88" i="4"/>
  <c r="Q87" i="4"/>
  <c r="Q85" i="4"/>
  <c r="Q84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Q82" i="4"/>
  <c r="Q81" i="4"/>
  <c r="Q80" i="4"/>
  <c r="Q78" i="4"/>
  <c r="Q77" i="4"/>
  <c r="Q76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Q74" i="4"/>
  <c r="Q73" i="4"/>
  <c r="Q72" i="4"/>
  <c r="Q70" i="4"/>
  <c r="Q69" i="4"/>
  <c r="Q68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Q66" i="4"/>
  <c r="Q65" i="4"/>
  <c r="Q64" i="4"/>
  <c r="Q62" i="4"/>
  <c r="Q61" i="4"/>
  <c r="Q60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Q58" i="4"/>
  <c r="Q57" i="4"/>
  <c r="Q56" i="4"/>
  <c r="Q54" i="4"/>
  <c r="Q53" i="4"/>
  <c r="Q52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Q50" i="4"/>
  <c r="Q49" i="4"/>
  <c r="Q48" i="4"/>
  <c r="Q46" i="4"/>
  <c r="Q45" i="4"/>
  <c r="Q44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Q42" i="4"/>
  <c r="Q41" i="4"/>
  <c r="Q40" i="4"/>
  <c r="Q38" i="4"/>
  <c r="Q37" i="4"/>
  <c r="Q36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Q34" i="4"/>
  <c r="Q33" i="4"/>
  <c r="Q32" i="4"/>
  <c r="Q30" i="4"/>
  <c r="Q29" i="4"/>
  <c r="Q28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Q26" i="4"/>
  <c r="Q25" i="4"/>
  <c r="Q24" i="4"/>
  <c r="Q22" i="4"/>
  <c r="Q21" i="4"/>
  <c r="Q20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Q18" i="4"/>
  <c r="Q17" i="4"/>
  <c r="Q16" i="4"/>
  <c r="Q14" i="4"/>
  <c r="Q13" i="4"/>
  <c r="Q12" i="4"/>
  <c r="D12" i="4"/>
  <c r="D108" i="4" s="1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Q10" i="4"/>
  <c r="D10" i="4"/>
  <c r="D106" i="4" s="1"/>
  <c r="Q9" i="4"/>
  <c r="D9" i="4"/>
  <c r="D121" i="4" s="1"/>
  <c r="Q8" i="4"/>
  <c r="D8" i="4"/>
  <c r="D112" i="4" s="1"/>
  <c r="D7" i="4"/>
  <c r="D95" i="4" s="1"/>
  <c r="Q6" i="4"/>
  <c r="D6" i="4"/>
  <c r="D110" i="4" s="1"/>
  <c r="Q5" i="4"/>
  <c r="D5" i="4"/>
  <c r="D93" i="4" s="1"/>
  <c r="C4" i="4"/>
  <c r="B4" i="4"/>
  <c r="G29" i="7" l="1"/>
  <c r="G31" i="7" s="1"/>
  <c r="G19" i="7"/>
  <c r="I19" i="7" s="1"/>
  <c r="K19" i="7" s="1"/>
  <c r="M19" i="7"/>
  <c r="G17" i="7"/>
  <c r="I17" i="7" s="1"/>
  <c r="K17" i="7" s="1"/>
  <c r="M15" i="7"/>
  <c r="G15" i="7"/>
  <c r="I15" i="7" s="1"/>
  <c r="K15" i="7" s="1"/>
  <c r="E3" i="51"/>
  <c r="D36" i="4"/>
  <c r="D70" i="4"/>
  <c r="D102" i="4"/>
  <c r="D45" i="4"/>
  <c r="D60" i="4"/>
  <c r="D85" i="4"/>
  <c r="D92" i="4"/>
  <c r="D117" i="4"/>
  <c r="D79" i="4"/>
  <c r="D111" i="4"/>
  <c r="D17" i="4"/>
  <c r="D23" i="4"/>
  <c r="D49" i="4"/>
  <c r="D68" i="4"/>
  <c r="D77" i="4"/>
  <c r="D100" i="4"/>
  <c r="D109" i="4"/>
  <c r="D124" i="4"/>
  <c r="D15" i="4"/>
  <c r="D21" i="4"/>
  <c r="D41" i="4"/>
  <c r="D55" i="4"/>
  <c r="D81" i="4"/>
  <c r="D113" i="4"/>
  <c r="D13" i="4"/>
  <c r="D28" i="4"/>
  <c r="D38" i="4"/>
  <c r="D47" i="4"/>
  <c r="D53" i="4"/>
  <c r="D73" i="4"/>
  <c r="D105" i="4"/>
  <c r="D119" i="4"/>
  <c r="D34" i="4"/>
  <c r="D26" i="4"/>
  <c r="D58" i="4"/>
  <c r="D90" i="4"/>
  <c r="D122" i="4"/>
  <c r="D32" i="4"/>
  <c r="D64" i="4"/>
  <c r="D66" i="4"/>
  <c r="D96" i="4"/>
  <c r="D98" i="4"/>
  <c r="D16" i="4"/>
  <c r="D18" i="4"/>
  <c r="D20" i="4"/>
  <c r="D22" i="4"/>
  <c r="D33" i="4"/>
  <c r="D37" i="4"/>
  <c r="D39" i="4"/>
  <c r="D48" i="4"/>
  <c r="D50" i="4"/>
  <c r="D52" i="4"/>
  <c r="D54" i="4"/>
  <c r="D65" i="4"/>
  <c r="D69" i="4"/>
  <c r="D71" i="4"/>
  <c r="D80" i="4"/>
  <c r="D82" i="4"/>
  <c r="D84" i="4"/>
  <c r="D86" i="4"/>
  <c r="D97" i="4"/>
  <c r="D101" i="4"/>
  <c r="D103" i="4"/>
  <c r="D114" i="4"/>
  <c r="D116" i="4"/>
  <c r="D118" i="4"/>
  <c r="D120" i="4"/>
  <c r="D24" i="4"/>
  <c r="D30" i="4"/>
  <c r="D56" i="4"/>
  <c r="D62" i="4"/>
  <c r="D88" i="4"/>
  <c r="D94" i="4"/>
  <c r="D14" i="4"/>
  <c r="D25" i="4"/>
  <c r="D29" i="4"/>
  <c r="D31" i="4"/>
  <c r="D40" i="4"/>
  <c r="D42" i="4"/>
  <c r="D44" i="4"/>
  <c r="D46" i="4"/>
  <c r="D57" i="4"/>
  <c r="D61" i="4"/>
  <c r="D63" i="4"/>
  <c r="D72" i="4"/>
  <c r="D74" i="4"/>
  <c r="D76" i="4"/>
  <c r="D78" i="4"/>
  <c r="D87" i="4"/>
  <c r="D89" i="4"/>
  <c r="D104" i="4"/>
  <c r="D22" i="5"/>
  <c r="D14" i="5"/>
  <c r="I29" i="7"/>
  <c r="I31" i="7" s="1"/>
  <c r="G22" i="7"/>
  <c r="I22" i="7" s="1"/>
  <c r="K22" i="7" s="1"/>
  <c r="I21" i="7"/>
  <c r="K21" i="7" s="1"/>
  <c r="G21" i="7"/>
  <c r="M21" i="7" s="1"/>
  <c r="G20" i="7"/>
  <c r="I20" i="7" s="1"/>
  <c r="K20" i="7" s="1"/>
  <c r="G18" i="7"/>
  <c r="M18" i="7" s="1"/>
  <c r="M16" i="7"/>
  <c r="G16" i="7"/>
  <c r="I16" i="7" s="1"/>
  <c r="K16" i="7" s="1"/>
  <c r="I14" i="7"/>
  <c r="K14" i="7" s="1"/>
  <c r="G14" i="7"/>
  <c r="M14" i="7" s="1"/>
  <c r="M13" i="7"/>
  <c r="H27" i="7"/>
  <c r="I12" i="7"/>
  <c r="K12" i="7" s="1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G12" i="6"/>
  <c r="H12" i="6" s="1"/>
  <c r="J12" i="6"/>
  <c r="K12" i="6" s="1"/>
  <c r="L12" i="6" s="1"/>
  <c r="M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J13" i="6"/>
  <c r="K13" i="6" s="1"/>
  <c r="L13" i="6" s="1"/>
  <c r="M13" i="6" s="1"/>
  <c r="F28" i="6"/>
  <c r="J9" i="6"/>
  <c r="K9" i="6" s="1"/>
  <c r="L9" i="6" s="1"/>
  <c r="M9" i="6" s="1"/>
  <c r="H8" i="6"/>
  <c r="J7" i="6"/>
  <c r="J17" i="6"/>
  <c r="K17" i="6" s="1"/>
  <c r="L17" i="6" s="1"/>
  <c r="M17" i="6" s="1"/>
  <c r="L5" i="6"/>
  <c r="M5" i="6" s="1"/>
  <c r="G9" i="6"/>
  <c r="H9" i="6" s="1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H17" i="6" s="1"/>
  <c r="J19" i="6"/>
  <c r="K19" i="6" s="1"/>
  <c r="L19" i="6" s="1"/>
  <c r="M19" i="6" s="1"/>
  <c r="N19" i="6" s="1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N9" i="6" l="1"/>
  <c r="N12" i="6"/>
  <c r="N8" i="6"/>
  <c r="M17" i="7"/>
  <c r="M22" i="7"/>
  <c r="M20" i="7"/>
  <c r="I18" i="7"/>
  <c r="K18" i="7" s="1"/>
  <c r="K27" i="7" s="1"/>
  <c r="I27" i="7"/>
  <c r="F32" i="7"/>
  <c r="I11" i="7"/>
  <c r="K11" i="7" s="1"/>
  <c r="M10" i="7"/>
  <c r="N17" i="6"/>
  <c r="H25" i="6"/>
  <c r="N16" i="6"/>
  <c r="G28" i="6"/>
  <c r="H28" i="6" s="1"/>
  <c r="N13" i="6"/>
  <c r="G32" i="7" l="1"/>
  <c r="I32" i="7" s="1"/>
  <c r="A36" i="7" s="1"/>
</calcChain>
</file>

<file path=xl/sharedStrings.xml><?xml version="1.0" encoding="utf-8"?>
<sst xmlns="http://schemas.openxmlformats.org/spreadsheetml/2006/main" count="4405" uniqueCount="830">
  <si>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</si>
  <si>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</si>
  <si>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</si>
  <si>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</si>
  <si>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</si>
  <si>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</si>
  <si>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</si>
  <si>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</si>
  <si>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</si>
  <si>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</si>
  <si>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</si>
  <si>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</si>
  <si>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</si>
  <si>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</si>
  <si>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</si>
  <si>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</si>
  <si>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</si>
  <si>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</si>
  <si>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</si>
  <si>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</si>
  <si>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</si>
  <si>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</si>
  <si>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</si>
  <si>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</si>
  <si>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</si>
  <si>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</si>
  <si>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</si>
  <si>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</si>
  <si>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</si>
  <si>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</si>
  <si>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</si>
  <si>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</si>
  <si>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</si>
  <si>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</si>
  <si>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</si>
  <si>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</si>
  <si>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</si>
  <si>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</si>
  <si>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</si>
  <si>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</si>
  <si>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</si>
  <si>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</si>
  <si>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</si>
  <si>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</si>
  <si>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</si>
  <si>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</si>
  <si>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</si>
  <si>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</si>
  <si>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</si>
  <si>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</si>
  <si>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</si>
  <si>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</si>
  <si>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</si>
  <si>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</si>
  <si>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</si>
  <si>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</si>
  <si>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</si>
  <si>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</si>
  <si>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</si>
  <si>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</si>
  <si>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</si>
  <si>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</si>
  <si>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</si>
  <si>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</si>
  <si>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</si>
  <si>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</si>
  <si>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</si>
  <si>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</si>
  <si>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</si>
  <si>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</si>
  <si>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</si>
  <si>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</si>
  <si>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</si>
  <si>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</si>
  <si>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</si>
  <si>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</si>
  <si>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</si>
  <si>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</si>
  <si>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</si>
  <si>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</si>
  <si>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</si>
  <si>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</si>
  <si>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</si>
  <si>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</si>
  <si>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</si>
  <si>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</si>
  <si>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</si>
  <si>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</si>
  <si>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</si>
  <si>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</si>
  <si>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</si>
  <si>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</si>
  <si>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</si>
  <si>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</si>
  <si>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</si>
  <si>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</si>
  <si>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</si>
  <si>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</si>
  <si>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</si>
  <si>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</si>
  <si>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</si>
  <si>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</si>
  <si>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</si>
  <si>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</si>
  <si>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</si>
  <si>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</si>
  <si>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</si>
  <si>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</si>
  <si>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</si>
  <si>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</si>
  <si>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</si>
  <si>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</si>
  <si>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</si>
  <si>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</si>
  <si>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</si>
  <si>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</si>
  <si>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</si>
  <si>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</si>
  <si>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</si>
  <si>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</si>
  <si>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</si>
  <si>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</si>
  <si>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</si>
  <si>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</si>
  <si>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</si>
  <si>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</si>
  <si>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</si>
  <si>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</si>
  <si>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</si>
  <si>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</si>
  <si>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</si>
  <si>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</si>
  <si>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</si>
  <si>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</si>
  <si>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</si>
  <si>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</si>
  <si>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</si>
  <si>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</si>
  <si>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</si>
  <si>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</si>
  <si>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</si>
  <si>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</si>
  <si>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</si>
  <si>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</si>
  <si>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</si>
  <si>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</si>
  <si>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</si>
  <si>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</si>
  <si>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</si>
  <si>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</si>
  <si>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</si>
  <si>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</si>
  <si>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</si>
  <si>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</si>
  <si>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</si>
  <si>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</si>
  <si>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</si>
  <si>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</si>
  <si>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</si>
  <si>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</si>
  <si>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</si>
  <si>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</si>
  <si>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</si>
  <si>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</si>
  <si>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</si>
  <si>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</si>
  <si>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</si>
  <si>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</si>
  <si>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</si>
  <si>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</si>
  <si>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</si>
  <si>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</si>
  <si>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</si>
  <si>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</si>
  <si>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</si>
  <si>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</si>
  <si>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</si>
  <si>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</si>
  <si>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</si>
  <si>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</si>
  <si>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</si>
  <si>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</si>
  <si>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</si>
  <si>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</si>
  <si>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</si>
  <si>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</si>
  <si>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</si>
  <si>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</si>
  <si>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</si>
  <si>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</si>
  <si>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</si>
  <si>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</si>
  <si>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</si>
  <si>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</si>
  <si>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</si>
  <si>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</si>
  <si>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</si>
  <si>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</si>
  <si>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</si>
  <si>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</si>
  <si>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</si>
  <si>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</si>
  <si>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</si>
  <si>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</si>
  <si>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</si>
  <si>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</si>
  <si>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</si>
  <si>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</si>
  <si>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</si>
  <si>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</si>
  <si>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</si>
  <si>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</si>
  <si>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</si>
  <si>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</si>
  <si>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</si>
  <si>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</si>
  <si>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</si>
  <si>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</si>
  <si>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</si>
  <si>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</si>
  <si>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</si>
  <si>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</si>
  <si>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</si>
  <si>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</si>
  <si>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</si>
  <si>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</si>
  <si>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</si>
  <si>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</si>
  <si>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</si>
  <si>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</si>
  <si>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</si>
  <si>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</si>
  <si>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</si>
  <si>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</si>
  <si>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</si>
  <si>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</si>
  <si>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</si>
  <si>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</si>
  <si>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</si>
  <si>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</si>
  <si>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</si>
  <si>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</si>
  <si>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</si>
  <si>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</si>
  <si>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</si>
  <si>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</si>
  <si>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</si>
  <si>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</si>
  <si>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</si>
  <si>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</si>
  <si>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</si>
  <si>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</si>
  <si>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</si>
  <si>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</si>
  <si>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</si>
  <si>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</si>
  <si>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</si>
  <si>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</si>
  <si>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</si>
  <si>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</si>
  <si>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</si>
  <si>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</si>
  <si>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</si>
  <si>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</si>
  <si>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</si>
  <si>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</si>
  <si>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</si>
  <si>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</si>
  <si>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</si>
  <si>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</si>
  <si>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</si>
  <si>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</si>
  <si>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</si>
  <si>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</si>
  <si>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</si>
  <si>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</si>
  <si>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</si>
  <si>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</si>
  <si>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</si>
  <si>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</si>
  <si>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</si>
  <si>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</si>
  <si>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</si>
  <si>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</si>
  <si>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</si>
  <si>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</si>
  <si>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</si>
  <si>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</si>
  <si>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</si>
  <si>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</si>
  <si>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</si>
  <si>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</si>
  <si>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</si>
  <si>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</si>
  <si>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</si>
  <si>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</si>
  <si>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</si>
  <si>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</si>
  <si>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</si>
  <si>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</si>
  <si>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</si>
  <si>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</si>
  <si>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</si>
  <si>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</si>
  <si>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</si>
  <si>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</si>
  <si>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</si>
  <si>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</si>
  <si>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</si>
  <si>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</si>
  <si>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</si>
  <si>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</si>
  <si>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</si>
  <si>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</si>
  <si>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</si>
  <si>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</si>
  <si>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</si>
  <si>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</si>
  <si>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</si>
  <si>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</si>
  <si>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</si>
  <si>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</si>
  <si>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</si>
  <si>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</si>
  <si>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</si>
  <si>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</si>
  <si>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</si>
  <si>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</si>
  <si>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</si>
  <si>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</si>
  <si>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</si>
  <si>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</si>
  <si>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</si>
  <si>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</si>
  <si>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</si>
  <si>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</si>
  <si>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</si>
  <si>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</si>
  <si>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</si>
  <si>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</si>
  <si>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</si>
  <si>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</si>
  <si>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</si>
  <si>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</si>
  <si>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</si>
  <si>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</si>
  <si>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</si>
  <si>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</si>
  <si>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</si>
  <si>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</si>
  <si>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</si>
  <si>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</si>
  <si>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</si>
  <si>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</si>
  <si>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</si>
  <si>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</si>
  <si>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</si>
  <si>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</si>
  <si>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</si>
  <si>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</si>
  <si>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</si>
  <si>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</si>
  <si>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</si>
  <si>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</si>
  <si>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</si>
  <si>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</si>
  <si>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</si>
  <si>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</si>
  <si>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</si>
  <si>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</si>
  <si>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</si>
  <si>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</si>
  <si>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</si>
  <si>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</si>
  <si>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</si>
  <si>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</si>
  <si>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</si>
  <si>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</si>
  <si>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</si>
  <si>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</si>
  <si>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letzter Kontostand vom Vorjahr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</si>
  <si>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</si>
  <si>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</si>
  <si>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</si>
  <si>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</si>
  <si>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</si>
  <si>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</si>
  <si>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</si>
  <si>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</si>
  <si>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</si>
  <si>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</si>
  <si>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</si>
  <si>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</si>
  <si>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</si>
  <si>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</si>
  <si>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</si>
  <si>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</si>
  <si>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</si>
  <si>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</si>
  <si>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</si>
  <si>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</si>
  <si>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</si>
  <si>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</si>
  <si>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</si>
  <si>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</si>
  <si>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</si>
  <si>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</si>
  <si>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</si>
  <si>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</si>
  <si>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</si>
  <si>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</si>
  <si>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</si>
  <si>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</si>
  <si>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</si>
  <si>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</si>
  <si>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</si>
  <si>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</si>
  <si>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</si>
  <si>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</si>
  <si>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</si>
  <si>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</si>
  <si>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</si>
  <si>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</si>
  <si>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</si>
  <si>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</si>
  <si>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</si>
  <si>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</si>
  <si>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</si>
  <si>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</si>
  <si>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</si>
  <si>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</si>
  <si>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</si>
  <si>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</si>
  <si>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</si>
  <si>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</si>
  <si>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</si>
  <si>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</si>
  <si>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</si>
  <si>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</si>
  <si>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</si>
  <si>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</si>
  <si>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</si>
  <si>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</si>
  <si>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</si>
  <si>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</si>
  <si>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</si>
  <si>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</si>
  <si>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</si>
  <si>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</si>
  <si>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</si>
  <si>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</si>
  <si>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</si>
  <si>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</si>
  <si>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</si>
  <si>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</si>
  <si>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</si>
  <si>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</si>
  <si>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</si>
  <si>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</si>
  <si>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</si>
  <si>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</si>
  <si>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</si>
  <si>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</si>
  <si>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</si>
  <si>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</si>
  <si>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</si>
  <si>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</si>
  <si>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</si>
  <si>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</si>
  <si>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</si>
  <si>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</si>
  <si>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</si>
  <si>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</si>
  <si>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</si>
  <si>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</si>
  <si>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</si>
  <si>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</si>
  <si>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</si>
  <si>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</si>
  <si>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</si>
  <si>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</si>
  <si>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</si>
  <si>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</si>
  <si>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</si>
  <si>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</si>
  <si>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</si>
  <si>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</si>
  <si>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</si>
  <si>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</si>
  <si>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</si>
  <si>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</si>
  <si>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</si>
  <si>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</si>
  <si>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</si>
  <si>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</si>
  <si>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</si>
  <si>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</si>
  <si>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</si>
  <si>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</si>
  <si>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</si>
  <si>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</si>
  <si>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</si>
  <si>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</si>
  <si>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</si>
  <si>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</si>
  <si>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</si>
  <si>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</si>
  <si>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</si>
  <si>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</si>
  <si>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</si>
  <si>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</si>
  <si>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</si>
  <si>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</si>
  <si>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</si>
  <si>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</si>
  <si>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Knut Kotköckel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</si>
  <si>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</si>
  <si>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</si>
  <si>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</si>
  <si>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</si>
  <si>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</si>
  <si>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</si>
  <si>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</si>
  <si>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</si>
  <si>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</si>
  <si>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</si>
  <si>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</si>
  <si>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</si>
  <si>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</si>
  <si>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</si>
  <si>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</si>
  <si>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</si>
  <si>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</si>
  <si>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</si>
  <si>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</si>
  <si>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</si>
  <si>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</si>
  <si>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</si>
  <si>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</si>
  <si>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</si>
  <si>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</si>
  <si>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</si>
  <si>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</si>
  <si>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</si>
  <si>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</si>
  <si>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Tod des Mitglieds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</si>
  <si>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</si>
  <si>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</si>
  <si>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</si>
  <si>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</si>
  <si>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</si>
  <si>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</si>
  <si>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</si>
  <si>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</si>
  <si>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</si>
  <si>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</si>
  <si>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</si>
  <si>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</si>
  <si>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</si>
  <si>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</si>
  <si>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</si>
  <si>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GUTSCHR. UEBERW. DAUERAUFTR</t>
  </si>
  <si>
    <t>Susan Jungnickel</t>
  </si>
  <si>
    <t>DE73100900001897785001</t>
  </si>
  <si>
    <t>ONLINE-UEBERWEISUNG</t>
  </si>
  <si>
    <t>Stadt Werder (Havel)</t>
  </si>
  <si>
    <t>DE50160500003528087535</t>
  </si>
  <si>
    <t>FOLGELASTSCHRIFT</t>
  </si>
  <si>
    <t>WAZV  Werder-Havelland</t>
  </si>
  <si>
    <t>DE14120300000010412443</t>
  </si>
  <si>
    <t>Telekom Deutschland GmbH</t>
  </si>
  <si>
    <t>DE07512108001095000911</t>
  </si>
  <si>
    <t>GUTSCHR. UEBERWEISUNG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</si>
  <si>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</si>
  <si>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</si>
  <si>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</si>
  <si>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</si>
  <si>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</si>
  <si>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VATTENFALL EUROPE SALES                                               AMERIGO-VESPUCCI-PLATZ 2</t>
  </si>
  <si>
    <t>DE93500500000090085135</t>
  </si>
  <si>
    <t>DE58360100430902272431</t>
  </si>
  <si>
    <t>THOMAS LIENERT UND</t>
  </si>
  <si>
    <t>DE54160400000133666800</t>
  </si>
  <si>
    <t>Brigitte Dagmar Ruth Schaling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</si>
  <si>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</si>
  <si>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</si>
  <si>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</si>
  <si>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</si>
  <si>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</si>
  <si>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</si>
  <si>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ECHTZEIT-GUTSCHRIFT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</si>
  <si>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</si>
  <si>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</si>
  <si>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</si>
  <si>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</si>
  <si>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</si>
  <si>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</si>
  <si>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</si>
  <si>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</si>
  <si>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</si>
  <si>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</si>
  <si>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</si>
  <si>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</si>
  <si>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</si>
  <si>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RECHNUNG</t>
  </si>
  <si>
    <t>Thomas Lienert Christine Lienert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</si>
  <si>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</si>
  <si>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</si>
  <si>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</si>
  <si>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</si>
  <si>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</si>
  <si>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</si>
  <si>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Brigitte Dagmar Ruth Schaling                                         Breitkopfstr. 62</t>
  </si>
  <si>
    <t>Johannes Heller</t>
  </si>
  <si>
    <t>DE23200411110643780000</t>
  </si>
  <si>
    <t>ERSTLASTSCHRIFT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</si>
  <si>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</si>
  <si>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</si>
  <si>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</si>
  <si>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</si>
  <si>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</si>
  <si>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VATTENFALL EUROPE SALES                                               Amerigo-Vespucci-Platz 2</t>
  </si>
  <si>
    <t>KARTENZAHLUNG</t>
  </si>
  <si>
    <t>LIDL SAGT DANKE//Werder/DE</t>
  </si>
  <si>
    <t>DE61300500000008000119</t>
  </si>
  <si>
    <t>BARGELDAUSZAHLUNG</t>
  </si>
  <si>
    <t>GA NR00002147 BLZ16050000 0</t>
  </si>
  <si>
    <t>Parzelle 12 Jungnickel/Meyer Seewasser</t>
  </si>
  <si>
    <t>Gebucht</t>
  </si>
  <si>
    <t>Kassenzeichen: 3001839-MSAS250170A.AZ.3001839 DATUM 15.12.2025, 09.47 UHR</t>
  </si>
  <si>
    <t>D5197484 Wasser/Abwasser</t>
  </si>
  <si>
    <t>Festnetz Vertragskonto 5629763010 RG 7898373769/03.12.2025</t>
  </si>
  <si>
    <t>Endabrechnung 2025</t>
  </si>
  <si>
    <t>Abschlag Brauchwasser 2023</t>
  </si>
  <si>
    <t>Brauchwasserversorgung Werder (Havel)  Eigenbetrieb der Stadt Werder</t>
  </si>
  <si>
    <t>RNr. 4005087 RDat. 21.11.2025 KNr. 200383</t>
  </si>
  <si>
    <t>S/836666388256/601313174178 Poststr. 26 a Strom Abschlag</t>
  </si>
  <si>
    <t>MITGLIEDSBEITRAG PARZELLE 9</t>
  </si>
  <si>
    <t>BEITRAGSGEBUHREN</t>
  </si>
  <si>
    <t>Stromvorauszahlungen</t>
  </si>
  <si>
    <t>Brauchwasser Parz. 3</t>
  </si>
  <si>
    <t>Brauchwasser Vorauszahlung</t>
  </si>
  <si>
    <t>mtl. Mitgliedsbeitrag, Parz.3</t>
  </si>
  <si>
    <t>Mitgliedsbeitrag Parzelle 1 Manuel Zur f�r laufenden Monat</t>
  </si>
  <si>
    <t>Parzelle 1 Manuel Zur Seewasserabschlag f�r laufenden Monat</t>
  </si>
  <si>
    <t>parzelle 7 Stiebeler seewasser</t>
  </si>
  <si>
    <t>Mitgliedsbeitrag Parzelle 2 / Juliane+Julian</t>
  </si>
  <si>
    <t>Beitragsgeb�hr P.R.Z 7</t>
  </si>
  <si>
    <t>Vorauszahlung Seewasser</t>
  </si>
  <si>
    <t>Abschlagszahlung Strom</t>
  </si>
  <si>
    <t>BRAUCHWASSER</t>
  </si>
  <si>
    <t>Parzelle 13, Brauchwasser</t>
  </si>
  <si>
    <t>Mitgliedsbeitrag Parzelle 12</t>
  </si>
  <si>
    <t>Parzelle 13 Mitgliedbetrag</t>
  </si>
  <si>
    <t>Entgeltabrechnung siehe Anlage</t>
  </si>
  <si>
    <t>Mitglietsbeitrag K.G.A.</t>
  </si>
  <si>
    <t>MITGLIEDSBEITRAG SASCHA PREUSSLER</t>
  </si>
  <si>
    <t>Seewasser 2023</t>
  </si>
  <si>
    <t>S/836666388256/603013103911 Poststr. 26 a Strom Forderung Verbrauchsabrechn.</t>
  </si>
  <si>
    <t>Festnetz Vertragskonto 5629763010 RG 7882065033/05.11.2025</t>
  </si>
  <si>
    <t>Parzelle 7 strom Voraudzahlung</t>
  </si>
  <si>
    <t>Festnetz Vertragskonto 5629763010 RG 7865708389/07.10.2025</t>
  </si>
  <si>
    <t>Parzelle 2/Strom</t>
  </si>
  <si>
    <t>ABFALLGEB. STZ 1312478 2025185518008 80,11 ,</t>
  </si>
  <si>
    <t>S/836666388256/601112968858 Poststr. 26 a Strom Abschlag</t>
  </si>
  <si>
    <t>Abrechnung 30.09.2025 siehe Anlage</t>
  </si>
  <si>
    <t>Strom Vorauszahlung</t>
  </si>
  <si>
    <t>Strom, Wasser Parz. 3</t>
  </si>
  <si>
    <t>Strom, Pazelle 8</t>
  </si>
  <si>
    <t>Rechnung MittelbrandenburgischeSpark asse Entgelt SparkassenCard f�r 2025/KartNr.******8942 20250926-BB098-00102892411</t>
  </si>
  <si>
    <t>Rechnung MittelbrandenburgischeSpark asse Entgelt SparkassenCard f�r 2025/KartNr.******2660 20250926-BB098-00102892410</t>
  </si>
  <si>
    <t>Strom 09/2025 Parzelle 12</t>
  </si>
  <si>
    <t>Strom (Abschlag)</t>
  </si>
  <si>
    <t>200383 1003490</t>
  </si>
  <si>
    <t>Festnetz Vertragskonto 5629763010 RG 7849380922/04.09.2025</t>
  </si>
  <si>
    <t>75604-847062 DATUM 12.09.2025, 14.57 UHR</t>
  </si>
  <si>
    <t>Strom 2025</t>
  </si>
  <si>
    <t>S/836666388256/604112910877 Poststr. 26 a Strom Abschlag</t>
  </si>
  <si>
    <t>STROM WASSER PARZ</t>
  </si>
  <si>
    <t>Parzelle 1 Manuel Zur Stromabschlag 3 f�r 2024</t>
  </si>
  <si>
    <t>Strom Vorauszahlung Parzelle 13</t>
  </si>
  <si>
    <t>Pacht 2025</t>
  </si>
  <si>
    <t>Festnetz Vertragskonto 5629763010 RG 7833014835/06.08.2025</t>
  </si>
  <si>
    <t>S/836666388256/602312868662 Poststr. 26 a Strom Abschlag</t>
  </si>
  <si>
    <t>Pacht, Parzelle 8</t>
  </si>
  <si>
    <t>Pacht 2025/Parzelle 2</t>
  </si>
  <si>
    <t>Pacht 2024</t>
  </si>
  <si>
    <t>Pacht 2025, Parz. 3</t>
  </si>
  <si>
    <t>Parzelle 1 Manuel Zur Pacht f�r 2025</t>
  </si>
  <si>
    <t>Gartenpacht 2025 Parzelle 12</t>
  </si>
  <si>
    <t>Betriebskosten Nachzahlung DATUM 16.07.2025, 07.19 UHR</t>
  </si>
  <si>
    <t>Festnetz Vertragskonto 5629763010 RG 7816651316/07.07.2025</t>
  </si>
  <si>
    <t>ABFALLGEB. STZ 1312478 2025185518007 80,11 ,</t>
  </si>
  <si>
    <t>Profi-Schutz Haftpflicht-Versicherung 10240612781 BTR. 07/25 431,49. EUR</t>
  </si>
  <si>
    <t>S/836666388256/604712689879 Poststr. 26 a Strom Abschlag</t>
  </si>
  <si>
    <t>Liebe Gabi, bitte ueberweise 46,61 Euro fuer unser Guthaben 2025 auf DE23 2004 1111 0643 7800 00. Liebe Gruesse Johannes Heller</t>
  </si>
  <si>
    <t>406900101 MIETE NK 7.25 1241,00</t>
  </si>
  <si>
    <t>Abrechnung 30.06.2025 siehe Anlage</t>
  </si>
  <si>
    <t>Strom 2. Rate 2025</t>
  </si>
  <si>
    <t>STROM+PACHT PARZ 2025</t>
  </si>
  <si>
    <t>Festnetz Vertragskonto 5629763010 RG 7800220409/05.06.2025</t>
  </si>
  <si>
    <t>Abschlag Strom/Parzelle 2</t>
  </si>
  <si>
    <t>Strom 06/2025 Parzelle 12</t>
  </si>
  <si>
    <t>Abschlag Strom u. Wasser Parz. 3</t>
  </si>
  <si>
    <t>Parzelle 1 Manuel Zur Stromabschlag 2 f�r 2025</t>
  </si>
  <si>
    <t>S/836666388256/612800992375 Poststr. 26 a Strom AUSZAHLUNG GUTHABEN</t>
  </si>
  <si>
    <t>Mitgliedsbeitrag Adam Chcecinski / Katarzyna Sowada-Checinski</t>
  </si>
  <si>
    <t>Festnetz Vertragskonto 5629763010 RG 7783744483/07.05.2025</t>
  </si>
  <si>
    <t>2025-05-08T13:27 Debitk.0 2026-12</t>
  </si>
  <si>
    <t>S/836666388256/604212552629 Poststr. 26 a Strom Abschlag</t>
  </si>
  <si>
    <t>Mitgliedsbeitrag Parzelle 10 Heller</t>
  </si>
  <si>
    <t>Parzelle 10 Heller Seewasserabschlag</t>
  </si>
  <si>
    <t>25.04/12.13UHR GLINDOW</t>
  </si>
  <si>
    <t>ABFALLGEB. STZ 1312478 2025185518006 80,11 ,</t>
  </si>
  <si>
    <t>Festnetz Vertragskonto 5629763010 RG 7767285411/04.04.2025</t>
  </si>
  <si>
    <t>S/836666388256/601512318096 Poststr. 26 a Strom Abschlag</t>
  </si>
  <si>
    <t>Abrechnung 31.03.2025 siehe Anlage</t>
  </si>
  <si>
    <t>Fixkosten Pazelle 8</t>
  </si>
  <si>
    <t>Endabrechnung Parzelle 7 Stiebeler</t>
  </si>
  <si>
    <t>Fixkosten 2024/Parzelle 2</t>
  </si>
  <si>
    <t>Betriebskosten Parz. 3</t>
  </si>
  <si>
    <t>Betriebskosten 2024</t>
  </si>
  <si>
    <t>Strom 1. Rate 2025</t>
  </si>
  <si>
    <t>Endabrechnung 2024 Parzelle 12</t>
  </si>
  <si>
    <t>Festnetz Vertragskonto 5629763010 RG 7750674153/06.03.2025</t>
  </si>
  <si>
    <t>Strom 03/2025 Parzelle 12</t>
  </si>
  <si>
    <t>Fixkosten 2-7 2024 Parzelle 12</t>
  </si>
  <si>
    <t>Strom/Abschlag</t>
  </si>
  <si>
    <t>Abschlag Strom Parzelle 2</t>
  </si>
  <si>
    <t>S/836666388256/602312341190 Poststr. 26 a Strom Abschlag</t>
  </si>
  <si>
    <t>ABFALLGEB. STZ 1312478 2025185518005 80,12 ,</t>
  </si>
  <si>
    <t>1. Strom u. Wasser Abschlag, Parz.3</t>
  </si>
  <si>
    <t>Endabrechnung 2024, Parz. 3</t>
  </si>
  <si>
    <t>Fixkosten Parz 9</t>
  </si>
  <si>
    <t>Endabrechnung Parz 9</t>
  </si>
  <si>
    <t>Betriebskosten 2025</t>
  </si>
  <si>
    <t>Pacht 108, 63Strom120 2-8 fixkosten97,57 Parzelle 7 Stiebeler</t>
  </si>
  <si>
    <t>Parzelle 1 Manuel Zur Betriebskosten f�r 2024 (Fixkosten)</t>
  </si>
  <si>
    <t>Parzelle 1 Manuel Zur Stromabschlag Nr.1 f�r 2024</t>
  </si>
  <si>
    <t>Festnetz Vertragskonto 5629763010 RG 7734406143/06.02.2025</t>
  </si>
  <si>
    <t>Parzelle 1 Manuel Zur Endabrechnung f�r 2024</t>
  </si>
  <si>
    <t>Parzelle 13 Endabrechnung 2024</t>
  </si>
  <si>
    <t>Parzelle 13 Fixkosten 2025</t>
  </si>
  <si>
    <t>Parzelle 13 Pacht 2025</t>
  </si>
  <si>
    <t>S/836666388256/601112126686 Poststr. 26 a Strom Abschlag</t>
  </si>
  <si>
    <t>K.G.A. Endabrechnung 2024</t>
  </si>
  <si>
    <t>Festnetz Vertragskonto 5629763010 RG 7717757261/08.01.2025</t>
  </si>
  <si>
    <t>S/836666388256/603512071074 Poststr. 26 a Strom Abschlag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</si>
  <si>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</si>
  <si>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</si>
  <si>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</si>
  <si>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</si>
  <si>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</si>
  <si>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</si>
  <si>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SHARE-20260110003608-33115_20260110003608-13292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</si>
  <si>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</si>
  <si>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</si>
  <si>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</si>
  <si>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</si>
  <si>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</si>
  <si>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</si>
  <si>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</si>
  <si>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</si>
  <si>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</si>
  <si>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</si>
  <si>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</si>
  <si>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</si>
  <si>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0-Euro-Abschluss automatisch zugeordnet</t>
  </si>
  <si>
    <t>Kategorie Tabelle</t>
  </si>
  <si>
    <t>EntityKey Tabelle (IBAN Zuordnung)</t>
  </si>
  <si>
    <t>Liste Monat/Periode</t>
  </si>
  <si>
    <t>SHARE-20260110003608-45196_20260110003608-13109</t>
  </si>
  <si>
    <t>Lienert, Christine
Lienert, Thomas</t>
  </si>
  <si>
    <t>Brigitte Dagmar Ruth Schaling Breitkopfstr. 62</t>
  </si>
  <si>
    <t>BANK erkannt (IBAN=0 + ABSCHLUSS)</t>
  </si>
  <si>
    <t>BANK erkannt (IBAN=3529000972 + ABSCHLUSS)</t>
  </si>
  <si>
    <t>Haus- und Grundstucksgesellschaft Werder/Havel Gmb...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</si>
  <si>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</si>
  <si>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</si>
  <si>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</si>
  <si>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</si>
  <si>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</si>
  <si>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</si>
  <si>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</si>
  <si>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</si>
  <si>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Bankabschluss / Kontogebühren</t>
  </si>
  <si>
    <t>Automatisch als VERSORGER erkannt (Grundstücks-Miete)</t>
  </si>
  <si>
    <t>13, 14</t>
  </si>
  <si>
    <t>Keine passende Kategorie gefunden (EntityRole: EHEMALIGES MITGLIED)</t>
  </si>
  <si>
    <t>Keine passende Kategorie gefunden (EntityRole: SHOP)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</si>
  <si>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</si>
  <si>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</si>
  <si>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</si>
  <si>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</si>
  <si>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</si>
  <si>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</si>
  <si>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31.07.</t>
  </si>
  <si>
    <t>Soll-Stichtag
(Fix) TT.MM.</t>
  </si>
  <si>
    <t>Säumnis-
Gebuehr</t>
  </si>
  <si>
    <t>Jahresbeitrag 2025</t>
  </si>
  <si>
    <t>Sammelzahlung (mehrere Positionen) Mitglied</t>
  </si>
  <si>
    <t>Q2 2025</t>
  </si>
  <si>
    <t>Q3 2025</t>
  </si>
  <si>
    <t>Q4 2025</t>
  </si>
  <si>
    <t>VERS-20260207234250-50395</t>
  </si>
  <si>
    <t>VERS-20260207234250-42937</t>
  </si>
  <si>
    <t>EX-20260207234316-40998</t>
  </si>
  <si>
    <t>Manuell: EHEMALIGES MITGLIED - Parzelle 10; nicht in Historie; 07.02.2026</t>
  </si>
  <si>
    <t>VERS-20260207234339-49650</t>
  </si>
  <si>
    <t>VERS-20260207234339-51237</t>
  </si>
  <si>
    <t>BANK-20260207234339-35259</t>
  </si>
  <si>
    <t>BANK-20260207234421-75684</t>
  </si>
  <si>
    <t>VERS-20260207234439-62036</t>
  </si>
  <si>
    <t>SHOP-20260207234439-50529</t>
  </si>
  <si>
    <t>VERS-20260207234502-63479</t>
  </si>
  <si>
    <t>VERS-20260207234502-82360</t>
  </si>
  <si>
    <t>SHOP-20260207234543-80559</t>
  </si>
  <si>
    <t>Manuell: SHOP (07.02.2026)</t>
  </si>
  <si>
    <t>VERS-20260207234746-20544</t>
  </si>
  <si>
    <t>2 Kategorien passen:
1) Betriebskosten
2) Fixkosten
Bitte Kategorie manuell wählen und Beträge in Spalten M-Z aufteilen!</t>
  </si>
  <si>
    <t>Keine passende Kategorie gefunden (EntityRole: MITGLIED MIT PACHT)</t>
  </si>
  <si>
    <t>Bitte Auswahl treffen!</t>
  </si>
  <si>
    <t>2 Kategorien passen:
1) Fixkosten
2) Pacht Mitgliederzahlung
Bitte Kategorie manuell wählen und Beträge in Spalten M-Z aufteilen!</t>
  </si>
  <si>
    <t>2 Kategorien passen:
1) Brauchwasser Mitglieder Abschlagszahlung
2) Strom / Wasser Mitglieder Abschlagszahlung
Bitte Kategorie manuell wählen und Beträge in Spalten M-Z aufteilen!</t>
  </si>
  <si>
    <t>Stromabschlagszahlung</t>
  </si>
  <si>
    <t>Strom Abschlagszahlung</t>
  </si>
  <si>
    <t>Strom Wasser Abschlagszahlung</t>
  </si>
  <si>
    <t>Import: 08.02.2026  11:01:34||445 / 445 Datensätze importiert||0 Duplikate erkannt||0 Fehler||--------------------------------------||Import: 08.02.2026  09:59:44||445 / 445 Datensätze importiert||0 Duplikate erkannt||0 Fehler||--------------------------------------||Import: 08.02.2026  02:26:03||445 / 445 Datensätze importiert||0 Duplikate erkannt||0 Fehler||--------------------------------------||Import: 08.02.2026  01:43:09||445 / 445 Datensätze importiert||0 Duplikate erkannt||0 Fehler||--------------------------------------</t>
  </si>
  <si>
    <t>Guthaben Auszahlung</t>
  </si>
  <si>
    <t>Guthaben Erstattung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</si>
</sst>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2" formatCode="#,##0.00\ \€"/>
  </numFmts>
  <fonts count="5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sz val="11"/>
      <color rgb="FF000000"/>
      <name val="Aptos Narrow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 tint="-0.249977111117893"/>
        <bgColor indexed="64"/>
      </patternFill>
    </fill>
  </fills>
  <borders count="10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53" fillId="0" borderId="0" applyNumberFormat="0" applyFill="0" applyBorder="0" applyAlignment="0" applyProtection="0"/>
  </cellStyleXfs>
  <cellXfs count="595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9" xfId="0" applyNumberFormat="1" applyFont="1" applyFill="1" applyBorder="1" applyAlignment="1">
      <alignment horizontal="right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left" vertical="center"/>
    </xf>
    <xf numFmtId="0" fontId="12" fillId="7" borderId="10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165" fontId="5" fillId="5" borderId="16" xfId="0" applyNumberFormat="1" applyFont="1" applyFill="1" applyBorder="1" applyAlignment="1">
      <alignment vertical="center"/>
    </xf>
    <xf numFmtId="165" fontId="5" fillId="5" borderId="17" xfId="0" applyNumberFormat="1" applyFont="1" applyFill="1" applyBorder="1" applyAlignment="1">
      <alignment vertical="center"/>
    </xf>
    <xf numFmtId="165" fontId="5" fillId="5" borderId="18" xfId="0" applyNumberFormat="1" applyFont="1" applyFill="1" applyBorder="1" applyAlignment="1">
      <alignment vertical="center"/>
    </xf>
    <xf numFmtId="0" fontId="16" fillId="5" borderId="19" xfId="0" applyFont="1" applyFill="1" applyBorder="1" applyAlignment="1">
      <alignment vertical="center"/>
    </xf>
    <xf numFmtId="165" fontId="3" fillId="7" borderId="22" xfId="0" applyNumberFormat="1" applyFont="1" applyFill="1" applyBorder="1" applyAlignment="1">
      <alignment vertical="center"/>
    </xf>
    <xf numFmtId="165" fontId="3" fillId="7" borderId="4" xfId="0" applyNumberFormat="1" applyFont="1" applyFill="1" applyBorder="1" applyAlignment="1">
      <alignment vertical="center"/>
    </xf>
    <xf numFmtId="165" fontId="3" fillId="7" borderId="23" xfId="0" applyNumberFormat="1" applyFont="1" applyFill="1" applyBorder="1" applyAlignment="1">
      <alignment vertical="center"/>
    </xf>
    <xf numFmtId="0" fontId="11" fillId="7" borderId="24" xfId="0" applyFont="1" applyFill="1" applyBorder="1" applyAlignment="1">
      <alignment horizontal="center" vertical="center"/>
    </xf>
    <xf numFmtId="165" fontId="0" fillId="0" borderId="27" xfId="0" applyNumberFormat="1" applyBorder="1" applyAlignment="1">
      <alignment vertical="center"/>
    </xf>
    <xf numFmtId="165" fontId="0" fillId="0" borderId="4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0" fontId="17" fillId="7" borderId="24" xfId="0" applyFont="1" applyFill="1" applyBorder="1" applyAlignment="1">
      <alignment vertical="center"/>
    </xf>
    <xf numFmtId="165" fontId="0" fillId="4" borderId="22" xfId="0" applyNumberFormat="1" applyFill="1" applyBorder="1" applyAlignment="1">
      <alignment vertical="center"/>
    </xf>
    <xf numFmtId="165" fontId="0" fillId="4" borderId="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27" xfId="0" applyNumberFormat="1" applyFill="1" applyBorder="1" applyAlignment="1">
      <alignment vertical="center"/>
    </xf>
    <xf numFmtId="165" fontId="0" fillId="0" borderId="22" xfId="0" applyNumberFormat="1" applyBorder="1" applyAlignment="1">
      <alignment vertical="center"/>
    </xf>
    <xf numFmtId="165" fontId="0" fillId="4" borderId="28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0" fontId="17" fillId="7" borderId="30" xfId="0" applyFont="1" applyFill="1" applyBorder="1" applyAlignment="1">
      <alignment vertical="center"/>
    </xf>
    <xf numFmtId="165" fontId="0" fillId="11" borderId="27" xfId="0" applyNumberFormat="1" applyFill="1" applyBorder="1" applyAlignment="1">
      <alignment vertical="center"/>
    </xf>
    <xf numFmtId="165" fontId="0" fillId="11" borderId="28" xfId="0" applyNumberForma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2" fillId="5" borderId="16" xfId="0" applyNumberFormat="1" applyFont="1" applyFill="1" applyBorder="1" applyAlignment="1">
      <alignment vertical="center"/>
    </xf>
    <xf numFmtId="165" fontId="2" fillId="5" borderId="17" xfId="0" applyNumberFormat="1" applyFon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0" fillId="11" borderId="33" xfId="0" applyNumberFormat="1" applyFill="1" applyBorder="1" applyAlignment="1">
      <alignment vertical="center"/>
    </xf>
    <xf numFmtId="165" fontId="0" fillId="11" borderId="34" xfId="0" applyNumberForma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5" fillId="5" borderId="27" xfId="0" applyNumberFormat="1" applyFont="1" applyFill="1" applyBorder="1" applyAlignment="1">
      <alignment vertical="center"/>
    </xf>
    <xf numFmtId="165" fontId="5" fillId="5" borderId="28" xfId="0" applyNumberFormat="1" applyFon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0" fillId="0" borderId="28" xfId="0" applyNumberFormat="1" applyBorder="1" applyAlignment="1">
      <alignment vertical="center"/>
    </xf>
    <xf numFmtId="165" fontId="0" fillId="0" borderId="29" xfId="0" applyNumberFormat="1" applyBorder="1" applyAlignment="1">
      <alignment vertical="center"/>
    </xf>
    <xf numFmtId="0" fontId="17" fillId="7" borderId="36" xfId="0" applyFont="1" applyFill="1" applyBorder="1" applyAlignment="1">
      <alignment vertical="center"/>
    </xf>
    <xf numFmtId="0" fontId="3" fillId="10" borderId="20" xfId="0" applyFont="1" applyFill="1" applyBorder="1" applyAlignment="1">
      <alignment horizontal="center" vertical="center"/>
    </xf>
    <xf numFmtId="0" fontId="12" fillId="12" borderId="17" xfId="0" applyFont="1" applyFill="1" applyBorder="1" applyAlignment="1">
      <alignment vertical="center"/>
    </xf>
    <xf numFmtId="0" fontId="12" fillId="12" borderId="17" xfId="0" applyFont="1" applyFill="1" applyBorder="1" applyAlignment="1">
      <alignment vertical="center" wrapText="1"/>
    </xf>
    <xf numFmtId="0" fontId="12" fillId="12" borderId="18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14" fontId="3" fillId="10" borderId="12" xfId="0" applyNumberFormat="1" applyFont="1" applyFill="1" applyBorder="1" applyAlignment="1">
      <alignment vertical="center"/>
    </xf>
    <xf numFmtId="8" fontId="8" fillId="10" borderId="14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7" xfId="0" applyNumberFormat="1" applyFont="1" applyBorder="1" applyAlignment="1">
      <alignment horizontal="center" vertical="center"/>
    </xf>
    <xf numFmtId="8" fontId="6" fillId="0" borderId="39" xfId="0" applyNumberFormat="1" applyFont="1" applyBorder="1" applyAlignment="1">
      <alignment horizontal="center" vertical="center"/>
    </xf>
    <xf numFmtId="8" fontId="4" fillId="0" borderId="40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8" fontId="4" fillId="0" borderId="7" xfId="0" applyNumberFormat="1" applyFont="1" applyBorder="1" applyAlignment="1">
      <alignment horizontal="center" vertical="center"/>
    </xf>
    <xf numFmtId="8" fontId="4" fillId="0" borderId="39" xfId="0" applyNumberFormat="1" applyFont="1" applyBorder="1" applyAlignment="1">
      <alignment horizontal="center" vertical="center"/>
    </xf>
    <xf numFmtId="8" fontId="5" fillId="0" borderId="34" xfId="0" applyNumberFormat="1" applyFont="1" applyBorder="1" applyAlignment="1">
      <alignment horizontal="right" vertical="center"/>
    </xf>
    <xf numFmtId="8" fontId="0" fillId="0" borderId="31" xfId="0" applyNumberFormat="1" applyBorder="1" applyAlignment="1">
      <alignment horizontal="center" vertical="center"/>
    </xf>
    <xf numFmtId="8" fontId="0" fillId="0" borderId="34" xfId="0" applyNumberFormat="1" applyBorder="1" applyAlignment="1">
      <alignment horizontal="center" vertical="center"/>
    </xf>
    <xf numFmtId="0" fontId="27" fillId="15" borderId="55" xfId="0" applyFont="1" applyFill="1" applyBorder="1" applyAlignment="1">
      <alignment horizontal="center" vertical="center" wrapText="1"/>
    </xf>
    <xf numFmtId="9" fontId="11" fillId="15" borderId="55" xfId="0" applyNumberFormat="1" applyFont="1" applyFill="1" applyBorder="1" applyAlignment="1">
      <alignment horizontal="center" vertical="center" wrapText="1"/>
    </xf>
    <xf numFmtId="0" fontId="11" fillId="16" borderId="58" xfId="0" applyFont="1" applyFill="1" applyBorder="1" applyAlignment="1">
      <alignment horizontal="center" vertical="center" wrapText="1"/>
    </xf>
    <xf numFmtId="0" fontId="11" fillId="16" borderId="58" xfId="0" applyFont="1" applyFill="1" applyBorder="1" applyAlignment="1" applyProtection="1">
      <alignment horizontal="center" vertical="center" wrapText="1"/>
      <protection locked="0"/>
    </xf>
    <xf numFmtId="9" fontId="11" fillId="16" borderId="59" xfId="0" applyNumberFormat="1" applyFont="1" applyFill="1" applyBorder="1" applyAlignment="1">
      <alignment horizontal="center" vertical="center" wrapText="1"/>
    </xf>
    <xf numFmtId="9" fontId="11" fillId="16" borderId="60" xfId="0" applyNumberFormat="1" applyFont="1" applyFill="1" applyBorder="1" applyAlignment="1">
      <alignment horizontal="center" vertical="center"/>
    </xf>
    <xf numFmtId="0" fontId="11" fillId="16" borderId="61" xfId="0" applyFont="1" applyFill="1" applyBorder="1" applyAlignment="1">
      <alignment horizontal="center" vertical="center" wrapText="1"/>
    </xf>
    <xf numFmtId="0" fontId="11" fillId="16" borderId="61" xfId="0" applyFont="1" applyFill="1" applyBorder="1" applyAlignment="1">
      <alignment horizontal="center" vertical="center"/>
    </xf>
    <xf numFmtId="0" fontId="11" fillId="16" borderId="55" xfId="0" applyFont="1" applyFill="1" applyBorder="1" applyAlignment="1">
      <alignment horizontal="center" vertical="center" wrapText="1"/>
    </xf>
    <xf numFmtId="0" fontId="11" fillId="16" borderId="55" xfId="0" applyFont="1" applyFill="1" applyBorder="1" applyAlignment="1">
      <alignment vertical="center"/>
    </xf>
    <xf numFmtId="165" fontId="11" fillId="2" borderId="17" xfId="0" applyNumberFormat="1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8" fontId="28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9" fillId="0" borderId="65" xfId="0" applyFont="1" applyBorder="1" applyAlignment="1">
      <alignment vertical="center" wrapText="1"/>
    </xf>
    <xf numFmtId="8" fontId="30" fillId="0" borderId="12" xfId="0" applyNumberFormat="1" applyFont="1" applyBorder="1" applyAlignment="1">
      <alignment horizontal="right" vertical="center" wrapText="1"/>
    </xf>
    <xf numFmtId="0" fontId="30" fillId="0" borderId="12" xfId="0" applyFont="1" applyBorder="1" applyAlignment="1">
      <alignment horizontal="right" vertical="center" wrapText="1"/>
    </xf>
    <xf numFmtId="0" fontId="30" fillId="0" borderId="12" xfId="0" applyFont="1" applyBorder="1" applyAlignment="1">
      <alignment horizontal="center" vertical="center" wrapText="1"/>
    </xf>
    <xf numFmtId="0" fontId="30" fillId="0" borderId="65" xfId="0" applyFont="1" applyBorder="1" applyAlignment="1">
      <alignment vertical="center" wrapText="1"/>
    </xf>
    <xf numFmtId="49" fontId="30" fillId="0" borderId="12" xfId="0" applyNumberFormat="1" applyFont="1" applyBorder="1" applyAlignment="1">
      <alignment horizontal="right" vertical="center" wrapText="1"/>
    </xf>
    <xf numFmtId="8" fontId="30" fillId="0" borderId="62" xfId="0" applyNumberFormat="1" applyFont="1" applyBorder="1" applyAlignment="1">
      <alignment horizontal="right" vertical="center" wrapText="1"/>
    </xf>
    <xf numFmtId="0" fontId="30" fillId="0" borderId="62" xfId="0" applyFont="1" applyBorder="1" applyAlignment="1">
      <alignment horizontal="right" vertical="center" wrapText="1"/>
    </xf>
    <xf numFmtId="0" fontId="30" fillId="0" borderId="62" xfId="0" applyFont="1" applyBorder="1" applyAlignment="1">
      <alignment horizontal="center" vertical="center" wrapText="1"/>
    </xf>
    <xf numFmtId="0" fontId="30" fillId="0" borderId="66" xfId="0" applyFont="1" applyBorder="1" applyAlignment="1">
      <alignment vertical="center" wrapText="1"/>
    </xf>
    <xf numFmtId="0" fontId="29" fillId="0" borderId="0" xfId="0" applyFont="1" applyAlignment="1">
      <alignment vertical="center" wrapText="1"/>
    </xf>
    <xf numFmtId="8" fontId="30" fillId="0" borderId="0" xfId="0" applyNumberFormat="1" applyFont="1" applyAlignment="1">
      <alignment horizontal="right" vertical="center" wrapText="1"/>
    </xf>
    <xf numFmtId="0" fontId="30" fillId="0" borderId="0" xfId="0" applyFont="1" applyAlignment="1">
      <alignment horizontal="right" vertical="center" wrapText="1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49" fontId="30" fillId="0" borderId="0" xfId="0" applyNumberFormat="1" applyFont="1" applyAlignment="1">
      <alignment horizontal="right" vertical="center" wrapText="1"/>
    </xf>
    <xf numFmtId="0" fontId="6" fillId="0" borderId="55" xfId="0" applyFont="1" applyBorder="1" applyAlignment="1">
      <alignment horizontal="center" vertical="center"/>
    </xf>
    <xf numFmtId="0" fontId="31" fillId="0" borderId="55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55" xfId="0" applyFont="1" applyBorder="1" applyAlignment="1">
      <alignment horizontal="center" vertical="center" wrapText="1"/>
    </xf>
    <xf numFmtId="0" fontId="31" fillId="0" borderId="0" xfId="0" applyFont="1" applyAlignment="1">
      <alignment vertical="center"/>
    </xf>
    <xf numFmtId="0" fontId="32" fillId="0" borderId="0" xfId="0" applyFont="1" applyAlignment="1">
      <alignment horizontal="left" vertical="center"/>
    </xf>
    <xf numFmtId="8" fontId="32" fillId="0" borderId="0" xfId="0" applyNumberFormat="1" applyFont="1" applyAlignment="1">
      <alignment horizontal="left" vertical="center"/>
    </xf>
    <xf numFmtId="0" fontId="32" fillId="0" borderId="0" xfId="0" applyFont="1" applyAlignment="1">
      <alignment horizontal="right" vertical="center"/>
    </xf>
    <xf numFmtId="8" fontId="32" fillId="0" borderId="0" xfId="0" applyNumberFormat="1" applyFont="1" applyAlignment="1">
      <alignment vertical="center"/>
    </xf>
    <xf numFmtId="0" fontId="33" fillId="0" borderId="0" xfId="0" applyFont="1" applyAlignment="1">
      <alignment vertical="center"/>
    </xf>
    <xf numFmtId="8" fontId="33" fillId="0" borderId="0" xfId="0" applyNumberFormat="1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49" fontId="36" fillId="0" borderId="0" xfId="0" applyNumberFormat="1" applyFont="1" applyAlignment="1">
      <alignment horizontal="center" vertical="center"/>
    </xf>
    <xf numFmtId="8" fontId="36" fillId="0" borderId="0" xfId="0" applyNumberFormat="1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8" fontId="37" fillId="0" borderId="0" xfId="0" applyNumberFormat="1" applyFont="1" applyAlignment="1">
      <alignment vertical="center"/>
    </xf>
    <xf numFmtId="8" fontId="38" fillId="0" borderId="0" xfId="0" applyNumberFormat="1" applyFont="1" applyAlignment="1">
      <alignment vertical="center"/>
    </xf>
    <xf numFmtId="2" fontId="32" fillId="0" borderId="0" xfId="0" applyNumberFormat="1" applyFont="1" applyAlignment="1">
      <alignment vertical="center"/>
    </xf>
    <xf numFmtId="164" fontId="34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0" fontId="3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8" fontId="32" fillId="0" borderId="66" xfId="0" applyNumberFormat="1" applyFont="1" applyBorder="1" applyAlignment="1">
      <alignment vertical="center"/>
    </xf>
    <xf numFmtId="0" fontId="32" fillId="0" borderId="66" xfId="0" applyFont="1" applyBorder="1" applyAlignment="1">
      <alignment vertical="center"/>
    </xf>
    <xf numFmtId="0" fontId="35" fillId="0" borderId="66" xfId="0" applyFont="1" applyBorder="1" applyAlignment="1">
      <alignment vertical="center"/>
    </xf>
    <xf numFmtId="0" fontId="32" fillId="0" borderId="64" xfId="0" applyFont="1" applyBorder="1" applyAlignment="1">
      <alignment vertical="center"/>
    </xf>
    <xf numFmtId="165" fontId="35" fillId="0" borderId="66" xfId="0" applyNumberFormat="1" applyFont="1" applyBorder="1" applyAlignment="1">
      <alignment vertical="center"/>
    </xf>
    <xf numFmtId="165" fontId="38" fillId="0" borderId="66" xfId="0" applyNumberFormat="1" applyFont="1" applyBorder="1" applyAlignment="1">
      <alignment vertical="center"/>
    </xf>
    <xf numFmtId="8" fontId="32" fillId="0" borderId="65" xfId="0" applyNumberFormat="1" applyFont="1" applyBorder="1" applyAlignment="1">
      <alignment vertical="center"/>
    </xf>
    <xf numFmtId="165" fontId="32" fillId="0" borderId="13" xfId="0" applyNumberFormat="1" applyFont="1" applyBorder="1" applyAlignment="1">
      <alignment vertical="center"/>
    </xf>
    <xf numFmtId="165" fontId="32" fillId="0" borderId="67" xfId="0" applyNumberFormat="1" applyFont="1" applyBorder="1" applyAlignment="1">
      <alignment vertical="center"/>
    </xf>
    <xf numFmtId="0" fontId="32" fillId="0" borderId="65" xfId="0" applyFont="1" applyBorder="1" applyAlignment="1">
      <alignment vertical="center"/>
    </xf>
    <xf numFmtId="165" fontId="32" fillId="0" borderId="66" xfId="0" applyNumberFormat="1" applyFont="1" applyBorder="1" applyAlignment="1">
      <alignment vertical="center"/>
    </xf>
    <xf numFmtId="165" fontId="32" fillId="0" borderId="65" xfId="0" applyNumberFormat="1" applyFont="1" applyBorder="1" applyAlignment="1">
      <alignment vertical="center"/>
    </xf>
    <xf numFmtId="165" fontId="32" fillId="0" borderId="64" xfId="0" applyNumberFormat="1" applyFont="1" applyBorder="1" applyAlignment="1">
      <alignment vertical="center"/>
    </xf>
    <xf numFmtId="8" fontId="32" fillId="0" borderId="10" xfId="0" applyNumberFormat="1" applyFont="1" applyBorder="1" applyAlignment="1">
      <alignment vertical="center"/>
    </xf>
    <xf numFmtId="165" fontId="32" fillId="0" borderId="10" xfId="0" applyNumberFormat="1" applyFont="1" applyBorder="1" applyAlignment="1">
      <alignment vertical="center"/>
    </xf>
    <xf numFmtId="165" fontId="32" fillId="0" borderId="69" xfId="0" applyNumberFormat="1" applyFont="1" applyBorder="1" applyAlignment="1">
      <alignment vertical="center"/>
    </xf>
    <xf numFmtId="165" fontId="32" fillId="0" borderId="70" xfId="0" applyNumberFormat="1" applyFont="1" applyBorder="1" applyAlignment="1">
      <alignment vertical="center"/>
    </xf>
    <xf numFmtId="0" fontId="31" fillId="0" borderId="70" xfId="0" applyFont="1" applyBorder="1" applyAlignment="1">
      <alignment vertical="center"/>
    </xf>
    <xf numFmtId="8" fontId="32" fillId="0" borderId="71" xfId="0" applyNumberFormat="1" applyFont="1" applyBorder="1" applyAlignment="1">
      <alignment vertical="center"/>
    </xf>
    <xf numFmtId="165" fontId="32" fillId="0" borderId="72" xfId="0" applyNumberFormat="1" applyFont="1" applyBorder="1" applyAlignment="1">
      <alignment vertical="center"/>
    </xf>
    <xf numFmtId="165" fontId="32" fillId="0" borderId="73" xfId="0" applyNumberFormat="1" applyFont="1" applyBorder="1" applyAlignment="1">
      <alignment vertical="center"/>
    </xf>
    <xf numFmtId="165" fontId="32" fillId="0" borderId="74" xfId="0" applyNumberFormat="1" applyFont="1" applyBorder="1" applyAlignment="1">
      <alignment vertical="center"/>
    </xf>
    <xf numFmtId="0" fontId="31" fillId="0" borderId="73" xfId="0" applyFont="1" applyBorder="1" applyAlignment="1">
      <alignment vertical="center"/>
    </xf>
    <xf numFmtId="0" fontId="32" fillId="0" borderId="15" xfId="0" applyFont="1" applyBorder="1" applyAlignment="1">
      <alignment vertical="center"/>
    </xf>
    <xf numFmtId="165" fontId="32" fillId="0" borderId="75" xfId="0" applyNumberFormat="1" applyFont="1" applyBorder="1" applyAlignment="1">
      <alignment vertical="center"/>
    </xf>
    <xf numFmtId="0" fontId="32" fillId="0" borderId="75" xfId="0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44" fillId="10" borderId="66" xfId="0" applyNumberFormat="1" applyFont="1" applyFill="1" applyBorder="1" applyAlignment="1">
      <alignment horizontal="center" vertical="center"/>
    </xf>
    <xf numFmtId="165" fontId="44" fillId="19" borderId="66" xfId="0" applyNumberFormat="1" applyFont="1" applyFill="1" applyBorder="1" applyAlignment="1">
      <alignment horizontal="center" vertical="center"/>
    </xf>
    <xf numFmtId="0" fontId="44" fillId="19" borderId="66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3" fillId="2" borderId="85" xfId="0" applyFont="1" applyFill="1" applyBorder="1" applyAlignment="1">
      <alignment horizontal="center" vertical="center" wrapText="1"/>
    </xf>
    <xf numFmtId="9" fontId="3" fillId="2" borderId="85" xfId="0" applyNumberFormat="1" applyFont="1" applyFill="1" applyBorder="1" applyAlignment="1">
      <alignment horizontal="center" vertical="center" wrapText="1"/>
    </xf>
    <xf numFmtId="165" fontId="11" fillId="17" borderId="85" xfId="0" applyNumberFormat="1" applyFont="1" applyFill="1" applyBorder="1" applyAlignment="1" applyProtection="1">
      <alignment horizontal="center" vertical="center"/>
      <protection locked="0"/>
    </xf>
    <xf numFmtId="165" fontId="11" fillId="2" borderId="85" xfId="0" applyNumberFormat="1" applyFont="1" applyFill="1" applyBorder="1" applyAlignment="1">
      <alignment horizontal="center" vertical="center"/>
    </xf>
    <xf numFmtId="166" fontId="11" fillId="17" borderId="85" xfId="0" applyNumberFormat="1" applyFont="1" applyFill="1" applyBorder="1" applyAlignment="1" applyProtection="1">
      <alignment horizontal="center" vertical="center"/>
      <protection locked="0"/>
    </xf>
    <xf numFmtId="0" fontId="11" fillId="2" borderId="85" xfId="0" applyFont="1" applyFill="1" applyBorder="1" applyAlignment="1">
      <alignment horizontal="center" vertical="center" wrapText="1"/>
    </xf>
    <xf numFmtId="0" fontId="11" fillId="2" borderId="85" xfId="0" applyFont="1" applyFill="1" applyBorder="1" applyAlignment="1">
      <alignment horizontal="center" vertical="center"/>
    </xf>
    <xf numFmtId="9" fontId="11" fillId="7" borderId="85" xfId="0" applyNumberFormat="1" applyFont="1" applyFill="1" applyBorder="1" applyAlignment="1" applyProtection="1">
      <alignment horizontal="center" vertical="center"/>
      <protection locked="0"/>
    </xf>
    <xf numFmtId="3" fontId="0" fillId="7" borderId="85" xfId="0" applyNumberFormat="1" applyFill="1" applyBorder="1" applyAlignment="1" applyProtection="1">
      <alignment horizontal="center" vertical="center"/>
      <protection locked="0"/>
    </xf>
    <xf numFmtId="8" fontId="5" fillId="0" borderId="79" xfId="0" applyNumberFormat="1" applyFont="1" applyBorder="1" applyAlignment="1">
      <alignment horizontal="right" vertical="center"/>
    </xf>
    <xf numFmtId="0" fontId="3" fillId="2" borderId="85" xfId="0" applyFont="1" applyFill="1" applyBorder="1" applyAlignment="1">
      <alignment horizontal="left" vertical="center" wrapText="1"/>
    </xf>
    <xf numFmtId="8" fontId="6" fillId="0" borderId="86" xfId="0" applyNumberFormat="1" applyFont="1" applyBorder="1" applyAlignment="1">
      <alignment horizontal="center" vertical="center"/>
    </xf>
    <xf numFmtId="8" fontId="0" fillId="0" borderId="84" xfId="0" applyNumberFormat="1" applyBorder="1" applyAlignment="1">
      <alignment horizontal="center" vertical="center"/>
    </xf>
    <xf numFmtId="8" fontId="0" fillId="0" borderId="85" xfId="0" applyNumberFormat="1" applyBorder="1" applyAlignment="1">
      <alignment horizontal="center" vertical="center"/>
    </xf>
    <xf numFmtId="8" fontId="5" fillId="0" borderId="85" xfId="0" applyNumberFormat="1" applyFont="1" applyBorder="1" applyAlignment="1">
      <alignment horizontal="right" vertical="center"/>
    </xf>
    <xf numFmtId="0" fontId="0" fillId="7" borderId="85" xfId="0" applyFill="1" applyBorder="1" applyAlignment="1" applyProtection="1">
      <alignment horizontal="left" vertical="center"/>
      <protection locked="0"/>
    </xf>
    <xf numFmtId="0" fontId="0" fillId="0" borderId="85" xfId="0" applyBorder="1" applyAlignment="1">
      <alignment horizontal="center" vertical="center"/>
    </xf>
    <xf numFmtId="3" fontId="6" fillId="0" borderId="85" xfId="0" applyNumberFormat="1" applyFont="1" applyBorder="1" applyAlignment="1">
      <alignment horizontal="center" vertical="center"/>
    </xf>
    <xf numFmtId="0" fontId="5" fillId="0" borderId="85" xfId="0" applyFont="1" applyBorder="1" applyAlignment="1">
      <alignment horizontal="right" vertical="center"/>
    </xf>
    <xf numFmtId="3" fontId="5" fillId="0" borderId="85" xfId="0" applyNumberFormat="1" applyFont="1" applyBorder="1" applyAlignment="1">
      <alignment horizontal="center" vertical="center"/>
    </xf>
    <xf numFmtId="8" fontId="4" fillId="0" borderId="86" xfId="0" applyNumberFormat="1" applyFont="1" applyBorder="1" applyAlignment="1">
      <alignment horizontal="center" vertical="center"/>
    </xf>
    <xf numFmtId="0" fontId="4" fillId="0" borderId="86" xfId="0" applyFont="1" applyBorder="1" applyAlignment="1" applyProtection="1">
      <alignment horizontal="center" vertical="center"/>
      <protection locked="0"/>
    </xf>
    <xf numFmtId="8" fontId="6" fillId="0" borderId="86" xfId="0" applyNumberFormat="1" applyFont="1" applyBorder="1" applyAlignment="1" applyProtection="1">
      <alignment horizontal="center" vertical="center"/>
      <protection locked="0"/>
    </xf>
    <xf numFmtId="3" fontId="4" fillId="0" borderId="85" xfId="0" applyNumberFormat="1" applyFont="1" applyBorder="1" applyAlignment="1" applyProtection="1">
      <alignment horizontal="center" vertical="center"/>
      <protection locked="0"/>
    </xf>
    <xf numFmtId="8" fontId="5" fillId="0" borderId="85" xfId="0" applyNumberFormat="1" applyFont="1" applyBorder="1" applyAlignment="1">
      <alignment horizontal="center" vertical="center"/>
    </xf>
    <xf numFmtId="8" fontId="2" fillId="0" borderId="85" xfId="0" applyNumberFormat="1" applyFont="1" applyBorder="1" applyAlignment="1">
      <alignment horizontal="center" vertical="center"/>
    </xf>
    <xf numFmtId="8" fontId="6" fillId="0" borderId="85" xfId="0" applyNumberFormat="1" applyFont="1" applyBorder="1" applyAlignment="1">
      <alignment horizontal="center" vertical="center"/>
    </xf>
    <xf numFmtId="0" fontId="3" fillId="2" borderId="85" xfId="0" applyFont="1" applyFill="1" applyBorder="1" applyAlignment="1">
      <alignment horizontal="center" vertical="center"/>
    </xf>
    <xf numFmtId="165" fontId="3" fillId="19" borderId="85" xfId="0" applyNumberFormat="1" applyFont="1" applyFill="1" applyBorder="1" applyAlignment="1" applyProtection="1">
      <alignment horizontal="center" vertical="center"/>
      <protection locked="0"/>
    </xf>
    <xf numFmtId="165" fontId="3" fillId="2" borderId="85" xfId="0" applyNumberFormat="1" applyFont="1" applyFill="1" applyBorder="1" applyAlignment="1">
      <alignment horizontal="center" vertical="center"/>
    </xf>
    <xf numFmtId="9" fontId="3" fillId="19" borderId="85" xfId="0" applyNumberFormat="1" applyFont="1" applyFill="1" applyBorder="1" applyAlignment="1">
      <alignment horizontal="center" vertical="center"/>
    </xf>
    <xf numFmtId="8" fontId="6" fillId="0" borderId="54" xfId="0" applyNumberFormat="1" applyFont="1" applyBorder="1" applyAlignment="1">
      <alignment horizontal="center" vertical="center" shrinkToFit="1"/>
    </xf>
    <xf numFmtId="8" fontId="4" fillId="0" borderId="53" xfId="0" applyNumberFormat="1" applyFont="1" applyBorder="1" applyAlignment="1">
      <alignment horizontal="center" vertical="center" shrinkToFit="1"/>
    </xf>
    <xf numFmtId="8" fontId="6" fillId="0" borderId="52" xfId="0" applyNumberFormat="1" applyFont="1" applyBorder="1" applyAlignment="1">
      <alignment horizontal="center" vertical="center" shrinkToFit="1"/>
    </xf>
    <xf numFmtId="0" fontId="1" fillId="0" borderId="51" xfId="0" applyFont="1" applyBorder="1" applyAlignment="1" applyProtection="1">
      <alignment horizontal="center" vertical="center" shrinkToFit="1"/>
      <protection locked="0"/>
    </xf>
    <xf numFmtId="8" fontId="6" fillId="0" borderId="86" xfId="0" applyNumberFormat="1" applyFont="1" applyBorder="1" applyAlignment="1">
      <alignment horizontal="center" vertical="center" shrinkToFit="1"/>
    </xf>
    <xf numFmtId="8" fontId="4" fillId="0" borderId="40" xfId="0" applyNumberFormat="1" applyFont="1" applyBorder="1" applyAlignment="1">
      <alignment horizontal="center" vertical="center" shrinkToFit="1"/>
    </xf>
    <xf numFmtId="8" fontId="6" fillId="0" borderId="39" xfId="0" applyNumberFormat="1" applyFont="1" applyBorder="1" applyAlignment="1">
      <alignment horizontal="center" vertical="center" shrinkToFit="1"/>
    </xf>
    <xf numFmtId="0" fontId="1" fillId="0" borderId="48" xfId="0" applyFont="1" applyBorder="1" applyAlignment="1" applyProtection="1">
      <alignment horizontal="center" vertical="center" shrinkToFit="1"/>
      <protection locked="0"/>
    </xf>
    <xf numFmtId="0" fontId="1" fillId="0" borderId="45" xfId="0" applyFont="1" applyBorder="1" applyAlignment="1" applyProtection="1">
      <alignment horizontal="center" vertical="center" shrinkToFit="1"/>
      <protection locked="0"/>
    </xf>
    <xf numFmtId="8" fontId="6" fillId="0" borderId="7" xfId="0" applyNumberFormat="1" applyFont="1" applyBorder="1" applyAlignment="1">
      <alignment horizontal="center" vertical="center" shrinkToFit="1"/>
    </xf>
    <xf numFmtId="0" fontId="3" fillId="2" borderId="34" xfId="0" applyFont="1" applyFill="1" applyBorder="1" applyAlignment="1">
      <alignment horizontal="left" vertical="center" wrapText="1"/>
    </xf>
    <xf numFmtId="0" fontId="32" fillId="20" borderId="66" xfId="0" applyFont="1" applyFill="1" applyBorder="1" applyAlignment="1" applyProtection="1">
      <alignment vertical="center"/>
      <protection locked="0"/>
    </xf>
    <xf numFmtId="3" fontId="0" fillId="20" borderId="85" xfId="0" applyNumberFormat="1" applyFill="1" applyBorder="1" applyAlignment="1" applyProtection="1">
      <alignment horizontal="center" vertical="center" shrinkToFit="1"/>
      <protection locked="0"/>
    </xf>
    <xf numFmtId="3" fontId="0" fillId="20" borderId="85" xfId="0" applyNumberFormat="1" applyFill="1" applyBorder="1" applyAlignment="1" applyProtection="1">
      <alignment horizontal="center" vertical="center"/>
      <protection locked="0"/>
    </xf>
    <xf numFmtId="169" fontId="6" fillId="0" borderId="79" xfId="0" applyNumberFormat="1" applyFont="1" applyBorder="1" applyAlignment="1">
      <alignment horizontal="center" vertical="center" shrinkToFit="1"/>
    </xf>
    <xf numFmtId="169" fontId="0" fillId="14" borderId="85" xfId="0" applyNumberFormat="1" applyFill="1" applyBorder="1" applyAlignment="1">
      <alignment horizontal="center" vertical="center"/>
    </xf>
    <xf numFmtId="169" fontId="32" fillId="0" borderId="66" xfId="0" applyNumberFormat="1" applyFont="1" applyBorder="1" applyAlignment="1">
      <alignment vertical="center"/>
    </xf>
    <xf numFmtId="0" fontId="3" fillId="7" borderId="85" xfId="0" applyFont="1" applyFill="1" applyBorder="1" applyAlignment="1" applyProtection="1">
      <alignment horizontal="left" vertical="center" wrapText="1"/>
      <protection locked="0"/>
    </xf>
    <xf numFmtId="169" fontId="45" fillId="0" borderId="85" xfId="0" applyNumberFormat="1" applyFont="1" applyBorder="1" applyAlignment="1">
      <alignment horizontal="center" vertical="center" shrinkToFit="1"/>
    </xf>
    <xf numFmtId="0" fontId="3" fillId="21" borderId="85" xfId="0" applyFont="1" applyFill="1" applyBorder="1" applyAlignment="1">
      <alignment horizontal="left" vertical="center" wrapText="1"/>
    </xf>
    <xf numFmtId="0" fontId="25" fillId="0" borderId="34" xfId="0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left" vertical="center" wrapText="1"/>
      <protection locked="0"/>
    </xf>
    <xf numFmtId="8" fontId="25" fillId="0" borderId="85" xfId="0" applyNumberFormat="1" applyFont="1" applyBorder="1" applyAlignment="1" applyProtection="1">
      <alignment horizontal="left" vertical="center" wrapText="1"/>
      <protection locked="0"/>
    </xf>
    <xf numFmtId="0" fontId="46" fillId="0" borderId="85" xfId="0" applyFont="1" applyBorder="1" applyAlignment="1" applyProtection="1">
      <alignment horizontal="left" vertical="center" wrapText="1"/>
      <protection locked="0"/>
    </xf>
    <xf numFmtId="168" fontId="47" fillId="0" borderId="85" xfId="0" applyNumberFormat="1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center" vertical="center"/>
      <protection locked="0"/>
    </xf>
    <xf numFmtId="0" fontId="7" fillId="22" borderId="0" xfId="0" applyFont="1" applyFill="1" applyAlignment="1">
      <alignment horizontal="center" vertical="center"/>
    </xf>
    <xf numFmtId="0" fontId="48" fillId="21" borderId="85" xfId="0" applyFont="1" applyFill="1" applyBorder="1" applyAlignment="1">
      <alignment vertical="center" wrapText="1"/>
    </xf>
    <xf numFmtId="0" fontId="32" fillId="0" borderId="13" xfId="0" applyFont="1" applyBorder="1" applyAlignment="1">
      <alignment vertical="center"/>
    </xf>
    <xf numFmtId="165" fontId="32" fillId="0" borderId="85" xfId="0" applyNumberFormat="1" applyFont="1" applyBorder="1" applyAlignment="1">
      <alignment vertical="center" shrinkToFit="1"/>
    </xf>
    <xf numFmtId="165" fontId="32" fillId="0" borderId="85" xfId="0" applyNumberFormat="1" applyFont="1" applyBorder="1" applyAlignment="1">
      <alignment horizontal="center" vertical="center" shrinkToFit="1"/>
    </xf>
    <xf numFmtId="165" fontId="32" fillId="0" borderId="85" xfId="0" applyNumberFormat="1" applyFont="1" applyBorder="1" applyAlignment="1">
      <alignment vertical="center"/>
    </xf>
    <xf numFmtId="165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165" fontId="32" fillId="0" borderId="79" xfId="0" applyNumberFormat="1" applyFont="1" applyBorder="1" applyAlignment="1">
      <alignment vertical="center" shrinkToFit="1"/>
    </xf>
    <xf numFmtId="165" fontId="32" fillId="0" borderId="79" xfId="0" applyNumberFormat="1" applyFont="1" applyBorder="1" applyAlignment="1">
      <alignment horizontal="center" vertical="center" shrinkToFit="1"/>
    </xf>
    <xf numFmtId="165" fontId="32" fillId="0" borderId="79" xfId="0" applyNumberFormat="1" applyFont="1" applyBorder="1" applyAlignment="1">
      <alignment vertical="center"/>
    </xf>
    <xf numFmtId="165" fontId="32" fillId="0" borderId="79" xfId="0" applyNumberFormat="1" applyFont="1" applyBorder="1" applyAlignment="1">
      <alignment horizontal="center" vertical="center"/>
    </xf>
    <xf numFmtId="8" fontId="32" fillId="0" borderId="79" xfId="0" applyNumberFormat="1" applyFont="1" applyBorder="1" applyAlignment="1">
      <alignment horizontal="center" vertical="center"/>
    </xf>
    <xf numFmtId="0" fontId="31" fillId="0" borderId="87" xfId="0" applyFont="1" applyBorder="1" applyAlignment="1">
      <alignment vertical="center" wrapText="1"/>
    </xf>
    <xf numFmtId="0" fontId="31" fillId="0" borderId="88" xfId="0" applyFont="1" applyBorder="1" applyAlignment="1">
      <alignment horizontal="center" vertical="center" shrinkToFit="1"/>
    </xf>
    <xf numFmtId="0" fontId="31" fillId="0" borderId="88" xfId="0" applyFont="1" applyBorder="1" applyAlignment="1">
      <alignment vertical="center" shrinkToFit="1"/>
    </xf>
    <xf numFmtId="0" fontId="31" fillId="0" borderId="88" xfId="0" applyFont="1" applyBorder="1" applyAlignment="1">
      <alignment vertical="center" wrapText="1"/>
    </xf>
    <xf numFmtId="9" fontId="31" fillId="0" borderId="88" xfId="0" applyNumberFormat="1" applyFont="1" applyBorder="1" applyAlignment="1">
      <alignment horizontal="center" vertical="center" shrinkToFit="1"/>
    </xf>
    <xf numFmtId="0" fontId="31" fillId="0" borderId="88" xfId="0" applyFont="1" applyBorder="1" applyAlignment="1">
      <alignment horizontal="center" vertical="center" wrapText="1"/>
    </xf>
    <xf numFmtId="0" fontId="31" fillId="0" borderId="89" xfId="0" applyFont="1" applyBorder="1" applyAlignment="1">
      <alignment horizontal="center" vertical="center" wrapText="1"/>
    </xf>
    <xf numFmtId="165" fontId="32" fillId="0" borderId="56" xfId="0" applyNumberFormat="1" applyFont="1" applyBorder="1" applyAlignment="1">
      <alignment horizontal="center" vertical="center"/>
    </xf>
    <xf numFmtId="165" fontId="32" fillId="0" borderId="49" xfId="0" applyNumberFormat="1" applyFont="1" applyBorder="1" applyAlignment="1">
      <alignment horizontal="center" vertical="center"/>
    </xf>
    <xf numFmtId="0" fontId="32" fillId="0" borderId="49" xfId="0" applyFont="1" applyBorder="1" applyAlignment="1">
      <alignment vertical="center"/>
    </xf>
    <xf numFmtId="3" fontId="32" fillId="20" borderId="79" xfId="0" applyNumberFormat="1" applyFont="1" applyFill="1" applyBorder="1" applyAlignment="1" applyProtection="1">
      <alignment vertical="center" shrinkToFit="1"/>
      <protection locked="0"/>
    </xf>
    <xf numFmtId="3" fontId="32" fillId="20" borderId="85" xfId="0" applyNumberFormat="1" applyFont="1" applyFill="1" applyBorder="1" applyAlignment="1" applyProtection="1">
      <alignment vertical="center" shrinkToFit="1"/>
      <protection locked="0"/>
    </xf>
    <xf numFmtId="169" fontId="31" fillId="0" borderId="79" xfId="0" applyNumberFormat="1" applyFont="1" applyBorder="1" applyAlignment="1">
      <alignment vertical="center" shrinkToFit="1"/>
    </xf>
    <xf numFmtId="169" fontId="31" fillId="0" borderId="85" xfId="0" applyNumberFormat="1" applyFont="1" applyBorder="1" applyAlignment="1">
      <alignment vertical="center" shrinkToFit="1"/>
    </xf>
    <xf numFmtId="0" fontId="48" fillId="21" borderId="79" xfId="0" applyFont="1" applyFill="1" applyBorder="1" applyAlignment="1">
      <alignment horizontal="left" vertical="center" wrapText="1"/>
    </xf>
    <xf numFmtId="0" fontId="48" fillId="21" borderId="85" xfId="0" applyFont="1" applyFill="1" applyBorder="1" applyAlignment="1">
      <alignment horizontal="left" vertical="center" wrapText="1"/>
    </xf>
    <xf numFmtId="0" fontId="32" fillId="0" borderId="79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vertical="center"/>
      <protection locked="0"/>
    </xf>
    <xf numFmtId="0" fontId="32" fillId="0" borderId="65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vertical="center"/>
      <protection locked="0"/>
    </xf>
    <xf numFmtId="0" fontId="31" fillId="0" borderId="73" xfId="0" applyFont="1" applyBorder="1" applyAlignment="1" applyProtection="1">
      <alignment vertical="center"/>
      <protection locked="0"/>
    </xf>
    <xf numFmtId="0" fontId="31" fillId="0" borderId="70" xfId="0" applyFont="1" applyBorder="1" applyAlignment="1" applyProtection="1">
      <alignment vertical="center"/>
      <protection locked="0"/>
    </xf>
    <xf numFmtId="0" fontId="32" fillId="0" borderId="67" xfId="0" applyFont="1" applyBorder="1" applyAlignment="1" applyProtection="1">
      <alignment vertical="center"/>
      <protection locked="0"/>
    </xf>
    <xf numFmtId="0" fontId="35" fillId="0" borderId="66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horizontal="center" vertical="center" wrapText="1"/>
      <protection locked="0"/>
    </xf>
    <xf numFmtId="0" fontId="32" fillId="0" borderId="73" xfId="0" applyFont="1" applyBorder="1" applyAlignment="1" applyProtection="1">
      <alignment horizontal="center" vertical="center" wrapText="1"/>
      <protection locked="0"/>
    </xf>
    <xf numFmtId="0" fontId="32" fillId="0" borderId="70" xfId="0" applyFont="1" applyBorder="1" applyAlignment="1" applyProtection="1">
      <alignment vertical="center"/>
      <protection locked="0"/>
    </xf>
    <xf numFmtId="0" fontId="32" fillId="0" borderId="66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65" fontId="11" fillId="18" borderId="85" xfId="0" applyNumberFormat="1" applyFont="1" applyFill="1" applyBorder="1" applyAlignment="1" applyProtection="1">
      <alignment horizontal="center" vertical="center"/>
    </xf>
    <xf numFmtId="167" fontId="11" fillId="18" borderId="85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165" fontId="11" fillId="10" borderId="9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4" xfId="0" applyNumberFormat="1" applyFont="1" applyFill="1" applyBorder="1" applyAlignment="1" applyProtection="1">
      <alignment horizontal="right" vertical="center"/>
      <protection locked="0"/>
    </xf>
    <xf numFmtId="8" fontId="8" fillId="10" borderId="12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0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2" fillId="0" borderId="66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94" xfId="0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14" fontId="25" fillId="0" borderId="0" xfId="0" applyNumberFormat="1" applyFont="1" applyAlignment="1">
      <alignment horizontal="left" vertical="center"/>
    </xf>
    <xf numFmtId="0" fontId="27" fillId="4" borderId="92" xfId="0" applyFont="1" applyFill="1" applyBorder="1" applyAlignment="1">
      <alignment horizontal="center" vertical="center" wrapText="1"/>
    </xf>
    <xf numFmtId="0" fontId="27" fillId="4" borderId="92" xfId="0" applyFont="1" applyFill="1" applyBorder="1" applyAlignment="1">
      <alignment vertical="center"/>
    </xf>
    <xf numFmtId="0" fontId="27" fillId="4" borderId="93" xfId="0" applyFont="1" applyFill="1" applyBorder="1" applyAlignment="1">
      <alignment vertical="center"/>
    </xf>
    <xf numFmtId="0" fontId="27" fillId="4" borderId="91" xfId="0" applyFont="1" applyFill="1" applyBorder="1" applyAlignment="1">
      <alignment vertical="center"/>
    </xf>
    <xf numFmtId="0" fontId="0" fillId="0" borderId="94" xfId="0" applyFill="1" applyBorder="1" applyAlignment="1" applyProtection="1">
      <alignment horizontal="center" vertical="center"/>
      <protection hidden="1"/>
    </xf>
    <xf numFmtId="0" fontId="0" fillId="0" borderId="94" xfId="0" applyFill="1" applyBorder="1" applyAlignment="1" applyProtection="1">
      <alignment horizontal="center" vertical="center"/>
      <protection locked="0"/>
    </xf>
    <xf numFmtId="0" fontId="0" fillId="0" borderId="94" xfId="0" applyFill="1" applyBorder="1" applyAlignment="1" applyProtection="1">
      <alignment vertical="center"/>
      <protection locked="0"/>
    </xf>
    <xf numFmtId="170" fontId="0" fillId="0" borderId="94" xfId="0" applyNumberFormat="1" applyFill="1" applyBorder="1" applyAlignment="1" applyProtection="1">
      <alignment vertical="center"/>
      <protection locked="0"/>
    </xf>
    <xf numFmtId="0" fontId="0" fillId="23" borderId="94" xfId="0" applyFill="1" applyBorder="1" applyAlignment="1">
      <alignment horizontal="center" vertical="center"/>
    </xf>
    <xf numFmtId="0" fontId="0" fillId="0" borderId="94" xfId="0" applyFill="1" applyBorder="1" applyAlignment="1">
      <alignment horizontal="left" vertical="center"/>
    </xf>
    <xf numFmtId="0" fontId="0" fillId="23" borderId="94" xfId="0" applyFill="1" applyBorder="1" applyAlignment="1">
      <alignment vertical="center"/>
    </xf>
    <xf numFmtId="0" fontId="0" fillId="23" borderId="94" xfId="0" applyFill="1" applyBorder="1" applyAlignment="1">
      <alignment horizontal="left" vertical="center"/>
    </xf>
    <xf numFmtId="0" fontId="0" fillId="23" borderId="94" xfId="0" applyFill="1" applyBorder="1" applyAlignment="1" applyProtection="1">
      <alignment horizontal="center" vertical="center"/>
      <protection locked="0"/>
    </xf>
    <xf numFmtId="49" fontId="52" fillId="0" borderId="0" xfId="0" applyNumberFormat="1" applyFont="1" applyAlignment="1">
      <alignment vertical="center"/>
    </xf>
    <xf numFmtId="0" fontId="0" fillId="23" borderId="94" xfId="0" applyFill="1" applyBorder="1" applyAlignment="1" applyProtection="1">
      <alignment horizontal="center" vertical="center"/>
      <protection hidden="1"/>
    </xf>
    <xf numFmtId="0" fontId="0" fillId="23" borderId="94" xfId="0" applyFill="1" applyBorder="1" applyAlignment="1" applyProtection="1">
      <alignment vertical="center"/>
      <protection locked="0"/>
    </xf>
    <xf numFmtId="170" fontId="0" fillId="23" borderId="94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94" xfId="0" applyNumberFormat="1" applyFill="1" applyBorder="1" applyAlignment="1">
      <alignment vertical="center"/>
    </xf>
    <xf numFmtId="170" fontId="0" fillId="23" borderId="94" xfId="0" applyNumberFormat="1" applyFill="1" applyBorder="1" applyAlignment="1">
      <alignment vertical="center"/>
    </xf>
    <xf numFmtId="170" fontId="0" fillId="0" borderId="94" xfId="0" applyNumberFormat="1" applyFill="1" applyBorder="1" applyAlignment="1">
      <alignment horizontal="left" vertical="center"/>
    </xf>
    <xf numFmtId="170" fontId="0" fillId="23" borderId="94" xfId="0" applyNumberFormat="1" applyFill="1" applyBorder="1" applyAlignment="1">
      <alignment horizontal="left" vertical="center"/>
    </xf>
    <xf numFmtId="49" fontId="0" fillId="23" borderId="94" xfId="0" applyNumberFormat="1" applyFill="1" applyBorder="1" applyAlignment="1" applyProtection="1">
      <alignment vertical="center"/>
      <protection locked="0"/>
    </xf>
    <xf numFmtId="49" fontId="0" fillId="0" borderId="94" xfId="0" applyNumberFormat="1" applyFill="1" applyBorder="1" applyAlignment="1" applyProtection="1">
      <alignment vertical="center"/>
      <protection locked="0"/>
    </xf>
    <xf numFmtId="0" fontId="27" fillId="4" borderId="94" xfId="0" applyFon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left" vertical="center"/>
    </xf>
    <xf numFmtId="171" fontId="0" fillId="0" borderId="94" xfId="0" applyNumberFormat="1" applyFill="1" applyBorder="1" applyAlignment="1">
      <alignment horizontal="center" vertical="center"/>
    </xf>
    <xf numFmtId="171" fontId="0" fillId="23" borderId="94" xfId="0" applyNumberForma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right" vertical="center"/>
    </xf>
    <xf numFmtId="171" fontId="0" fillId="0" borderId="94" xfId="0" applyNumberFormat="1" applyFill="1" applyBorder="1" applyAlignment="1">
      <alignment horizontal="right" vertical="center"/>
    </xf>
    <xf numFmtId="171" fontId="0" fillId="23" borderId="94" xfId="0" applyNumberFormat="1" applyFill="1" applyBorder="1" applyAlignment="1">
      <alignment horizontal="right" vertical="center"/>
    </xf>
    <xf numFmtId="0" fontId="53" fillId="23" borderId="94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2" borderId="92" xfId="0" applyFont="1" applyFill="1" applyBorder="1" applyAlignment="1">
      <alignment horizontal="left" vertical="center"/>
    </xf>
    <xf numFmtId="0" fontId="6" fillId="22" borderId="92" xfId="0" applyFont="1" applyFill="1" applyBorder="1" applyAlignment="1">
      <alignment vertical="center"/>
    </xf>
    <xf numFmtId="0" fontId="6" fillId="3" borderId="92" xfId="0" applyFont="1" applyFill="1" applyBorder="1" applyAlignment="1">
      <alignment vertical="center" wrapText="1"/>
    </xf>
    <xf numFmtId="0" fontId="6" fillId="2" borderId="92" xfId="0" applyFont="1" applyFill="1" applyBorder="1" applyAlignment="1">
      <alignment vertical="center" wrapText="1"/>
    </xf>
    <xf numFmtId="0" fontId="6" fillId="2" borderId="91" xfId="0" applyFont="1" applyFill="1" applyBorder="1" applyAlignment="1">
      <alignment vertical="center" wrapText="1"/>
    </xf>
    <xf numFmtId="0" fontId="26" fillId="0" borderId="0" xfId="0" applyFont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10" xfId="0" applyFont="1" applyFill="1" applyBorder="1" applyAlignment="1">
      <alignment vertical="center"/>
    </xf>
    <xf numFmtId="165" fontId="12" fillId="7" borderId="10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2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57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12" fillId="0" borderId="50" xfId="0" applyFont="1" applyBorder="1" applyAlignment="1">
      <alignment vertical="center"/>
    </xf>
    <xf numFmtId="165" fontId="0" fillId="0" borderId="49" xfId="0" applyNumberFormat="1" applyBorder="1" applyAlignment="1">
      <alignment vertical="center"/>
    </xf>
    <xf numFmtId="0" fontId="12" fillId="0" borderId="44" xfId="0" applyFont="1" applyBorder="1" applyAlignment="1">
      <alignment vertical="center"/>
    </xf>
    <xf numFmtId="165" fontId="0" fillId="0" borderId="43" xfId="0" applyNumberFormat="1" applyBorder="1" applyAlignment="1">
      <alignment vertical="center"/>
    </xf>
    <xf numFmtId="0" fontId="24" fillId="0" borderId="47" xfId="0" applyFont="1" applyBorder="1" applyAlignment="1">
      <alignment vertical="center"/>
    </xf>
    <xf numFmtId="165" fontId="0" fillId="0" borderId="46" xfId="0" applyNumberFormat="1" applyBorder="1" applyAlignment="1">
      <alignment vertical="center"/>
    </xf>
    <xf numFmtId="0" fontId="22" fillId="0" borderId="42" xfId="0" applyFont="1" applyBorder="1" applyAlignment="1">
      <alignment vertical="center"/>
    </xf>
    <xf numFmtId="165" fontId="0" fillId="0" borderId="41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3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8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8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40" fillId="0" borderId="85" xfId="0" applyFont="1" applyBorder="1" applyAlignment="1">
      <alignment vertical="center"/>
    </xf>
    <xf numFmtId="0" fontId="41" fillId="0" borderId="85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165" fontId="33" fillId="0" borderId="85" xfId="0" applyNumberFormat="1" applyFont="1" applyBorder="1" applyAlignment="1">
      <alignment vertical="center"/>
    </xf>
    <xf numFmtId="0" fontId="41" fillId="0" borderId="85" xfId="0" applyFont="1" applyBorder="1" applyAlignment="1">
      <alignment horizontal="left" vertical="center"/>
    </xf>
    <xf numFmtId="0" fontId="33" fillId="0" borderId="85" xfId="0" applyFont="1" applyBorder="1" applyAlignment="1">
      <alignment horizontal="left" vertical="center"/>
    </xf>
    <xf numFmtId="0" fontId="42" fillId="0" borderId="85" xfId="0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42" fillId="0" borderId="17" xfId="0" applyFont="1" applyBorder="1" applyAlignment="1">
      <alignment vertical="center"/>
    </xf>
    <xf numFmtId="0" fontId="42" fillId="0" borderId="17" xfId="0" applyFont="1" applyBorder="1" applyAlignment="1">
      <alignment horizontal="center" vertical="center"/>
    </xf>
    <xf numFmtId="0" fontId="42" fillId="0" borderId="79" xfId="0" applyFont="1" applyBorder="1" applyAlignment="1">
      <alignment vertical="center"/>
    </xf>
    <xf numFmtId="0" fontId="43" fillId="0" borderId="79" xfId="0" applyFont="1" applyBorder="1" applyAlignment="1">
      <alignment horizontal="center" vertical="center"/>
    </xf>
    <xf numFmtId="165" fontId="32" fillId="0" borderId="17" xfId="0" applyNumberFormat="1" applyFont="1" applyBorder="1" applyAlignment="1">
      <alignment horizontal="center" vertical="center"/>
    </xf>
    <xf numFmtId="0" fontId="41" fillId="0" borderId="17" xfId="0" applyFont="1" applyBorder="1" applyAlignment="1">
      <alignment vertical="center"/>
    </xf>
    <xf numFmtId="165" fontId="35" fillId="0" borderId="79" xfId="0" applyNumberFormat="1" applyFont="1" applyBorder="1" applyAlignment="1">
      <alignment horizontal="center" vertical="center"/>
    </xf>
    <xf numFmtId="0" fontId="44" fillId="0" borderId="79" xfId="0" applyFont="1" applyBorder="1" applyAlignment="1">
      <alignment vertical="center"/>
    </xf>
    <xf numFmtId="165" fontId="33" fillId="0" borderId="76" xfId="0" applyNumberFormat="1" applyFont="1" applyBorder="1" applyAlignment="1">
      <alignment vertical="center"/>
    </xf>
    <xf numFmtId="0" fontId="41" fillId="0" borderId="76" xfId="0" applyFont="1" applyBorder="1" applyAlignment="1">
      <alignment horizontal="left" vertical="center"/>
    </xf>
    <xf numFmtId="0" fontId="33" fillId="0" borderId="76" xfId="0" applyFont="1" applyBorder="1" applyAlignment="1">
      <alignment horizontal="left" vertical="center"/>
    </xf>
    <xf numFmtId="165" fontId="33" fillId="0" borderId="77" xfId="0" applyNumberFormat="1" applyFont="1" applyBorder="1" applyAlignment="1">
      <alignment vertical="center"/>
    </xf>
    <xf numFmtId="0" fontId="44" fillId="0" borderId="77" xfId="0" applyFont="1" applyBorder="1" applyAlignment="1">
      <alignment vertical="center"/>
    </xf>
    <xf numFmtId="0" fontId="33" fillId="0" borderId="77" xfId="0" applyFont="1" applyBorder="1" applyAlignment="1">
      <alignment vertical="center"/>
    </xf>
    <xf numFmtId="165" fontId="33" fillId="0" borderId="79" xfId="0" applyNumberFormat="1" applyFont="1" applyBorder="1" applyAlignment="1">
      <alignment vertical="center"/>
    </xf>
    <xf numFmtId="0" fontId="41" fillId="0" borderId="79" xfId="0" applyFont="1" applyBorder="1" applyAlignment="1">
      <alignment vertical="center"/>
    </xf>
    <xf numFmtId="0" fontId="33" fillId="0" borderId="79" xfId="0" applyFont="1" applyBorder="1" applyAlignment="1">
      <alignment vertical="center"/>
    </xf>
    <xf numFmtId="165" fontId="40" fillId="0" borderId="76" xfId="0" applyNumberFormat="1" applyFont="1" applyBorder="1" applyAlignment="1">
      <alignment vertical="center"/>
    </xf>
    <xf numFmtId="0" fontId="33" fillId="0" borderId="76" xfId="0" applyFont="1" applyBorder="1" applyAlignment="1">
      <alignment vertical="center"/>
    </xf>
    <xf numFmtId="0" fontId="41" fillId="0" borderId="83" xfId="0" applyFont="1" applyBorder="1" applyAlignment="1">
      <alignment vertical="center"/>
    </xf>
    <xf numFmtId="0" fontId="42" fillId="0" borderId="2" xfId="0" applyFont="1" applyBorder="1" applyAlignment="1">
      <alignment vertical="center"/>
    </xf>
    <xf numFmtId="0" fontId="22" fillId="0" borderId="2" xfId="0" applyFont="1" applyBorder="1" applyAlignment="1">
      <alignment vertical="center"/>
    </xf>
    <xf numFmtId="8" fontId="22" fillId="0" borderId="2" xfId="0" applyNumberFormat="1" applyFont="1" applyBorder="1" applyAlignment="1">
      <alignment vertical="center"/>
    </xf>
    <xf numFmtId="8" fontId="22" fillId="0" borderId="81" xfId="0" applyNumberFormat="1" applyFont="1" applyBorder="1" applyAlignment="1">
      <alignment vertical="center"/>
    </xf>
    <xf numFmtId="0" fontId="0" fillId="0" borderId="8" xfId="0" applyBorder="1" applyAlignment="1">
      <alignment vertical="center"/>
    </xf>
    <xf numFmtId="165" fontId="22" fillId="0" borderId="78" xfId="0" applyNumberFormat="1" applyFont="1" applyBorder="1" applyAlignment="1">
      <alignment vertical="center"/>
    </xf>
    <xf numFmtId="165" fontId="0" fillId="0" borderId="83" xfId="0" applyNumberFormat="1" applyBorder="1" applyAlignment="1">
      <alignment vertical="center"/>
    </xf>
    <xf numFmtId="0" fontId="0" fillId="0" borderId="81" xfId="0" applyBorder="1" applyAlignment="1">
      <alignment vertical="center"/>
    </xf>
    <xf numFmtId="165" fontId="18" fillId="0" borderId="68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80" xfId="0" applyNumberFormat="1" applyFont="1" applyBorder="1" applyAlignment="1">
      <alignment vertical="center"/>
    </xf>
    <xf numFmtId="0" fontId="0" fillId="0" borderId="78" xfId="0" applyBorder="1" applyAlignment="1">
      <alignment vertical="center"/>
    </xf>
    <xf numFmtId="165" fontId="21" fillId="0" borderId="0" xfId="0" applyNumberFormat="1" applyFont="1" applyAlignment="1">
      <alignment vertical="center"/>
    </xf>
    <xf numFmtId="0" fontId="0" fillId="0" borderId="55" xfId="0" applyBorder="1" applyAlignment="1">
      <alignment vertical="center"/>
    </xf>
    <xf numFmtId="0" fontId="0" fillId="0" borderId="55" xfId="0" applyBorder="1" applyAlignment="1">
      <alignment horizontal="right" vertical="center"/>
    </xf>
    <xf numFmtId="165" fontId="0" fillId="0" borderId="55" xfId="0" applyNumberFormat="1" applyBorder="1" applyAlignment="1">
      <alignment vertical="center"/>
    </xf>
    <xf numFmtId="9" fontId="0" fillId="0" borderId="55" xfId="0" applyNumberFormat="1" applyBorder="1" applyAlignment="1">
      <alignment horizontal="center" vertical="center"/>
    </xf>
    <xf numFmtId="9" fontId="0" fillId="0" borderId="55" xfId="0" applyNumberFormat="1" applyBorder="1" applyAlignment="1">
      <alignment vertical="center"/>
    </xf>
    <xf numFmtId="0" fontId="0" fillId="0" borderId="79" xfId="0" applyBorder="1" applyAlignment="1">
      <alignment vertical="center"/>
    </xf>
    <xf numFmtId="0" fontId="0" fillId="0" borderId="25" xfId="0" applyBorder="1" applyAlignment="1">
      <alignment horizontal="right" vertical="center"/>
    </xf>
    <xf numFmtId="165" fontId="0" fillId="0" borderId="79" xfId="0" applyNumberFormat="1" applyBorder="1" applyAlignment="1">
      <alignment vertical="center"/>
    </xf>
    <xf numFmtId="9" fontId="0" fillId="0" borderId="79" xfId="0" applyNumberFormat="1" applyBorder="1" applyAlignment="1">
      <alignment vertical="center"/>
    </xf>
    <xf numFmtId="165" fontId="5" fillId="0" borderId="79" xfId="0" applyNumberFormat="1" applyFont="1" applyBorder="1" applyAlignment="1">
      <alignment vertical="center"/>
    </xf>
    <xf numFmtId="165" fontId="0" fillId="0" borderId="84" xfId="0" applyNumberFormat="1" applyBorder="1" applyAlignment="1">
      <alignment vertical="center"/>
    </xf>
    <xf numFmtId="165" fontId="0" fillId="0" borderId="85" xfId="0" applyNumberFormat="1" applyBorder="1" applyAlignment="1">
      <alignment vertical="center"/>
    </xf>
    <xf numFmtId="0" fontId="0" fillId="0" borderId="79" xfId="0" applyBorder="1" applyAlignment="1">
      <alignment horizontal="right" vertical="center"/>
    </xf>
    <xf numFmtId="0" fontId="0" fillId="0" borderId="82" xfId="0" applyBorder="1" applyAlignment="1">
      <alignment vertical="center"/>
    </xf>
    <xf numFmtId="165" fontId="0" fillId="0" borderId="82" xfId="0" applyNumberFormat="1" applyBorder="1" applyAlignment="1">
      <alignment vertical="center"/>
    </xf>
    <xf numFmtId="0" fontId="3" fillId="0" borderId="55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23" borderId="9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3" borderId="90" xfId="0" applyFill="1" applyBorder="1" applyAlignment="1" applyProtection="1">
      <alignment horizontal="center" vertical="center"/>
      <protection locked="0"/>
    </xf>
    <xf numFmtId="172" fontId="0" fillId="0" borderId="90" xfId="0" applyNumberFormat="1" applyFill="1" applyBorder="1" applyAlignment="1">
      <alignment vertical="center"/>
    </xf>
    <xf numFmtId="172" fontId="0" fillId="23" borderId="90" xfId="0" applyNumberFormat="1" applyFill="1" applyBorder="1" applyAlignment="1">
      <alignment vertical="center"/>
    </xf>
    <xf numFmtId="0" fontId="0" fillId="23" borderId="90" xfId="0" applyFill="1" applyBorder="1" applyAlignment="1" applyProtection="1">
      <alignment horizontal="left" vertical="center" wrapText="1"/>
      <protection locked="0"/>
    </xf>
    <xf numFmtId="0" fontId="54" fillId="25" borderId="90" xfId="0" applyFont="1" applyFill="1" applyBorder="1" applyAlignment="1" applyProtection="1">
      <alignment horizontal="left" vertical="center"/>
      <protection locked="0"/>
    </xf>
    <xf numFmtId="0" fontId="2" fillId="26" borderId="90" xfId="0" applyFont="1" applyFill="1" applyBorder="1" applyAlignment="1" applyProtection="1">
      <alignment horizontal="left" vertical="center"/>
      <protection locked="0"/>
    </xf>
    <xf numFmtId="0" fontId="0" fillId="23" borderId="90" xfId="0" applyFill="1" applyBorder="1" applyAlignment="1" applyProtection="1">
      <alignment horizontal="left" vertical="center"/>
    </xf>
    <xf numFmtId="0" fontId="0" fillId="29" borderId="90" xfId="0" applyFill="1" applyBorder="1" applyAlignment="1" applyProtection="1">
      <alignment horizontal="left" vertical="center"/>
    </xf>
    <xf numFmtId="0" fontId="43" fillId="27" borderId="91" xfId="0" applyFont="1" applyFill="1" applyBorder="1" applyAlignment="1">
      <alignment horizontal="left" vertical="center" wrapText="1"/>
    </xf>
    <xf numFmtId="0" fontId="43" fillId="27" borderId="91" xfId="0" applyFont="1" applyFill="1" applyBorder="1" applyAlignment="1">
      <alignment horizontal="center" vertical="center" wrapText="1"/>
    </xf>
    <xf numFmtId="0" fontId="43" fillId="27" borderId="91" xfId="0" applyFont="1" applyFill="1" applyBorder="1" applyAlignment="1">
      <alignment horizontal="left" vertical="center"/>
    </xf>
    <xf numFmtId="49" fontId="43" fillId="27" borderId="91" xfId="0" applyNumberFormat="1" applyFont="1" applyFill="1" applyBorder="1" applyAlignment="1">
      <alignment horizontal="left" vertical="center"/>
    </xf>
    <xf numFmtId="0" fontId="43" fillId="27" borderId="91" xfId="0" applyFont="1" applyFill="1" applyBorder="1" applyAlignment="1">
      <alignment horizontal="center" vertical="center"/>
    </xf>
    <xf numFmtId="0" fontId="0" fillId="29" borderId="94" xfId="0" applyFill="1" applyBorder="1" applyAlignment="1">
      <alignment horizontal="center" vertical="center"/>
    </xf>
    <xf numFmtId="0" fontId="45" fillId="27" borderId="91" xfId="0" applyFont="1" applyFill="1" applyBorder="1" applyAlignment="1">
      <alignment horizontal="center" vertical="center" wrapText="1"/>
    </xf>
    <xf numFmtId="0" fontId="0" fillId="29" borderId="94" xfId="0" applyFill="1" applyBorder="1" applyAlignment="1">
      <alignment vertical="center"/>
    </xf>
    <xf numFmtId="0" fontId="0" fillId="29" borderId="95" xfId="0" applyFill="1" applyBorder="1" applyAlignment="1">
      <alignment vertical="center"/>
    </xf>
    <xf numFmtId="0" fontId="0" fillId="29" borderId="95" xfId="0" applyFill="1" applyBorder="1" applyAlignment="1">
      <alignment horizontal="center" vertical="center"/>
    </xf>
    <xf numFmtId="0" fontId="0" fillId="23" borderId="95" xfId="0" applyFill="1" applyBorder="1" applyAlignment="1">
      <alignment horizontal="center" vertical="center"/>
    </xf>
    <xf numFmtId="0" fontId="0" fillId="23" borderId="95" xfId="0" applyFill="1" applyBorder="1" applyAlignment="1">
      <alignment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9" borderId="94" xfId="0" applyFont="1" applyFill="1" applyBorder="1" applyAlignment="1" applyProtection="1">
      <alignment horizontal="left" vertical="center"/>
      <protection locked="0"/>
    </xf>
    <xf numFmtId="0" fontId="0" fillId="23" borderId="94" xfId="0" applyFont="1" applyFill="1" applyBorder="1" applyAlignment="1" applyProtection="1">
      <alignment horizontal="left" vertical="center"/>
      <protection locked="0"/>
    </xf>
    <xf numFmtId="0" fontId="0" fillId="29" borderId="94" xfId="0" applyFont="1" applyFill="1" applyBorder="1" applyAlignment="1" applyProtection="1">
      <alignment horizontal="center" vertical="center"/>
      <protection locked="0"/>
    </xf>
    <xf numFmtId="0" fontId="0" fillId="23" borderId="94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9" borderId="90" xfId="0" applyFill="1" applyBorder="1" applyAlignment="1" applyProtection="1">
      <alignment horizontal="left" vertical="center"/>
      <protection locked="0"/>
    </xf>
    <xf numFmtId="0" fontId="0" fillId="29" borderId="90" xfId="0" applyFill="1" applyBorder="1" applyAlignment="1" applyProtection="1">
      <alignment horizontal="center" vertical="center"/>
      <protection locked="0"/>
    </xf>
    <xf numFmtId="0" fontId="0" fillId="29" borderId="90" xfId="0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 vertical="center"/>
    </xf>
    <xf numFmtId="0" fontId="0" fillId="29" borderId="95" xfId="0" applyFill="1" applyBorder="1" applyAlignment="1" applyProtection="1">
      <alignment vertical="center"/>
      <protection locked="0"/>
    </xf>
    <xf numFmtId="0" fontId="0" fillId="23" borderId="95" xfId="0" applyFill="1" applyBorder="1" applyAlignment="1" applyProtection="1">
      <alignment vertical="center"/>
      <protection locked="0"/>
    </xf>
    <xf numFmtId="0" fontId="0" fillId="29" borderId="94" xfId="0" applyFill="1" applyBorder="1" applyAlignment="1" applyProtection="1">
      <alignment vertical="center"/>
      <protection locked="0"/>
    </xf>
    <xf numFmtId="0" fontId="0" fillId="22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7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84" xfId="0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0" fillId="30" borderId="90" xfId="0" applyFill="1" applyBorder="1" applyAlignment="1" applyProtection="1">
      <alignment horizontal="left" vertical="center"/>
      <protection locked="0"/>
    </xf>
    <xf numFmtId="0" fontId="0" fillId="30" borderId="90" xfId="0" applyFill="1" applyBorder="1" applyAlignment="1" applyProtection="1">
      <alignment horizontal="center" vertical="center" wrapText="1"/>
    </xf>
    <xf numFmtId="0" fontId="0" fillId="30" borderId="90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>
      <alignment vertical="center"/>
    </xf>
    <xf numFmtId="0" fontId="0" fillId="0" borderId="90" xfId="0" applyFill="1" applyBorder="1" applyAlignment="1">
      <alignment vertical="center"/>
    </xf>
    <xf numFmtId="0" fontId="0" fillId="23" borderId="90" xfId="0" applyFill="1" applyBorder="1" applyAlignment="1">
      <alignment vertical="center"/>
    </xf>
    <xf numFmtId="170" fontId="0" fillId="0" borderId="90" xfId="0" applyNumberFormat="1" applyFill="1" applyBorder="1" applyAlignment="1">
      <alignment horizontal="left" vertical="center"/>
    </xf>
    <xf numFmtId="0" fontId="0" fillId="0" borderId="90" xfId="0" applyFill="1" applyBorder="1" applyAlignment="1">
      <alignment horizontal="left" vertical="center"/>
    </xf>
    <xf numFmtId="170" fontId="0" fillId="23" borderId="90" xfId="0" applyNumberFormat="1" applyFill="1" applyBorder="1" applyAlignment="1">
      <alignment horizontal="left" vertical="center"/>
    </xf>
    <xf numFmtId="0" fontId="0" fillId="23" borderId="90" xfId="0" applyFill="1" applyBorder="1" applyAlignment="1">
      <alignment horizontal="left" vertical="center"/>
    </xf>
    <xf numFmtId="0" fontId="54" fillId="24" borderId="90" xfId="0" applyFont="1" applyFill="1" applyBorder="1" applyAlignment="1">
      <alignment horizontal="left" vertical="center"/>
    </xf>
    <xf numFmtId="0" fontId="0" fillId="31" borderId="90" xfId="0" applyFill="1" applyBorder="1" applyAlignment="1" applyProtection="1">
      <alignment horizontal="left" vertical="center" wrapText="1"/>
      <protection locked="0"/>
    </xf>
    <xf numFmtId="0" fontId="0" fillId="31" borderId="90" xfId="0" applyFill="1" applyBorder="1" applyAlignment="1" applyProtection="1">
      <alignment horizontal="center" vertical="center" wrapText="1"/>
      <protection locked="0"/>
    </xf>
    <xf numFmtId="0" fontId="0" fillId="31" borderId="90" xfId="0" applyFill="1" applyBorder="1" applyAlignment="1" applyProtection="1">
      <alignment horizontal="left" vertical="center"/>
      <protection locked="0"/>
    </xf>
    <xf numFmtId="0" fontId="0" fillId="0" borderId="90" xfId="0" applyFill="1" applyBorder="1" applyAlignment="1">
      <alignment vertical="center" wrapText="1"/>
    </xf>
    <xf numFmtId="0" fontId="0" fillId="23" borderId="90" xfId="0" applyFill="1" applyBorder="1" applyAlignment="1">
      <alignment vertical="center" wrapText="1"/>
    </xf>
    <xf numFmtId="49" fontId="0" fillId="0" borderId="0" xfId="0" applyNumberFormat="1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left" vertical="center" wrapText="1"/>
      <protection locked="0"/>
    </xf>
    <xf numFmtId="0" fontId="0" fillId="29" borderId="96" xfId="0" applyFill="1" applyBorder="1" applyAlignment="1" applyProtection="1">
      <alignment vertical="center"/>
      <protection locked="0"/>
    </xf>
    <xf numFmtId="0" fontId="0" fillId="23" borderId="96" xfId="0" applyFill="1" applyBorder="1" applyAlignment="1" applyProtection="1">
      <alignment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</xf>
    <xf numFmtId="1" fontId="0" fillId="0" borderId="0" xfId="0" applyNumberFormat="1" applyFill="1" applyBorder="1" applyAlignment="1" applyProtection="1">
      <alignment horizontal="center" vertical="center"/>
    </xf>
    <xf numFmtId="49" fontId="0" fillId="0" borderId="0" xfId="0" applyNumberFormat="1" applyFill="1" applyBorder="1" applyAlignment="1" applyProtection="1">
      <alignment horizontal="center" vertical="center"/>
    </xf>
    <xf numFmtId="0" fontId="45" fillId="32" borderId="97" xfId="0" applyFont="1" applyFill="1" applyBorder="1" applyAlignment="1" applyProtection="1">
      <alignment horizontal="center" vertical="center" wrapText="1"/>
    </xf>
    <xf numFmtId="0" fontId="45" fillId="32" borderId="98" xfId="0" applyFont="1" applyFill="1" applyBorder="1" applyAlignment="1" applyProtection="1">
      <alignment horizontal="center" vertical="center" wrapText="1"/>
    </xf>
    <xf numFmtId="0" fontId="45" fillId="32" borderId="99" xfId="0" applyFont="1" applyFill="1" applyBorder="1" applyAlignment="1" applyProtection="1">
      <alignment horizontal="center" vertical="center" wrapText="1"/>
    </xf>
    <xf numFmtId="172" fontId="0" fillId="29" borderId="90" xfId="0" applyNumberFormat="1" applyFill="1" applyBorder="1" applyAlignment="1" applyProtection="1">
      <alignment horizontal="right" vertical="center"/>
      <protection locked="0"/>
    </xf>
    <xf numFmtId="1" fontId="0" fillId="29" borderId="90" xfId="0" applyNumberFormat="1" applyFill="1" applyBorder="1" applyAlignment="1" applyProtection="1">
      <alignment horizontal="center" vertical="center"/>
      <protection locked="0"/>
    </xf>
    <xf numFmtId="49" fontId="0" fillId="29" borderId="90" xfId="0" applyNumberFormat="1" applyFill="1" applyBorder="1" applyAlignment="1" applyProtection="1">
      <alignment horizontal="center" vertical="center"/>
      <protection locked="0"/>
    </xf>
    <xf numFmtId="172" fontId="0" fillId="23" borderId="90" xfId="0" applyNumberFormat="1" applyFill="1" applyBorder="1" applyAlignment="1" applyProtection="1">
      <alignment horizontal="right" vertical="center"/>
      <protection locked="0"/>
    </xf>
    <xf numFmtId="1" fontId="0" fillId="23" borderId="90" xfId="0" applyNumberFormat="1" applyFill="1" applyBorder="1" applyAlignment="1" applyProtection="1">
      <alignment horizontal="center" vertical="center"/>
      <protection locked="0"/>
    </xf>
    <xf numFmtId="49" fontId="0" fillId="23" borderId="90" xfId="0" applyNumberFormat="1" applyFill="1" applyBorder="1" applyAlignment="1" applyProtection="1">
      <alignment horizontal="center" vertical="center"/>
      <protection locked="0"/>
    </xf>
    <xf numFmtId="172" fontId="0" fillId="0" borderId="90" xfId="0" applyNumberFormat="1" applyFill="1" applyBorder="1" applyAlignment="1">
      <alignment horizontal="right" vertical="center"/>
    </xf>
    <xf numFmtId="172" fontId="0" fillId="23" borderId="90" xfId="0" applyNumberFormat="1" applyFill="1" applyBorder="1" applyAlignment="1">
      <alignment horizontal="right" vertical="center"/>
    </xf>
    <xf numFmtId="172" fontId="0" fillId="0" borderId="90" xfId="0" applyNumberFormat="1" applyFill="1" applyBorder="1" applyAlignment="1" applyProtection="1">
      <alignment vertical="center"/>
      <protection locked="0"/>
    </xf>
    <xf numFmtId="172" fontId="0" fillId="23" borderId="90" xfId="0" applyNumberFormat="1" applyFill="1" applyBorder="1" applyAlignment="1" applyProtection="1">
      <alignment vertical="center"/>
      <protection locked="0"/>
    </xf>
    <xf numFmtId="0" fontId="12" fillId="2" borderId="32" xfId="0" applyFont="1" applyFill="1" applyBorder="1" applyAlignment="1" applyProtection="1">
      <alignment horizontal="center" vertical="center"/>
    </xf>
    <xf numFmtId="0" fontId="12" fillId="2" borderId="26" xfId="0" applyFont="1" applyFill="1" applyBorder="1" applyAlignment="1" applyProtection="1">
      <alignment horizontal="center" vertical="center"/>
    </xf>
    <xf numFmtId="0" fontId="12" fillId="2" borderId="21" xfId="0" applyFont="1" applyFill="1" applyBorder="1" applyAlignment="1" applyProtection="1">
      <alignment horizontal="center" vertical="center"/>
    </xf>
    <xf numFmtId="0" fontId="3" fillId="2" borderId="31" xfId="0" applyFont="1" applyFill="1" applyBorder="1" applyAlignment="1" applyProtection="1">
      <alignment horizontal="left" vertical="center" wrapText="1"/>
    </xf>
    <xf numFmtId="0" fontId="3" fillId="2" borderId="25" xfId="0" applyFont="1" applyFill="1" applyBorder="1" applyAlignment="1" applyProtection="1">
      <alignment horizontal="left" vertical="center" wrapText="1"/>
    </xf>
    <xf numFmtId="0" fontId="3" fillId="2" borderId="20" xfId="0" applyFont="1" applyFill="1" applyBorder="1" applyAlignment="1" applyProtection="1">
      <alignment horizontal="left" vertical="center" wrapText="1"/>
    </xf>
    <xf numFmtId="0" fontId="11" fillId="10" borderId="38" xfId="0" applyFont="1" applyFill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0" fontId="11" fillId="10" borderId="37" xfId="0" applyFont="1" applyFill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0" fillId="10" borderId="34" xfId="0" applyFill="1" applyBorder="1" applyAlignment="1">
      <alignment horizontal="center" vertical="center"/>
    </xf>
    <xf numFmtId="0" fontId="0" fillId="0" borderId="33" xfId="0" applyBorder="1" applyAlignment="1">
      <alignment vertical="center"/>
    </xf>
    <xf numFmtId="0" fontId="12" fillId="10" borderId="22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9" fillId="4" borderId="8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4" xfId="0" applyBorder="1" applyAlignment="1">
      <alignment horizontal="center" vertical="center"/>
    </xf>
    <xf numFmtId="0" fontId="8" fillId="22" borderId="92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 applyAlignment="1">
      <alignment vertical="center"/>
    </xf>
    <xf numFmtId="0" fontId="0" fillId="22" borderId="81" xfId="0" applyFill="1" applyBorder="1" applyAlignment="1">
      <alignment vertical="center"/>
    </xf>
    <xf numFmtId="0" fontId="8" fillId="3" borderId="86" xfId="0" applyFont="1" applyFill="1" applyBorder="1" applyAlignment="1">
      <alignment horizontal="center" vertical="center"/>
    </xf>
    <xf numFmtId="0" fontId="8" fillId="2" borderId="86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1" xfId="0" applyFont="1" applyFill="1" applyBorder="1" applyAlignment="1">
      <alignment horizontal="left" vertical="center" textRotation="90"/>
    </xf>
    <xf numFmtId="0" fontId="11" fillId="2" borderId="9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7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49" fontId="10" fillId="4" borderId="86" xfId="0" applyNumberFormat="1" applyFont="1" applyFill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165" fontId="11" fillId="10" borderId="15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11" xfId="0" applyBorder="1" applyAlignment="1">
      <alignment vertical="center"/>
    </xf>
    <xf numFmtId="0" fontId="14" fillId="13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9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10" fillId="4" borderId="7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28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86" xfId="0" applyFill="1" applyBorder="1" applyAlignment="1" applyProtection="1">
      <alignment horizontal="left" vertical="center"/>
      <protection locked="0"/>
    </xf>
    <xf numFmtId="0" fontId="0" fillId="0" borderId="7" xfId="0" applyBorder="1" applyAlignment="1">
      <alignment vertical="center"/>
    </xf>
    <xf numFmtId="0" fontId="0" fillId="0" borderId="84" xfId="0" applyBorder="1" applyAlignment="1">
      <alignment vertical="center"/>
    </xf>
    <xf numFmtId="0" fontId="22" fillId="0" borderId="85" xfId="0" applyFont="1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8" fontId="29" fillId="0" borderId="0" xfId="0" applyNumberFormat="1" applyFont="1" applyAlignment="1">
      <alignment horizontal="right" vertical="center" wrapText="1"/>
    </xf>
    <xf numFmtId="8" fontId="29" fillId="0" borderId="64" xfId="0" applyNumberFormat="1" applyFont="1" applyBorder="1" applyAlignment="1">
      <alignment horizontal="right" vertical="center" wrapText="1"/>
    </xf>
    <xf numFmtId="8" fontId="29" fillId="0" borderId="63" xfId="0" applyNumberFormat="1" applyFont="1" applyBorder="1" applyAlignment="1">
      <alignment horizontal="right" vertical="center" wrapText="1"/>
    </xf>
    <xf numFmtId="8" fontId="29" fillId="0" borderId="62" xfId="0" applyNumberFormat="1" applyFont="1" applyBorder="1" applyAlignment="1">
      <alignment horizontal="right" vertical="center" wrapText="1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40" fillId="0" borderId="86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12" fillId="4" borderId="86" xfId="0" applyFont="1" applyFill="1" applyBorder="1" applyAlignment="1">
      <alignment horizontal="center" vertical="center"/>
    </xf>
    <xf numFmtId="0" fontId="8" fillId="5" borderId="86" xfId="0" applyFont="1" applyFill="1" applyBorder="1" applyAlignment="1" applyProtection="1">
      <alignment horizontal="center" vertical="center"/>
    </xf>
    <xf numFmtId="0" fontId="8" fillId="5" borderId="7" xfId="0" applyFont="1" applyFill="1" applyBorder="1" applyAlignment="1" applyProtection="1">
      <alignment horizontal="center" vertical="center"/>
    </xf>
    <xf numFmtId="0" fontId="8" fillId="5" borderId="84" xfId="0" applyFont="1" applyFill="1" applyBorder="1" applyAlignment="1" applyProtection="1">
      <alignment horizontal="center" vertical="center"/>
    </xf>
    <xf numFmtId="0" fontId="8" fillId="28" borderId="90" xfId="0" applyFont="1" applyFill="1" applyBorder="1" applyAlignment="1">
      <alignment horizontal="center" vertical="center"/>
    </xf>
    <xf numFmtId="0" fontId="8" fillId="5" borderId="86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8" fillId="5" borderId="84" xfId="0" applyFont="1" applyFill="1" applyBorder="1" applyAlignment="1">
      <alignment horizontal="center" vertical="center"/>
    </xf>
    <xf numFmtId="49" fontId="54" fillId="29" borderId="90" xfId="0" applyNumberFormat="1" applyFont="1" applyFill="1" applyBorder="1" applyAlignment="1" applyProtection="1">
      <alignment horizontal="left" vertical="center"/>
      <protection locked="0"/>
    </xf>
    <xf numFmtId="49" fontId="54" fillId="23" borderId="90" xfId="0" applyNumberFormat="1" applyFont="1" applyFill="1" applyBorder="1" applyAlignment="1" applyProtection="1">
      <alignment horizontal="left" vertical="center"/>
      <protection locked="0"/>
    </xf>
    <xf numFmtId="0" fontId="54" fillId="29" borderId="90" xfId="0" applyFont="1" applyFill="1" applyBorder="1" applyAlignment="1" applyProtection="1">
      <alignment horizontal="left" vertical="center"/>
      <protection locked="0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14</xdr:row>
          <xdr:rowOff>19050</xdr:rowOff>
        </xdr:from>
        <xdr:to>
          <xdr:col>2</xdr:col>
          <xdr:colOff>742950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13</xdr:row>
          <xdr:rowOff>120650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152400</xdr:rowOff>
        </xdr:from>
        <xdr:to>
          <xdr:col>7</xdr:col>
          <xdr:colOff>1543050</xdr:colOff>
          <xdr:row>18</xdr:row>
          <xdr:rowOff>88900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8</xdr:row>
          <xdr:rowOff>12700</xdr:rowOff>
        </xdr:from>
        <xdr:to>
          <xdr:col>5</xdr:col>
          <xdr:colOff>1409700</xdr:colOff>
          <xdr:row>10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1492250</xdr:colOff>
          <xdr:row>8</xdr:row>
          <xdr:rowOff>44450</xdr:rowOff>
        </xdr:from>
        <xdr:to>
          <xdr:col>6</xdr:col>
          <xdr:colOff>1384300</xdr:colOff>
          <xdr:row>14</xdr:row>
          <xdr:rowOff>114300</xdr:rowOff>
        </xdr:to>
        <xdr:sp macro="" textlink="">
          <xdr:nvSpPr>
            <xdr:cNvPr id="19462" name="lst_ImportReport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5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4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B5" sqref="B5"/>
    </sheetView>
  </sheetViews>
  <sheetFormatPr baseColWidth="10" defaultRowHeight="14.5" x14ac:dyDescent="0.35"/>
  <cols>
    <col min="1" max="16384" width="10.90625" style="462"/>
  </cols>
  <sheetData>
    <row r="1" spans="2:6" x14ac:dyDescent="0.35">
      <c r="B1" s="462" t="s">
        <v>334</v>
      </c>
      <c r="F1" s="462">
        <v>2025</v>
      </c>
    </row>
    <row r="2" spans="2:6" x14ac:dyDescent="0.35">
      <c r="B2" s="462" t="s">
        <v>3</v>
      </c>
      <c r="F2" s="462">
        <v>13</v>
      </c>
    </row>
    <row r="3" spans="2:6" x14ac:dyDescent="0.35">
      <c r="B3" s="462" t="s">
        <v>2</v>
      </c>
      <c r="F3" s="462">
        <v>21</v>
      </c>
    </row>
    <row r="4" spans="2:6" x14ac:dyDescent="0.35">
      <c r="B4" s="462" t="s">
        <v>380</v>
      </c>
      <c r="F4" s="469">
        <v>8686.86</v>
      </c>
    </row>
    <row r="5" spans="2:6" x14ac:dyDescent="0.35">
      <c r="B5" s="462" t="s">
        <v>333</v>
      </c>
    </row>
    <row r="7" spans="2:6" x14ac:dyDescent="0.35">
      <c r="B7" s="462" t="s">
        <v>1</v>
      </c>
    </row>
    <row r="8" spans="2:6" x14ac:dyDescent="0.35">
      <c r="B8" s="462" t="s">
        <v>0</v>
      </c>
    </row>
    <row r="9" spans="2:6" x14ac:dyDescent="0.35">
      <c r="B9" s="462" t="s">
        <v>312</v>
      </c>
    </row>
    <row r="10" spans="2:6" x14ac:dyDescent="0.35">
      <c r="B10" s="462" t="s">
        <v>313</v>
      </c>
    </row>
    <row r="11" spans="2:6" x14ac:dyDescent="0.35">
      <c r="B11" s="462" t="s">
        <v>314</v>
      </c>
    </row>
    <row r="18" spans="1:1" x14ac:dyDescent="0.35">
      <c r="A18" s="324"/>
    </row>
  </sheetData>
  <sheetProtection sheet="1" objects="1" scenarios="1"/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0</xdr:col>
                <xdr:colOff>742950</xdr:colOff>
                <xdr:row>14</xdr:row>
                <xdr:rowOff>19050</xdr:rowOff>
              </from>
              <to>
                <xdr:col>2</xdr:col>
                <xdr:colOff>742950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/>
      <selection pane="bottomLeft"/>
      <selection pane="bottomRight"/>
    </sheetView>
  </sheetViews>
  <sheetFormatPr baseColWidth="10" defaultColWidth="11.453125" defaultRowHeight="14.5" x14ac:dyDescent="0.35"/>
  <cols>
    <col min="1" max="1" width="2.1796875" style="462" customWidth="1"/>
    <col min="2" max="2" width="16.453125" style="268" customWidth="1"/>
    <col min="3" max="3" width="19.26953125" style="269" customWidth="1"/>
    <col min="4" max="4" width="24.7265625" style="462" customWidth="1"/>
    <col min="5" max="16384" width="11.453125" style="462"/>
  </cols>
  <sheetData>
    <row r="1" spans="2:17" ht="9.75" customHeight="1" thickBot="1" x14ac:dyDescent="0.4">
      <c r="B1" s="462"/>
      <c r="C1" s="14"/>
    </row>
    <row r="2" spans="2:17" ht="16.5" thickTop="1" x14ac:dyDescent="0.35">
      <c r="B2" s="515" t="s">
        <v>82</v>
      </c>
      <c r="C2" s="516"/>
      <c r="D2" s="516"/>
      <c r="E2" s="520"/>
      <c r="F2" s="520"/>
      <c r="G2" s="520"/>
      <c r="H2" s="520"/>
      <c r="I2" s="520"/>
      <c r="J2" s="520"/>
      <c r="K2" s="520"/>
      <c r="L2" s="520"/>
      <c r="M2" s="520"/>
      <c r="N2" s="520"/>
      <c r="O2" s="520"/>
      <c r="P2" s="520"/>
      <c r="Q2" s="521"/>
    </row>
    <row r="3" spans="2:17" ht="15" customHeight="1" x14ac:dyDescent="0.35">
      <c r="B3" s="517" t="s">
        <v>81</v>
      </c>
      <c r="C3" s="518"/>
      <c r="D3" s="519"/>
      <c r="E3" s="54">
        <v>1</v>
      </c>
      <c r="F3" s="54">
        <v>2</v>
      </c>
      <c r="G3" s="54">
        <v>3</v>
      </c>
      <c r="H3" s="54">
        <v>4</v>
      </c>
      <c r="I3" s="54">
        <v>5</v>
      </c>
      <c r="J3" s="54">
        <v>6</v>
      </c>
      <c r="K3" s="54">
        <v>7</v>
      </c>
      <c r="L3" s="54">
        <v>8</v>
      </c>
      <c r="M3" s="54">
        <v>9</v>
      </c>
      <c r="N3" s="54">
        <v>10</v>
      </c>
      <c r="O3" s="54">
        <v>11</v>
      </c>
      <c r="P3" s="54">
        <v>12</v>
      </c>
      <c r="Q3" s="522" t="s">
        <v>65</v>
      </c>
    </row>
    <row r="4" spans="2:17" ht="19" thickBot="1" x14ac:dyDescent="0.4">
      <c r="B4" s="53" t="str">
        <f>Mitgliederliste!B5</f>
        <v>Parzelle</v>
      </c>
      <c r="C4" s="52" t="str">
        <f>Mitgliederliste!D4</f>
        <v>Name</v>
      </c>
      <c r="D4" s="51" t="s">
        <v>80</v>
      </c>
      <c r="E4" s="50" t="s">
        <v>79</v>
      </c>
      <c r="F4" s="50" t="s">
        <v>78</v>
      </c>
      <c r="G4" s="50" t="s">
        <v>77</v>
      </c>
      <c r="H4" s="50" t="s">
        <v>76</v>
      </c>
      <c r="I4" s="50" t="s">
        <v>75</v>
      </c>
      <c r="J4" s="50" t="s">
        <v>74</v>
      </c>
      <c r="K4" s="50" t="s">
        <v>73</v>
      </c>
      <c r="L4" s="50" t="s">
        <v>72</v>
      </c>
      <c r="M4" s="50" t="s">
        <v>71</v>
      </c>
      <c r="N4" s="50" t="s">
        <v>70</v>
      </c>
      <c r="O4" s="50" t="s">
        <v>69</v>
      </c>
      <c r="P4" s="50" t="s">
        <v>68</v>
      </c>
      <c r="Q4" s="523"/>
    </row>
    <row r="5" spans="2:17" ht="15" customHeight="1" thickTop="1" x14ac:dyDescent="0.35">
      <c r="B5" s="509" t="s">
        <v>67</v>
      </c>
      <c r="C5" s="512" t="s">
        <v>66</v>
      </c>
      <c r="D5" s="49" t="e">
        <f>#REF!</f>
        <v>#REF!</v>
      </c>
      <c r="E5" s="37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41" t="str">
        <f>IF(SUM(E5:P5)=0,"",SUM(E5:P5))</f>
        <v/>
      </c>
    </row>
    <row r="6" spans="2:17" ht="15" customHeight="1" x14ac:dyDescent="0.35">
      <c r="B6" s="510"/>
      <c r="C6" s="513"/>
      <c r="D6" s="26" t="e">
        <f>#REF!</f>
        <v>#REF!</v>
      </c>
      <c r="E6" s="25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31" t="str">
        <f>IF(SUM(E6:P6)=0,"",SUM(E6:P6))</f>
        <v/>
      </c>
    </row>
    <row r="7" spans="2:17" ht="15" customHeight="1" x14ac:dyDescent="0.35">
      <c r="B7" s="510"/>
      <c r="C7" s="513"/>
      <c r="D7" s="26" t="e">
        <f>#REF!</f>
        <v>#REF!</v>
      </c>
      <c r="E7" s="29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30"/>
    </row>
    <row r="8" spans="2:17" ht="15" customHeight="1" x14ac:dyDescent="0.35">
      <c r="B8" s="510"/>
      <c r="C8" s="513"/>
      <c r="D8" s="26" t="e">
        <f>#REF!</f>
        <v>#REF!</v>
      </c>
      <c r="E8" s="25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3" t="str">
        <f>IF(SUM(E8:P8)=0,"",SUM(E8:P8))</f>
        <v/>
      </c>
    </row>
    <row r="9" spans="2:17" ht="15" customHeight="1" x14ac:dyDescent="0.35">
      <c r="B9" s="510"/>
      <c r="C9" s="513"/>
      <c r="D9" s="26" t="e">
        <f>#REF!</f>
        <v>#REF!</v>
      </c>
      <c r="E9" s="29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7" t="str">
        <f>IF(SUM(E9:P9)=0,"",SUM(E9:P9))</f>
        <v/>
      </c>
    </row>
    <row r="10" spans="2:17" ht="15" customHeight="1" x14ac:dyDescent="0.35">
      <c r="B10" s="510"/>
      <c r="C10" s="513"/>
      <c r="D10" s="26" t="e">
        <f>#REF!</f>
        <v>#REF!</v>
      </c>
      <c r="E10" s="25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3" t="str">
        <f>IF(SUM(E10:P10)=0,"",SUM(E10:P10))</f>
        <v/>
      </c>
    </row>
    <row r="11" spans="2:17" ht="15" customHeight="1" x14ac:dyDescent="0.35">
      <c r="B11" s="510"/>
      <c r="C11" s="513"/>
      <c r="D11" s="22" t="s">
        <v>65</v>
      </c>
      <c r="E11" s="21" t="str">
        <f t="shared" ref="E11:Q11" si="0">IF(SUM(E5:E10)=0,"",SUM(E5:E10))</f>
        <v/>
      </c>
      <c r="F11" s="20" t="str">
        <f t="shared" si="0"/>
        <v/>
      </c>
      <c r="G11" s="20" t="str">
        <f t="shared" si="0"/>
        <v/>
      </c>
      <c r="H11" s="20" t="str">
        <f t="shared" si="0"/>
        <v/>
      </c>
      <c r="I11" s="20" t="str">
        <f t="shared" si="0"/>
        <v/>
      </c>
      <c r="J11" s="20" t="str">
        <f t="shared" si="0"/>
        <v/>
      </c>
      <c r="K11" s="20" t="str">
        <f t="shared" si="0"/>
        <v/>
      </c>
      <c r="L11" s="20" t="str">
        <f t="shared" si="0"/>
        <v/>
      </c>
      <c r="M11" s="20" t="str">
        <f t="shared" si="0"/>
        <v/>
      </c>
      <c r="N11" s="20" t="str">
        <f t="shared" si="0"/>
        <v/>
      </c>
      <c r="O11" s="20" t="str">
        <f t="shared" si="0"/>
        <v/>
      </c>
      <c r="P11" s="20" t="str">
        <f t="shared" si="0"/>
        <v/>
      </c>
      <c r="Q11" s="19" t="str">
        <f t="shared" si="0"/>
        <v/>
      </c>
    </row>
    <row r="12" spans="2:17" ht="18.75" customHeight="1" thickBot="1" x14ac:dyDescent="0.4">
      <c r="B12" s="511"/>
      <c r="C12" s="514"/>
      <c r="D12" s="18" t="e">
        <f>#REF!</f>
        <v>#REF!</v>
      </c>
      <c r="E12" s="46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4" t="str">
        <f>IF(SUM(E12:P12)=0,"",SUM(E12:P12))</f>
        <v/>
      </c>
    </row>
    <row r="13" spans="2:17" ht="15" customHeight="1" thickTop="1" x14ac:dyDescent="0.35">
      <c r="B13" s="509" t="s">
        <v>64</v>
      </c>
      <c r="C13" s="512" t="s">
        <v>344</v>
      </c>
      <c r="D13" s="34" t="e">
        <f>$D$5</f>
        <v>#REF!</v>
      </c>
      <c r="E13" s="43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1" t="str">
        <f>IF(SUM(E13:P13)=0,"",SUM(E13:P13))</f>
        <v/>
      </c>
    </row>
    <row r="14" spans="2:17" ht="15.75" customHeight="1" x14ac:dyDescent="0.35">
      <c r="B14" s="510"/>
      <c r="C14" s="513"/>
      <c r="D14" s="26" t="e">
        <f>$D$6</f>
        <v>#REF!</v>
      </c>
      <c r="E14" s="25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31" t="str">
        <f>IF(SUM(E14:P14)=0,"",SUM(E14:P14))</f>
        <v/>
      </c>
    </row>
    <row r="15" spans="2:17" ht="15.75" customHeight="1" x14ac:dyDescent="0.35">
      <c r="B15" s="510"/>
      <c r="C15" s="513"/>
      <c r="D15" s="26" t="e">
        <f>$D$7</f>
        <v>#REF!</v>
      </c>
      <c r="E15" s="29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30"/>
    </row>
    <row r="16" spans="2:17" ht="15.75" customHeight="1" x14ac:dyDescent="0.35">
      <c r="B16" s="510"/>
      <c r="C16" s="513"/>
      <c r="D16" s="26" t="e">
        <f>$D$8</f>
        <v>#REF!</v>
      </c>
      <c r="E16" s="25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3" t="str">
        <f>IF(SUM(E16:P16)=0,"",SUM(E16:P16))</f>
        <v/>
      </c>
    </row>
    <row r="17" spans="2:17" ht="15.75" customHeight="1" x14ac:dyDescent="0.35">
      <c r="B17" s="510"/>
      <c r="C17" s="513"/>
      <c r="D17" s="26" t="e">
        <f>$D$9</f>
        <v>#REF!</v>
      </c>
      <c r="E17" s="29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7" t="str">
        <f>IF(SUM(E17:P17)=0,"",SUM(E17:P17))</f>
        <v/>
      </c>
    </row>
    <row r="18" spans="2:17" ht="15.75" customHeight="1" x14ac:dyDescent="0.35">
      <c r="B18" s="510"/>
      <c r="C18" s="513"/>
      <c r="D18" s="26" t="e">
        <f>$D$10</f>
        <v>#REF!</v>
      </c>
      <c r="E18" s="25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3" t="str">
        <f>IF(SUM(E18:P18)=0,"",SUM(E18:P18))</f>
        <v/>
      </c>
    </row>
    <row r="19" spans="2:17" ht="15" customHeight="1" x14ac:dyDescent="0.35">
      <c r="B19" s="510"/>
      <c r="C19" s="513"/>
      <c r="D19" s="22" t="str">
        <f>$D$11</f>
        <v>Total</v>
      </c>
      <c r="E19" s="21" t="str">
        <f t="shared" ref="E19:Q19" si="1">IF(SUM(E13:E18)=0,"",SUM(E13:E18))</f>
        <v/>
      </c>
      <c r="F19" s="20" t="str">
        <f t="shared" si="1"/>
        <v/>
      </c>
      <c r="G19" s="20" t="str">
        <f t="shared" si="1"/>
        <v/>
      </c>
      <c r="H19" s="20" t="str">
        <f t="shared" si="1"/>
        <v/>
      </c>
      <c r="I19" s="20" t="str">
        <f t="shared" si="1"/>
        <v/>
      </c>
      <c r="J19" s="20" t="str">
        <f t="shared" si="1"/>
        <v/>
      </c>
      <c r="K19" s="20" t="str">
        <f t="shared" si="1"/>
        <v/>
      </c>
      <c r="L19" s="20" t="str">
        <f t="shared" si="1"/>
        <v/>
      </c>
      <c r="M19" s="20" t="str">
        <f t="shared" si="1"/>
        <v/>
      </c>
      <c r="N19" s="20" t="str">
        <f t="shared" si="1"/>
        <v/>
      </c>
      <c r="O19" s="20" t="str">
        <f t="shared" si="1"/>
        <v/>
      </c>
      <c r="P19" s="20" t="str">
        <f t="shared" si="1"/>
        <v/>
      </c>
      <c r="Q19" s="19" t="str">
        <f t="shared" si="1"/>
        <v/>
      </c>
    </row>
    <row r="20" spans="2:17" ht="16.5" customHeight="1" thickBot="1" x14ac:dyDescent="0.4">
      <c r="B20" s="511"/>
      <c r="C20" s="514"/>
      <c r="D20" s="18" t="e">
        <f>$D$12</f>
        <v>#REF!</v>
      </c>
      <c r="E20" s="17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5" t="str">
        <f>IF(SUM(E20:P20)=0,"",SUM(E20:P20))</f>
        <v/>
      </c>
    </row>
    <row r="21" spans="2:17" ht="15" customHeight="1" thickTop="1" x14ac:dyDescent="0.35">
      <c r="B21" s="509" t="s">
        <v>63</v>
      </c>
      <c r="C21" s="512" t="s">
        <v>62</v>
      </c>
      <c r="D21" s="34" t="e">
        <f>$D$5</f>
        <v>#REF!</v>
      </c>
      <c r="E21" s="37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5" t="str">
        <f>IF(SUM(E21:P21)=0,"",SUM(E21:P21))</f>
        <v/>
      </c>
    </row>
    <row r="22" spans="2:17" ht="15" customHeight="1" x14ac:dyDescent="0.35">
      <c r="B22" s="510"/>
      <c r="C22" s="513"/>
      <c r="D22" s="26" t="e">
        <f>$D$6</f>
        <v>#REF!</v>
      </c>
      <c r="E22" s="25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31" t="str">
        <f>IF(SUM(E22:P22)=0,"",SUM(E22:P22))</f>
        <v/>
      </c>
    </row>
    <row r="23" spans="2:17" ht="15" customHeight="1" x14ac:dyDescent="0.35">
      <c r="B23" s="510"/>
      <c r="C23" s="513"/>
      <c r="D23" s="26" t="e">
        <f>$D$7</f>
        <v>#REF!</v>
      </c>
      <c r="E23" s="29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30"/>
    </row>
    <row r="24" spans="2:17" ht="15" customHeight="1" x14ac:dyDescent="0.35">
      <c r="B24" s="510"/>
      <c r="C24" s="513"/>
      <c r="D24" s="26" t="e">
        <f>$D$8</f>
        <v>#REF!</v>
      </c>
      <c r="E24" s="25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3" t="str">
        <f>IF(SUM(E24:P24)=0,"",SUM(E24:P24))</f>
        <v/>
      </c>
    </row>
    <row r="25" spans="2:17" ht="15" customHeight="1" x14ac:dyDescent="0.35">
      <c r="B25" s="510"/>
      <c r="C25" s="513"/>
      <c r="D25" s="26" t="e">
        <f>$D$9</f>
        <v>#REF!</v>
      </c>
      <c r="E25" s="29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7" t="str">
        <f>IF(SUM(E25:P25)=0,"",SUM(E25:P25))</f>
        <v/>
      </c>
    </row>
    <row r="26" spans="2:17" ht="15" customHeight="1" x14ac:dyDescent="0.35">
      <c r="B26" s="510"/>
      <c r="C26" s="513"/>
      <c r="D26" s="26" t="e">
        <f>$D$10</f>
        <v>#REF!</v>
      </c>
      <c r="E26" s="25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3" t="str">
        <f>IF(SUM(E26:P26)=0,"",SUM(E26:P26))</f>
        <v/>
      </c>
    </row>
    <row r="27" spans="2:17" ht="15" customHeight="1" x14ac:dyDescent="0.35">
      <c r="B27" s="510"/>
      <c r="C27" s="513"/>
      <c r="D27" s="22" t="str">
        <f>$D$11</f>
        <v>Total</v>
      </c>
      <c r="E27" s="21" t="str">
        <f t="shared" ref="E27:Q27" si="2">IF(SUM(E21:E26)=0,"",SUM(E21:E26))</f>
        <v/>
      </c>
      <c r="F27" s="20" t="str">
        <f t="shared" si="2"/>
        <v/>
      </c>
      <c r="G27" s="20" t="str">
        <f t="shared" si="2"/>
        <v/>
      </c>
      <c r="H27" s="20" t="str">
        <f t="shared" si="2"/>
        <v/>
      </c>
      <c r="I27" s="20" t="str">
        <f t="shared" si="2"/>
        <v/>
      </c>
      <c r="J27" s="20" t="str">
        <f t="shared" si="2"/>
        <v/>
      </c>
      <c r="K27" s="20" t="str">
        <f t="shared" si="2"/>
        <v/>
      </c>
      <c r="L27" s="20" t="str">
        <f t="shared" si="2"/>
        <v/>
      </c>
      <c r="M27" s="20" t="str">
        <f t="shared" si="2"/>
        <v/>
      </c>
      <c r="N27" s="20" t="str">
        <f t="shared" si="2"/>
        <v/>
      </c>
      <c r="O27" s="20" t="str">
        <f t="shared" si="2"/>
        <v/>
      </c>
      <c r="P27" s="20" t="str">
        <f t="shared" si="2"/>
        <v/>
      </c>
      <c r="Q27" s="19" t="str">
        <f t="shared" si="2"/>
        <v/>
      </c>
    </row>
    <row r="28" spans="2:17" ht="16" customHeight="1" thickBot="1" x14ac:dyDescent="0.4">
      <c r="B28" s="511"/>
      <c r="C28" s="514"/>
      <c r="D28" s="18" t="e">
        <f>$D$12</f>
        <v>#REF!</v>
      </c>
      <c r="E28" s="46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4" t="str">
        <f>IF(SUM(E28:P28)=0,"",SUM(E28:P28))</f>
        <v/>
      </c>
    </row>
    <row r="29" spans="2:17" ht="15" customHeight="1" thickTop="1" x14ac:dyDescent="0.35">
      <c r="B29" s="509" t="s">
        <v>61</v>
      </c>
      <c r="C29" s="512" t="s">
        <v>60</v>
      </c>
      <c r="D29" s="34" t="e">
        <f>$D$5</f>
        <v>#REF!</v>
      </c>
      <c r="E29" s="43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1" t="str">
        <f>IF(SUM(E29:P29)=0,"",SUM(E29:P29))</f>
        <v/>
      </c>
    </row>
    <row r="30" spans="2:17" ht="15.65" customHeight="1" x14ac:dyDescent="0.35">
      <c r="B30" s="510"/>
      <c r="C30" s="513"/>
      <c r="D30" s="26" t="e">
        <f>$D$6</f>
        <v>#REF!</v>
      </c>
      <c r="E30" s="25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31" t="str">
        <f>IF(SUM(E30:P30)=0,"",SUM(E30:P30))</f>
        <v/>
      </c>
    </row>
    <row r="31" spans="2:17" ht="15.65" customHeight="1" x14ac:dyDescent="0.35">
      <c r="B31" s="510"/>
      <c r="C31" s="513"/>
      <c r="D31" s="26" t="e">
        <f>$D$7</f>
        <v>#REF!</v>
      </c>
      <c r="E31" s="29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30"/>
    </row>
    <row r="32" spans="2:17" ht="15.65" customHeight="1" x14ac:dyDescent="0.35">
      <c r="B32" s="510"/>
      <c r="C32" s="513"/>
      <c r="D32" s="26" t="e">
        <f>$D$8</f>
        <v>#REF!</v>
      </c>
      <c r="E32" s="25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3" t="str">
        <f>IF(SUM(E32:P32)=0,"",SUM(E32:P32))</f>
        <v/>
      </c>
    </row>
    <row r="33" spans="2:17" ht="15.65" customHeight="1" x14ac:dyDescent="0.35">
      <c r="B33" s="510"/>
      <c r="C33" s="513"/>
      <c r="D33" s="26" t="e">
        <f>$D$9</f>
        <v>#REF!</v>
      </c>
      <c r="E33" s="29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7" t="str">
        <f>IF(SUM(E33:P33)=0,"",SUM(E33:P33))</f>
        <v/>
      </c>
    </row>
    <row r="34" spans="2:17" ht="15.65" customHeight="1" x14ac:dyDescent="0.35">
      <c r="B34" s="510"/>
      <c r="C34" s="513"/>
      <c r="D34" s="26" t="e">
        <f>$D$10</f>
        <v>#REF!</v>
      </c>
      <c r="E34" s="25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3" t="str">
        <f>IF(SUM(E34:P34)=0,"",SUM(E34:P34))</f>
        <v/>
      </c>
    </row>
    <row r="35" spans="2:17" ht="15" customHeight="1" x14ac:dyDescent="0.35">
      <c r="B35" s="510"/>
      <c r="C35" s="513"/>
      <c r="D35" s="22" t="str">
        <f>$D$11</f>
        <v>Total</v>
      </c>
      <c r="E35" s="21" t="str">
        <f t="shared" ref="E35:Q35" si="3">IF(SUM(E29:E34)=0,"",SUM(E29:E34))</f>
        <v/>
      </c>
      <c r="F35" s="20" t="str">
        <f t="shared" si="3"/>
        <v/>
      </c>
      <c r="G35" s="20" t="str">
        <f t="shared" si="3"/>
        <v/>
      </c>
      <c r="H35" s="20" t="str">
        <f t="shared" si="3"/>
        <v/>
      </c>
      <c r="I35" s="20" t="str">
        <f t="shared" si="3"/>
        <v/>
      </c>
      <c r="J35" s="20" t="str">
        <f t="shared" si="3"/>
        <v/>
      </c>
      <c r="K35" s="20" t="str">
        <f t="shared" si="3"/>
        <v/>
      </c>
      <c r="L35" s="20" t="str">
        <f t="shared" si="3"/>
        <v/>
      </c>
      <c r="M35" s="20" t="str">
        <f t="shared" si="3"/>
        <v/>
      </c>
      <c r="N35" s="20" t="str">
        <f t="shared" si="3"/>
        <v/>
      </c>
      <c r="O35" s="20" t="str">
        <f t="shared" si="3"/>
        <v/>
      </c>
      <c r="P35" s="20" t="str">
        <f t="shared" si="3"/>
        <v/>
      </c>
      <c r="Q35" s="19" t="str">
        <f t="shared" si="3"/>
        <v/>
      </c>
    </row>
    <row r="36" spans="2:17" ht="16" customHeight="1" thickBot="1" x14ac:dyDescent="0.4">
      <c r="B36" s="511"/>
      <c r="C36" s="514"/>
      <c r="D36" s="18" t="e">
        <f>$D$12</f>
        <v>#REF!</v>
      </c>
      <c r="E36" s="17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5" t="str">
        <f>IF(SUM(E36:P36)=0,"",SUM(E36:P36))</f>
        <v/>
      </c>
    </row>
    <row r="37" spans="2:17" ht="15" customHeight="1" thickTop="1" x14ac:dyDescent="0.35">
      <c r="B37" s="509" t="s">
        <v>59</v>
      </c>
      <c r="C37" s="512" t="s">
        <v>58</v>
      </c>
      <c r="D37" s="34" t="e">
        <f>$D$5</f>
        <v>#REF!</v>
      </c>
      <c r="E37" s="37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5" t="str">
        <f>IF(SUM(E37:P37)=0,"",SUM(E37:P37))</f>
        <v/>
      </c>
    </row>
    <row r="38" spans="2:17" ht="15" customHeight="1" x14ac:dyDescent="0.35">
      <c r="B38" s="510"/>
      <c r="C38" s="513"/>
      <c r="D38" s="26" t="e">
        <f>$D$6</f>
        <v>#REF!</v>
      </c>
      <c r="E38" s="25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31" t="str">
        <f>IF(SUM(E38:P38)=0,"",SUM(E38:P38))</f>
        <v/>
      </c>
    </row>
    <row r="39" spans="2:17" ht="15" customHeight="1" x14ac:dyDescent="0.35">
      <c r="B39" s="510"/>
      <c r="C39" s="513"/>
      <c r="D39" s="26" t="e">
        <f>$D$7</f>
        <v>#REF!</v>
      </c>
      <c r="E39" s="29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30"/>
    </row>
    <row r="40" spans="2:17" ht="15" customHeight="1" x14ac:dyDescent="0.35">
      <c r="B40" s="510"/>
      <c r="C40" s="513"/>
      <c r="D40" s="26" t="e">
        <f>$D$8</f>
        <v>#REF!</v>
      </c>
      <c r="E40" s="25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3" t="str">
        <f>IF(SUM(E40:P40)=0,"",SUM(E40:P40))</f>
        <v/>
      </c>
    </row>
    <row r="41" spans="2:17" ht="15" customHeight="1" x14ac:dyDescent="0.35">
      <c r="B41" s="510"/>
      <c r="C41" s="513"/>
      <c r="D41" s="26" t="e">
        <f>$D$9</f>
        <v>#REF!</v>
      </c>
      <c r="E41" s="29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7" t="str">
        <f>IF(SUM(E41:P41)=0,"",SUM(E41:P41))</f>
        <v/>
      </c>
    </row>
    <row r="42" spans="2:17" ht="15" customHeight="1" x14ac:dyDescent="0.35">
      <c r="B42" s="510"/>
      <c r="C42" s="513"/>
      <c r="D42" s="26" t="e">
        <f>$D$10</f>
        <v>#REF!</v>
      </c>
      <c r="E42" s="25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3" t="str">
        <f>IF(SUM(E42:P42)=0,"",SUM(E42:P42))</f>
        <v/>
      </c>
    </row>
    <row r="43" spans="2:17" ht="15" customHeight="1" x14ac:dyDescent="0.35">
      <c r="B43" s="510"/>
      <c r="C43" s="513"/>
      <c r="D43" s="22" t="str">
        <f>$D$11</f>
        <v>Total</v>
      </c>
      <c r="E43" s="21" t="str">
        <f t="shared" ref="E43:Q43" si="4">IF(SUM(E37:E42)=0,"",SUM(E37:E42))</f>
        <v/>
      </c>
      <c r="F43" s="20" t="str">
        <f t="shared" si="4"/>
        <v/>
      </c>
      <c r="G43" s="20" t="str">
        <f t="shared" si="4"/>
        <v/>
      </c>
      <c r="H43" s="20" t="str">
        <f t="shared" si="4"/>
        <v/>
      </c>
      <c r="I43" s="20" t="str">
        <f t="shared" si="4"/>
        <v/>
      </c>
      <c r="J43" s="20" t="str">
        <f t="shared" si="4"/>
        <v/>
      </c>
      <c r="K43" s="20" t="str">
        <f t="shared" si="4"/>
        <v/>
      </c>
      <c r="L43" s="20" t="str">
        <f t="shared" si="4"/>
        <v/>
      </c>
      <c r="M43" s="20" t="str">
        <f t="shared" si="4"/>
        <v/>
      </c>
      <c r="N43" s="20" t="str">
        <f t="shared" si="4"/>
        <v/>
      </c>
      <c r="O43" s="20" t="str">
        <f t="shared" si="4"/>
        <v/>
      </c>
      <c r="P43" s="20" t="str">
        <f t="shared" si="4"/>
        <v/>
      </c>
      <c r="Q43" s="19" t="str">
        <f t="shared" si="4"/>
        <v/>
      </c>
    </row>
    <row r="44" spans="2:17" ht="16" customHeight="1" thickBot="1" x14ac:dyDescent="0.4">
      <c r="B44" s="511"/>
      <c r="C44" s="514"/>
      <c r="D44" s="18" t="e">
        <f>$D$12</f>
        <v>#REF!</v>
      </c>
      <c r="E44" s="46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4" t="str">
        <f>IF(SUM(E44:P44)=0,"",SUM(E44:P44))</f>
        <v/>
      </c>
    </row>
    <row r="45" spans="2:17" ht="15" customHeight="1" thickTop="1" x14ac:dyDescent="0.35">
      <c r="B45" s="509" t="s">
        <v>57</v>
      </c>
      <c r="C45" s="512" t="s">
        <v>56</v>
      </c>
      <c r="D45" s="34" t="e">
        <f>$D$5</f>
        <v>#REF!</v>
      </c>
      <c r="E45" s="43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1" t="str">
        <f>IF(SUM(E45:P45)=0,"",SUM(E45:P45))</f>
        <v/>
      </c>
    </row>
    <row r="46" spans="2:17" ht="15.65" customHeight="1" x14ac:dyDescent="0.35">
      <c r="B46" s="510"/>
      <c r="C46" s="513"/>
      <c r="D46" s="26" t="e">
        <f>$D$6</f>
        <v>#REF!</v>
      </c>
      <c r="E46" s="25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31" t="str">
        <f>IF(SUM(E46:P46)=0,"",SUM(E46:P46))</f>
        <v/>
      </c>
    </row>
    <row r="47" spans="2:17" ht="15.65" customHeight="1" x14ac:dyDescent="0.35">
      <c r="B47" s="510"/>
      <c r="C47" s="513"/>
      <c r="D47" s="26" t="e">
        <f>$D$7</f>
        <v>#REF!</v>
      </c>
      <c r="E47" s="29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30"/>
    </row>
    <row r="48" spans="2:17" ht="15.65" customHeight="1" x14ac:dyDescent="0.35">
      <c r="B48" s="510"/>
      <c r="C48" s="513"/>
      <c r="D48" s="26" t="e">
        <f>$D$8</f>
        <v>#REF!</v>
      </c>
      <c r="E48" s="25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3" t="str">
        <f>IF(SUM(E48:P48)=0,"",SUM(E48:P48))</f>
        <v/>
      </c>
    </row>
    <row r="49" spans="2:17" ht="15.65" customHeight="1" x14ac:dyDescent="0.35">
      <c r="B49" s="510"/>
      <c r="C49" s="513"/>
      <c r="D49" s="26" t="e">
        <f>$D$9</f>
        <v>#REF!</v>
      </c>
      <c r="E49" s="29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7" t="str">
        <f>IF(SUM(E49:P49)=0,"",SUM(E49:P49))</f>
        <v/>
      </c>
    </row>
    <row r="50" spans="2:17" ht="15.65" customHeight="1" x14ac:dyDescent="0.35">
      <c r="B50" s="510"/>
      <c r="C50" s="513"/>
      <c r="D50" s="26" t="e">
        <f>$D$10</f>
        <v>#REF!</v>
      </c>
      <c r="E50" s="25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3" t="str">
        <f>IF(SUM(E50:P50)=0,"",SUM(E50:P50))</f>
        <v/>
      </c>
    </row>
    <row r="51" spans="2:17" ht="15" customHeight="1" x14ac:dyDescent="0.35">
      <c r="B51" s="510"/>
      <c r="C51" s="513"/>
      <c r="D51" s="22" t="str">
        <f>$D$11</f>
        <v>Total</v>
      </c>
      <c r="E51" s="21" t="str">
        <f t="shared" ref="E51:Q51" si="5">IF(SUM(E45:E50)=0,"",SUM(E45:E50))</f>
        <v/>
      </c>
      <c r="F51" s="20" t="str">
        <f t="shared" si="5"/>
        <v/>
      </c>
      <c r="G51" s="20" t="str">
        <f t="shared" si="5"/>
        <v/>
      </c>
      <c r="H51" s="20" t="str">
        <f t="shared" si="5"/>
        <v/>
      </c>
      <c r="I51" s="20" t="str">
        <f t="shared" si="5"/>
        <v/>
      </c>
      <c r="J51" s="20" t="str">
        <f t="shared" si="5"/>
        <v/>
      </c>
      <c r="K51" s="20" t="str">
        <f t="shared" si="5"/>
        <v/>
      </c>
      <c r="L51" s="20" t="str">
        <f t="shared" si="5"/>
        <v/>
      </c>
      <c r="M51" s="20" t="str">
        <f t="shared" si="5"/>
        <v/>
      </c>
      <c r="N51" s="20" t="str">
        <f t="shared" si="5"/>
        <v/>
      </c>
      <c r="O51" s="20" t="str">
        <f t="shared" si="5"/>
        <v/>
      </c>
      <c r="P51" s="20" t="str">
        <f t="shared" si="5"/>
        <v/>
      </c>
      <c r="Q51" s="19" t="str">
        <f t="shared" si="5"/>
        <v/>
      </c>
    </row>
    <row r="52" spans="2:17" ht="16" customHeight="1" thickBot="1" x14ac:dyDescent="0.4">
      <c r="B52" s="511"/>
      <c r="C52" s="514"/>
      <c r="D52" s="18" t="e">
        <f>$D$12</f>
        <v>#REF!</v>
      </c>
      <c r="E52" s="17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5" t="str">
        <f>IF(SUM(E52:P52)=0,"",SUM(E52:P52))</f>
        <v/>
      </c>
    </row>
    <row r="53" spans="2:17" ht="15" customHeight="1" thickTop="1" x14ac:dyDescent="0.35">
      <c r="B53" s="509" t="s">
        <v>55</v>
      </c>
      <c r="C53" s="512" t="s">
        <v>54</v>
      </c>
      <c r="D53" s="34" t="e">
        <f>$D$5</f>
        <v>#REF!</v>
      </c>
      <c r="E53" s="37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5" t="str">
        <f>IF(SUM(E53:P53)=0,"",SUM(E53:P53))</f>
        <v/>
      </c>
    </row>
    <row r="54" spans="2:17" ht="15" customHeight="1" x14ac:dyDescent="0.35">
      <c r="B54" s="510"/>
      <c r="C54" s="513"/>
      <c r="D54" s="26" t="e">
        <f>$D$6</f>
        <v>#REF!</v>
      </c>
      <c r="E54" s="25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31" t="str">
        <f>IF(SUM(E54:P54)=0,"",SUM(E54:P54))</f>
        <v/>
      </c>
    </row>
    <row r="55" spans="2:17" ht="15" customHeight="1" x14ac:dyDescent="0.35">
      <c r="B55" s="510"/>
      <c r="C55" s="513"/>
      <c r="D55" s="26" t="e">
        <f>$D$7</f>
        <v>#REF!</v>
      </c>
      <c r="E55" s="29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30"/>
    </row>
    <row r="56" spans="2:17" ht="15" customHeight="1" x14ac:dyDescent="0.35">
      <c r="B56" s="510"/>
      <c r="C56" s="513"/>
      <c r="D56" s="26" t="e">
        <f>$D$8</f>
        <v>#REF!</v>
      </c>
      <c r="E56" s="25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3" t="str">
        <f>IF(SUM(E56:P56)=0,"",SUM(E56:P56))</f>
        <v/>
      </c>
    </row>
    <row r="57" spans="2:17" ht="15" customHeight="1" x14ac:dyDescent="0.35">
      <c r="B57" s="510"/>
      <c r="C57" s="513"/>
      <c r="D57" s="26" t="e">
        <f>$D$9</f>
        <v>#REF!</v>
      </c>
      <c r="E57" s="29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7" t="str">
        <f>IF(SUM(E57:P57)=0,"",SUM(E57:P57))</f>
        <v/>
      </c>
    </row>
    <row r="58" spans="2:17" ht="15" customHeight="1" x14ac:dyDescent="0.35">
      <c r="B58" s="510"/>
      <c r="C58" s="513"/>
      <c r="D58" s="26" t="e">
        <f>$D$10</f>
        <v>#REF!</v>
      </c>
      <c r="E58" s="25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3" t="str">
        <f>IF(SUM(E58:P58)=0,"",SUM(E58:P58))</f>
        <v/>
      </c>
    </row>
    <row r="59" spans="2:17" ht="15" customHeight="1" x14ac:dyDescent="0.35">
      <c r="B59" s="510"/>
      <c r="C59" s="513"/>
      <c r="D59" s="22" t="str">
        <f>$D$11</f>
        <v>Total</v>
      </c>
      <c r="E59" s="21" t="str">
        <f t="shared" ref="E59:Q59" si="6">IF(SUM(E53:E58)=0,"",SUM(E53:E58))</f>
        <v/>
      </c>
      <c r="F59" s="20" t="str">
        <f t="shared" si="6"/>
        <v/>
      </c>
      <c r="G59" s="20" t="str">
        <f t="shared" si="6"/>
        <v/>
      </c>
      <c r="H59" s="20" t="str">
        <f t="shared" si="6"/>
        <v/>
      </c>
      <c r="I59" s="20" t="str">
        <f t="shared" si="6"/>
        <v/>
      </c>
      <c r="J59" s="20" t="str">
        <f t="shared" si="6"/>
        <v/>
      </c>
      <c r="K59" s="20" t="str">
        <f t="shared" si="6"/>
        <v/>
      </c>
      <c r="L59" s="20" t="str">
        <f t="shared" si="6"/>
        <v/>
      </c>
      <c r="M59" s="20" t="str">
        <f t="shared" si="6"/>
        <v/>
      </c>
      <c r="N59" s="20" t="str">
        <f t="shared" si="6"/>
        <v/>
      </c>
      <c r="O59" s="20" t="str">
        <f t="shared" si="6"/>
        <v/>
      </c>
      <c r="P59" s="20" t="str">
        <f t="shared" si="6"/>
        <v/>
      </c>
      <c r="Q59" s="19" t="str">
        <f t="shared" si="6"/>
        <v/>
      </c>
    </row>
    <row r="60" spans="2:17" ht="16" customHeight="1" thickBot="1" x14ac:dyDescent="0.4">
      <c r="B60" s="511"/>
      <c r="C60" s="514"/>
      <c r="D60" s="18" t="e">
        <f>$D$12</f>
        <v>#REF!</v>
      </c>
      <c r="E60" s="17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5" t="str">
        <f>IF(SUM(E60:P60)=0,"",SUM(E60:P60))</f>
        <v/>
      </c>
    </row>
    <row r="61" spans="2:17" ht="15" customHeight="1" thickTop="1" x14ac:dyDescent="0.35">
      <c r="B61" s="509" t="s">
        <v>53</v>
      </c>
      <c r="C61" s="512" t="s">
        <v>353</v>
      </c>
      <c r="D61" s="34" t="e">
        <f>$D$5</f>
        <v>#REF!</v>
      </c>
      <c r="E61" s="37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5" t="str">
        <f>IF(SUM(E61:P61)=0,"",SUM(E61:P61))</f>
        <v/>
      </c>
    </row>
    <row r="62" spans="2:17" ht="15" customHeight="1" x14ac:dyDescent="0.35">
      <c r="B62" s="510"/>
      <c r="C62" s="513"/>
      <c r="D62" s="26" t="e">
        <f>$D$6</f>
        <v>#REF!</v>
      </c>
      <c r="E62" s="25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31" t="str">
        <f>IF(SUM(E62:P62)=0,"",SUM(E62:P62))</f>
        <v/>
      </c>
    </row>
    <row r="63" spans="2:17" ht="15" customHeight="1" x14ac:dyDescent="0.35">
      <c r="B63" s="510"/>
      <c r="C63" s="513"/>
      <c r="D63" s="26" t="e">
        <f>$D$7</f>
        <v>#REF!</v>
      </c>
      <c r="E63" s="29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30"/>
    </row>
    <row r="64" spans="2:17" ht="15" customHeight="1" x14ac:dyDescent="0.35">
      <c r="B64" s="510"/>
      <c r="C64" s="513"/>
      <c r="D64" s="26" t="e">
        <f>$D$8</f>
        <v>#REF!</v>
      </c>
      <c r="E64" s="25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3" t="str">
        <f>IF(SUM(E64:P64)=0,"",SUM(E64:P64))</f>
        <v/>
      </c>
    </row>
    <row r="65" spans="2:17" ht="15" customHeight="1" x14ac:dyDescent="0.35">
      <c r="B65" s="510"/>
      <c r="C65" s="513"/>
      <c r="D65" s="26" t="e">
        <f>$D$9</f>
        <v>#REF!</v>
      </c>
      <c r="E65" s="29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7" t="str">
        <f>IF(SUM(E65:P65)=0,"",SUM(E65:P65))</f>
        <v/>
      </c>
    </row>
    <row r="66" spans="2:17" ht="15" customHeight="1" x14ac:dyDescent="0.35">
      <c r="B66" s="510"/>
      <c r="C66" s="513"/>
      <c r="D66" s="26" t="e">
        <f>$D$10</f>
        <v>#REF!</v>
      </c>
      <c r="E66" s="25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3" t="str">
        <f>IF(SUM(E66:P66)=0,"",SUM(E66:P66))</f>
        <v/>
      </c>
    </row>
    <row r="67" spans="2:17" ht="15" customHeight="1" x14ac:dyDescent="0.35">
      <c r="B67" s="510"/>
      <c r="C67" s="513"/>
      <c r="D67" s="22" t="str">
        <f>$D$11</f>
        <v>Total</v>
      </c>
      <c r="E67" s="21" t="str">
        <f t="shared" ref="E67:Q67" si="7">IF(SUM(E61:E66)=0,"",SUM(E61:E66))</f>
        <v/>
      </c>
      <c r="F67" s="20" t="str">
        <f t="shared" si="7"/>
        <v/>
      </c>
      <c r="G67" s="20" t="str">
        <f t="shared" si="7"/>
        <v/>
      </c>
      <c r="H67" s="20" t="str">
        <f t="shared" si="7"/>
        <v/>
      </c>
      <c r="I67" s="20" t="str">
        <f t="shared" si="7"/>
        <v/>
      </c>
      <c r="J67" s="20" t="str">
        <f t="shared" si="7"/>
        <v/>
      </c>
      <c r="K67" s="20" t="str">
        <f t="shared" si="7"/>
        <v/>
      </c>
      <c r="L67" s="20" t="str">
        <f t="shared" si="7"/>
        <v/>
      </c>
      <c r="M67" s="20" t="str">
        <f t="shared" si="7"/>
        <v/>
      </c>
      <c r="N67" s="20" t="str">
        <f t="shared" si="7"/>
        <v/>
      </c>
      <c r="O67" s="20" t="str">
        <f t="shared" si="7"/>
        <v/>
      </c>
      <c r="P67" s="20" t="str">
        <f t="shared" si="7"/>
        <v/>
      </c>
      <c r="Q67" s="19" t="str">
        <f t="shared" si="7"/>
        <v/>
      </c>
    </row>
    <row r="68" spans="2:17" ht="16" customHeight="1" thickBot="1" x14ac:dyDescent="0.4">
      <c r="B68" s="511"/>
      <c r="C68" s="514"/>
      <c r="D68" s="18" t="e">
        <f>$D$12</f>
        <v>#REF!</v>
      </c>
      <c r="E68" s="46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4" t="str">
        <f>IF(SUM(E68:P68)=0,"",SUM(E68:P68))</f>
        <v/>
      </c>
    </row>
    <row r="69" spans="2:17" ht="15" customHeight="1" thickTop="1" x14ac:dyDescent="0.35">
      <c r="B69" s="509" t="s">
        <v>52</v>
      </c>
      <c r="C69" s="512" t="s">
        <v>51</v>
      </c>
      <c r="D69" s="34" t="e">
        <f>$D$5</f>
        <v>#REF!</v>
      </c>
      <c r="E69" s="43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1" t="str">
        <f>IF(SUM(E69:P69)=0,"",SUM(E69:P69))</f>
        <v/>
      </c>
    </row>
    <row r="70" spans="2:17" ht="15.65" customHeight="1" x14ac:dyDescent="0.35">
      <c r="B70" s="510"/>
      <c r="C70" s="513"/>
      <c r="D70" s="26" t="e">
        <f>$D$6</f>
        <v>#REF!</v>
      </c>
      <c r="E70" s="25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31" t="str">
        <f>IF(SUM(E70:P70)=0,"",SUM(E70:P70))</f>
        <v/>
      </c>
    </row>
    <row r="71" spans="2:17" ht="15.65" customHeight="1" x14ac:dyDescent="0.35">
      <c r="B71" s="510"/>
      <c r="C71" s="513"/>
      <c r="D71" s="26" t="e">
        <f>$D$7</f>
        <v>#REF!</v>
      </c>
      <c r="E71" s="29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30"/>
    </row>
    <row r="72" spans="2:17" ht="15.65" customHeight="1" x14ac:dyDescent="0.35">
      <c r="B72" s="510"/>
      <c r="C72" s="513"/>
      <c r="D72" s="26" t="e">
        <f>$D$8</f>
        <v>#REF!</v>
      </c>
      <c r="E72" s="25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3" t="str">
        <f>IF(SUM(E72:P72)=0,"",SUM(E72:P72))</f>
        <v/>
      </c>
    </row>
    <row r="73" spans="2:17" ht="15.65" customHeight="1" x14ac:dyDescent="0.35">
      <c r="B73" s="510"/>
      <c r="C73" s="513"/>
      <c r="D73" s="26" t="e">
        <f>$D$9</f>
        <v>#REF!</v>
      </c>
      <c r="E73" s="29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7" t="str">
        <f>IF(SUM(E73:P73)=0,"",SUM(E73:P73))</f>
        <v/>
      </c>
    </row>
    <row r="74" spans="2:17" ht="15.65" customHeight="1" x14ac:dyDescent="0.35">
      <c r="B74" s="510"/>
      <c r="C74" s="513"/>
      <c r="D74" s="26" t="e">
        <f>$D$10</f>
        <v>#REF!</v>
      </c>
      <c r="E74" s="25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3" t="str">
        <f>IF(SUM(E74:P74)=0,"",SUM(E74:P74))</f>
        <v/>
      </c>
    </row>
    <row r="75" spans="2:17" ht="15" customHeight="1" x14ac:dyDescent="0.35">
      <c r="B75" s="510"/>
      <c r="C75" s="513"/>
      <c r="D75" s="22" t="str">
        <f>$D$11</f>
        <v>Total</v>
      </c>
      <c r="E75" s="21" t="str">
        <f t="shared" ref="E75:Q75" si="8">IF(SUM(E69:E74)=0,"",SUM(E69:E74))</f>
        <v/>
      </c>
      <c r="F75" s="20" t="str">
        <f t="shared" si="8"/>
        <v/>
      </c>
      <c r="G75" s="20" t="str">
        <f t="shared" si="8"/>
        <v/>
      </c>
      <c r="H75" s="20" t="str">
        <f t="shared" si="8"/>
        <v/>
      </c>
      <c r="I75" s="20" t="str">
        <f t="shared" si="8"/>
        <v/>
      </c>
      <c r="J75" s="20" t="str">
        <f t="shared" si="8"/>
        <v/>
      </c>
      <c r="K75" s="20" t="str">
        <f t="shared" si="8"/>
        <v/>
      </c>
      <c r="L75" s="20" t="str">
        <f t="shared" si="8"/>
        <v/>
      </c>
      <c r="M75" s="20" t="str">
        <f t="shared" si="8"/>
        <v/>
      </c>
      <c r="N75" s="20" t="str">
        <f t="shared" si="8"/>
        <v/>
      </c>
      <c r="O75" s="20" t="str">
        <f t="shared" si="8"/>
        <v/>
      </c>
      <c r="P75" s="20" t="str">
        <f t="shared" si="8"/>
        <v/>
      </c>
      <c r="Q75" s="19" t="str">
        <f t="shared" si="8"/>
        <v/>
      </c>
    </row>
    <row r="76" spans="2:17" ht="16" customHeight="1" thickBot="1" x14ac:dyDescent="0.4">
      <c r="B76" s="511"/>
      <c r="C76" s="514"/>
      <c r="D76" s="18" t="e">
        <f>$D$12</f>
        <v>#REF!</v>
      </c>
      <c r="E76" s="17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5" t="str">
        <f>IF(SUM(E76:P76)=0,"",SUM(E76:P76))</f>
        <v/>
      </c>
    </row>
    <row r="77" spans="2:17" ht="15" customHeight="1" thickTop="1" x14ac:dyDescent="0.35">
      <c r="B77" s="509" t="s">
        <v>50</v>
      </c>
      <c r="C77" s="512" t="s">
        <v>369</v>
      </c>
      <c r="D77" s="34" t="e">
        <f>$D$5</f>
        <v>#REF!</v>
      </c>
      <c r="E77" s="37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5" t="str">
        <f>IF(SUM(E77:P77)=0,"",SUM(E77:P77))</f>
        <v/>
      </c>
    </row>
    <row r="78" spans="2:17" ht="15" customHeight="1" x14ac:dyDescent="0.35">
      <c r="B78" s="510"/>
      <c r="C78" s="513"/>
      <c r="D78" s="26" t="e">
        <f>$D$6</f>
        <v>#REF!</v>
      </c>
      <c r="E78" s="25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31" t="str">
        <f>IF(SUM(E78:P78)=0,"",SUM(E78:P78))</f>
        <v/>
      </c>
    </row>
    <row r="79" spans="2:17" ht="15" customHeight="1" x14ac:dyDescent="0.35">
      <c r="B79" s="510"/>
      <c r="C79" s="513"/>
      <c r="D79" s="26" t="e">
        <f>$D$7</f>
        <v>#REF!</v>
      </c>
      <c r="E79" s="29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30"/>
    </row>
    <row r="80" spans="2:17" ht="15" customHeight="1" x14ac:dyDescent="0.35">
      <c r="B80" s="510"/>
      <c r="C80" s="513"/>
      <c r="D80" s="26" t="e">
        <f>$D$8</f>
        <v>#REF!</v>
      </c>
      <c r="E80" s="25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3" t="str">
        <f>IF(SUM(E80:P80)=0,"",SUM(E80:P80))</f>
        <v/>
      </c>
    </row>
    <row r="81" spans="2:17" ht="15" customHeight="1" x14ac:dyDescent="0.35">
      <c r="B81" s="510"/>
      <c r="C81" s="513"/>
      <c r="D81" s="26" t="e">
        <f>$D$9</f>
        <v>#REF!</v>
      </c>
      <c r="E81" s="29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7" t="str">
        <f>IF(SUM(E81:P81)=0,"",SUM(E81:P81))</f>
        <v/>
      </c>
    </row>
    <row r="82" spans="2:17" ht="15" customHeight="1" x14ac:dyDescent="0.35">
      <c r="B82" s="510"/>
      <c r="C82" s="513"/>
      <c r="D82" s="26" t="e">
        <f>$D$10</f>
        <v>#REF!</v>
      </c>
      <c r="E82" s="25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3" t="str">
        <f>IF(SUM(E82:P82)=0,"",SUM(E82:P82))</f>
        <v/>
      </c>
    </row>
    <row r="83" spans="2:17" ht="15" customHeight="1" x14ac:dyDescent="0.35">
      <c r="B83" s="510"/>
      <c r="C83" s="513"/>
      <c r="D83" s="22" t="str">
        <f>$D$11</f>
        <v>Total</v>
      </c>
      <c r="E83" s="21" t="str">
        <f t="shared" ref="E83:Q83" si="9">IF(SUM(E77:E82)=0,"",SUM(E77:E82))</f>
        <v/>
      </c>
      <c r="F83" s="20" t="str">
        <f t="shared" si="9"/>
        <v/>
      </c>
      <c r="G83" s="20" t="str">
        <f t="shared" si="9"/>
        <v/>
      </c>
      <c r="H83" s="20" t="str">
        <f t="shared" si="9"/>
        <v/>
      </c>
      <c r="I83" s="20" t="str">
        <f t="shared" si="9"/>
        <v/>
      </c>
      <c r="J83" s="20" t="str">
        <f t="shared" si="9"/>
        <v/>
      </c>
      <c r="K83" s="20" t="str">
        <f t="shared" si="9"/>
        <v/>
      </c>
      <c r="L83" s="20" t="str">
        <f t="shared" si="9"/>
        <v/>
      </c>
      <c r="M83" s="20" t="str">
        <f t="shared" si="9"/>
        <v/>
      </c>
      <c r="N83" s="20" t="str">
        <f t="shared" si="9"/>
        <v/>
      </c>
      <c r="O83" s="20" t="str">
        <f t="shared" si="9"/>
        <v/>
      </c>
      <c r="P83" s="20" t="str">
        <f t="shared" si="9"/>
        <v/>
      </c>
      <c r="Q83" s="19" t="str">
        <f t="shared" si="9"/>
        <v/>
      </c>
    </row>
    <row r="84" spans="2:17" ht="16" customHeight="1" thickBot="1" x14ac:dyDescent="0.4">
      <c r="B84" s="511"/>
      <c r="C84" s="514"/>
      <c r="D84" s="18" t="e">
        <f>$D$12</f>
        <v>#REF!</v>
      </c>
      <c r="E84" s="46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4" t="str">
        <f>IF(SUM(E84:P84)=0,"",SUM(E84:P84))</f>
        <v/>
      </c>
    </row>
    <row r="85" spans="2:17" ht="15" customHeight="1" thickTop="1" x14ac:dyDescent="0.35">
      <c r="B85" s="509" t="s">
        <v>49</v>
      </c>
      <c r="C85" s="512" t="s">
        <v>48</v>
      </c>
      <c r="D85" s="34" t="e">
        <f>$D$5</f>
        <v>#REF!</v>
      </c>
      <c r="E85" s="43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1" t="str">
        <f>IF(SUM(E85:P85)=0,"",SUM(E85:P85))</f>
        <v/>
      </c>
    </row>
    <row r="86" spans="2:17" ht="15" customHeight="1" x14ac:dyDescent="0.35">
      <c r="B86" s="510"/>
      <c r="C86" s="513"/>
      <c r="D86" s="26" t="e">
        <f>$D$6</f>
        <v>#REF!</v>
      </c>
      <c r="E86" s="48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23"/>
    </row>
    <row r="87" spans="2:17" ht="15.65" customHeight="1" x14ac:dyDescent="0.35">
      <c r="B87" s="510"/>
      <c r="C87" s="513"/>
      <c r="D87" s="26" t="e">
        <f>$D$7</f>
        <v>#REF!</v>
      </c>
      <c r="E87" s="29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7" t="str">
        <f>IF(SUM(E87:P87)=0,"",SUM(E87:P87))</f>
        <v/>
      </c>
    </row>
    <row r="88" spans="2:17" ht="15.65" customHeight="1" x14ac:dyDescent="0.35">
      <c r="B88" s="510"/>
      <c r="C88" s="513"/>
      <c r="D88" s="26" t="e">
        <f>$D$8</f>
        <v>#REF!</v>
      </c>
      <c r="E88" s="25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3" t="str">
        <f>IF(SUM(E88:P88)=0,"",SUM(E88:P88))</f>
        <v/>
      </c>
    </row>
    <row r="89" spans="2:17" ht="15.65" customHeight="1" x14ac:dyDescent="0.35">
      <c r="B89" s="510"/>
      <c r="C89" s="513"/>
      <c r="D89" s="26" t="e">
        <f>$D$9</f>
        <v>#REF!</v>
      </c>
      <c r="E89" s="29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7" t="str">
        <f>IF(SUM(E89:P89)=0,"",SUM(E89:P89))</f>
        <v/>
      </c>
    </row>
    <row r="90" spans="2:17" ht="15.65" customHeight="1" x14ac:dyDescent="0.35">
      <c r="B90" s="510"/>
      <c r="C90" s="513"/>
      <c r="D90" s="26" t="e">
        <f>$D$10</f>
        <v>#REF!</v>
      </c>
      <c r="E90" s="25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3" t="str">
        <f>IF(SUM(E90:P90)=0,"",SUM(E90:P90))</f>
        <v/>
      </c>
    </row>
    <row r="91" spans="2:17" ht="15" customHeight="1" x14ac:dyDescent="0.35">
      <c r="B91" s="510"/>
      <c r="C91" s="513"/>
      <c r="D91" s="22" t="str">
        <f>$D$11</f>
        <v>Total</v>
      </c>
      <c r="E91" s="21" t="str">
        <f t="shared" ref="E91:Q91" si="10">IF(SUM(E85:E90)=0,"",SUM(E85:E90))</f>
        <v/>
      </c>
      <c r="F91" s="20" t="str">
        <f t="shared" si="10"/>
        <v/>
      </c>
      <c r="G91" s="20" t="str">
        <f t="shared" si="10"/>
        <v/>
      </c>
      <c r="H91" s="20" t="str">
        <f t="shared" si="10"/>
        <v/>
      </c>
      <c r="I91" s="20" t="str">
        <f t="shared" si="10"/>
        <v/>
      </c>
      <c r="J91" s="20" t="str">
        <f t="shared" si="10"/>
        <v/>
      </c>
      <c r="K91" s="20" t="str">
        <f t="shared" si="10"/>
        <v/>
      </c>
      <c r="L91" s="20" t="str">
        <f t="shared" si="10"/>
        <v/>
      </c>
      <c r="M91" s="20" t="str">
        <f t="shared" si="10"/>
        <v/>
      </c>
      <c r="N91" s="20" t="str">
        <f t="shared" si="10"/>
        <v/>
      </c>
      <c r="O91" s="20" t="str">
        <f t="shared" si="10"/>
        <v/>
      </c>
      <c r="P91" s="20" t="str">
        <f t="shared" si="10"/>
        <v/>
      </c>
      <c r="Q91" s="19" t="str">
        <f t="shared" si="10"/>
        <v/>
      </c>
    </row>
    <row r="92" spans="2:17" ht="16" customHeight="1" thickBot="1" x14ac:dyDescent="0.4">
      <c r="B92" s="511"/>
      <c r="C92" s="514"/>
      <c r="D92" s="18" t="e">
        <f>$D$12</f>
        <v>#REF!</v>
      </c>
      <c r="E92" s="17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5" t="str">
        <f>IF(SUM(E92:P92)=0,"",SUM(E92:P92))</f>
        <v/>
      </c>
    </row>
    <row r="93" spans="2:17" ht="15" customHeight="1" thickTop="1" x14ac:dyDescent="0.35">
      <c r="B93" s="509" t="s">
        <v>47</v>
      </c>
      <c r="C93" s="512" t="s">
        <v>358</v>
      </c>
      <c r="D93" s="34" t="e">
        <f>$D$5</f>
        <v>#REF!</v>
      </c>
      <c r="E93" s="37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5" t="str">
        <f>IF(SUM(E93:P93)=0,"",SUM(E93:P93))</f>
        <v/>
      </c>
    </row>
    <row r="94" spans="2:17" ht="15" customHeight="1" x14ac:dyDescent="0.35">
      <c r="B94" s="510"/>
      <c r="C94" s="513"/>
      <c r="D94" s="26" t="e">
        <f>$D$6</f>
        <v>#REF!</v>
      </c>
      <c r="E94" s="25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31" t="str">
        <f>IF(SUM(E94:P94)=0,"",SUM(E94:P94))</f>
        <v/>
      </c>
    </row>
    <row r="95" spans="2:17" ht="15" customHeight="1" x14ac:dyDescent="0.35">
      <c r="B95" s="510"/>
      <c r="C95" s="513"/>
      <c r="D95" s="26" t="e">
        <f>$D$7</f>
        <v>#REF!</v>
      </c>
      <c r="E95" s="29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30"/>
    </row>
    <row r="96" spans="2:17" ht="15" customHeight="1" x14ac:dyDescent="0.35">
      <c r="B96" s="510"/>
      <c r="C96" s="513"/>
      <c r="D96" s="26" t="e">
        <f>$D$8</f>
        <v>#REF!</v>
      </c>
      <c r="E96" s="25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3" t="str">
        <f>IF(SUM(E96:P96)=0,"",SUM(E96:P96))</f>
        <v/>
      </c>
    </row>
    <row r="97" spans="2:17" ht="15" customHeight="1" x14ac:dyDescent="0.35">
      <c r="B97" s="510"/>
      <c r="C97" s="513"/>
      <c r="D97" s="26" t="e">
        <f>$D$9</f>
        <v>#REF!</v>
      </c>
      <c r="E97" s="29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7" t="str">
        <f>IF(SUM(E97:P97)=0,"",SUM(E97:P97))</f>
        <v/>
      </c>
    </row>
    <row r="98" spans="2:17" ht="15" customHeight="1" x14ac:dyDescent="0.35">
      <c r="B98" s="510"/>
      <c r="C98" s="513"/>
      <c r="D98" s="26" t="e">
        <f>$D$10</f>
        <v>#REF!</v>
      </c>
      <c r="E98" s="25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3" t="str">
        <f>IF(SUM(E98:P98)=0,"",SUM(E98:P98))</f>
        <v/>
      </c>
    </row>
    <row r="99" spans="2:17" ht="15" customHeight="1" x14ac:dyDescent="0.35">
      <c r="B99" s="510"/>
      <c r="C99" s="513"/>
      <c r="D99" s="22" t="str">
        <f>$D$11</f>
        <v>Total</v>
      </c>
      <c r="E99" s="21" t="str">
        <f t="shared" ref="E99:Q99" si="11">IF(SUM(E93:E98)=0,"",SUM(E93:E98))</f>
        <v/>
      </c>
      <c r="F99" s="20" t="str">
        <f t="shared" si="11"/>
        <v/>
      </c>
      <c r="G99" s="20" t="str">
        <f t="shared" si="11"/>
        <v/>
      </c>
      <c r="H99" s="20" t="str">
        <f t="shared" si="11"/>
        <v/>
      </c>
      <c r="I99" s="20" t="str">
        <f t="shared" si="11"/>
        <v/>
      </c>
      <c r="J99" s="20" t="str">
        <f t="shared" si="11"/>
        <v/>
      </c>
      <c r="K99" s="20" t="str">
        <f t="shared" si="11"/>
        <v/>
      </c>
      <c r="L99" s="20" t="str">
        <f t="shared" si="11"/>
        <v/>
      </c>
      <c r="M99" s="20" t="str">
        <f t="shared" si="11"/>
        <v/>
      </c>
      <c r="N99" s="20" t="str">
        <f t="shared" si="11"/>
        <v/>
      </c>
      <c r="O99" s="20" t="str">
        <f t="shared" si="11"/>
        <v/>
      </c>
      <c r="P99" s="20" t="str">
        <f t="shared" si="11"/>
        <v/>
      </c>
      <c r="Q99" s="19" t="str">
        <f t="shared" si="11"/>
        <v/>
      </c>
    </row>
    <row r="100" spans="2:17" ht="16" customHeight="1" thickBot="1" x14ac:dyDescent="0.4">
      <c r="B100" s="511"/>
      <c r="C100" s="514"/>
      <c r="D100" s="18" t="e">
        <f>$D$12</f>
        <v>#REF!</v>
      </c>
      <c r="E100" s="46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4" t="str">
        <f>IF(SUM(E100:P100)=0,"",SUM(E100:P100))</f>
        <v/>
      </c>
    </row>
    <row r="101" spans="2:17" ht="15" customHeight="1" thickTop="1" x14ac:dyDescent="0.35">
      <c r="B101" s="509" t="s">
        <v>46</v>
      </c>
      <c r="C101" s="512" t="s">
        <v>45</v>
      </c>
      <c r="D101" s="34" t="e">
        <f>$D$5</f>
        <v>#REF!</v>
      </c>
      <c r="E101" s="43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1" t="str">
        <f>IF(SUM(E101:P101)=0,"",SUM(E101:P101))</f>
        <v/>
      </c>
    </row>
    <row r="102" spans="2:17" ht="15.65" customHeight="1" x14ac:dyDescent="0.35">
      <c r="B102" s="510"/>
      <c r="C102" s="513"/>
      <c r="D102" s="26" t="e">
        <f>$D$6</f>
        <v>#REF!</v>
      </c>
      <c r="E102" s="25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31" t="str">
        <f>IF(SUM(E102:P102)=0,"",SUM(E102:P102))</f>
        <v/>
      </c>
    </row>
    <row r="103" spans="2:17" ht="15.65" customHeight="1" x14ac:dyDescent="0.35">
      <c r="B103" s="510"/>
      <c r="C103" s="513"/>
      <c r="D103" s="26" t="e">
        <f>$D$7</f>
        <v>#REF!</v>
      </c>
      <c r="E103" s="29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30"/>
    </row>
    <row r="104" spans="2:17" ht="15.65" customHeight="1" x14ac:dyDescent="0.35">
      <c r="B104" s="510"/>
      <c r="C104" s="513"/>
      <c r="D104" s="26" t="e">
        <f>$D$8</f>
        <v>#REF!</v>
      </c>
      <c r="E104" s="25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3" t="str">
        <f>IF(SUM(E104:P104)=0,"",SUM(E104:P104))</f>
        <v/>
      </c>
    </row>
    <row r="105" spans="2:17" ht="15.65" customHeight="1" x14ac:dyDescent="0.35">
      <c r="B105" s="510"/>
      <c r="C105" s="513"/>
      <c r="D105" s="26" t="e">
        <f>$D$9</f>
        <v>#REF!</v>
      </c>
      <c r="E105" s="29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7" t="str">
        <f>IF(SUM(E105:P105)=0,"",SUM(E105:P105))</f>
        <v/>
      </c>
    </row>
    <row r="106" spans="2:17" ht="15.65" customHeight="1" x14ac:dyDescent="0.35">
      <c r="B106" s="510"/>
      <c r="C106" s="513"/>
      <c r="D106" s="26" t="e">
        <f>$D$10</f>
        <v>#REF!</v>
      </c>
      <c r="E106" s="25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3" t="str">
        <f>IF(SUM(E106:P106)=0,"",SUM(E106:P106))</f>
        <v/>
      </c>
    </row>
    <row r="107" spans="2:17" ht="15" customHeight="1" x14ac:dyDescent="0.35">
      <c r="B107" s="510"/>
      <c r="C107" s="513"/>
      <c r="D107" s="22" t="str">
        <f>$D$11</f>
        <v>Total</v>
      </c>
      <c r="E107" s="21" t="str">
        <f t="shared" ref="E107:Q107" si="12">IF(SUM(E101:E106)=0,"",SUM(E101:E106))</f>
        <v/>
      </c>
      <c r="F107" s="20" t="str">
        <f t="shared" si="12"/>
        <v/>
      </c>
      <c r="G107" s="20" t="str">
        <f t="shared" si="12"/>
        <v/>
      </c>
      <c r="H107" s="20" t="str">
        <f t="shared" si="12"/>
        <v/>
      </c>
      <c r="I107" s="20" t="str">
        <f t="shared" si="12"/>
        <v/>
      </c>
      <c r="J107" s="20" t="str">
        <f t="shared" si="12"/>
        <v/>
      </c>
      <c r="K107" s="20" t="str">
        <f t="shared" si="12"/>
        <v/>
      </c>
      <c r="L107" s="20" t="str">
        <f t="shared" si="12"/>
        <v/>
      </c>
      <c r="M107" s="20" t="str">
        <f t="shared" si="12"/>
        <v/>
      </c>
      <c r="N107" s="20" t="str">
        <f t="shared" si="12"/>
        <v/>
      </c>
      <c r="O107" s="20" t="str">
        <f t="shared" si="12"/>
        <v/>
      </c>
      <c r="P107" s="20" t="str">
        <f t="shared" si="12"/>
        <v/>
      </c>
      <c r="Q107" s="19" t="str">
        <f t="shared" si="12"/>
        <v/>
      </c>
    </row>
    <row r="108" spans="2:17" ht="16" customHeight="1" thickBot="1" x14ac:dyDescent="0.4">
      <c r="B108" s="511"/>
      <c r="C108" s="514"/>
      <c r="D108" s="18" t="e">
        <f>$D$12</f>
        <v>#REF!</v>
      </c>
      <c r="E108" s="40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8" t="str">
        <f>IF(SUM(E108:P108)=0,"",SUM(E108:P108))</f>
        <v/>
      </c>
    </row>
    <row r="109" spans="2:17" ht="15" customHeight="1" thickTop="1" x14ac:dyDescent="0.35">
      <c r="B109" s="509" t="s">
        <v>44</v>
      </c>
      <c r="C109" s="512"/>
      <c r="D109" s="34" t="e">
        <f>$D$5</f>
        <v>#REF!</v>
      </c>
      <c r="E109" s="37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5" t="str">
        <f>IF(SUM(E109:P109)=0,"",SUM(E109:P109))</f>
        <v/>
      </c>
    </row>
    <row r="110" spans="2:17" ht="15" customHeight="1" x14ac:dyDescent="0.35">
      <c r="B110" s="510"/>
      <c r="C110" s="513"/>
      <c r="D110" s="26" t="e">
        <f>$D$6</f>
        <v>#REF!</v>
      </c>
      <c r="E110" s="25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31" t="str">
        <f>IF(SUM(E110:P110)=0,"",SUM(E110:P110))</f>
        <v/>
      </c>
    </row>
    <row r="111" spans="2:17" ht="15" customHeight="1" x14ac:dyDescent="0.35">
      <c r="B111" s="510"/>
      <c r="C111" s="513"/>
      <c r="D111" s="26" t="e">
        <f>$D$7</f>
        <v>#REF!</v>
      </c>
      <c r="E111" s="29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30" t="str">
        <f>IF(SUM(E111:P111)=0,"",SUM(E111:P111))</f>
        <v/>
      </c>
    </row>
    <row r="112" spans="2:17" ht="15" customHeight="1" x14ac:dyDescent="0.35">
      <c r="B112" s="510"/>
      <c r="C112" s="513"/>
      <c r="D112" s="26" t="e">
        <f>$D$8</f>
        <v>#REF!</v>
      </c>
      <c r="E112" s="25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3"/>
    </row>
    <row r="113" spans="2:17" ht="15" customHeight="1" x14ac:dyDescent="0.35">
      <c r="B113" s="510"/>
      <c r="C113" s="513"/>
      <c r="D113" s="26" t="e">
        <f>$D$9</f>
        <v>#REF!</v>
      </c>
      <c r="E113" s="29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7" t="str">
        <f>IF(SUM(E113:P113)=0,"",SUM(E113:P113))</f>
        <v/>
      </c>
    </row>
    <row r="114" spans="2:17" ht="15" customHeight="1" x14ac:dyDescent="0.35">
      <c r="B114" s="510"/>
      <c r="C114" s="513"/>
      <c r="D114" s="26" t="e">
        <f>$D$10</f>
        <v>#REF!</v>
      </c>
      <c r="E114" s="25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3" t="str">
        <f>IF(SUM(E114:P114)=0,"",SUM(E114:P114))</f>
        <v/>
      </c>
    </row>
    <row r="115" spans="2:17" ht="15" customHeight="1" x14ac:dyDescent="0.35">
      <c r="B115" s="510"/>
      <c r="C115" s="513"/>
      <c r="D115" s="22" t="str">
        <f>$D$11</f>
        <v>Total</v>
      </c>
      <c r="E115" s="21" t="str">
        <f t="shared" ref="E115:Q115" si="13">IF(SUM(E109:E114)=0,"",SUM(E109:E114))</f>
        <v/>
      </c>
      <c r="F115" s="20" t="str">
        <f t="shared" si="13"/>
        <v/>
      </c>
      <c r="G115" s="20" t="str">
        <f t="shared" si="13"/>
        <v/>
      </c>
      <c r="H115" s="20" t="str">
        <f t="shared" si="13"/>
        <v/>
      </c>
      <c r="I115" s="20" t="str">
        <f t="shared" si="13"/>
        <v/>
      </c>
      <c r="J115" s="20" t="str">
        <f t="shared" si="13"/>
        <v/>
      </c>
      <c r="K115" s="20" t="str">
        <f t="shared" si="13"/>
        <v/>
      </c>
      <c r="L115" s="20" t="str">
        <f t="shared" si="13"/>
        <v/>
      </c>
      <c r="M115" s="20" t="str">
        <f t="shared" si="13"/>
        <v/>
      </c>
      <c r="N115" s="20" t="str">
        <f t="shared" si="13"/>
        <v/>
      </c>
      <c r="O115" s="20" t="str">
        <f t="shared" si="13"/>
        <v/>
      </c>
      <c r="P115" s="20" t="str">
        <f t="shared" si="13"/>
        <v/>
      </c>
      <c r="Q115" s="19" t="str">
        <f t="shared" si="13"/>
        <v/>
      </c>
    </row>
    <row r="116" spans="2:17" ht="16" customHeight="1" thickBot="1" x14ac:dyDescent="0.4">
      <c r="B116" s="511"/>
      <c r="C116" s="514"/>
      <c r="D116" s="18" t="e">
        <f>$D$12</f>
        <v>#REF!</v>
      </c>
      <c r="E116" s="17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5" t="str">
        <f>IF(SUM(E116:P116)=0,"",SUM(E116:P116))</f>
        <v/>
      </c>
    </row>
    <row r="117" spans="2:17" ht="15" customHeight="1" thickTop="1" x14ac:dyDescent="0.35">
      <c r="B117" s="509" t="s">
        <v>43</v>
      </c>
      <c r="C117" s="512" t="s">
        <v>515</v>
      </c>
      <c r="D117" s="34" t="e">
        <f>$D$5</f>
        <v>#REF!</v>
      </c>
      <c r="E117" s="33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0" t="str">
        <f>IF(SUM(E117:P117)=0,"",SUM(E117:P117))</f>
        <v/>
      </c>
    </row>
    <row r="118" spans="2:17" ht="15" customHeight="1" x14ac:dyDescent="0.35">
      <c r="B118" s="510"/>
      <c r="C118" s="513"/>
      <c r="D118" s="26" t="e">
        <f>$D$6</f>
        <v>#REF!</v>
      </c>
      <c r="E118" s="25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31" t="str">
        <f>IF(SUM(E118:P118)=0,"",SUM(E118:P118))</f>
        <v/>
      </c>
    </row>
    <row r="119" spans="2:17" ht="15" customHeight="1" x14ac:dyDescent="0.35">
      <c r="B119" s="510"/>
      <c r="C119" s="513"/>
      <c r="D119" s="26" t="e">
        <f>$D$7</f>
        <v>#REF!</v>
      </c>
      <c r="E119" s="29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30" t="str">
        <f>IF(SUM(E119:P119)=0,"",SUM(E119:P119))</f>
        <v/>
      </c>
    </row>
    <row r="120" spans="2:17" ht="15" customHeight="1" x14ac:dyDescent="0.35">
      <c r="B120" s="510"/>
      <c r="C120" s="513"/>
      <c r="D120" s="26" t="e">
        <f>$D$8</f>
        <v>#REF!</v>
      </c>
      <c r="E120" s="25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3"/>
    </row>
    <row r="121" spans="2:17" ht="15" customHeight="1" x14ac:dyDescent="0.35">
      <c r="B121" s="510"/>
      <c r="C121" s="513"/>
      <c r="D121" s="26" t="e">
        <f>$D$9</f>
        <v>#REF!</v>
      </c>
      <c r="E121" s="29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7" t="str">
        <f>IF(SUM(E121:P121)=0,"",SUM(E121:P121))</f>
        <v/>
      </c>
    </row>
    <row r="122" spans="2:17" ht="15" customHeight="1" x14ac:dyDescent="0.35">
      <c r="B122" s="510"/>
      <c r="C122" s="513"/>
      <c r="D122" s="26" t="e">
        <f>$D$10</f>
        <v>#REF!</v>
      </c>
      <c r="E122" s="25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3" t="str">
        <f>IF(SUM(E122:P122)=0,"",SUM(E122:P122))</f>
        <v/>
      </c>
    </row>
    <row r="123" spans="2:17" ht="15" customHeight="1" x14ac:dyDescent="0.35">
      <c r="B123" s="510"/>
      <c r="C123" s="513"/>
      <c r="D123" s="22" t="str">
        <f>$D$11</f>
        <v>Total</v>
      </c>
      <c r="E123" s="21" t="str">
        <f t="shared" ref="E123:Q123" si="14">IF(SUM(E117:E122)=0,"",SUM(E117:E122))</f>
        <v/>
      </c>
      <c r="F123" s="20" t="str">
        <f t="shared" si="14"/>
        <v/>
      </c>
      <c r="G123" s="20" t="str">
        <f t="shared" si="14"/>
        <v/>
      </c>
      <c r="H123" s="20" t="str">
        <f t="shared" si="14"/>
        <v/>
      </c>
      <c r="I123" s="20" t="str">
        <f t="shared" si="14"/>
        <v/>
      </c>
      <c r="J123" s="20" t="str">
        <f t="shared" si="14"/>
        <v/>
      </c>
      <c r="K123" s="20" t="str">
        <f t="shared" si="14"/>
        <v/>
      </c>
      <c r="L123" s="20" t="str">
        <f t="shared" si="14"/>
        <v/>
      </c>
      <c r="M123" s="20" t="str">
        <f t="shared" si="14"/>
        <v/>
      </c>
      <c r="N123" s="20" t="str">
        <f t="shared" si="14"/>
        <v/>
      </c>
      <c r="O123" s="20" t="str">
        <f t="shared" si="14"/>
        <v/>
      </c>
      <c r="P123" s="20" t="str">
        <f t="shared" si="14"/>
        <v/>
      </c>
      <c r="Q123" s="19" t="str">
        <f t="shared" si="14"/>
        <v/>
      </c>
    </row>
    <row r="124" spans="2:17" ht="16.5" customHeight="1" thickBot="1" x14ac:dyDescent="0.4">
      <c r="B124" s="511"/>
      <c r="C124" s="514"/>
      <c r="D124" s="18" t="e">
        <f>$D$12</f>
        <v>#REF!</v>
      </c>
      <c r="E124" s="17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5" t="str">
        <f>IF(SUM(E124:P124)=0,"",SUM(E124:P124))</f>
        <v/>
      </c>
    </row>
    <row r="125" spans="2:17" ht="15" thickTop="1" x14ac:dyDescent="0.35"/>
  </sheetData>
  <sheetProtection sheet="1" objects="1" scenarios="1" selectLockedCells="1"/>
  <autoFilter ref="B4:D124" xr:uid="{00000000-0009-0000-0000-000001000000}"/>
  <mergeCells count="34"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  <mergeCell ref="B2:D2"/>
    <mergeCell ref="B3:D3"/>
    <mergeCell ref="E2:Q2"/>
    <mergeCell ref="Q3:Q4"/>
    <mergeCell ref="B29:B36"/>
    <mergeCell ref="B21:B28"/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 filterMode="1"/>
  <dimension ref="A1:Z472"/>
  <sheetViews>
    <sheetView topLeftCell="A27" zoomScale="66" zoomScaleNormal="70" zoomScaleSheetLayoutView="85" workbookViewId="0">
      <selection activeCell="F373" sqref="F373"/>
    </sheetView>
  </sheetViews>
  <sheetFormatPr baseColWidth="10" defaultColWidth="11.453125" defaultRowHeight="14.5" x14ac:dyDescent="0.35"/>
  <cols>
    <col min="1" max="1" width="13.1796875" style="272" bestFit="1" customWidth="1"/>
    <col min="2" max="2" width="11.36328125" style="272" customWidth="1"/>
    <col min="3" max="3" width="35.26953125" style="272" customWidth="1"/>
    <col min="4" max="4" width="25.453125" style="272" customWidth="1"/>
    <col min="5" max="5" width="40.1796875" style="272" customWidth="1"/>
    <col min="6" max="6" width="30.81640625" style="272" customWidth="1"/>
    <col min="7" max="7" width="32.54296875" style="462" customWidth="1"/>
    <col min="8" max="8" width="47.26953125" style="272" bestFit="1" customWidth="1"/>
    <col min="9" max="9" width="19" style="462" customWidth="1"/>
    <col min="10" max="10" width="15.54296875" style="462" customWidth="1"/>
    <col min="11" max="11" width="17.54296875" style="272" customWidth="1"/>
    <col min="12" max="12" width="32.1796875" style="462" customWidth="1"/>
    <col min="13" max="13" width="18.26953125" style="336" customWidth="1"/>
    <col min="14" max="14" width="10.7265625" style="462" customWidth="1"/>
    <col min="15" max="15" width="11.453125" style="462" customWidth="1"/>
    <col min="16" max="16" width="12.7265625" style="462" customWidth="1"/>
    <col min="17" max="17" width="11.81640625" style="462" customWidth="1"/>
    <col min="18" max="18" width="17.453125" style="462" customWidth="1"/>
    <col min="19" max="19" width="21" style="462" customWidth="1"/>
    <col min="20" max="20" width="14.54296875" style="462" customWidth="1"/>
    <col min="21" max="21" width="13.26953125" style="462" customWidth="1"/>
    <col min="22" max="22" width="16" style="462" customWidth="1"/>
    <col min="23" max="23" width="13" style="462" customWidth="1"/>
    <col min="24" max="24" width="26.26953125" style="462" customWidth="1"/>
    <col min="25" max="25" width="19.26953125" style="462" customWidth="1"/>
    <col min="26" max="26" width="22.54296875" style="462" customWidth="1"/>
    <col min="27" max="16384" width="11.453125" style="462"/>
  </cols>
  <sheetData>
    <row r="1" spans="1:18" ht="48" thickBot="1" x14ac:dyDescent="0.4">
      <c r="A1" s="261"/>
      <c r="B1" s="533" t="s">
        <v>42</v>
      </c>
      <c r="C1" s="534"/>
      <c r="D1" s="534"/>
      <c r="E1" s="534"/>
      <c r="G1" s="457"/>
      <c r="I1" s="457"/>
      <c r="J1" s="457"/>
      <c r="L1" s="457"/>
      <c r="M1" s="457"/>
    </row>
    <row r="2" spans="1:18" ht="21.75" customHeight="1" x14ac:dyDescent="0.35">
      <c r="C2" s="460" t="str">
        <f>IF(Daten!$AE$4=0,"Kontostand Sparkasse am 31.12."&amp;Startmenü!$F$1-1,"Kontostand Sparkasse am "&amp;TEXT(DATE(Startmenü!$F$1,Daten!$AE$4,1),"TT.MM.JJJJ"))</f>
        <v>Kontostand Sparkasse am 31.12.2024</v>
      </c>
      <c r="D2" s="270"/>
      <c r="E2" s="273">
        <f>IF(Daten!$AE$4&lt;=1,Startmenü!$F$4,Startmenü!$F$4+SUMIFS(Bankkonto!#REF!,Bankkonto!#REF!,"&gt;="&amp;DATE(YEAR(Bankkonto!#REF!),1,1),Bankkonto!#REF!,"&lt;"&amp;DATE(YEAR(Bankkonto!#REF!),Daten!$AE$4,1)))</f>
        <v>8686.86</v>
      </c>
      <c r="M2" s="469"/>
    </row>
    <row r="3" spans="1:18" ht="21.75" customHeight="1" thickBot="1" x14ac:dyDescent="0.4">
      <c r="C3" s="461" t="str">
        <f>IF(Daten!$AE$4=0,IF(COUNT(Bankkonto!$A$28:$A$3433)=0,"","Kontostand nach der letzten Buchung im Monat am: " &amp; TEXT(MAX(Bankkonto!$A$28:$A$5000),"TT.MM.JJJJ")),IF(COUNTIFS(Bankkonto!$A$28:$A$5000,"&gt;=" &amp; DATE(Startmenü!$F$1,Daten!$AE$4,1),Bankkonto!$A$28:$A$5000,"&lt;=" &amp; DATE(Startmenü!$F$1,Daten!$AE$4+1,0))=0,"","Kontostand nach der letzten Buchung im Monat am: " &amp; TEXT(_xlfn.MAXIFS(Bankkonto!$A$28:$A$5000,Bankkonto!$A$28:$A$5000,"&gt;=" &amp; DATE(Startmenü!$F$1,Daten!$AE$4,1),Bankkonto!$A$28:$A$5000,"&lt;=" &amp; DATE(Startmenü!$F$1,Daten!$AE$4+1,0)),"TT.MM.JJJJ")))</f>
        <v>Kontostand nach der letzten Buchung im Monat am: 18.12.2025</v>
      </c>
      <c r="D3" s="271"/>
      <c r="E3" s="274">
        <f>IF(E23="",E2+E15+E22,E2+E15+E22+E23)</f>
        <v>9064.6499999999978</v>
      </c>
      <c r="M3" s="469"/>
    </row>
    <row r="4" spans="1:18" ht="7" customHeight="1" x14ac:dyDescent="0.35">
      <c r="M4" s="462"/>
    </row>
    <row r="5" spans="1:18" ht="7" customHeight="1" x14ac:dyDescent="0.35">
      <c r="M5" s="462"/>
    </row>
    <row r="6" spans="1:18" ht="50.25" customHeight="1" x14ac:dyDescent="0.35">
      <c r="C6" s="535" t="s">
        <v>41</v>
      </c>
      <c r="D6" s="535"/>
      <c r="E6" s="535"/>
      <c r="G6" s="457"/>
      <c r="M6" s="462"/>
      <c r="R6" s="299" t="str">
        <f>C25</f>
        <v>Auszug: ganzes Jahr 2025</v>
      </c>
    </row>
    <row r="7" spans="1:18" ht="10.5" customHeight="1" x14ac:dyDescent="0.35">
      <c r="M7" s="462"/>
    </row>
    <row r="8" spans="1:18" ht="15" customHeight="1" x14ac:dyDescent="0.35">
      <c r="B8" s="536" t="s">
        <v>24</v>
      </c>
      <c r="C8" s="12" t="s">
        <v>40</v>
      </c>
      <c r="D8" s="12"/>
      <c r="E8" s="275">
        <f>IF(SUMIFS(M28:M5000,G28:G5000,TRUE)=0,"",SUMIFS(M28:M5000,G28:G5000,TRUE))</f>
        <v>2255</v>
      </c>
      <c r="M8" s="462"/>
    </row>
    <row r="9" spans="1:18" x14ac:dyDescent="0.35">
      <c r="B9" s="536"/>
      <c r="C9" s="13" t="s">
        <v>39</v>
      </c>
      <c r="D9" s="13"/>
      <c r="E9" s="276" t="str">
        <f>IF(SUMIFS(N28:N5000,G28:G5000,TRUE)=0,"",SUMIFS(N28:N5000,G28:G5000,TRUE))</f>
        <v/>
      </c>
      <c r="M9" s="462"/>
      <c r="P9" s="325"/>
    </row>
    <row r="10" spans="1:18" x14ac:dyDescent="0.35">
      <c r="B10" s="536"/>
      <c r="C10" s="12" t="s">
        <v>38</v>
      </c>
      <c r="D10" s="12"/>
      <c r="E10" s="275" t="str">
        <f>IF(SUMIFS(O28:O5000,G28:G5000,TRUE)=0,"",SUMIFS(O28:O5000,G28:G5000,TRUE))</f>
        <v/>
      </c>
      <c r="M10" s="462"/>
      <c r="P10" s="325"/>
    </row>
    <row r="11" spans="1:18" x14ac:dyDescent="0.35">
      <c r="B11" s="536"/>
      <c r="C11" s="13" t="s">
        <v>37</v>
      </c>
      <c r="D11" s="13"/>
      <c r="E11" s="276" t="str">
        <f>IF(SUMIFS(P28:P5000,G28:G5000,TRUE)=0,"",SUMIFS(P28:P5000,G28:G5000,TRUE))</f>
        <v/>
      </c>
      <c r="M11" s="462"/>
    </row>
    <row r="12" spans="1:18" x14ac:dyDescent="0.35">
      <c r="B12" s="536"/>
      <c r="C12" s="12" t="s">
        <v>36</v>
      </c>
      <c r="D12" s="12"/>
      <c r="E12" s="275" t="str">
        <f>IF(SUMIFS(Q28:Q5000,G28:G5000,TRUE)=0,"",SUMIFS(Q28:Q5000,G28:G5000,TRUE))</f>
        <v/>
      </c>
      <c r="M12" s="462"/>
      <c r="P12" s="325"/>
    </row>
    <row r="13" spans="1:18" x14ac:dyDescent="0.35">
      <c r="B13" s="536"/>
      <c r="C13" s="13" t="s">
        <v>32</v>
      </c>
      <c r="D13" s="13"/>
      <c r="E13" s="276" t="str">
        <f>IF(SUMIFS(R28:R5000,G28:G5000,TRUE)=0,"",SUMIFS(R28:R5000,G28:G5000,TRUE))</f>
        <v/>
      </c>
      <c r="M13" s="462"/>
      <c r="P13" s="325"/>
    </row>
    <row r="14" spans="1:18" ht="15" thickBot="1" x14ac:dyDescent="0.4">
      <c r="B14" s="536"/>
      <c r="C14" s="12" t="s">
        <v>35</v>
      </c>
      <c r="D14" s="12"/>
      <c r="E14" s="275">
        <f>IF(SUMIFS(S28:S5000,G28:G5000,TRUE)=0,"",SUMIFS(S28:S5000,G28:G5000,TRUE))</f>
        <v>10258.319999999998</v>
      </c>
      <c r="M14" s="462"/>
      <c r="P14" s="325"/>
    </row>
    <row r="15" spans="1:18" ht="19.5" thickTop="1" thickBot="1" x14ac:dyDescent="0.4">
      <c r="B15" s="537"/>
      <c r="C15" s="11" t="s">
        <v>28</v>
      </c>
      <c r="D15" s="11"/>
      <c r="E15" s="277">
        <f>SUM(E8:E14)</f>
        <v>12513.319999999998</v>
      </c>
      <c r="M15" s="462"/>
    </row>
    <row r="16" spans="1:18" ht="15" customHeight="1" x14ac:dyDescent="0.35">
      <c r="B16" s="538" t="s">
        <v>23</v>
      </c>
      <c r="C16" s="10" t="s">
        <v>34</v>
      </c>
      <c r="D16" s="10"/>
      <c r="E16" s="8">
        <f>IF(SUMIFS(T28:T5000,G28:G5000,TRUE)=0,"",SUMIFS(T28:T5000,G28:G5000,TRUE))</f>
        <v>-11758.000000000002</v>
      </c>
      <c r="M16" s="462"/>
    </row>
    <row r="17" spans="1:26" x14ac:dyDescent="0.35">
      <c r="B17" s="539"/>
      <c r="C17" s="5" t="s">
        <v>33</v>
      </c>
      <c r="D17" s="5"/>
      <c r="E17" s="3" t="str">
        <f>IF(SUMIFS(U28:U5000,G28:G5000,TRUE)=0,"",SUMIFS(U28:U5000,G28:G5000,TRUE))</f>
        <v/>
      </c>
      <c r="M17" s="462"/>
    </row>
    <row r="18" spans="1:26" x14ac:dyDescent="0.35">
      <c r="B18" s="539"/>
      <c r="C18" s="1" t="s">
        <v>32</v>
      </c>
      <c r="D18" s="1"/>
      <c r="E18" s="6">
        <f>IF(SUMIFS(V28:V5000,G28:G5000,TRUE)=0,"",SUMIFS(V28:V5000,G28:G5000,TRUE))</f>
        <v>-21.43</v>
      </c>
      <c r="M18" s="462"/>
    </row>
    <row r="19" spans="1:26" x14ac:dyDescent="0.35">
      <c r="B19" s="539"/>
      <c r="C19" s="5" t="s">
        <v>31</v>
      </c>
      <c r="D19" s="5"/>
      <c r="E19" s="3" t="str">
        <f>IF(SUMIFS(W28:W5000,G28:G5000,TRUE)=0,"",SUMIFS(W28:W5000,G28:G5000,TRUE))</f>
        <v/>
      </c>
      <c r="M19" s="462"/>
    </row>
    <row r="20" spans="1:26" x14ac:dyDescent="0.35">
      <c r="B20" s="539"/>
      <c r="C20" s="1" t="s">
        <v>30</v>
      </c>
      <c r="D20" s="1"/>
      <c r="E20" s="6" t="str">
        <f>IF(SUMIFS(X28:X5000,G28:G5000,TRUE)=0,"",SUMIFS(X28:X5000,G28:G5000,TRUE))</f>
        <v/>
      </c>
      <c r="M20" s="462"/>
    </row>
    <row r="21" spans="1:26" x14ac:dyDescent="0.35">
      <c r="B21" s="539"/>
      <c r="C21" s="5" t="s">
        <v>29</v>
      </c>
      <c r="D21" s="5"/>
      <c r="E21" s="3">
        <f>IF(SUMIFS(Y28:Y5000,G28:G5000,TRUE)=0,"",SUMIFS(Y28:Y5000,G28:G5000,TRUE))</f>
        <v>-56.1</v>
      </c>
      <c r="M21" s="462"/>
    </row>
    <row r="22" spans="1:26" ht="18.5" x14ac:dyDescent="0.35">
      <c r="B22" s="539"/>
      <c r="C22" s="2" t="s">
        <v>28</v>
      </c>
      <c r="D22" s="263"/>
      <c r="E22" s="278">
        <f>SUM(E16:E21)</f>
        <v>-11835.530000000002</v>
      </c>
      <c r="M22" s="462"/>
    </row>
    <row r="23" spans="1:26" x14ac:dyDescent="0.35">
      <c r="B23" s="539"/>
      <c r="C23" s="1" t="s">
        <v>27</v>
      </c>
      <c r="D23" s="1"/>
      <c r="E23" s="6">
        <f>IF(SUMIFS(Z28:Z5000,G28:G5000,TRUE)=0,"",SUMIFS(Z28:Z5000,G28:G5000,TRUE))</f>
        <v>-300</v>
      </c>
      <c r="M23" s="462"/>
    </row>
    <row r="24" spans="1:26" x14ac:dyDescent="0.35">
      <c r="M24" s="462"/>
    </row>
    <row r="25" spans="1:26" ht="26" x14ac:dyDescent="0.35">
      <c r="A25" s="540" t="s">
        <v>26</v>
      </c>
      <c r="B25" s="541"/>
      <c r="C25" s="542" t="s">
        <v>466</v>
      </c>
      <c r="D25" s="543"/>
      <c r="E25" s="543"/>
      <c r="F25" s="525"/>
      <c r="G25" s="525"/>
      <c r="H25" s="525"/>
      <c r="I25" s="525"/>
      <c r="J25" s="525"/>
      <c r="K25" s="525"/>
      <c r="L25" s="526"/>
      <c r="M25" s="524" t="str">
        <f>C6</f>
        <v>Konto Sparkasse</v>
      </c>
      <c r="N25" s="525"/>
      <c r="O25" s="525"/>
      <c r="P25" s="525"/>
      <c r="Q25" s="525"/>
      <c r="R25" s="525"/>
      <c r="S25" s="525"/>
      <c r="T25" s="525"/>
      <c r="U25" s="525"/>
      <c r="V25" s="525"/>
      <c r="W25" s="525"/>
      <c r="X25" s="525"/>
      <c r="Y25" s="525"/>
      <c r="Z25" s="526"/>
    </row>
    <row r="26" spans="1:26" s="326" customFormat="1" ht="21" x14ac:dyDescent="0.35">
      <c r="A26" s="527" t="s">
        <v>25</v>
      </c>
      <c r="B26" s="528"/>
      <c r="C26" s="529"/>
      <c r="D26" s="529"/>
      <c r="E26" s="530"/>
      <c r="F26" s="264"/>
      <c r="G26" s="456"/>
      <c r="H26" s="264"/>
      <c r="I26" s="456"/>
      <c r="J26" s="456"/>
      <c r="K26" s="264"/>
      <c r="L26" s="456"/>
      <c r="M26" s="531" t="s">
        <v>24</v>
      </c>
      <c r="N26" s="525"/>
      <c r="O26" s="525"/>
      <c r="P26" s="525"/>
      <c r="Q26" s="525"/>
      <c r="R26" s="525"/>
      <c r="S26" s="525"/>
      <c r="T26" s="532" t="s">
        <v>23</v>
      </c>
      <c r="U26" s="525"/>
      <c r="V26" s="525"/>
      <c r="W26" s="525"/>
      <c r="X26" s="525"/>
      <c r="Y26" s="525"/>
      <c r="Z26" s="526"/>
    </row>
    <row r="27" spans="1:26" ht="31.5" customHeight="1" x14ac:dyDescent="0.35">
      <c r="A27" s="319" t="s">
        <v>21</v>
      </c>
      <c r="B27" s="319" t="s">
        <v>18</v>
      </c>
      <c r="C27" s="319" t="s">
        <v>351</v>
      </c>
      <c r="D27" s="319" t="s">
        <v>373</v>
      </c>
      <c r="E27" s="319" t="s">
        <v>338</v>
      </c>
      <c r="F27" s="319" t="s">
        <v>342</v>
      </c>
      <c r="G27" s="320" t="s">
        <v>505</v>
      </c>
      <c r="H27" s="319" t="s">
        <v>20</v>
      </c>
      <c r="I27" s="320" t="s">
        <v>339</v>
      </c>
      <c r="J27" s="320" t="s">
        <v>340</v>
      </c>
      <c r="K27" s="319" t="s">
        <v>341</v>
      </c>
      <c r="L27" s="320" t="s">
        <v>22</v>
      </c>
      <c r="M27" s="321" t="s">
        <v>17</v>
      </c>
      <c r="N27" s="321" t="s">
        <v>16</v>
      </c>
      <c r="O27" s="321" t="s">
        <v>15</v>
      </c>
      <c r="P27" s="321" t="s">
        <v>14</v>
      </c>
      <c r="Q27" s="321" t="s">
        <v>13</v>
      </c>
      <c r="R27" s="321" t="s">
        <v>12</v>
      </c>
      <c r="S27" s="321" t="s">
        <v>11</v>
      </c>
      <c r="T27" s="322" t="s">
        <v>10</v>
      </c>
      <c r="U27" s="322" t="s">
        <v>9</v>
      </c>
      <c r="V27" s="322" t="s">
        <v>8</v>
      </c>
      <c r="W27" s="322" t="s">
        <v>7</v>
      </c>
      <c r="X27" s="322" t="s">
        <v>6</v>
      </c>
      <c r="Y27" s="322" t="s">
        <v>5</v>
      </c>
      <c r="Z27" s="323" t="s">
        <v>4</v>
      </c>
    </row>
    <row r="28" spans="1:26" hidden="1" x14ac:dyDescent="0.35">
      <c r="A28" s="476">
        <v>45659</v>
      </c>
      <c r="B28" s="505">
        <v>15</v>
      </c>
      <c r="C28" s="477" t="s">
        <v>613</v>
      </c>
      <c r="D28" s="477" t="s">
        <v>614</v>
      </c>
      <c r="E28" s="477" t="s">
        <v>710</v>
      </c>
      <c r="F28" s="477" t="s">
        <v>561</v>
      </c>
      <c r="G28" s="474" t="b">
        <f>IF(A28="","",IF(Daten!$AE$4=0,TRUE,MONTH(A28)=Daten!$AE$4))</f>
        <v>1</v>
      </c>
      <c r="H28" s="480" t="s">
        <v>306</v>
      </c>
      <c r="I28" s="474" t="s">
        <v>79</v>
      </c>
      <c r="J28" s="474"/>
      <c r="K28" s="477" t="s">
        <v>628</v>
      </c>
      <c r="L28" s="484"/>
      <c r="M28" s="422">
        <v>15</v>
      </c>
      <c r="N28" s="422"/>
      <c r="O28" s="422"/>
      <c r="P28" s="422"/>
      <c r="Q28" s="422"/>
      <c r="R28" s="422"/>
      <c r="S28" s="422"/>
      <c r="T28" s="422"/>
      <c r="U28" s="422"/>
      <c r="V28" s="422"/>
      <c r="W28" s="422"/>
      <c r="X28" s="422"/>
      <c r="Y28" s="422"/>
      <c r="Z28" s="422"/>
    </row>
    <row r="29" spans="1:26" hidden="1" x14ac:dyDescent="0.35">
      <c r="A29" s="478">
        <v>45659</v>
      </c>
      <c r="B29" s="506">
        <v>15</v>
      </c>
      <c r="C29" s="479" t="s">
        <v>51</v>
      </c>
      <c r="D29" s="479" t="s">
        <v>580</v>
      </c>
      <c r="E29" s="479" t="s">
        <v>384</v>
      </c>
      <c r="F29" s="479" t="s">
        <v>561</v>
      </c>
      <c r="G29" s="475" t="b">
        <f>IF(A29="","",IF(Daten!$AE$4=0,TRUE,MONTH(A29)=Daten!$AE$4))</f>
        <v>1</v>
      </c>
      <c r="H29" s="480" t="s">
        <v>415</v>
      </c>
      <c r="I29" s="475" t="s">
        <v>79</v>
      </c>
      <c r="J29" s="475"/>
      <c r="K29" s="479" t="s">
        <v>628</v>
      </c>
      <c r="L29" s="485"/>
      <c r="M29" s="423"/>
      <c r="N29" s="423"/>
      <c r="O29" s="423"/>
      <c r="P29" s="423"/>
      <c r="Q29" s="423"/>
      <c r="R29" s="423"/>
      <c r="S29" s="423">
        <v>15</v>
      </c>
      <c r="T29" s="423"/>
      <c r="U29" s="423"/>
      <c r="V29" s="423"/>
      <c r="W29" s="423"/>
      <c r="X29" s="423"/>
      <c r="Y29" s="423"/>
      <c r="Z29" s="423"/>
    </row>
    <row r="30" spans="1:26" hidden="1" x14ac:dyDescent="0.35">
      <c r="A30" s="476">
        <v>45659</v>
      </c>
      <c r="B30" s="505">
        <v>15</v>
      </c>
      <c r="C30" s="477" t="s">
        <v>613</v>
      </c>
      <c r="D30" s="477" t="s">
        <v>614</v>
      </c>
      <c r="E30" s="477" t="s">
        <v>711</v>
      </c>
      <c r="F30" s="477" t="s">
        <v>561</v>
      </c>
      <c r="G30" s="474" t="b">
        <f>IF(A30="","",IF(Daten!$AE$4=0,TRUE,MONTH(A30)=Daten!$AE$4))</f>
        <v>1</v>
      </c>
      <c r="H30" s="480" t="s">
        <v>415</v>
      </c>
      <c r="I30" s="474" t="s">
        <v>79</v>
      </c>
      <c r="J30" s="474"/>
      <c r="K30" s="477" t="s">
        <v>628</v>
      </c>
      <c r="L30" s="484"/>
      <c r="M30" s="422"/>
      <c r="N30" s="422"/>
      <c r="O30" s="422"/>
      <c r="P30" s="422"/>
      <c r="Q30" s="422"/>
      <c r="R30" s="422"/>
      <c r="S30" s="422">
        <v>15</v>
      </c>
      <c r="T30" s="422"/>
      <c r="U30" s="422"/>
      <c r="V30" s="422"/>
      <c r="W30" s="422"/>
      <c r="X30" s="422"/>
      <c r="Y30" s="422"/>
      <c r="Z30" s="422"/>
    </row>
    <row r="31" spans="1:26" hidden="1" x14ac:dyDescent="0.35">
      <c r="A31" s="478">
        <v>45659</v>
      </c>
      <c r="B31" s="506">
        <v>15</v>
      </c>
      <c r="C31" s="479" t="s">
        <v>575</v>
      </c>
      <c r="D31" s="479" t="s">
        <v>576</v>
      </c>
      <c r="E31" s="479" t="s">
        <v>646</v>
      </c>
      <c r="F31" s="479" t="s">
        <v>561</v>
      </c>
      <c r="G31" s="475" t="b">
        <f>IF(A31="","",IF(Daten!$AE$4=0,TRUE,MONTH(A31)=Daten!$AE$4))</f>
        <v>1</v>
      </c>
      <c r="H31" s="480" t="s">
        <v>306</v>
      </c>
      <c r="I31" s="475" t="s">
        <v>79</v>
      </c>
      <c r="J31" s="475"/>
      <c r="K31" s="479" t="s">
        <v>628</v>
      </c>
      <c r="L31" s="485"/>
      <c r="M31" s="423">
        <v>15</v>
      </c>
      <c r="N31" s="423"/>
      <c r="O31" s="423"/>
      <c r="P31" s="423"/>
      <c r="Q31" s="423"/>
      <c r="R31" s="423"/>
      <c r="S31" s="423"/>
      <c r="T31" s="423"/>
      <c r="U31" s="423"/>
      <c r="V31" s="423"/>
      <c r="W31" s="423"/>
      <c r="X31" s="423"/>
      <c r="Y31" s="423"/>
      <c r="Z31" s="423"/>
    </row>
    <row r="32" spans="1:26" hidden="1" x14ac:dyDescent="0.35">
      <c r="A32" s="476">
        <v>45659</v>
      </c>
      <c r="B32" s="505">
        <v>7.5</v>
      </c>
      <c r="C32" s="477" t="s">
        <v>56</v>
      </c>
      <c r="D32" s="477" t="s">
        <v>593</v>
      </c>
      <c r="E32" s="477" t="s">
        <v>386</v>
      </c>
      <c r="F32" s="477" t="s">
        <v>561</v>
      </c>
      <c r="G32" s="474" t="b">
        <f>IF(A32="","",IF(Daten!$AE$4=0,TRUE,MONTH(A32)=Daten!$AE$4))</f>
        <v>1</v>
      </c>
      <c r="H32" s="480" t="s">
        <v>306</v>
      </c>
      <c r="I32" s="474" t="s">
        <v>79</v>
      </c>
      <c r="J32" s="474"/>
      <c r="K32" s="477" t="s">
        <v>628</v>
      </c>
      <c r="L32" s="484"/>
      <c r="M32" s="422">
        <v>7.5</v>
      </c>
      <c r="N32" s="422"/>
      <c r="O32" s="422"/>
      <c r="P32" s="422"/>
      <c r="Q32" s="422"/>
      <c r="R32" s="422"/>
      <c r="S32" s="422"/>
      <c r="T32" s="422"/>
      <c r="U32" s="422"/>
      <c r="V32" s="422"/>
      <c r="W32" s="422"/>
      <c r="X32" s="422"/>
      <c r="Y32" s="422"/>
      <c r="Z32" s="422"/>
    </row>
    <row r="33" spans="1:26" hidden="1" x14ac:dyDescent="0.35">
      <c r="A33" s="478">
        <v>45659</v>
      </c>
      <c r="B33" s="506">
        <v>15</v>
      </c>
      <c r="C33" s="479" t="s">
        <v>588</v>
      </c>
      <c r="D33" s="479" t="s">
        <v>589</v>
      </c>
      <c r="E33" s="479" t="s">
        <v>385</v>
      </c>
      <c r="F33" s="479" t="s">
        <v>561</v>
      </c>
      <c r="G33" s="475" t="b">
        <f>IF(A33="","",IF(Daten!$AE$4=0,TRUE,MONTH(A33)=Daten!$AE$4))</f>
        <v>1</v>
      </c>
      <c r="H33" s="480" t="s">
        <v>415</v>
      </c>
      <c r="I33" s="475" t="s">
        <v>79</v>
      </c>
      <c r="J33" s="475"/>
      <c r="K33" s="479" t="s">
        <v>628</v>
      </c>
      <c r="L33" s="485"/>
      <c r="M33" s="423"/>
      <c r="N33" s="423"/>
      <c r="O33" s="423"/>
      <c r="P33" s="423"/>
      <c r="Q33" s="423"/>
      <c r="R33" s="423"/>
      <c r="S33" s="423">
        <v>15</v>
      </c>
      <c r="T33" s="423"/>
      <c r="U33" s="423"/>
      <c r="V33" s="423"/>
      <c r="W33" s="423"/>
      <c r="X33" s="423"/>
      <c r="Y33" s="423"/>
      <c r="Z33" s="423"/>
    </row>
    <row r="34" spans="1:26" hidden="1" x14ac:dyDescent="0.35">
      <c r="A34" s="476">
        <v>45659</v>
      </c>
      <c r="B34" s="505">
        <v>7.5</v>
      </c>
      <c r="C34" s="477" t="s">
        <v>66</v>
      </c>
      <c r="D34" s="477" t="s">
        <v>585</v>
      </c>
      <c r="E34" s="477" t="s">
        <v>643</v>
      </c>
      <c r="F34" s="477" t="s">
        <v>561</v>
      </c>
      <c r="G34" s="474" t="b">
        <f>IF(A34="","",IF(Daten!$AE$4=0,TRUE,MONTH(A34)=Daten!$AE$4))</f>
        <v>1</v>
      </c>
      <c r="H34" s="480" t="s">
        <v>306</v>
      </c>
      <c r="I34" s="474" t="s">
        <v>79</v>
      </c>
      <c r="J34" s="474"/>
      <c r="K34" s="477" t="s">
        <v>628</v>
      </c>
      <c r="L34" s="484"/>
      <c r="M34" s="422">
        <v>7.5</v>
      </c>
      <c r="N34" s="422"/>
      <c r="O34" s="422"/>
      <c r="P34" s="422"/>
      <c r="Q34" s="422"/>
      <c r="R34" s="422"/>
      <c r="S34" s="422"/>
      <c r="T34" s="422"/>
      <c r="U34" s="422"/>
      <c r="V34" s="422"/>
      <c r="W34" s="422"/>
      <c r="X34" s="422"/>
      <c r="Y34" s="422"/>
      <c r="Z34" s="422"/>
    </row>
    <row r="35" spans="1:26" hidden="1" x14ac:dyDescent="0.35">
      <c r="A35" s="478">
        <v>45659</v>
      </c>
      <c r="B35" s="506">
        <v>15</v>
      </c>
      <c r="C35" s="479" t="s">
        <v>66</v>
      </c>
      <c r="D35" s="479" t="s">
        <v>585</v>
      </c>
      <c r="E35" s="479" t="s">
        <v>644</v>
      </c>
      <c r="F35" s="479" t="s">
        <v>561</v>
      </c>
      <c r="G35" s="475" t="b">
        <f>IF(A35="","",IF(Daten!$AE$4=0,TRUE,MONTH(A35)=Daten!$AE$4))</f>
        <v>1</v>
      </c>
      <c r="H35" s="480" t="s">
        <v>415</v>
      </c>
      <c r="I35" s="475" t="s">
        <v>79</v>
      </c>
      <c r="J35" s="475"/>
      <c r="K35" s="479" t="s">
        <v>628</v>
      </c>
      <c r="L35" s="485"/>
      <c r="M35" s="423"/>
      <c r="N35" s="423"/>
      <c r="O35" s="423"/>
      <c r="P35" s="423"/>
      <c r="Q35" s="423"/>
      <c r="R35" s="423"/>
      <c r="S35" s="423">
        <v>15</v>
      </c>
      <c r="T35" s="423"/>
      <c r="U35" s="423"/>
      <c r="V35" s="423"/>
      <c r="W35" s="423"/>
      <c r="X35" s="423"/>
      <c r="Y35" s="423"/>
      <c r="Z35" s="423"/>
    </row>
    <row r="36" spans="1:26" hidden="1" x14ac:dyDescent="0.35">
      <c r="A36" s="476">
        <v>45659</v>
      </c>
      <c r="B36" s="505">
        <v>15</v>
      </c>
      <c r="C36" s="477" t="s">
        <v>56</v>
      </c>
      <c r="D36" s="477" t="s">
        <v>593</v>
      </c>
      <c r="E36" s="477" t="s">
        <v>648</v>
      </c>
      <c r="F36" s="477" t="s">
        <v>561</v>
      </c>
      <c r="G36" s="474" t="b">
        <f>IF(A36="","",IF(Daten!$AE$4=0,TRUE,MONTH(A36)=Daten!$AE$4))</f>
        <v>1</v>
      </c>
      <c r="H36" s="480" t="s">
        <v>415</v>
      </c>
      <c r="I36" s="474" t="s">
        <v>79</v>
      </c>
      <c r="J36" s="474"/>
      <c r="K36" s="477" t="s">
        <v>628</v>
      </c>
      <c r="L36" s="484"/>
      <c r="M36" s="422"/>
      <c r="N36" s="422"/>
      <c r="O36" s="422"/>
      <c r="P36" s="422"/>
      <c r="Q36" s="422"/>
      <c r="R36" s="422"/>
      <c r="S36" s="422">
        <v>15</v>
      </c>
      <c r="T36" s="422"/>
      <c r="U36" s="422"/>
      <c r="V36" s="422"/>
      <c r="W36" s="422"/>
      <c r="X36" s="422"/>
      <c r="Y36" s="422"/>
      <c r="Z36" s="422"/>
    </row>
    <row r="37" spans="1:26" hidden="1" x14ac:dyDescent="0.35">
      <c r="A37" s="478">
        <v>45659</v>
      </c>
      <c r="B37" s="506">
        <v>15</v>
      </c>
      <c r="C37" s="479" t="s">
        <v>586</v>
      </c>
      <c r="D37" s="479" t="s">
        <v>587</v>
      </c>
      <c r="E37" s="479" t="s">
        <v>645</v>
      </c>
      <c r="F37" s="479" t="s">
        <v>561</v>
      </c>
      <c r="G37" s="475" t="b">
        <f>IF(A37="","",IF(Daten!$AE$4=0,TRUE,MONTH(A37)=Daten!$AE$4))</f>
        <v>1</v>
      </c>
      <c r="H37" s="480" t="s">
        <v>415</v>
      </c>
      <c r="I37" s="475" t="s">
        <v>79</v>
      </c>
      <c r="J37" s="475"/>
      <c r="K37" s="479" t="s">
        <v>628</v>
      </c>
      <c r="L37" s="485"/>
      <c r="M37" s="423"/>
      <c r="N37" s="423"/>
      <c r="O37" s="423"/>
      <c r="P37" s="423"/>
      <c r="Q37" s="423"/>
      <c r="R37" s="423"/>
      <c r="S37" s="423">
        <v>15</v>
      </c>
      <c r="T37" s="423"/>
      <c r="U37" s="423"/>
      <c r="V37" s="423"/>
      <c r="W37" s="423"/>
      <c r="X37" s="423"/>
      <c r="Y37" s="423"/>
      <c r="Z37" s="423"/>
    </row>
    <row r="38" spans="1:26" hidden="1" x14ac:dyDescent="0.35">
      <c r="A38" s="476">
        <v>45659</v>
      </c>
      <c r="B38" s="505">
        <v>15</v>
      </c>
      <c r="C38" s="477" t="s">
        <v>586</v>
      </c>
      <c r="D38" s="477" t="s">
        <v>587</v>
      </c>
      <c r="E38" s="477" t="s">
        <v>647</v>
      </c>
      <c r="F38" s="477" t="s">
        <v>561</v>
      </c>
      <c r="G38" s="474" t="b">
        <f>IF(A38="","",IF(Daten!$AE$4=0,TRUE,MONTH(A38)=Daten!$AE$4))</f>
        <v>1</v>
      </c>
      <c r="H38" s="480" t="s">
        <v>306</v>
      </c>
      <c r="I38" s="474" t="s">
        <v>79</v>
      </c>
      <c r="J38" s="474"/>
      <c r="K38" s="477" t="s">
        <v>628</v>
      </c>
      <c r="L38" s="484"/>
      <c r="M38" s="422">
        <v>15</v>
      </c>
      <c r="N38" s="422"/>
      <c r="O38" s="422"/>
      <c r="P38" s="422"/>
      <c r="Q38" s="422"/>
      <c r="R38" s="422"/>
      <c r="S38" s="422"/>
      <c r="T38" s="422"/>
      <c r="U38" s="422"/>
      <c r="V38" s="422"/>
      <c r="W38" s="422"/>
      <c r="X38" s="422"/>
      <c r="Y38" s="422"/>
      <c r="Z38" s="422"/>
    </row>
    <row r="39" spans="1:26" hidden="1" x14ac:dyDescent="0.35">
      <c r="A39" s="478">
        <v>45659</v>
      </c>
      <c r="B39" s="506">
        <v>15</v>
      </c>
      <c r="C39" s="479" t="s">
        <v>618</v>
      </c>
      <c r="D39" s="479" t="s">
        <v>582</v>
      </c>
      <c r="E39" s="479" t="s">
        <v>650</v>
      </c>
      <c r="F39" s="479" t="s">
        <v>561</v>
      </c>
      <c r="G39" s="475" t="b">
        <f>IF(A39="","",IF(Daten!$AE$4=0,TRUE,MONTH(A39)=Daten!$AE$4))</f>
        <v>1</v>
      </c>
      <c r="H39" s="480" t="s">
        <v>415</v>
      </c>
      <c r="I39" s="475" t="s">
        <v>79</v>
      </c>
      <c r="J39" s="475"/>
      <c r="K39" s="479" t="s">
        <v>628</v>
      </c>
      <c r="L39" s="485"/>
      <c r="M39" s="423"/>
      <c r="N39" s="423"/>
      <c r="O39" s="423"/>
      <c r="P39" s="423"/>
      <c r="Q39" s="423"/>
      <c r="R39" s="423"/>
      <c r="S39" s="423">
        <v>15</v>
      </c>
      <c r="T39" s="423"/>
      <c r="U39" s="423"/>
      <c r="V39" s="423"/>
      <c r="W39" s="423"/>
      <c r="X39" s="423"/>
      <c r="Y39" s="423"/>
      <c r="Z39" s="423"/>
    </row>
    <row r="40" spans="1:26" hidden="1" x14ac:dyDescent="0.35">
      <c r="A40" s="476">
        <v>45659</v>
      </c>
      <c r="B40" s="505">
        <v>15</v>
      </c>
      <c r="C40" s="477" t="s">
        <v>598</v>
      </c>
      <c r="D40" s="477" t="s">
        <v>599</v>
      </c>
      <c r="E40" s="477" t="s">
        <v>652</v>
      </c>
      <c r="F40" s="477" t="s">
        <v>561</v>
      </c>
      <c r="G40" s="474" t="b">
        <f>IF(A40="","",IF(Daten!$AE$4=0,TRUE,MONTH(A40)=Daten!$AE$4))</f>
        <v>1</v>
      </c>
      <c r="H40" s="480" t="s">
        <v>306</v>
      </c>
      <c r="I40" s="474" t="s">
        <v>79</v>
      </c>
      <c r="J40" s="474"/>
      <c r="K40" s="477" t="s">
        <v>628</v>
      </c>
      <c r="L40" s="484"/>
      <c r="M40" s="422">
        <v>15</v>
      </c>
      <c r="N40" s="422"/>
      <c r="O40" s="422"/>
      <c r="P40" s="422"/>
      <c r="Q40" s="422"/>
      <c r="R40" s="422"/>
      <c r="S40" s="422"/>
      <c r="T40" s="422"/>
      <c r="U40" s="422"/>
      <c r="V40" s="422"/>
      <c r="W40" s="422"/>
      <c r="X40" s="422"/>
      <c r="Y40" s="422"/>
      <c r="Z40" s="422"/>
    </row>
    <row r="41" spans="1:26" hidden="1" x14ac:dyDescent="0.35">
      <c r="A41" s="478">
        <v>45659</v>
      </c>
      <c r="B41" s="506">
        <v>15</v>
      </c>
      <c r="C41" s="479" t="s">
        <v>596</v>
      </c>
      <c r="D41" s="479" t="s">
        <v>597</v>
      </c>
      <c r="E41" s="479" t="s">
        <v>651</v>
      </c>
      <c r="F41" s="479" t="s">
        <v>561</v>
      </c>
      <c r="G41" s="475" t="b">
        <f>IF(A41="","",IF(Daten!$AE$4=0,TRUE,MONTH(A41)=Daten!$AE$4))</f>
        <v>1</v>
      </c>
      <c r="H41" s="480" t="s">
        <v>415</v>
      </c>
      <c r="I41" s="475" t="s">
        <v>79</v>
      </c>
      <c r="J41" s="475"/>
      <c r="K41" s="479" t="s">
        <v>628</v>
      </c>
      <c r="L41" s="485"/>
      <c r="M41" s="423"/>
      <c r="N41" s="423"/>
      <c r="O41" s="423"/>
      <c r="P41" s="423"/>
      <c r="Q41" s="423"/>
      <c r="R41" s="423"/>
      <c r="S41" s="423">
        <v>15</v>
      </c>
      <c r="T41" s="423"/>
      <c r="U41" s="423"/>
      <c r="V41" s="423"/>
      <c r="W41" s="423"/>
      <c r="X41" s="423"/>
      <c r="Y41" s="423"/>
      <c r="Z41" s="423"/>
    </row>
    <row r="42" spans="1:26" hidden="1" x14ac:dyDescent="0.35">
      <c r="A42" s="476">
        <v>45659</v>
      </c>
      <c r="B42" s="505">
        <v>15</v>
      </c>
      <c r="C42" s="477" t="s">
        <v>596</v>
      </c>
      <c r="D42" s="477" t="s">
        <v>597</v>
      </c>
      <c r="E42" s="477" t="s">
        <v>653</v>
      </c>
      <c r="F42" s="477" t="s">
        <v>561</v>
      </c>
      <c r="G42" s="474" t="b">
        <f>IF(A42="","",IF(Daten!$AE$4=0,TRUE,MONTH(A42)=Daten!$AE$4))</f>
        <v>1</v>
      </c>
      <c r="H42" s="480" t="s">
        <v>306</v>
      </c>
      <c r="I42" s="474" t="s">
        <v>79</v>
      </c>
      <c r="J42" s="474"/>
      <c r="K42" s="477" t="s">
        <v>628</v>
      </c>
      <c r="L42" s="484"/>
      <c r="M42" s="422">
        <v>15</v>
      </c>
      <c r="N42" s="422"/>
      <c r="O42" s="422"/>
      <c r="P42" s="422"/>
      <c r="Q42" s="422"/>
      <c r="R42" s="422"/>
      <c r="S42" s="422"/>
      <c r="T42" s="422"/>
      <c r="U42" s="422"/>
      <c r="V42" s="422"/>
      <c r="W42" s="422"/>
      <c r="X42" s="422"/>
      <c r="Y42" s="422"/>
      <c r="Z42" s="422"/>
    </row>
    <row r="43" spans="1:26" hidden="1" x14ac:dyDescent="0.35">
      <c r="A43" s="478">
        <v>45660</v>
      </c>
      <c r="B43" s="506">
        <v>7.5</v>
      </c>
      <c r="C43" s="479" t="s">
        <v>583</v>
      </c>
      <c r="D43" s="479" t="s">
        <v>584</v>
      </c>
      <c r="E43" s="479" t="s">
        <v>642</v>
      </c>
      <c r="F43" s="479" t="s">
        <v>561</v>
      </c>
      <c r="G43" s="475" t="b">
        <f>IF(A43="","",IF(Daten!$AE$4=0,TRUE,MONTH(A43)=Daten!$AE$4))</f>
        <v>1</v>
      </c>
      <c r="H43" s="480" t="s">
        <v>306</v>
      </c>
      <c r="I43" s="475" t="s">
        <v>79</v>
      </c>
      <c r="J43" s="475"/>
      <c r="K43" s="479" t="s">
        <v>628</v>
      </c>
      <c r="L43" s="485"/>
      <c r="M43" s="423">
        <v>7.5</v>
      </c>
      <c r="N43" s="423"/>
      <c r="O43" s="423"/>
      <c r="P43" s="423"/>
      <c r="Q43" s="423"/>
      <c r="R43" s="423"/>
      <c r="S43" s="423"/>
      <c r="T43" s="423"/>
      <c r="U43" s="423"/>
      <c r="V43" s="423"/>
      <c r="W43" s="423"/>
      <c r="X43" s="423"/>
      <c r="Y43" s="423"/>
      <c r="Z43" s="423"/>
    </row>
    <row r="44" spans="1:26" hidden="1" x14ac:dyDescent="0.35">
      <c r="A44" s="476">
        <v>45660</v>
      </c>
      <c r="B44" s="505">
        <v>15</v>
      </c>
      <c r="C44" s="477" t="s">
        <v>583</v>
      </c>
      <c r="D44" s="477" t="s">
        <v>584</v>
      </c>
      <c r="E44" s="477" t="s">
        <v>640</v>
      </c>
      <c r="F44" s="477" t="s">
        <v>561</v>
      </c>
      <c r="G44" s="474" t="b">
        <f>IF(A44="","",IF(Daten!$AE$4=0,TRUE,MONTH(A44)=Daten!$AE$4))</f>
        <v>1</v>
      </c>
      <c r="H44" s="480" t="s">
        <v>415</v>
      </c>
      <c r="I44" s="474" t="s">
        <v>79</v>
      </c>
      <c r="J44" s="474"/>
      <c r="K44" s="477" t="s">
        <v>628</v>
      </c>
      <c r="L44" s="484"/>
      <c r="M44" s="422"/>
      <c r="N44" s="422"/>
      <c r="O44" s="422"/>
      <c r="P44" s="422"/>
      <c r="Q44" s="422"/>
      <c r="R44" s="422"/>
      <c r="S44" s="422">
        <v>15</v>
      </c>
      <c r="T44" s="422"/>
      <c r="U44" s="422"/>
      <c r="V44" s="422"/>
      <c r="W44" s="422"/>
      <c r="X44" s="422"/>
      <c r="Y44" s="422"/>
      <c r="Z44" s="422"/>
    </row>
    <row r="45" spans="1:26" hidden="1" x14ac:dyDescent="0.35">
      <c r="A45" s="478">
        <v>45660</v>
      </c>
      <c r="B45" s="506">
        <v>15</v>
      </c>
      <c r="C45" s="479" t="s">
        <v>573</v>
      </c>
      <c r="D45" s="479" t="s">
        <v>574</v>
      </c>
      <c r="E45" s="479" t="s">
        <v>641</v>
      </c>
      <c r="F45" s="479" t="s">
        <v>561</v>
      </c>
      <c r="G45" s="475" t="b">
        <f>IF(A45="","",IF(Daten!$AE$4=0,TRUE,MONTH(A45)=Daten!$AE$4))</f>
        <v>1</v>
      </c>
      <c r="H45" s="480" t="s">
        <v>415</v>
      </c>
      <c r="I45" s="475" t="s">
        <v>79</v>
      </c>
      <c r="J45" s="475"/>
      <c r="K45" s="479" t="s">
        <v>628</v>
      </c>
      <c r="L45" s="485"/>
      <c r="M45" s="423"/>
      <c r="N45" s="423"/>
      <c r="O45" s="423"/>
      <c r="P45" s="423"/>
      <c r="Q45" s="423"/>
      <c r="R45" s="423"/>
      <c r="S45" s="423">
        <v>15</v>
      </c>
      <c r="T45" s="423"/>
      <c r="U45" s="423"/>
      <c r="V45" s="423"/>
      <c r="W45" s="423"/>
      <c r="X45" s="423"/>
      <c r="Y45" s="423"/>
      <c r="Z45" s="423"/>
    </row>
    <row r="46" spans="1:26" hidden="1" x14ac:dyDescent="0.35">
      <c r="A46" s="476">
        <v>45660</v>
      </c>
      <c r="B46" s="505">
        <v>7.5</v>
      </c>
      <c r="C46" s="477" t="s">
        <v>51</v>
      </c>
      <c r="D46" s="477" t="s">
        <v>580</v>
      </c>
      <c r="E46" s="477" t="s">
        <v>637</v>
      </c>
      <c r="F46" s="477" t="s">
        <v>561</v>
      </c>
      <c r="G46" s="474" t="b">
        <f>IF(A46="","",IF(Daten!$AE$4=0,TRUE,MONTH(A46)=Daten!$AE$4))</f>
        <v>1</v>
      </c>
      <c r="H46" s="480" t="s">
        <v>306</v>
      </c>
      <c r="I46" s="474" t="s">
        <v>79</v>
      </c>
      <c r="J46" s="474"/>
      <c r="K46" s="477" t="s">
        <v>628</v>
      </c>
      <c r="L46" s="484"/>
      <c r="M46" s="422">
        <v>7.5</v>
      </c>
      <c r="N46" s="422"/>
      <c r="O46" s="422"/>
      <c r="P46" s="422"/>
      <c r="Q46" s="422"/>
      <c r="R46" s="422"/>
      <c r="S46" s="422"/>
      <c r="T46" s="422"/>
      <c r="U46" s="422"/>
      <c r="V46" s="422"/>
      <c r="W46" s="422"/>
      <c r="X46" s="422"/>
      <c r="Y46" s="422"/>
      <c r="Z46" s="422"/>
    </row>
    <row r="47" spans="1:26" hidden="1" x14ac:dyDescent="0.35">
      <c r="A47" s="478">
        <v>45660</v>
      </c>
      <c r="B47" s="506">
        <v>15</v>
      </c>
      <c r="C47" s="479" t="s">
        <v>618</v>
      </c>
      <c r="D47" s="479" t="s">
        <v>582</v>
      </c>
      <c r="E47" s="479" t="s">
        <v>638</v>
      </c>
      <c r="F47" s="479" t="s">
        <v>561</v>
      </c>
      <c r="G47" s="475" t="b">
        <f>IF(A47="","",IF(Daten!$AE$4=0,TRUE,MONTH(A47)=Daten!$AE$4))</f>
        <v>1</v>
      </c>
      <c r="H47" s="480" t="s">
        <v>306</v>
      </c>
      <c r="I47" s="475" t="s">
        <v>79</v>
      </c>
      <c r="J47" s="475"/>
      <c r="K47" s="479" t="s">
        <v>628</v>
      </c>
      <c r="L47" s="485"/>
      <c r="M47" s="423">
        <v>15</v>
      </c>
      <c r="N47" s="423"/>
      <c r="O47" s="423"/>
      <c r="P47" s="423"/>
      <c r="Q47" s="423"/>
      <c r="R47" s="423"/>
      <c r="S47" s="423"/>
      <c r="T47" s="423"/>
      <c r="U47" s="423"/>
      <c r="V47" s="423"/>
      <c r="W47" s="423"/>
      <c r="X47" s="423"/>
      <c r="Y47" s="423"/>
      <c r="Z47" s="423"/>
    </row>
    <row r="48" spans="1:26" hidden="1" x14ac:dyDescent="0.35">
      <c r="A48" s="476">
        <v>45663</v>
      </c>
      <c r="B48" s="505">
        <v>15</v>
      </c>
      <c r="C48" s="477" t="s">
        <v>575</v>
      </c>
      <c r="D48" s="477" t="s">
        <v>576</v>
      </c>
      <c r="E48" s="477" t="s">
        <v>633</v>
      </c>
      <c r="F48" s="477" t="s">
        <v>561</v>
      </c>
      <c r="G48" s="474" t="b">
        <f>IF(A48="","",IF(Daten!$AE$4=0,TRUE,MONTH(A48)=Daten!$AE$4))</f>
        <v>1</v>
      </c>
      <c r="H48" s="480" t="s">
        <v>415</v>
      </c>
      <c r="I48" s="474" t="s">
        <v>79</v>
      </c>
      <c r="J48" s="474"/>
      <c r="K48" s="477" t="s">
        <v>628</v>
      </c>
      <c r="L48" s="484"/>
      <c r="M48" s="422"/>
      <c r="N48" s="422"/>
      <c r="O48" s="422"/>
      <c r="P48" s="422"/>
      <c r="Q48" s="422"/>
      <c r="R48" s="422"/>
      <c r="S48" s="422">
        <v>15</v>
      </c>
      <c r="T48" s="422"/>
      <c r="U48" s="422"/>
      <c r="V48" s="422"/>
      <c r="W48" s="422"/>
      <c r="X48" s="422"/>
      <c r="Y48" s="422"/>
      <c r="Z48" s="422"/>
    </row>
    <row r="49" spans="1:26" hidden="1" x14ac:dyDescent="0.35">
      <c r="A49" s="478">
        <v>45665</v>
      </c>
      <c r="B49" s="506">
        <v>-497</v>
      </c>
      <c r="C49" s="479" t="s">
        <v>578</v>
      </c>
      <c r="D49" s="479" t="s">
        <v>579</v>
      </c>
      <c r="E49" s="479" t="s">
        <v>747</v>
      </c>
      <c r="F49" s="479" t="s">
        <v>567</v>
      </c>
      <c r="G49" s="475" t="b">
        <f>IF(A49="","",IF(Daten!$AE$4=0,TRUE,MONTH(A49)=Daten!$AE$4))</f>
        <v>1</v>
      </c>
      <c r="H49" s="480" t="s">
        <v>451</v>
      </c>
      <c r="I49" s="475" t="s">
        <v>79</v>
      </c>
      <c r="J49" s="475"/>
      <c r="K49" s="479" t="s">
        <v>628</v>
      </c>
      <c r="L49" s="485"/>
      <c r="M49" s="423"/>
      <c r="N49" s="423"/>
      <c r="O49" s="423"/>
      <c r="P49" s="423"/>
      <c r="Q49" s="423"/>
      <c r="R49" s="423"/>
      <c r="S49" s="423"/>
      <c r="T49" s="423">
        <v>-497</v>
      </c>
      <c r="U49" s="423"/>
      <c r="V49" s="423"/>
      <c r="W49" s="423"/>
      <c r="X49" s="423"/>
      <c r="Y49" s="423"/>
      <c r="Z49" s="423"/>
    </row>
    <row r="50" spans="1:26" hidden="1" x14ac:dyDescent="0.35">
      <c r="A50" s="476">
        <v>45674</v>
      </c>
      <c r="B50" s="505">
        <v>-59.94</v>
      </c>
      <c r="C50" s="477" t="s">
        <v>570</v>
      </c>
      <c r="D50" s="477" t="s">
        <v>571</v>
      </c>
      <c r="E50" s="477" t="s">
        <v>746</v>
      </c>
      <c r="F50" s="477" t="s">
        <v>567</v>
      </c>
      <c r="G50" s="474" t="b">
        <f>IF(A50="","",IF(Daten!$AE$4=0,TRUE,MONTH(A50)=Daten!$AE$4))</f>
        <v>1</v>
      </c>
      <c r="H50" s="480" t="s">
        <v>389</v>
      </c>
      <c r="I50" s="474" t="s">
        <v>79</v>
      </c>
      <c r="J50" s="474"/>
      <c r="K50" s="477" t="s">
        <v>628</v>
      </c>
      <c r="L50" s="484"/>
      <c r="M50" s="422"/>
      <c r="N50" s="422"/>
      <c r="O50" s="422"/>
      <c r="P50" s="422"/>
      <c r="Q50" s="422"/>
      <c r="R50" s="422"/>
      <c r="S50" s="422"/>
      <c r="T50" s="422">
        <v>-59.94</v>
      </c>
      <c r="U50" s="422"/>
      <c r="V50" s="422"/>
      <c r="W50" s="422"/>
      <c r="X50" s="422"/>
      <c r="Y50" s="422"/>
      <c r="Z50" s="422"/>
    </row>
    <row r="51" spans="1:26" hidden="1" x14ac:dyDescent="0.35">
      <c r="A51" s="478">
        <v>45677</v>
      </c>
      <c r="B51" s="506">
        <v>15</v>
      </c>
      <c r="C51" s="479" t="s">
        <v>562</v>
      </c>
      <c r="D51" s="479" t="s">
        <v>563</v>
      </c>
      <c r="E51" s="479" t="s">
        <v>627</v>
      </c>
      <c r="F51" s="479" t="s">
        <v>561</v>
      </c>
      <c r="G51" s="475" t="b">
        <f>IF(A51="","",IF(Daten!$AE$4=0,TRUE,MONTH(A51)=Daten!$AE$4))</f>
        <v>1</v>
      </c>
      <c r="H51" s="480" t="s">
        <v>415</v>
      </c>
      <c r="I51" s="475" t="s">
        <v>79</v>
      </c>
      <c r="J51" s="475"/>
      <c r="K51" s="479" t="s">
        <v>628</v>
      </c>
      <c r="L51" s="485"/>
      <c r="M51" s="423"/>
      <c r="N51" s="423"/>
      <c r="O51" s="423"/>
      <c r="P51" s="423"/>
      <c r="Q51" s="423"/>
      <c r="R51" s="423"/>
      <c r="S51" s="423">
        <v>15</v>
      </c>
      <c r="T51" s="423"/>
      <c r="U51" s="423"/>
      <c r="V51" s="423"/>
      <c r="W51" s="423"/>
      <c r="X51" s="423"/>
      <c r="Y51" s="423"/>
      <c r="Z51" s="423"/>
    </row>
    <row r="52" spans="1:26" hidden="1" x14ac:dyDescent="0.35">
      <c r="A52" s="476">
        <v>45684</v>
      </c>
      <c r="B52" s="505">
        <v>7.5</v>
      </c>
      <c r="C52" s="477" t="s">
        <v>600</v>
      </c>
      <c r="D52" s="477" t="s">
        <v>601</v>
      </c>
      <c r="E52" s="477" t="s">
        <v>656</v>
      </c>
      <c r="F52" s="477" t="s">
        <v>561</v>
      </c>
      <c r="G52" s="474" t="b">
        <f>IF(A52="","",IF(Daten!$AE$4=0,TRUE,MONTH(A52)=Daten!$AE$4))</f>
        <v>1</v>
      </c>
      <c r="H52" s="480" t="s">
        <v>306</v>
      </c>
      <c r="I52" s="474" t="s">
        <v>78</v>
      </c>
      <c r="J52" s="474"/>
      <c r="K52" s="477" t="s">
        <v>628</v>
      </c>
      <c r="L52" s="484"/>
      <c r="M52" s="422">
        <v>7.5</v>
      </c>
      <c r="N52" s="422"/>
      <c r="O52" s="422"/>
      <c r="P52" s="422"/>
      <c r="Q52" s="422"/>
      <c r="R52" s="422"/>
      <c r="S52" s="422"/>
      <c r="T52" s="422"/>
      <c r="U52" s="422"/>
      <c r="V52" s="422"/>
      <c r="W52" s="422"/>
      <c r="X52" s="422"/>
      <c r="Y52" s="422"/>
      <c r="Z52" s="422"/>
    </row>
    <row r="53" spans="1:26" hidden="1" x14ac:dyDescent="0.35">
      <c r="A53" s="478">
        <v>45684</v>
      </c>
      <c r="B53" s="506">
        <v>15</v>
      </c>
      <c r="C53" s="479" t="s">
        <v>594</v>
      </c>
      <c r="D53" s="479" t="s">
        <v>595</v>
      </c>
      <c r="E53" s="479" t="s">
        <v>657</v>
      </c>
      <c r="F53" s="479" t="s">
        <v>561</v>
      </c>
      <c r="G53" s="475" t="b">
        <f>IF(A53="","",IF(Daten!$AE$4=0,TRUE,MONTH(A53)=Daten!$AE$4))</f>
        <v>1</v>
      </c>
      <c r="H53" s="480" t="s">
        <v>415</v>
      </c>
      <c r="I53" s="475" t="s">
        <v>79</v>
      </c>
      <c r="J53" s="475"/>
      <c r="K53" s="479" t="s">
        <v>628</v>
      </c>
      <c r="L53" s="485"/>
      <c r="M53" s="423"/>
      <c r="N53" s="423"/>
      <c r="O53" s="423"/>
      <c r="P53" s="423"/>
      <c r="Q53" s="423"/>
      <c r="R53" s="423"/>
      <c r="S53" s="423">
        <v>15</v>
      </c>
      <c r="T53" s="423"/>
      <c r="U53" s="423"/>
      <c r="V53" s="423"/>
      <c r="W53" s="423"/>
      <c r="X53" s="423"/>
      <c r="Y53" s="423"/>
      <c r="Z53" s="423"/>
    </row>
    <row r="54" spans="1:26" hidden="1" x14ac:dyDescent="0.35">
      <c r="A54" s="476">
        <v>45684</v>
      </c>
      <c r="B54" s="505">
        <v>7.5</v>
      </c>
      <c r="C54" s="477" t="s">
        <v>594</v>
      </c>
      <c r="D54" s="477" t="s">
        <v>595</v>
      </c>
      <c r="E54" s="477" t="s">
        <v>655</v>
      </c>
      <c r="F54" s="477" t="s">
        <v>561</v>
      </c>
      <c r="G54" s="474" t="b">
        <f>IF(A54="","",IF(Daten!$AE$4=0,TRUE,MONTH(A54)=Daten!$AE$4))</f>
        <v>1</v>
      </c>
      <c r="H54" s="480" t="s">
        <v>306</v>
      </c>
      <c r="I54" s="474" t="s">
        <v>78</v>
      </c>
      <c r="J54" s="474"/>
      <c r="K54" s="477" t="s">
        <v>628</v>
      </c>
      <c r="L54" s="484"/>
      <c r="M54" s="422">
        <v>7.5</v>
      </c>
      <c r="N54" s="422"/>
      <c r="O54" s="422"/>
      <c r="P54" s="422"/>
      <c r="Q54" s="422"/>
      <c r="R54" s="422"/>
      <c r="S54" s="422"/>
      <c r="T54" s="422"/>
      <c r="U54" s="422"/>
      <c r="V54" s="422"/>
      <c r="W54" s="422"/>
      <c r="X54" s="422"/>
      <c r="Y54" s="422"/>
      <c r="Z54" s="422"/>
    </row>
    <row r="55" spans="1:26" hidden="1" x14ac:dyDescent="0.35">
      <c r="A55" s="478">
        <v>45686</v>
      </c>
      <c r="B55" s="506">
        <v>15</v>
      </c>
      <c r="C55" s="479" t="s">
        <v>588</v>
      </c>
      <c r="D55" s="479" t="s">
        <v>589</v>
      </c>
      <c r="E55" s="479" t="s">
        <v>306</v>
      </c>
      <c r="F55" s="479" t="s">
        <v>561</v>
      </c>
      <c r="G55" s="475" t="b">
        <f>IF(A55="","",IF(Daten!$AE$4=0,TRUE,MONTH(A55)=Daten!$AE$4))</f>
        <v>1</v>
      </c>
      <c r="H55" s="480" t="s">
        <v>306</v>
      </c>
      <c r="I55" s="475" t="s">
        <v>78</v>
      </c>
      <c r="J55" s="475"/>
      <c r="K55" s="479" t="s">
        <v>628</v>
      </c>
      <c r="L55" s="485"/>
      <c r="M55" s="423">
        <v>15</v>
      </c>
      <c r="N55" s="423"/>
      <c r="O55" s="423"/>
      <c r="P55" s="423"/>
      <c r="Q55" s="423"/>
      <c r="R55" s="423"/>
      <c r="S55" s="423"/>
      <c r="T55" s="423"/>
      <c r="U55" s="423"/>
      <c r="V55" s="423"/>
      <c r="W55" s="423"/>
      <c r="X55" s="423"/>
      <c r="Y55" s="423"/>
      <c r="Z55" s="423"/>
    </row>
    <row r="56" spans="1:26" hidden="1" x14ac:dyDescent="0.35">
      <c r="A56" s="476">
        <v>45691</v>
      </c>
      <c r="B56" s="505">
        <v>15</v>
      </c>
      <c r="C56" s="477" t="s">
        <v>51</v>
      </c>
      <c r="D56" s="477" t="s">
        <v>580</v>
      </c>
      <c r="E56" s="477" t="s">
        <v>384</v>
      </c>
      <c r="F56" s="477" t="s">
        <v>561</v>
      </c>
      <c r="G56" s="474" t="b">
        <f>IF(A56="","",IF(Daten!$AE$4=0,TRUE,MONTH(A56)=Daten!$AE$4))</f>
        <v>1</v>
      </c>
      <c r="H56" s="480" t="s">
        <v>415</v>
      </c>
      <c r="I56" s="474" t="s">
        <v>78</v>
      </c>
      <c r="J56" s="474"/>
      <c r="K56" s="477" t="s">
        <v>628</v>
      </c>
      <c r="L56" s="484"/>
      <c r="M56" s="422"/>
      <c r="N56" s="422"/>
      <c r="O56" s="422"/>
      <c r="P56" s="422"/>
      <c r="Q56" s="422"/>
      <c r="R56" s="422"/>
      <c r="S56" s="422">
        <v>15</v>
      </c>
      <c r="T56" s="422"/>
      <c r="U56" s="422"/>
      <c r="V56" s="422"/>
      <c r="W56" s="422"/>
      <c r="X56" s="422"/>
      <c r="Y56" s="422"/>
      <c r="Z56" s="422"/>
    </row>
    <row r="57" spans="1:26" hidden="1" x14ac:dyDescent="0.35">
      <c r="A57" s="478">
        <v>45691</v>
      </c>
      <c r="B57" s="506">
        <v>7.5</v>
      </c>
      <c r="C57" s="479" t="s">
        <v>51</v>
      </c>
      <c r="D57" s="479" t="s">
        <v>580</v>
      </c>
      <c r="E57" s="479" t="s">
        <v>637</v>
      </c>
      <c r="F57" s="479" t="s">
        <v>561</v>
      </c>
      <c r="G57" s="475" t="b">
        <f>IF(A57="","",IF(Daten!$AE$4=0,TRUE,MONTH(A57)=Daten!$AE$4))</f>
        <v>1</v>
      </c>
      <c r="H57" s="480" t="s">
        <v>306</v>
      </c>
      <c r="I57" s="475" t="s">
        <v>78</v>
      </c>
      <c r="J57" s="475"/>
      <c r="K57" s="479" t="s">
        <v>628</v>
      </c>
      <c r="L57" s="485"/>
      <c r="M57" s="423">
        <v>7.5</v>
      </c>
      <c r="N57" s="423"/>
      <c r="O57" s="423"/>
      <c r="P57" s="423"/>
      <c r="Q57" s="423"/>
      <c r="R57" s="423"/>
      <c r="S57" s="423"/>
      <c r="T57" s="423"/>
      <c r="U57" s="423"/>
      <c r="V57" s="423"/>
      <c r="W57" s="423"/>
      <c r="X57" s="423"/>
      <c r="Y57" s="423"/>
      <c r="Z57" s="423"/>
    </row>
    <row r="58" spans="1:26" hidden="1" x14ac:dyDescent="0.35">
      <c r="A58" s="476">
        <v>45691</v>
      </c>
      <c r="B58" s="505">
        <v>15</v>
      </c>
      <c r="C58" s="477" t="s">
        <v>586</v>
      </c>
      <c r="D58" s="477" t="s">
        <v>587</v>
      </c>
      <c r="E58" s="477" t="s">
        <v>647</v>
      </c>
      <c r="F58" s="477" t="s">
        <v>561</v>
      </c>
      <c r="G58" s="474" t="b">
        <f>IF(A58="","",IF(Daten!$AE$4=0,TRUE,MONTH(A58)=Daten!$AE$4))</f>
        <v>1</v>
      </c>
      <c r="H58" s="480" t="s">
        <v>306</v>
      </c>
      <c r="I58" s="474" t="s">
        <v>78</v>
      </c>
      <c r="J58" s="474"/>
      <c r="K58" s="477" t="s">
        <v>628</v>
      </c>
      <c r="L58" s="484"/>
      <c r="M58" s="422">
        <v>15</v>
      </c>
      <c r="N58" s="422"/>
      <c r="O58" s="422"/>
      <c r="P58" s="422"/>
      <c r="Q58" s="422"/>
      <c r="R58" s="422"/>
      <c r="S58" s="422"/>
      <c r="T58" s="422"/>
      <c r="U58" s="422"/>
      <c r="V58" s="422"/>
      <c r="W58" s="422"/>
      <c r="X58" s="422"/>
      <c r="Y58" s="422"/>
      <c r="Z58" s="422"/>
    </row>
    <row r="59" spans="1:26" hidden="1" x14ac:dyDescent="0.35">
      <c r="A59" s="478">
        <v>45691</v>
      </c>
      <c r="B59" s="506">
        <v>15</v>
      </c>
      <c r="C59" s="479" t="s">
        <v>66</v>
      </c>
      <c r="D59" s="479" t="s">
        <v>585</v>
      </c>
      <c r="E59" s="479" t="s">
        <v>644</v>
      </c>
      <c r="F59" s="479" t="s">
        <v>561</v>
      </c>
      <c r="G59" s="475" t="b">
        <f>IF(A59="","",IF(Daten!$AE$4=0,TRUE,MONTH(A59)=Daten!$AE$4))</f>
        <v>1</v>
      </c>
      <c r="H59" s="480" t="s">
        <v>415</v>
      </c>
      <c r="I59" s="475" t="s">
        <v>78</v>
      </c>
      <c r="J59" s="475"/>
      <c r="K59" s="479" t="s">
        <v>628</v>
      </c>
      <c r="L59" s="485"/>
      <c r="M59" s="423"/>
      <c r="N59" s="423"/>
      <c r="O59" s="423"/>
      <c r="P59" s="423"/>
      <c r="Q59" s="423"/>
      <c r="R59" s="423"/>
      <c r="S59" s="423">
        <v>15</v>
      </c>
      <c r="T59" s="423"/>
      <c r="U59" s="423"/>
      <c r="V59" s="423"/>
      <c r="W59" s="423"/>
      <c r="X59" s="423"/>
      <c r="Y59" s="423"/>
      <c r="Z59" s="423"/>
    </row>
    <row r="60" spans="1:26" hidden="1" x14ac:dyDescent="0.35">
      <c r="A60" s="476">
        <v>45691</v>
      </c>
      <c r="B60" s="505">
        <v>319.89999999999998</v>
      </c>
      <c r="C60" s="477" t="s">
        <v>594</v>
      </c>
      <c r="D60" s="477" t="s">
        <v>595</v>
      </c>
      <c r="E60" s="477" t="s">
        <v>745</v>
      </c>
      <c r="F60" s="477" t="s">
        <v>572</v>
      </c>
      <c r="G60" s="474" t="b">
        <f>IF(A60="","",IF(Daten!$AE$4=0,TRUE,MONTH(A60)=Daten!$AE$4))</f>
        <v>1</v>
      </c>
      <c r="H60" s="480" t="s">
        <v>299</v>
      </c>
      <c r="I60" s="474" t="s">
        <v>799</v>
      </c>
      <c r="J60" s="474"/>
      <c r="K60" s="477" t="s">
        <v>628</v>
      </c>
      <c r="L60" s="484"/>
      <c r="M60" s="422"/>
      <c r="N60" s="422"/>
      <c r="O60" s="422"/>
      <c r="P60" s="422"/>
      <c r="Q60" s="422"/>
      <c r="R60" s="422"/>
      <c r="S60" s="422">
        <v>319.89999999999998</v>
      </c>
      <c r="T60" s="422"/>
      <c r="U60" s="422"/>
      <c r="V60" s="422"/>
      <c r="W60" s="422"/>
      <c r="X60" s="422"/>
      <c r="Y60" s="422"/>
      <c r="Z60" s="422"/>
    </row>
    <row r="61" spans="1:26" hidden="1" x14ac:dyDescent="0.35">
      <c r="A61" s="478">
        <v>45691</v>
      </c>
      <c r="B61" s="506">
        <v>7.5</v>
      </c>
      <c r="C61" s="479" t="s">
        <v>56</v>
      </c>
      <c r="D61" s="479" t="s">
        <v>593</v>
      </c>
      <c r="E61" s="479" t="s">
        <v>386</v>
      </c>
      <c r="F61" s="479" t="s">
        <v>561</v>
      </c>
      <c r="G61" s="475" t="b">
        <f>IF(A61="","",IF(Daten!$AE$4=0,TRUE,MONTH(A61)=Daten!$AE$4))</f>
        <v>1</v>
      </c>
      <c r="H61" s="480" t="s">
        <v>306</v>
      </c>
      <c r="I61" s="475" t="s">
        <v>78</v>
      </c>
      <c r="J61" s="475"/>
      <c r="K61" s="479" t="s">
        <v>628</v>
      </c>
      <c r="L61" s="485"/>
      <c r="M61" s="423">
        <v>7.5</v>
      </c>
      <c r="N61" s="423"/>
      <c r="O61" s="423"/>
      <c r="P61" s="423"/>
      <c r="Q61" s="423"/>
      <c r="R61" s="423"/>
      <c r="S61" s="423"/>
      <c r="T61" s="423"/>
      <c r="U61" s="423"/>
      <c r="V61" s="423"/>
      <c r="W61" s="423"/>
      <c r="X61" s="423"/>
      <c r="Y61" s="423"/>
      <c r="Z61" s="423"/>
    </row>
    <row r="62" spans="1:26" hidden="1" x14ac:dyDescent="0.35">
      <c r="A62" s="476">
        <v>45691</v>
      </c>
      <c r="B62" s="505">
        <v>7.5</v>
      </c>
      <c r="C62" s="477" t="s">
        <v>66</v>
      </c>
      <c r="D62" s="477" t="s">
        <v>585</v>
      </c>
      <c r="E62" s="477" t="s">
        <v>643</v>
      </c>
      <c r="F62" s="477" t="s">
        <v>561</v>
      </c>
      <c r="G62" s="474" t="b">
        <f>IF(A62="","",IF(Daten!$AE$4=0,TRUE,MONTH(A62)=Daten!$AE$4))</f>
        <v>1</v>
      </c>
      <c r="H62" s="480" t="s">
        <v>306</v>
      </c>
      <c r="I62" s="474" t="s">
        <v>78</v>
      </c>
      <c r="J62" s="474"/>
      <c r="K62" s="477" t="s">
        <v>628</v>
      </c>
      <c r="L62" s="484"/>
      <c r="M62" s="422">
        <v>7.5</v>
      </c>
      <c r="N62" s="422"/>
      <c r="O62" s="422"/>
      <c r="P62" s="422"/>
      <c r="Q62" s="422"/>
      <c r="R62" s="422"/>
      <c r="S62" s="422"/>
      <c r="T62" s="422"/>
      <c r="U62" s="422"/>
      <c r="V62" s="422"/>
      <c r="W62" s="422"/>
      <c r="X62" s="422"/>
      <c r="Y62" s="422"/>
      <c r="Z62" s="422"/>
    </row>
    <row r="63" spans="1:26" hidden="1" x14ac:dyDescent="0.35">
      <c r="A63" s="478">
        <v>45691</v>
      </c>
      <c r="B63" s="506">
        <v>15</v>
      </c>
      <c r="C63" s="479" t="s">
        <v>56</v>
      </c>
      <c r="D63" s="479" t="s">
        <v>593</v>
      </c>
      <c r="E63" s="479" t="s">
        <v>648</v>
      </c>
      <c r="F63" s="479" t="s">
        <v>561</v>
      </c>
      <c r="G63" s="475" t="b">
        <f>IF(A63="","",IF(Daten!$AE$4=0,TRUE,MONTH(A63)=Daten!$AE$4))</f>
        <v>1</v>
      </c>
      <c r="H63" s="480" t="s">
        <v>415</v>
      </c>
      <c r="I63" s="475" t="s">
        <v>78</v>
      </c>
      <c r="J63" s="475"/>
      <c r="K63" s="479" t="s">
        <v>628</v>
      </c>
      <c r="L63" s="485"/>
      <c r="M63" s="423"/>
      <c r="N63" s="423"/>
      <c r="O63" s="423"/>
      <c r="P63" s="423"/>
      <c r="Q63" s="423"/>
      <c r="R63" s="423"/>
      <c r="S63" s="423">
        <v>15</v>
      </c>
      <c r="T63" s="423"/>
      <c r="U63" s="423"/>
      <c r="V63" s="423"/>
      <c r="W63" s="423"/>
      <c r="X63" s="423"/>
      <c r="Y63" s="423"/>
      <c r="Z63" s="423"/>
    </row>
    <row r="64" spans="1:26" hidden="1" x14ac:dyDescent="0.35">
      <c r="A64" s="476">
        <v>45691</v>
      </c>
      <c r="B64" s="505">
        <v>15</v>
      </c>
      <c r="C64" s="477" t="s">
        <v>586</v>
      </c>
      <c r="D64" s="477" t="s">
        <v>587</v>
      </c>
      <c r="E64" s="477" t="s">
        <v>645</v>
      </c>
      <c r="F64" s="477" t="s">
        <v>561</v>
      </c>
      <c r="G64" s="474" t="b">
        <f>IF(A64="","",IF(Daten!$AE$4=0,TRUE,MONTH(A64)=Daten!$AE$4))</f>
        <v>1</v>
      </c>
      <c r="H64" s="480" t="s">
        <v>415</v>
      </c>
      <c r="I64" s="474" t="s">
        <v>78</v>
      </c>
      <c r="J64" s="474"/>
      <c r="K64" s="477" t="s">
        <v>628</v>
      </c>
      <c r="L64" s="484"/>
      <c r="M64" s="422"/>
      <c r="N64" s="422"/>
      <c r="O64" s="422"/>
      <c r="P64" s="422"/>
      <c r="Q64" s="422"/>
      <c r="R64" s="422"/>
      <c r="S64" s="422">
        <v>15</v>
      </c>
      <c r="T64" s="422"/>
      <c r="U64" s="422"/>
      <c r="V64" s="422"/>
      <c r="W64" s="422"/>
      <c r="X64" s="422"/>
      <c r="Y64" s="422"/>
      <c r="Z64" s="422"/>
    </row>
    <row r="65" spans="1:26" hidden="1" x14ac:dyDescent="0.35">
      <c r="A65" s="478">
        <v>45691</v>
      </c>
      <c r="B65" s="506">
        <v>15</v>
      </c>
      <c r="C65" s="479" t="s">
        <v>588</v>
      </c>
      <c r="D65" s="479" t="s">
        <v>589</v>
      </c>
      <c r="E65" s="479" t="s">
        <v>385</v>
      </c>
      <c r="F65" s="479" t="s">
        <v>561</v>
      </c>
      <c r="G65" s="475" t="b">
        <f>IF(A65="","",IF(Daten!$AE$4=0,TRUE,MONTH(A65)=Daten!$AE$4))</f>
        <v>1</v>
      </c>
      <c r="H65" s="480" t="s">
        <v>415</v>
      </c>
      <c r="I65" s="475" t="s">
        <v>78</v>
      </c>
      <c r="J65" s="475"/>
      <c r="K65" s="479" t="s">
        <v>628</v>
      </c>
      <c r="L65" s="485"/>
      <c r="M65" s="423"/>
      <c r="N65" s="423"/>
      <c r="O65" s="423"/>
      <c r="P65" s="423"/>
      <c r="Q65" s="423"/>
      <c r="R65" s="423"/>
      <c r="S65" s="423">
        <v>15</v>
      </c>
      <c r="T65" s="423"/>
      <c r="U65" s="423"/>
      <c r="V65" s="423"/>
      <c r="W65" s="423"/>
      <c r="X65" s="423"/>
      <c r="Y65" s="423"/>
      <c r="Z65" s="423"/>
    </row>
    <row r="66" spans="1:26" hidden="1" x14ac:dyDescent="0.35">
      <c r="A66" s="476">
        <v>45691</v>
      </c>
      <c r="B66" s="505">
        <v>15</v>
      </c>
      <c r="C66" s="477" t="s">
        <v>613</v>
      </c>
      <c r="D66" s="477" t="s">
        <v>614</v>
      </c>
      <c r="E66" s="477" t="s">
        <v>711</v>
      </c>
      <c r="F66" s="477" t="s">
        <v>561</v>
      </c>
      <c r="G66" s="474" t="b">
        <f>IF(A66="","",IF(Daten!$AE$4=0,TRUE,MONTH(A66)=Daten!$AE$4))</f>
        <v>1</v>
      </c>
      <c r="H66" s="480" t="s">
        <v>415</v>
      </c>
      <c r="I66" s="474" t="s">
        <v>78</v>
      </c>
      <c r="J66" s="474"/>
      <c r="K66" s="477" t="s">
        <v>628</v>
      </c>
      <c r="L66" s="484"/>
      <c r="M66" s="422"/>
      <c r="N66" s="422"/>
      <c r="O66" s="422"/>
      <c r="P66" s="422"/>
      <c r="Q66" s="422"/>
      <c r="R66" s="422"/>
      <c r="S66" s="422">
        <v>15</v>
      </c>
      <c r="T66" s="422"/>
      <c r="U66" s="422"/>
      <c r="V66" s="422"/>
      <c r="W66" s="422"/>
      <c r="X66" s="422"/>
      <c r="Y66" s="422"/>
      <c r="Z66" s="422"/>
    </row>
    <row r="67" spans="1:26" hidden="1" x14ac:dyDescent="0.35">
      <c r="A67" s="478">
        <v>45691</v>
      </c>
      <c r="B67" s="506">
        <v>15</v>
      </c>
      <c r="C67" s="479" t="s">
        <v>613</v>
      </c>
      <c r="D67" s="479" t="s">
        <v>614</v>
      </c>
      <c r="E67" s="479" t="s">
        <v>710</v>
      </c>
      <c r="F67" s="479" t="s">
        <v>561</v>
      </c>
      <c r="G67" s="475" t="b">
        <f>IF(A67="","",IF(Daten!$AE$4=0,TRUE,MONTH(A67)=Daten!$AE$4))</f>
        <v>1</v>
      </c>
      <c r="H67" s="480" t="s">
        <v>306</v>
      </c>
      <c r="I67" s="475" t="s">
        <v>78</v>
      </c>
      <c r="J67" s="475"/>
      <c r="K67" s="479" t="s">
        <v>628</v>
      </c>
      <c r="L67" s="485"/>
      <c r="M67" s="423">
        <v>15</v>
      </c>
      <c r="N67" s="423"/>
      <c r="O67" s="423"/>
      <c r="P67" s="423"/>
      <c r="Q67" s="423"/>
      <c r="R67" s="423"/>
      <c r="S67" s="423"/>
      <c r="T67" s="423"/>
      <c r="U67" s="423"/>
      <c r="V67" s="423"/>
      <c r="W67" s="423"/>
      <c r="X67" s="423"/>
      <c r="Y67" s="423"/>
      <c r="Z67" s="423"/>
    </row>
    <row r="68" spans="1:26" hidden="1" x14ac:dyDescent="0.35">
      <c r="A68" s="476">
        <v>45691</v>
      </c>
      <c r="B68" s="505">
        <v>15</v>
      </c>
      <c r="C68" s="477" t="s">
        <v>618</v>
      </c>
      <c r="D68" s="477" t="s">
        <v>582</v>
      </c>
      <c r="E68" s="477" t="s">
        <v>650</v>
      </c>
      <c r="F68" s="477" t="s">
        <v>561</v>
      </c>
      <c r="G68" s="474" t="b">
        <f>IF(A68="","",IF(Daten!$AE$4=0,TRUE,MONTH(A68)=Daten!$AE$4))</f>
        <v>1</v>
      </c>
      <c r="H68" s="480" t="s">
        <v>415</v>
      </c>
      <c r="I68" s="474" t="s">
        <v>78</v>
      </c>
      <c r="J68" s="474"/>
      <c r="K68" s="477" t="s">
        <v>628</v>
      </c>
      <c r="L68" s="484"/>
      <c r="M68" s="422"/>
      <c r="N68" s="422"/>
      <c r="O68" s="422"/>
      <c r="P68" s="422"/>
      <c r="Q68" s="422"/>
      <c r="R68" s="422"/>
      <c r="S68" s="422">
        <v>15</v>
      </c>
      <c r="T68" s="422"/>
      <c r="U68" s="422"/>
      <c r="V68" s="422"/>
      <c r="W68" s="422"/>
      <c r="X68" s="422"/>
      <c r="Y68" s="422"/>
      <c r="Z68" s="422"/>
    </row>
    <row r="69" spans="1:26" hidden="1" x14ac:dyDescent="0.35">
      <c r="A69" s="478">
        <v>45691</v>
      </c>
      <c r="B69" s="506">
        <v>15</v>
      </c>
      <c r="C69" s="479" t="s">
        <v>575</v>
      </c>
      <c r="D69" s="479" t="s">
        <v>576</v>
      </c>
      <c r="E69" s="479" t="s">
        <v>646</v>
      </c>
      <c r="F69" s="479" t="s">
        <v>561</v>
      </c>
      <c r="G69" s="475" t="b">
        <f>IF(A69="","",IF(Daten!$AE$4=0,TRUE,MONTH(A69)=Daten!$AE$4))</f>
        <v>1</v>
      </c>
      <c r="H69" s="480" t="s">
        <v>306</v>
      </c>
      <c r="I69" s="475" t="s">
        <v>78</v>
      </c>
      <c r="J69" s="475"/>
      <c r="K69" s="479" t="s">
        <v>628</v>
      </c>
      <c r="L69" s="485"/>
      <c r="M69" s="423">
        <v>15</v>
      </c>
      <c r="N69" s="423"/>
      <c r="O69" s="423"/>
      <c r="P69" s="423"/>
      <c r="Q69" s="423"/>
      <c r="R69" s="423"/>
      <c r="S69" s="423"/>
      <c r="T69" s="423"/>
      <c r="U69" s="423"/>
      <c r="V69" s="423"/>
      <c r="W69" s="423"/>
      <c r="X69" s="423"/>
      <c r="Y69" s="423"/>
      <c r="Z69" s="423"/>
    </row>
    <row r="70" spans="1:26" hidden="1" x14ac:dyDescent="0.35">
      <c r="A70" s="476">
        <v>45691</v>
      </c>
      <c r="B70" s="505">
        <v>15</v>
      </c>
      <c r="C70" s="477" t="s">
        <v>618</v>
      </c>
      <c r="D70" s="477" t="s">
        <v>582</v>
      </c>
      <c r="E70" s="477" t="s">
        <v>638</v>
      </c>
      <c r="F70" s="477" t="s">
        <v>561</v>
      </c>
      <c r="G70" s="474" t="b">
        <f>IF(A70="","",IF(Daten!$AE$4=0,TRUE,MONTH(A70)=Daten!$AE$4))</f>
        <v>1</v>
      </c>
      <c r="H70" s="480" t="s">
        <v>306</v>
      </c>
      <c r="I70" s="474" t="s">
        <v>78</v>
      </c>
      <c r="J70" s="474"/>
      <c r="K70" s="477" t="s">
        <v>628</v>
      </c>
      <c r="L70" s="484"/>
      <c r="M70" s="422">
        <v>15</v>
      </c>
      <c r="N70" s="422"/>
      <c r="O70" s="422"/>
      <c r="P70" s="422"/>
      <c r="Q70" s="422"/>
      <c r="R70" s="422"/>
      <c r="S70" s="422"/>
      <c r="T70" s="422"/>
      <c r="U70" s="422"/>
      <c r="V70" s="422"/>
      <c r="W70" s="422"/>
      <c r="X70" s="422"/>
      <c r="Y70" s="422"/>
      <c r="Z70" s="422"/>
    </row>
    <row r="71" spans="1:26" hidden="1" x14ac:dyDescent="0.35">
      <c r="A71" s="478">
        <v>45691</v>
      </c>
      <c r="B71" s="506">
        <v>15</v>
      </c>
      <c r="C71" s="479" t="s">
        <v>596</v>
      </c>
      <c r="D71" s="479" t="s">
        <v>597</v>
      </c>
      <c r="E71" s="479" t="s">
        <v>651</v>
      </c>
      <c r="F71" s="479" t="s">
        <v>561</v>
      </c>
      <c r="G71" s="475" t="b">
        <f>IF(A71="","",IF(Daten!$AE$4=0,TRUE,MONTH(A71)=Daten!$AE$4))</f>
        <v>1</v>
      </c>
      <c r="H71" s="480" t="s">
        <v>415</v>
      </c>
      <c r="I71" s="475" t="s">
        <v>78</v>
      </c>
      <c r="J71" s="475"/>
      <c r="K71" s="479" t="s">
        <v>628</v>
      </c>
      <c r="L71" s="485"/>
      <c r="M71" s="423"/>
      <c r="N71" s="423"/>
      <c r="O71" s="423"/>
      <c r="P71" s="423"/>
      <c r="Q71" s="423"/>
      <c r="R71" s="423"/>
      <c r="S71" s="423">
        <v>15</v>
      </c>
      <c r="T71" s="423"/>
      <c r="U71" s="423"/>
      <c r="V71" s="423"/>
      <c r="W71" s="423"/>
      <c r="X71" s="423"/>
      <c r="Y71" s="423"/>
      <c r="Z71" s="423"/>
    </row>
    <row r="72" spans="1:26" hidden="1" x14ac:dyDescent="0.35">
      <c r="A72" s="476">
        <v>45691</v>
      </c>
      <c r="B72" s="505">
        <v>15</v>
      </c>
      <c r="C72" s="477" t="s">
        <v>596</v>
      </c>
      <c r="D72" s="477" t="s">
        <v>597</v>
      </c>
      <c r="E72" s="477" t="s">
        <v>653</v>
      </c>
      <c r="F72" s="477" t="s">
        <v>561</v>
      </c>
      <c r="G72" s="474" t="b">
        <f>IF(A72="","",IF(Daten!$AE$4=0,TRUE,MONTH(A72)=Daten!$AE$4))</f>
        <v>1</v>
      </c>
      <c r="H72" s="480" t="s">
        <v>306</v>
      </c>
      <c r="I72" s="474" t="s">
        <v>78</v>
      </c>
      <c r="J72" s="474"/>
      <c r="K72" s="477" t="s">
        <v>628</v>
      </c>
      <c r="L72" s="484"/>
      <c r="M72" s="422">
        <v>15</v>
      </c>
      <c r="N72" s="422"/>
      <c r="O72" s="422"/>
      <c r="P72" s="422"/>
      <c r="Q72" s="422"/>
      <c r="R72" s="422"/>
      <c r="S72" s="422"/>
      <c r="T72" s="422"/>
      <c r="U72" s="422"/>
      <c r="V72" s="422"/>
      <c r="W72" s="422"/>
      <c r="X72" s="422"/>
      <c r="Y72" s="422"/>
      <c r="Z72" s="422"/>
    </row>
    <row r="73" spans="1:26" hidden="1" x14ac:dyDescent="0.35">
      <c r="A73" s="478">
        <v>45691</v>
      </c>
      <c r="B73" s="506">
        <v>15</v>
      </c>
      <c r="C73" s="479" t="s">
        <v>598</v>
      </c>
      <c r="D73" s="479" t="s">
        <v>599</v>
      </c>
      <c r="E73" s="479" t="s">
        <v>652</v>
      </c>
      <c r="F73" s="479" t="s">
        <v>561</v>
      </c>
      <c r="G73" s="475" t="b">
        <f>IF(A73="","",IF(Daten!$AE$4=0,TRUE,MONTH(A73)=Daten!$AE$4))</f>
        <v>1</v>
      </c>
      <c r="H73" s="480" t="s">
        <v>306</v>
      </c>
      <c r="I73" s="475" t="s">
        <v>78</v>
      </c>
      <c r="J73" s="475"/>
      <c r="K73" s="479" t="s">
        <v>628</v>
      </c>
      <c r="L73" s="485"/>
      <c r="M73" s="423">
        <v>15</v>
      </c>
      <c r="N73" s="423"/>
      <c r="O73" s="423"/>
      <c r="P73" s="423"/>
      <c r="Q73" s="423"/>
      <c r="R73" s="423"/>
      <c r="S73" s="423"/>
      <c r="T73" s="423"/>
      <c r="U73" s="423"/>
      <c r="V73" s="423"/>
      <c r="W73" s="423"/>
      <c r="X73" s="423"/>
      <c r="Y73" s="423"/>
      <c r="Z73" s="423"/>
    </row>
    <row r="74" spans="1:26" hidden="1" x14ac:dyDescent="0.35">
      <c r="A74" s="476">
        <v>45691</v>
      </c>
      <c r="B74" s="505">
        <v>-4.3</v>
      </c>
      <c r="C74" s="477"/>
      <c r="D74" s="477">
        <v>0</v>
      </c>
      <c r="E74" s="477" t="s">
        <v>654</v>
      </c>
      <c r="F74" s="477" t="s">
        <v>381</v>
      </c>
      <c r="G74" s="474" t="b">
        <f>IF(A74="","",IF(Daten!$AE$4=0,TRUE,MONTH(A74)=Daten!$AE$4))</f>
        <v>1</v>
      </c>
      <c r="H74" s="480" t="s">
        <v>452</v>
      </c>
      <c r="I74" s="474" t="s">
        <v>78</v>
      </c>
      <c r="J74" s="474"/>
      <c r="K74" s="477" t="s">
        <v>628</v>
      </c>
      <c r="L74" s="484"/>
      <c r="M74" s="422"/>
      <c r="N74" s="422"/>
      <c r="O74" s="422"/>
      <c r="P74" s="422"/>
      <c r="Q74" s="422"/>
      <c r="R74" s="422"/>
      <c r="S74" s="422"/>
      <c r="T74" s="422"/>
      <c r="U74" s="422"/>
      <c r="V74" s="422"/>
      <c r="W74" s="422"/>
      <c r="X74" s="422"/>
      <c r="Y74" s="422">
        <v>-4.3</v>
      </c>
      <c r="Z74" s="422"/>
    </row>
    <row r="75" spans="1:26" hidden="1" x14ac:dyDescent="0.35">
      <c r="A75" s="478">
        <v>45692</v>
      </c>
      <c r="B75" s="506">
        <v>7.5</v>
      </c>
      <c r="C75" s="479" t="s">
        <v>583</v>
      </c>
      <c r="D75" s="479" t="s">
        <v>584</v>
      </c>
      <c r="E75" s="479" t="s">
        <v>642</v>
      </c>
      <c r="F75" s="479" t="s">
        <v>561</v>
      </c>
      <c r="G75" s="475" t="b">
        <f>IF(A75="","",IF(Daten!$AE$4=0,TRUE,MONTH(A75)=Daten!$AE$4))</f>
        <v>1</v>
      </c>
      <c r="H75" s="480" t="s">
        <v>306</v>
      </c>
      <c r="I75" s="475" t="s">
        <v>78</v>
      </c>
      <c r="J75" s="475"/>
      <c r="K75" s="479" t="s">
        <v>628</v>
      </c>
      <c r="L75" s="485"/>
      <c r="M75" s="423">
        <v>7.5</v>
      </c>
      <c r="N75" s="423"/>
      <c r="O75" s="423"/>
      <c r="P75" s="423"/>
      <c r="Q75" s="423"/>
      <c r="R75" s="423"/>
      <c r="S75" s="423"/>
      <c r="T75" s="423"/>
      <c r="U75" s="423"/>
      <c r="V75" s="423"/>
      <c r="W75" s="423"/>
      <c r="X75" s="423"/>
      <c r="Y75" s="423"/>
      <c r="Z75" s="423"/>
    </row>
    <row r="76" spans="1:26" hidden="1" x14ac:dyDescent="0.35">
      <c r="A76" s="476">
        <v>45692</v>
      </c>
      <c r="B76" s="505">
        <v>15</v>
      </c>
      <c r="C76" s="477" t="s">
        <v>583</v>
      </c>
      <c r="D76" s="477" t="s">
        <v>584</v>
      </c>
      <c r="E76" s="477" t="s">
        <v>640</v>
      </c>
      <c r="F76" s="477" t="s">
        <v>561</v>
      </c>
      <c r="G76" s="474" t="b">
        <f>IF(A76="","",IF(Daten!$AE$4=0,TRUE,MONTH(A76)=Daten!$AE$4))</f>
        <v>1</v>
      </c>
      <c r="H76" s="480" t="s">
        <v>415</v>
      </c>
      <c r="I76" s="474" t="s">
        <v>78</v>
      </c>
      <c r="J76" s="474"/>
      <c r="K76" s="477" t="s">
        <v>628</v>
      </c>
      <c r="L76" s="484"/>
      <c r="M76" s="422"/>
      <c r="N76" s="422"/>
      <c r="O76" s="422"/>
      <c r="P76" s="422"/>
      <c r="Q76" s="422"/>
      <c r="R76" s="422"/>
      <c r="S76" s="422">
        <v>15</v>
      </c>
      <c r="T76" s="422"/>
      <c r="U76" s="422"/>
      <c r="V76" s="422"/>
      <c r="W76" s="422"/>
      <c r="X76" s="422"/>
      <c r="Y76" s="422"/>
      <c r="Z76" s="422"/>
    </row>
    <row r="77" spans="1:26" hidden="1" x14ac:dyDescent="0.35">
      <c r="A77" s="478">
        <v>45692</v>
      </c>
      <c r="B77" s="506">
        <v>15</v>
      </c>
      <c r="C77" s="479" t="s">
        <v>573</v>
      </c>
      <c r="D77" s="479" t="s">
        <v>574</v>
      </c>
      <c r="E77" s="479" t="s">
        <v>641</v>
      </c>
      <c r="F77" s="479" t="s">
        <v>561</v>
      </c>
      <c r="G77" s="475" t="b">
        <f>IF(A77="","",IF(Daten!$AE$4=0,TRUE,MONTH(A77)=Daten!$AE$4))</f>
        <v>1</v>
      </c>
      <c r="H77" s="480" t="s">
        <v>415</v>
      </c>
      <c r="I77" s="475" t="s">
        <v>78</v>
      </c>
      <c r="J77" s="475"/>
      <c r="K77" s="479" t="s">
        <v>628</v>
      </c>
      <c r="L77" s="485"/>
      <c r="M77" s="423"/>
      <c r="N77" s="423"/>
      <c r="O77" s="423"/>
      <c r="P77" s="423"/>
      <c r="Q77" s="423"/>
      <c r="R77" s="423"/>
      <c r="S77" s="423">
        <v>15</v>
      </c>
      <c r="T77" s="423"/>
      <c r="U77" s="423"/>
      <c r="V77" s="423"/>
      <c r="W77" s="423"/>
      <c r="X77" s="423"/>
      <c r="Y77" s="423"/>
      <c r="Z77" s="423"/>
    </row>
    <row r="78" spans="1:26" hidden="1" x14ac:dyDescent="0.35">
      <c r="A78" s="476">
        <v>45692</v>
      </c>
      <c r="B78" s="505">
        <v>-59.8</v>
      </c>
      <c r="C78" s="477" t="s">
        <v>568</v>
      </c>
      <c r="D78" s="477" t="s">
        <v>569</v>
      </c>
      <c r="E78" s="477" t="s">
        <v>630</v>
      </c>
      <c r="F78" s="477" t="s">
        <v>567</v>
      </c>
      <c r="G78" s="474" t="b">
        <f>IF(A78="","",IF(Daten!$AE$4=0,TRUE,MONTH(A78)=Daten!$AE$4))</f>
        <v>1</v>
      </c>
      <c r="H78" s="480" t="s">
        <v>459</v>
      </c>
      <c r="I78" s="474" t="s">
        <v>78</v>
      </c>
      <c r="J78" s="474"/>
      <c r="K78" s="477" t="s">
        <v>628</v>
      </c>
      <c r="L78" s="484"/>
      <c r="M78" s="422"/>
      <c r="N78" s="422"/>
      <c r="O78" s="422"/>
      <c r="P78" s="422"/>
      <c r="Q78" s="422"/>
      <c r="R78" s="422"/>
      <c r="S78" s="422"/>
      <c r="T78" s="422">
        <v>-59.8</v>
      </c>
      <c r="U78" s="422"/>
      <c r="V78" s="422"/>
      <c r="W78" s="422"/>
      <c r="X78" s="422"/>
      <c r="Y78" s="422"/>
      <c r="Z78" s="422"/>
    </row>
    <row r="79" spans="1:26" hidden="1" x14ac:dyDescent="0.35">
      <c r="A79" s="478">
        <v>45693</v>
      </c>
      <c r="B79" s="506">
        <v>112.57</v>
      </c>
      <c r="C79" s="479" t="s">
        <v>573</v>
      </c>
      <c r="D79" s="479" t="s">
        <v>574</v>
      </c>
      <c r="E79" s="479" t="s">
        <v>721</v>
      </c>
      <c r="F79" s="479" t="s">
        <v>572</v>
      </c>
      <c r="G79" s="475" t="b">
        <f>IF(A79="","",IF(Daten!$AE$4=0,TRUE,MONTH(A79)=Daten!$AE$4))</f>
        <v>1</v>
      </c>
      <c r="H79" s="480" t="s">
        <v>304</v>
      </c>
      <c r="I79" s="475" t="s">
        <v>799</v>
      </c>
      <c r="J79" s="475"/>
      <c r="K79" s="479" t="s">
        <v>628</v>
      </c>
      <c r="L79" s="485"/>
      <c r="M79" s="423"/>
      <c r="N79" s="423"/>
      <c r="O79" s="423"/>
      <c r="P79" s="423"/>
      <c r="Q79" s="423"/>
      <c r="R79" s="423"/>
      <c r="S79" s="423">
        <v>112.57</v>
      </c>
      <c r="T79" s="423"/>
      <c r="U79" s="423"/>
      <c r="V79" s="423"/>
      <c r="W79" s="423"/>
      <c r="X79" s="423"/>
      <c r="Y79" s="423"/>
      <c r="Z79" s="423"/>
    </row>
    <row r="80" spans="1:26" hidden="1" x14ac:dyDescent="0.35">
      <c r="A80" s="476">
        <v>45693</v>
      </c>
      <c r="B80" s="505">
        <v>277.26</v>
      </c>
      <c r="C80" s="477" t="s">
        <v>573</v>
      </c>
      <c r="D80" s="477" t="s">
        <v>574</v>
      </c>
      <c r="E80" s="477" t="s">
        <v>184</v>
      </c>
      <c r="F80" s="477" t="s">
        <v>572</v>
      </c>
      <c r="G80" s="474" t="b">
        <f>IF(A80="","",IF(Daten!$AE$4=0,TRUE,MONTH(A80)=Daten!$AE$4))</f>
        <v>1</v>
      </c>
      <c r="H80" s="480" t="s">
        <v>299</v>
      </c>
      <c r="I80" s="474" t="s">
        <v>799</v>
      </c>
      <c r="J80" s="474"/>
      <c r="K80" s="477" t="s">
        <v>628</v>
      </c>
      <c r="L80" s="484"/>
      <c r="M80" s="422"/>
      <c r="N80" s="422"/>
      <c r="O80" s="422"/>
      <c r="P80" s="422"/>
      <c r="Q80" s="422"/>
      <c r="R80" s="422"/>
      <c r="S80" s="422">
        <v>277.26</v>
      </c>
      <c r="T80" s="422"/>
      <c r="U80" s="422"/>
      <c r="V80" s="422"/>
      <c r="W80" s="422"/>
      <c r="X80" s="422"/>
      <c r="Y80" s="422"/>
      <c r="Z80" s="422"/>
    </row>
    <row r="81" spans="1:26" hidden="1" x14ac:dyDescent="0.35">
      <c r="A81" s="478">
        <v>45693</v>
      </c>
      <c r="B81" s="506">
        <v>15</v>
      </c>
      <c r="C81" s="479" t="s">
        <v>575</v>
      </c>
      <c r="D81" s="479" t="s">
        <v>576</v>
      </c>
      <c r="E81" s="479" t="s">
        <v>633</v>
      </c>
      <c r="F81" s="479" t="s">
        <v>561</v>
      </c>
      <c r="G81" s="475" t="b">
        <f>IF(A81="","",IF(Daten!$AE$4=0,TRUE,MONTH(A81)=Daten!$AE$4))</f>
        <v>1</v>
      </c>
      <c r="H81" s="480" t="s">
        <v>415</v>
      </c>
      <c r="I81" s="475" t="s">
        <v>78</v>
      </c>
      <c r="J81" s="475"/>
      <c r="K81" s="479" t="s">
        <v>628</v>
      </c>
      <c r="L81" s="485"/>
      <c r="M81" s="423"/>
      <c r="N81" s="423"/>
      <c r="O81" s="423"/>
      <c r="P81" s="423"/>
      <c r="Q81" s="423"/>
      <c r="R81" s="423"/>
      <c r="S81" s="423">
        <v>15</v>
      </c>
      <c r="T81" s="423"/>
      <c r="U81" s="423"/>
      <c r="V81" s="423"/>
      <c r="W81" s="423"/>
      <c r="X81" s="423"/>
      <c r="Y81" s="423"/>
      <c r="Z81" s="423"/>
    </row>
    <row r="82" spans="1:26" hidden="1" x14ac:dyDescent="0.35">
      <c r="A82" s="476">
        <v>45693</v>
      </c>
      <c r="B82" s="505">
        <v>-497</v>
      </c>
      <c r="C82" s="477" t="s">
        <v>578</v>
      </c>
      <c r="D82" s="477" t="s">
        <v>579</v>
      </c>
      <c r="E82" s="477" t="s">
        <v>744</v>
      </c>
      <c r="F82" s="477" t="s">
        <v>567</v>
      </c>
      <c r="G82" s="474" t="b">
        <f>IF(A82="","",IF(Daten!$AE$4=0,TRUE,MONTH(A82)=Daten!$AE$4))</f>
        <v>1</v>
      </c>
      <c r="H82" s="480" t="s">
        <v>451</v>
      </c>
      <c r="I82" s="474" t="s">
        <v>78</v>
      </c>
      <c r="J82" s="474"/>
      <c r="K82" s="477" t="s">
        <v>628</v>
      </c>
      <c r="L82" s="484"/>
      <c r="M82" s="422"/>
      <c r="N82" s="422"/>
      <c r="O82" s="422"/>
      <c r="P82" s="422"/>
      <c r="Q82" s="422"/>
      <c r="R82" s="422"/>
      <c r="S82" s="422"/>
      <c r="T82" s="422">
        <v>-497</v>
      </c>
      <c r="U82" s="422"/>
      <c r="V82" s="422"/>
      <c r="W82" s="422"/>
      <c r="X82" s="422"/>
      <c r="Y82" s="422"/>
      <c r="Z82" s="422"/>
    </row>
    <row r="83" spans="1:26" hidden="1" x14ac:dyDescent="0.35">
      <c r="A83" s="478">
        <v>45695</v>
      </c>
      <c r="B83" s="506">
        <v>75.239999999999995</v>
      </c>
      <c r="C83" s="479" t="s">
        <v>383</v>
      </c>
      <c r="D83" s="479" t="s">
        <v>597</v>
      </c>
      <c r="E83" s="479" t="s">
        <v>742</v>
      </c>
      <c r="F83" s="479" t="s">
        <v>572</v>
      </c>
      <c r="G83" s="475" t="b">
        <f>IF(A83="","",IF(Daten!$AE$4=0,TRUE,MONTH(A83)=Daten!$AE$4))</f>
        <v>1</v>
      </c>
      <c r="H83" s="480" t="s">
        <v>302</v>
      </c>
      <c r="I83" s="475" t="s">
        <v>799</v>
      </c>
      <c r="J83" s="475"/>
      <c r="K83" s="479" t="s">
        <v>628</v>
      </c>
      <c r="L83" s="485"/>
      <c r="M83" s="423"/>
      <c r="N83" s="423"/>
      <c r="O83" s="423"/>
      <c r="P83" s="423"/>
      <c r="Q83" s="423"/>
      <c r="R83" s="423"/>
      <c r="S83" s="423">
        <v>75.239999999999995</v>
      </c>
      <c r="T83" s="423"/>
      <c r="U83" s="423"/>
      <c r="V83" s="423"/>
      <c r="W83" s="423"/>
      <c r="X83" s="423"/>
      <c r="Y83" s="423"/>
      <c r="Z83" s="423"/>
    </row>
    <row r="84" spans="1:26" hidden="1" x14ac:dyDescent="0.35">
      <c r="A84" s="476">
        <v>45695</v>
      </c>
      <c r="B84" s="505">
        <v>108.63</v>
      </c>
      <c r="C84" s="477" t="s">
        <v>383</v>
      </c>
      <c r="D84" s="477" t="s">
        <v>597</v>
      </c>
      <c r="E84" s="477" t="s">
        <v>743</v>
      </c>
      <c r="F84" s="477" t="s">
        <v>572</v>
      </c>
      <c r="G84" s="474" t="b">
        <f>IF(A84="","",IF(Daten!$AE$4=0,TRUE,MONTH(A84)=Daten!$AE$4))</f>
        <v>1</v>
      </c>
      <c r="H84" s="480" t="s">
        <v>419</v>
      </c>
      <c r="I84" s="474" t="s">
        <v>799</v>
      </c>
      <c r="J84" s="474"/>
      <c r="K84" s="477" t="s">
        <v>628</v>
      </c>
      <c r="L84" s="484"/>
      <c r="M84" s="422"/>
      <c r="N84" s="422"/>
      <c r="O84" s="422"/>
      <c r="P84" s="422"/>
      <c r="Q84" s="422"/>
      <c r="R84" s="422"/>
      <c r="S84" s="422">
        <v>108.63</v>
      </c>
      <c r="T84" s="422"/>
      <c r="U84" s="422"/>
      <c r="V84" s="422"/>
      <c r="W84" s="422"/>
      <c r="X84" s="422"/>
      <c r="Y84" s="422"/>
      <c r="Z84" s="422"/>
    </row>
    <row r="85" spans="1:26" hidden="1" x14ac:dyDescent="0.35">
      <c r="A85" s="478">
        <v>45702</v>
      </c>
      <c r="B85" s="506">
        <v>84.18</v>
      </c>
      <c r="C85" s="479" t="s">
        <v>383</v>
      </c>
      <c r="D85" s="479" t="s">
        <v>597</v>
      </c>
      <c r="E85" s="479" t="s">
        <v>741</v>
      </c>
      <c r="F85" s="479" t="s">
        <v>572</v>
      </c>
      <c r="G85" s="475" t="b">
        <f>IF(A85="","",IF(Daten!$AE$4=0,TRUE,MONTH(A85)=Daten!$AE$4))</f>
        <v>1</v>
      </c>
      <c r="H85" s="480" t="s">
        <v>299</v>
      </c>
      <c r="I85" s="475" t="s">
        <v>799</v>
      </c>
      <c r="J85" s="475"/>
      <c r="K85" s="479" t="s">
        <v>628</v>
      </c>
      <c r="L85" s="485"/>
      <c r="M85" s="423"/>
      <c r="N85" s="423"/>
      <c r="O85" s="423"/>
      <c r="P85" s="423"/>
      <c r="Q85" s="423"/>
      <c r="R85" s="423"/>
      <c r="S85" s="423">
        <v>84.18</v>
      </c>
      <c r="T85" s="423"/>
      <c r="U85" s="423"/>
      <c r="V85" s="423"/>
      <c r="W85" s="423"/>
      <c r="X85" s="423"/>
      <c r="Y85" s="423"/>
      <c r="Z85" s="423"/>
    </row>
    <row r="86" spans="1:26" ht="87" hidden="1" x14ac:dyDescent="0.35">
      <c r="A86" s="476">
        <v>45705</v>
      </c>
      <c r="B86" s="505">
        <v>112.57</v>
      </c>
      <c r="C86" s="477" t="s">
        <v>609</v>
      </c>
      <c r="D86" s="477" t="s">
        <v>585</v>
      </c>
      <c r="E86" s="477" t="s">
        <v>737</v>
      </c>
      <c r="F86" s="477" t="s">
        <v>572</v>
      </c>
      <c r="G86" s="474" t="b">
        <f>IF(A86="","",IF(Daten!$AE$4=0,TRUE,MONTH(A86)=Daten!$AE$4))</f>
        <v>1</v>
      </c>
      <c r="H86" s="425" t="s">
        <v>800</v>
      </c>
      <c r="I86" s="474" t="s">
        <v>799</v>
      </c>
      <c r="J86" s="474"/>
      <c r="K86" s="477" t="s">
        <v>628</v>
      </c>
      <c r="L86" s="484" t="s">
        <v>819</v>
      </c>
      <c r="M86" s="507"/>
      <c r="N86" s="507"/>
      <c r="O86" s="507"/>
      <c r="P86" s="507"/>
      <c r="Q86" s="507"/>
      <c r="R86" s="507"/>
      <c r="S86" s="507"/>
      <c r="T86" s="422"/>
      <c r="U86" s="422"/>
      <c r="V86" s="422"/>
      <c r="W86" s="422"/>
      <c r="X86" s="422"/>
      <c r="Y86" s="422"/>
      <c r="Z86" s="422"/>
    </row>
    <row r="87" spans="1:26" hidden="1" x14ac:dyDescent="0.35">
      <c r="A87" s="478">
        <v>45705</v>
      </c>
      <c r="B87" s="506">
        <v>150</v>
      </c>
      <c r="C87" s="479" t="s">
        <v>609</v>
      </c>
      <c r="D87" s="479" t="s">
        <v>585</v>
      </c>
      <c r="E87" s="479" t="s">
        <v>738</v>
      </c>
      <c r="F87" s="479" t="s">
        <v>572</v>
      </c>
      <c r="G87" s="475" t="b">
        <f>IF(A87="","",IF(Daten!$AE$4=0,TRUE,MONTH(A87)=Daten!$AE$4))</f>
        <v>1</v>
      </c>
      <c r="H87" s="480" t="s">
        <v>425</v>
      </c>
      <c r="I87" s="475" t="s">
        <v>78</v>
      </c>
      <c r="J87" s="475"/>
      <c r="K87" s="479" t="s">
        <v>628</v>
      </c>
      <c r="L87" s="485"/>
      <c r="M87" s="423"/>
      <c r="N87" s="423"/>
      <c r="O87" s="423"/>
      <c r="P87" s="423"/>
      <c r="Q87" s="423"/>
      <c r="R87" s="423"/>
      <c r="S87" s="423">
        <v>150</v>
      </c>
      <c r="T87" s="423"/>
      <c r="U87" s="423"/>
      <c r="V87" s="423"/>
      <c r="W87" s="423"/>
      <c r="X87" s="423"/>
      <c r="Y87" s="423"/>
      <c r="Z87" s="423"/>
    </row>
    <row r="88" spans="1:26" hidden="1" x14ac:dyDescent="0.35">
      <c r="A88" s="476">
        <v>45705</v>
      </c>
      <c r="B88" s="505">
        <v>-59.94</v>
      </c>
      <c r="C88" s="477" t="s">
        <v>570</v>
      </c>
      <c r="D88" s="477" t="s">
        <v>571</v>
      </c>
      <c r="E88" s="477" t="s">
        <v>739</v>
      </c>
      <c r="F88" s="477" t="s">
        <v>567</v>
      </c>
      <c r="G88" s="474" t="b">
        <f>IF(A88="","",IF(Daten!$AE$4=0,TRUE,MONTH(A88)=Daten!$AE$4))</f>
        <v>1</v>
      </c>
      <c r="H88" s="480" t="s">
        <v>389</v>
      </c>
      <c r="I88" s="474" t="s">
        <v>78</v>
      </c>
      <c r="J88" s="474"/>
      <c r="K88" s="477" t="s">
        <v>628</v>
      </c>
      <c r="L88" s="484"/>
      <c r="M88" s="422"/>
      <c r="N88" s="422"/>
      <c r="O88" s="422"/>
      <c r="P88" s="422"/>
      <c r="Q88" s="422"/>
      <c r="R88" s="422"/>
      <c r="S88" s="422"/>
      <c r="T88" s="422">
        <v>-59.94</v>
      </c>
      <c r="U88" s="422"/>
      <c r="V88" s="422"/>
      <c r="W88" s="422"/>
      <c r="X88" s="422"/>
      <c r="Y88" s="422"/>
      <c r="Z88" s="422"/>
    </row>
    <row r="89" spans="1:26" hidden="1" x14ac:dyDescent="0.35">
      <c r="A89" s="478">
        <v>45705</v>
      </c>
      <c r="B89" s="506">
        <v>76.75</v>
      </c>
      <c r="C89" s="479" t="s">
        <v>609</v>
      </c>
      <c r="D89" s="479" t="s">
        <v>585</v>
      </c>
      <c r="E89" s="479" t="s">
        <v>740</v>
      </c>
      <c r="F89" s="479" t="s">
        <v>590</v>
      </c>
      <c r="G89" s="475" t="b">
        <f>IF(A89="","",IF(Daten!$AE$4=0,TRUE,MONTH(A89)=Daten!$AE$4))</f>
        <v>1</v>
      </c>
      <c r="H89" s="480" t="s">
        <v>299</v>
      </c>
      <c r="I89" s="475" t="s">
        <v>799</v>
      </c>
      <c r="J89" s="475"/>
      <c r="K89" s="479" t="s">
        <v>628</v>
      </c>
      <c r="L89" s="485"/>
      <c r="M89" s="423"/>
      <c r="N89" s="423"/>
      <c r="O89" s="423"/>
      <c r="P89" s="423"/>
      <c r="Q89" s="423"/>
      <c r="R89" s="423"/>
      <c r="S89" s="423">
        <v>76.75</v>
      </c>
      <c r="T89" s="423"/>
      <c r="U89" s="423"/>
      <c r="V89" s="423"/>
      <c r="W89" s="423"/>
      <c r="X89" s="423"/>
      <c r="Y89" s="423"/>
      <c r="Z89" s="423"/>
    </row>
    <row r="90" spans="1:26" hidden="1" x14ac:dyDescent="0.35">
      <c r="A90" s="476">
        <v>45706</v>
      </c>
      <c r="B90" s="505">
        <v>15</v>
      </c>
      <c r="C90" s="477" t="s">
        <v>562</v>
      </c>
      <c r="D90" s="477" t="s">
        <v>563</v>
      </c>
      <c r="E90" s="477" t="s">
        <v>627</v>
      </c>
      <c r="F90" s="477" t="s">
        <v>561</v>
      </c>
      <c r="G90" s="474" t="b">
        <f>IF(A90="","",IF(Daten!$AE$4=0,TRUE,MONTH(A90)=Daten!$AE$4))</f>
        <v>1</v>
      </c>
      <c r="H90" s="480" t="s">
        <v>415</v>
      </c>
      <c r="I90" s="474" t="s">
        <v>78</v>
      </c>
      <c r="J90" s="474"/>
      <c r="K90" s="477" t="s">
        <v>628</v>
      </c>
      <c r="L90" s="484"/>
      <c r="M90" s="422"/>
      <c r="N90" s="422"/>
      <c r="O90" s="422"/>
      <c r="P90" s="422"/>
      <c r="Q90" s="422"/>
      <c r="R90" s="422"/>
      <c r="S90" s="422">
        <v>15</v>
      </c>
      <c r="T90" s="422"/>
      <c r="U90" s="422"/>
      <c r="V90" s="422"/>
      <c r="W90" s="422"/>
      <c r="X90" s="422"/>
      <c r="Y90" s="422"/>
      <c r="Z90" s="422"/>
    </row>
    <row r="91" spans="1:26" ht="87" hidden="1" x14ac:dyDescent="0.35">
      <c r="A91" s="478">
        <v>45706</v>
      </c>
      <c r="B91" s="506">
        <v>326.2</v>
      </c>
      <c r="C91" s="479" t="s">
        <v>586</v>
      </c>
      <c r="D91" s="479" t="s">
        <v>587</v>
      </c>
      <c r="E91" s="479" t="s">
        <v>736</v>
      </c>
      <c r="F91" s="479" t="s">
        <v>572</v>
      </c>
      <c r="G91" s="475" t="b">
        <f>IF(A91="","",IF(Daten!$AE$4=0,TRUE,MONTH(A91)=Daten!$AE$4))</f>
        <v>1</v>
      </c>
      <c r="H91" s="425" t="s">
        <v>800</v>
      </c>
      <c r="I91" s="475" t="s">
        <v>799</v>
      </c>
      <c r="J91" s="475"/>
      <c r="K91" s="479" t="s">
        <v>628</v>
      </c>
      <c r="L91" s="485" t="s">
        <v>822</v>
      </c>
      <c r="M91" s="508"/>
      <c r="N91" s="508"/>
      <c r="O91" s="508"/>
      <c r="P91" s="508"/>
      <c r="Q91" s="508"/>
      <c r="R91" s="508"/>
      <c r="S91" s="508"/>
      <c r="T91" s="423"/>
      <c r="U91" s="423"/>
      <c r="V91" s="423"/>
      <c r="W91" s="423"/>
      <c r="X91" s="423"/>
      <c r="Y91" s="423"/>
      <c r="Z91" s="423"/>
    </row>
    <row r="92" spans="1:26" hidden="1" x14ac:dyDescent="0.35">
      <c r="A92" s="476">
        <v>45707</v>
      </c>
      <c r="B92" s="505">
        <v>112.57</v>
      </c>
      <c r="C92" s="477" t="s">
        <v>594</v>
      </c>
      <c r="D92" s="477" t="s">
        <v>595</v>
      </c>
      <c r="E92" s="477" t="s">
        <v>735</v>
      </c>
      <c r="F92" s="477" t="s">
        <v>572</v>
      </c>
      <c r="G92" s="474" t="b">
        <f>IF(A92="","",IF(Daten!$AE$4=0,TRUE,MONTH(A92)=Daten!$AE$4))</f>
        <v>1</v>
      </c>
      <c r="H92" s="480" t="s">
        <v>304</v>
      </c>
      <c r="I92" s="474" t="s">
        <v>799</v>
      </c>
      <c r="J92" s="474"/>
      <c r="K92" s="477" t="s">
        <v>628</v>
      </c>
      <c r="L92" s="484"/>
      <c r="M92" s="422"/>
      <c r="N92" s="422"/>
      <c r="O92" s="422"/>
      <c r="P92" s="422"/>
      <c r="Q92" s="422"/>
      <c r="R92" s="422"/>
      <c r="S92" s="422">
        <v>112.57</v>
      </c>
      <c r="T92" s="422"/>
      <c r="U92" s="422"/>
      <c r="V92" s="422"/>
      <c r="W92" s="422"/>
      <c r="X92" s="422"/>
      <c r="Y92" s="422"/>
      <c r="Z92" s="422"/>
    </row>
    <row r="93" spans="1:26" hidden="1" x14ac:dyDescent="0.35">
      <c r="A93" s="478">
        <v>45708</v>
      </c>
      <c r="B93" s="506">
        <v>112.57</v>
      </c>
      <c r="C93" s="479" t="s">
        <v>51</v>
      </c>
      <c r="D93" s="479" t="s">
        <v>580</v>
      </c>
      <c r="E93" s="479" t="s">
        <v>733</v>
      </c>
      <c r="F93" s="479" t="s">
        <v>572</v>
      </c>
      <c r="G93" s="475" t="b">
        <f>IF(A93="","",IF(Daten!$AE$4=0,TRUE,MONTH(A93)=Daten!$AE$4))</f>
        <v>1</v>
      </c>
      <c r="H93" s="480" t="s">
        <v>302</v>
      </c>
      <c r="I93" s="475" t="s">
        <v>799</v>
      </c>
      <c r="J93" s="475"/>
      <c r="K93" s="479" t="s">
        <v>628</v>
      </c>
      <c r="L93" s="485"/>
      <c r="M93" s="423"/>
      <c r="N93" s="423"/>
      <c r="O93" s="423"/>
      <c r="P93" s="423"/>
      <c r="Q93" s="423"/>
      <c r="R93" s="423"/>
      <c r="S93" s="423">
        <v>112.57</v>
      </c>
      <c r="T93" s="423"/>
      <c r="U93" s="423"/>
      <c r="V93" s="423"/>
      <c r="W93" s="423"/>
      <c r="X93" s="423"/>
      <c r="Y93" s="423"/>
      <c r="Z93" s="423"/>
    </row>
    <row r="94" spans="1:26" hidden="1" x14ac:dyDescent="0.35">
      <c r="A94" s="476">
        <v>45708</v>
      </c>
      <c r="B94" s="505">
        <v>136.09</v>
      </c>
      <c r="C94" s="477" t="s">
        <v>51</v>
      </c>
      <c r="D94" s="477" t="s">
        <v>580</v>
      </c>
      <c r="E94" s="477" t="s">
        <v>734</v>
      </c>
      <c r="F94" s="477" t="s">
        <v>572</v>
      </c>
      <c r="G94" s="474" t="b">
        <f>IF(A94="","",IF(Daten!$AE$4=0,TRUE,MONTH(A94)=Daten!$AE$4))</f>
        <v>1</v>
      </c>
      <c r="H94" s="480" t="s">
        <v>299</v>
      </c>
      <c r="I94" s="474" t="s">
        <v>799</v>
      </c>
      <c r="J94" s="474"/>
      <c r="K94" s="477" t="s">
        <v>628</v>
      </c>
      <c r="L94" s="484"/>
      <c r="M94" s="422"/>
      <c r="N94" s="422"/>
      <c r="O94" s="422"/>
      <c r="P94" s="422"/>
      <c r="Q94" s="422"/>
      <c r="R94" s="422"/>
      <c r="S94" s="422">
        <v>136.09</v>
      </c>
      <c r="T94" s="422"/>
      <c r="U94" s="422"/>
      <c r="V94" s="422"/>
      <c r="W94" s="422"/>
      <c r="X94" s="422"/>
      <c r="Y94" s="422"/>
      <c r="Z94" s="422"/>
    </row>
    <row r="95" spans="1:26" hidden="1" x14ac:dyDescent="0.35">
      <c r="A95" s="478">
        <v>45713</v>
      </c>
      <c r="B95" s="506">
        <v>45.14</v>
      </c>
      <c r="C95" s="479" t="s">
        <v>583</v>
      </c>
      <c r="D95" s="479" t="s">
        <v>584</v>
      </c>
      <c r="E95" s="479" t="s">
        <v>732</v>
      </c>
      <c r="F95" s="479" t="s">
        <v>572</v>
      </c>
      <c r="G95" s="475" t="b">
        <f>IF(A95="","",IF(Daten!$AE$4=0,TRUE,MONTH(A95)=Daten!$AE$4))</f>
        <v>1</v>
      </c>
      <c r="H95" s="480" t="s">
        <v>299</v>
      </c>
      <c r="I95" s="475" t="s">
        <v>799</v>
      </c>
      <c r="J95" s="475"/>
      <c r="K95" s="479" t="s">
        <v>628</v>
      </c>
      <c r="L95" s="485"/>
      <c r="M95" s="423"/>
      <c r="N95" s="423"/>
      <c r="O95" s="423"/>
      <c r="P95" s="423"/>
      <c r="Q95" s="423"/>
      <c r="R95" s="423"/>
      <c r="S95" s="423">
        <v>45.14</v>
      </c>
      <c r="T95" s="423"/>
      <c r="U95" s="423"/>
      <c r="V95" s="423"/>
      <c r="W95" s="423"/>
      <c r="X95" s="423"/>
      <c r="Y95" s="423"/>
      <c r="Z95" s="423"/>
    </row>
    <row r="96" spans="1:26" hidden="1" x14ac:dyDescent="0.35">
      <c r="A96" s="476">
        <v>45713</v>
      </c>
      <c r="B96" s="505">
        <v>15</v>
      </c>
      <c r="C96" s="477" t="s">
        <v>594</v>
      </c>
      <c r="D96" s="477" t="s">
        <v>595</v>
      </c>
      <c r="E96" s="477" t="s">
        <v>657</v>
      </c>
      <c r="F96" s="477" t="s">
        <v>561</v>
      </c>
      <c r="G96" s="474" t="b">
        <f>IF(A96="","",IF(Daten!$AE$4=0,TRUE,MONTH(A96)=Daten!$AE$4))</f>
        <v>1</v>
      </c>
      <c r="H96" s="480" t="s">
        <v>415</v>
      </c>
      <c r="I96" s="474" t="s">
        <v>78</v>
      </c>
      <c r="J96" s="474"/>
      <c r="K96" s="477" t="s">
        <v>628</v>
      </c>
      <c r="L96" s="484"/>
      <c r="M96" s="422"/>
      <c r="N96" s="422"/>
      <c r="O96" s="422"/>
      <c r="P96" s="422"/>
      <c r="Q96" s="422"/>
      <c r="R96" s="422"/>
      <c r="S96" s="422">
        <v>15</v>
      </c>
      <c r="T96" s="422"/>
      <c r="U96" s="422"/>
      <c r="V96" s="422"/>
      <c r="W96" s="422"/>
      <c r="X96" s="422"/>
      <c r="Y96" s="422"/>
      <c r="Z96" s="422"/>
    </row>
    <row r="97" spans="1:26" hidden="1" x14ac:dyDescent="0.35">
      <c r="A97" s="478">
        <v>45714</v>
      </c>
      <c r="B97" s="506">
        <v>120</v>
      </c>
      <c r="C97" s="479" t="s">
        <v>583</v>
      </c>
      <c r="D97" s="479" t="s">
        <v>584</v>
      </c>
      <c r="E97" s="479" t="s">
        <v>731</v>
      </c>
      <c r="F97" s="479" t="s">
        <v>572</v>
      </c>
      <c r="G97" s="475" t="b">
        <f>IF(A97="","",IF(Daten!$AE$4=0,TRUE,MONTH(A97)=Daten!$AE$4))</f>
        <v>1</v>
      </c>
      <c r="H97" s="480" t="s">
        <v>425</v>
      </c>
      <c r="I97" s="475" t="s">
        <v>78</v>
      </c>
      <c r="J97" s="475"/>
      <c r="K97" s="479" t="s">
        <v>628</v>
      </c>
      <c r="L97" s="485"/>
      <c r="M97" s="423"/>
      <c r="N97" s="423"/>
      <c r="O97" s="423"/>
      <c r="P97" s="423"/>
      <c r="Q97" s="423"/>
      <c r="R97" s="423"/>
      <c r="S97" s="423">
        <v>120</v>
      </c>
      <c r="T97" s="423"/>
      <c r="U97" s="423"/>
      <c r="V97" s="423"/>
      <c r="W97" s="423"/>
      <c r="X97" s="423"/>
      <c r="Y97" s="423"/>
      <c r="Z97" s="423"/>
    </row>
    <row r="98" spans="1:26" hidden="1" x14ac:dyDescent="0.35">
      <c r="A98" s="476">
        <v>45714</v>
      </c>
      <c r="B98" s="505">
        <v>7.5</v>
      </c>
      <c r="C98" s="477" t="s">
        <v>600</v>
      </c>
      <c r="D98" s="477" t="s">
        <v>601</v>
      </c>
      <c r="E98" s="477" t="s">
        <v>656</v>
      </c>
      <c r="F98" s="477" t="s">
        <v>561</v>
      </c>
      <c r="G98" s="474" t="b">
        <f>IF(A98="","",IF(Daten!$AE$4=0,TRUE,MONTH(A98)=Daten!$AE$4))</f>
        <v>1</v>
      </c>
      <c r="H98" s="480" t="s">
        <v>306</v>
      </c>
      <c r="I98" s="474" t="s">
        <v>77</v>
      </c>
      <c r="J98" s="474"/>
      <c r="K98" s="477" t="s">
        <v>628</v>
      </c>
      <c r="L98" s="484"/>
      <c r="M98" s="422">
        <v>7.5</v>
      </c>
      <c r="N98" s="422"/>
      <c r="O98" s="422"/>
      <c r="P98" s="422"/>
      <c r="Q98" s="422"/>
      <c r="R98" s="422"/>
      <c r="S98" s="422"/>
      <c r="T98" s="422"/>
      <c r="U98" s="422"/>
      <c r="V98" s="422"/>
      <c r="W98" s="422"/>
      <c r="X98" s="422"/>
      <c r="Y98" s="422"/>
      <c r="Z98" s="422"/>
    </row>
    <row r="99" spans="1:26" hidden="1" x14ac:dyDescent="0.35">
      <c r="A99" s="478">
        <v>45715</v>
      </c>
      <c r="B99" s="506">
        <v>7.5</v>
      </c>
      <c r="C99" s="479" t="s">
        <v>594</v>
      </c>
      <c r="D99" s="479" t="s">
        <v>595</v>
      </c>
      <c r="E99" s="479" t="s">
        <v>655</v>
      </c>
      <c r="F99" s="479" t="s">
        <v>561</v>
      </c>
      <c r="G99" s="475" t="b">
        <f>IF(A99="","",IF(Daten!$AE$4=0,TRUE,MONTH(A99)=Daten!$AE$4))</f>
        <v>1</v>
      </c>
      <c r="H99" s="480" t="s">
        <v>306</v>
      </c>
      <c r="I99" s="475" t="s">
        <v>77</v>
      </c>
      <c r="J99" s="475"/>
      <c r="K99" s="479" t="s">
        <v>628</v>
      </c>
      <c r="L99" s="485"/>
      <c r="M99" s="423">
        <v>7.5</v>
      </c>
      <c r="N99" s="423"/>
      <c r="O99" s="423"/>
      <c r="P99" s="423"/>
      <c r="Q99" s="423"/>
      <c r="R99" s="423"/>
      <c r="S99" s="423"/>
      <c r="T99" s="423"/>
      <c r="U99" s="423"/>
      <c r="V99" s="423"/>
      <c r="W99" s="423"/>
      <c r="X99" s="423"/>
      <c r="Y99" s="423"/>
      <c r="Z99" s="423"/>
    </row>
    <row r="100" spans="1:26" hidden="1" x14ac:dyDescent="0.35">
      <c r="A100" s="476">
        <v>45716</v>
      </c>
      <c r="B100" s="505">
        <v>15</v>
      </c>
      <c r="C100" s="477" t="s">
        <v>588</v>
      </c>
      <c r="D100" s="477" t="s">
        <v>589</v>
      </c>
      <c r="E100" s="477" t="s">
        <v>306</v>
      </c>
      <c r="F100" s="477" t="s">
        <v>561</v>
      </c>
      <c r="G100" s="474" t="b">
        <f>IF(A100="","",IF(Daten!$AE$4=0,TRUE,MONTH(A100)=Daten!$AE$4))</f>
        <v>1</v>
      </c>
      <c r="H100" s="480" t="s">
        <v>306</v>
      </c>
      <c r="I100" s="474" t="s">
        <v>77</v>
      </c>
      <c r="J100" s="474"/>
      <c r="K100" s="477" t="s">
        <v>628</v>
      </c>
      <c r="L100" s="484"/>
      <c r="M100" s="422">
        <v>15</v>
      </c>
      <c r="N100" s="422"/>
      <c r="O100" s="422"/>
      <c r="P100" s="422"/>
      <c r="Q100" s="422"/>
      <c r="R100" s="422"/>
      <c r="S100" s="422"/>
      <c r="T100" s="422"/>
      <c r="U100" s="422"/>
      <c r="V100" s="422"/>
      <c r="W100" s="422"/>
      <c r="X100" s="422"/>
      <c r="Y100" s="422"/>
      <c r="Z100" s="422"/>
    </row>
    <row r="101" spans="1:26" hidden="1" x14ac:dyDescent="0.35">
      <c r="A101" s="478">
        <v>45716</v>
      </c>
      <c r="B101" s="506">
        <v>-80.12</v>
      </c>
      <c r="C101" s="479" t="s">
        <v>602</v>
      </c>
      <c r="D101" s="479" t="s">
        <v>603</v>
      </c>
      <c r="E101" s="479" t="s">
        <v>730</v>
      </c>
      <c r="F101" s="479" t="s">
        <v>615</v>
      </c>
      <c r="G101" s="475" t="b">
        <f>IF(A101="","",IF(Daten!$AE$4=0,TRUE,MONTH(A101)=Daten!$AE$4))</f>
        <v>1</v>
      </c>
      <c r="H101" s="480" t="s">
        <v>390</v>
      </c>
      <c r="I101" s="475" t="s">
        <v>78</v>
      </c>
      <c r="J101" s="475"/>
      <c r="K101" s="479" t="s">
        <v>628</v>
      </c>
      <c r="L101" s="485"/>
      <c r="M101" s="423"/>
      <c r="N101" s="423"/>
      <c r="O101" s="423"/>
      <c r="P101" s="423"/>
      <c r="Q101" s="423"/>
      <c r="R101" s="423"/>
      <c r="S101" s="423"/>
      <c r="T101" s="423">
        <v>-80.12</v>
      </c>
      <c r="U101" s="423"/>
      <c r="V101" s="423"/>
      <c r="W101" s="423"/>
      <c r="X101" s="423"/>
      <c r="Y101" s="423"/>
      <c r="Z101" s="423"/>
    </row>
    <row r="102" spans="1:26" hidden="1" x14ac:dyDescent="0.35">
      <c r="A102" s="476">
        <v>45719</v>
      </c>
      <c r="B102" s="505">
        <v>15</v>
      </c>
      <c r="C102" s="477" t="s">
        <v>613</v>
      </c>
      <c r="D102" s="477" t="s">
        <v>614</v>
      </c>
      <c r="E102" s="477" t="s">
        <v>710</v>
      </c>
      <c r="F102" s="477" t="s">
        <v>561</v>
      </c>
      <c r="G102" s="474" t="b">
        <f>IF(A102="","",IF(Daten!$AE$4=0,TRUE,MONTH(A102)=Daten!$AE$4))</f>
        <v>1</v>
      </c>
      <c r="H102" s="480" t="s">
        <v>306</v>
      </c>
      <c r="I102" s="474" t="s">
        <v>77</v>
      </c>
      <c r="J102" s="474"/>
      <c r="K102" s="477" t="s">
        <v>628</v>
      </c>
      <c r="L102" s="484"/>
      <c r="M102" s="422">
        <v>15</v>
      </c>
      <c r="N102" s="422"/>
      <c r="O102" s="422"/>
      <c r="P102" s="422"/>
      <c r="Q102" s="422"/>
      <c r="R102" s="422"/>
      <c r="S102" s="422"/>
      <c r="T102" s="422"/>
      <c r="U102" s="422"/>
      <c r="V102" s="422"/>
      <c r="W102" s="422"/>
      <c r="X102" s="422"/>
      <c r="Y102" s="422"/>
      <c r="Z102" s="422"/>
    </row>
    <row r="103" spans="1:26" hidden="1" x14ac:dyDescent="0.35">
      <c r="A103" s="478">
        <v>45719</v>
      </c>
      <c r="B103" s="506">
        <v>15</v>
      </c>
      <c r="C103" s="479" t="s">
        <v>51</v>
      </c>
      <c r="D103" s="479" t="s">
        <v>580</v>
      </c>
      <c r="E103" s="479" t="s">
        <v>384</v>
      </c>
      <c r="F103" s="479" t="s">
        <v>561</v>
      </c>
      <c r="G103" s="475" t="b">
        <f>IF(A103="","",IF(Daten!$AE$4=0,TRUE,MONTH(A103)=Daten!$AE$4))</f>
        <v>1</v>
      </c>
      <c r="H103" s="480" t="s">
        <v>415</v>
      </c>
      <c r="I103" s="475" t="s">
        <v>77</v>
      </c>
      <c r="J103" s="475"/>
      <c r="K103" s="479" t="s">
        <v>628</v>
      </c>
      <c r="L103" s="485"/>
      <c r="M103" s="423"/>
      <c r="N103" s="423"/>
      <c r="O103" s="423"/>
      <c r="P103" s="423"/>
      <c r="Q103" s="423"/>
      <c r="R103" s="423"/>
      <c r="S103" s="423">
        <v>15</v>
      </c>
      <c r="T103" s="423"/>
      <c r="U103" s="423"/>
      <c r="V103" s="423"/>
      <c r="W103" s="423"/>
      <c r="X103" s="423"/>
      <c r="Y103" s="423"/>
      <c r="Z103" s="423"/>
    </row>
    <row r="104" spans="1:26" hidden="1" x14ac:dyDescent="0.35">
      <c r="A104" s="476">
        <v>45719</v>
      </c>
      <c r="B104" s="505">
        <v>7.5</v>
      </c>
      <c r="C104" s="477" t="s">
        <v>51</v>
      </c>
      <c r="D104" s="477" t="s">
        <v>580</v>
      </c>
      <c r="E104" s="477" t="s">
        <v>637</v>
      </c>
      <c r="F104" s="477" t="s">
        <v>561</v>
      </c>
      <c r="G104" s="474" t="b">
        <f>IF(A104="","",IF(Daten!$AE$4=0,TRUE,MONTH(A104)=Daten!$AE$4))</f>
        <v>1</v>
      </c>
      <c r="H104" s="480" t="s">
        <v>306</v>
      </c>
      <c r="I104" s="474" t="s">
        <v>77</v>
      </c>
      <c r="J104" s="474"/>
      <c r="K104" s="477" t="s">
        <v>628</v>
      </c>
      <c r="L104" s="484"/>
      <c r="M104" s="422">
        <v>7.5</v>
      </c>
      <c r="N104" s="422"/>
      <c r="O104" s="422"/>
      <c r="P104" s="422"/>
      <c r="Q104" s="422"/>
      <c r="R104" s="422"/>
      <c r="S104" s="422"/>
      <c r="T104" s="422"/>
      <c r="U104" s="422"/>
      <c r="V104" s="422"/>
      <c r="W104" s="422"/>
      <c r="X104" s="422"/>
      <c r="Y104" s="422"/>
      <c r="Z104" s="422"/>
    </row>
    <row r="105" spans="1:26" hidden="1" x14ac:dyDescent="0.35">
      <c r="A105" s="478">
        <v>45719</v>
      </c>
      <c r="B105" s="506">
        <v>15</v>
      </c>
      <c r="C105" s="479" t="s">
        <v>66</v>
      </c>
      <c r="D105" s="479" t="s">
        <v>585</v>
      </c>
      <c r="E105" s="479" t="s">
        <v>644</v>
      </c>
      <c r="F105" s="479" t="s">
        <v>561</v>
      </c>
      <c r="G105" s="475" t="b">
        <f>IF(A105="","",IF(Daten!$AE$4=0,TRUE,MONTH(A105)=Daten!$AE$4))</f>
        <v>1</v>
      </c>
      <c r="H105" s="480" t="s">
        <v>415</v>
      </c>
      <c r="I105" s="475" t="s">
        <v>77</v>
      </c>
      <c r="J105" s="475"/>
      <c r="K105" s="479" t="s">
        <v>628</v>
      </c>
      <c r="L105" s="485"/>
      <c r="M105" s="423"/>
      <c r="N105" s="423"/>
      <c r="O105" s="423"/>
      <c r="P105" s="423"/>
      <c r="Q105" s="423"/>
      <c r="R105" s="423"/>
      <c r="S105" s="423">
        <v>15</v>
      </c>
      <c r="T105" s="423"/>
      <c r="U105" s="423"/>
      <c r="V105" s="423"/>
      <c r="W105" s="423"/>
      <c r="X105" s="423"/>
      <c r="Y105" s="423"/>
      <c r="Z105" s="423"/>
    </row>
    <row r="106" spans="1:26" hidden="1" x14ac:dyDescent="0.35">
      <c r="A106" s="476">
        <v>45719</v>
      </c>
      <c r="B106" s="505">
        <v>15</v>
      </c>
      <c r="C106" s="477" t="s">
        <v>588</v>
      </c>
      <c r="D106" s="477" t="s">
        <v>589</v>
      </c>
      <c r="E106" s="477" t="s">
        <v>385</v>
      </c>
      <c r="F106" s="477" t="s">
        <v>561</v>
      </c>
      <c r="G106" s="474" t="b">
        <f>IF(A106="","",IF(Daten!$AE$4=0,TRUE,MONTH(A106)=Daten!$AE$4))</f>
        <v>1</v>
      </c>
      <c r="H106" s="480" t="s">
        <v>415</v>
      </c>
      <c r="I106" s="474" t="s">
        <v>77</v>
      </c>
      <c r="J106" s="474"/>
      <c r="K106" s="477" t="s">
        <v>628</v>
      </c>
      <c r="L106" s="484"/>
      <c r="M106" s="422"/>
      <c r="N106" s="422"/>
      <c r="O106" s="422"/>
      <c r="P106" s="422"/>
      <c r="Q106" s="422"/>
      <c r="R106" s="422"/>
      <c r="S106" s="422">
        <v>15</v>
      </c>
      <c r="T106" s="422"/>
      <c r="U106" s="422"/>
      <c r="V106" s="422"/>
      <c r="W106" s="422"/>
      <c r="X106" s="422"/>
      <c r="Y106" s="422"/>
      <c r="Z106" s="422"/>
    </row>
    <row r="107" spans="1:26" hidden="1" x14ac:dyDescent="0.35">
      <c r="A107" s="478">
        <v>45719</v>
      </c>
      <c r="B107" s="506">
        <v>15</v>
      </c>
      <c r="C107" s="479" t="s">
        <v>586</v>
      </c>
      <c r="D107" s="479" t="s">
        <v>587</v>
      </c>
      <c r="E107" s="479" t="s">
        <v>647</v>
      </c>
      <c r="F107" s="479" t="s">
        <v>561</v>
      </c>
      <c r="G107" s="475" t="b">
        <f>IF(A107="","",IF(Daten!$AE$4=0,TRUE,MONTH(A107)=Daten!$AE$4))</f>
        <v>1</v>
      </c>
      <c r="H107" s="480" t="s">
        <v>306</v>
      </c>
      <c r="I107" s="475" t="s">
        <v>77</v>
      </c>
      <c r="J107" s="475"/>
      <c r="K107" s="479" t="s">
        <v>628</v>
      </c>
      <c r="L107" s="485"/>
      <c r="M107" s="423">
        <v>15</v>
      </c>
      <c r="N107" s="423"/>
      <c r="O107" s="423"/>
      <c r="P107" s="423"/>
      <c r="Q107" s="423"/>
      <c r="R107" s="423"/>
      <c r="S107" s="423"/>
      <c r="T107" s="423"/>
      <c r="U107" s="423"/>
      <c r="V107" s="423"/>
      <c r="W107" s="423"/>
      <c r="X107" s="423"/>
      <c r="Y107" s="423"/>
      <c r="Z107" s="423"/>
    </row>
    <row r="108" spans="1:26" hidden="1" x14ac:dyDescent="0.35">
      <c r="A108" s="476">
        <v>45719</v>
      </c>
      <c r="B108" s="505">
        <v>15</v>
      </c>
      <c r="C108" s="477" t="s">
        <v>586</v>
      </c>
      <c r="D108" s="477" t="s">
        <v>587</v>
      </c>
      <c r="E108" s="477" t="s">
        <v>645</v>
      </c>
      <c r="F108" s="477" t="s">
        <v>561</v>
      </c>
      <c r="G108" s="474" t="b">
        <f>IF(A108="","",IF(Daten!$AE$4=0,TRUE,MONTH(A108)=Daten!$AE$4))</f>
        <v>1</v>
      </c>
      <c r="H108" s="480" t="s">
        <v>415</v>
      </c>
      <c r="I108" s="474" t="s">
        <v>77</v>
      </c>
      <c r="J108" s="474"/>
      <c r="K108" s="477" t="s">
        <v>628</v>
      </c>
      <c r="L108" s="484"/>
      <c r="M108" s="422"/>
      <c r="N108" s="422"/>
      <c r="O108" s="422"/>
      <c r="P108" s="422"/>
      <c r="Q108" s="422"/>
      <c r="R108" s="422"/>
      <c r="S108" s="422">
        <v>15</v>
      </c>
      <c r="T108" s="422"/>
      <c r="U108" s="422"/>
      <c r="V108" s="422"/>
      <c r="W108" s="422"/>
      <c r="X108" s="422"/>
      <c r="Y108" s="422"/>
      <c r="Z108" s="422"/>
    </row>
    <row r="109" spans="1:26" hidden="1" x14ac:dyDescent="0.35">
      <c r="A109" s="478">
        <v>45719</v>
      </c>
      <c r="B109" s="506">
        <v>7.5</v>
      </c>
      <c r="C109" s="479" t="s">
        <v>66</v>
      </c>
      <c r="D109" s="479" t="s">
        <v>585</v>
      </c>
      <c r="E109" s="479" t="s">
        <v>643</v>
      </c>
      <c r="F109" s="479" t="s">
        <v>561</v>
      </c>
      <c r="G109" s="475" t="b">
        <f>IF(A109="","",IF(Daten!$AE$4=0,TRUE,MONTH(A109)=Daten!$AE$4))</f>
        <v>1</v>
      </c>
      <c r="H109" s="480" t="s">
        <v>306</v>
      </c>
      <c r="I109" s="475" t="s">
        <v>77</v>
      </c>
      <c r="J109" s="475"/>
      <c r="K109" s="479" t="s">
        <v>628</v>
      </c>
      <c r="L109" s="485"/>
      <c r="M109" s="423">
        <v>7.5</v>
      </c>
      <c r="N109" s="423"/>
      <c r="O109" s="423"/>
      <c r="P109" s="423"/>
      <c r="Q109" s="423"/>
      <c r="R109" s="423"/>
      <c r="S109" s="423"/>
      <c r="T109" s="423"/>
      <c r="U109" s="423"/>
      <c r="V109" s="423"/>
      <c r="W109" s="423"/>
      <c r="X109" s="423"/>
      <c r="Y109" s="423"/>
      <c r="Z109" s="423"/>
    </row>
    <row r="110" spans="1:26" hidden="1" x14ac:dyDescent="0.35">
      <c r="A110" s="476">
        <v>45719</v>
      </c>
      <c r="B110" s="505">
        <v>7.5</v>
      </c>
      <c r="C110" s="477" t="s">
        <v>56</v>
      </c>
      <c r="D110" s="477" t="s">
        <v>593</v>
      </c>
      <c r="E110" s="477" t="s">
        <v>386</v>
      </c>
      <c r="F110" s="477" t="s">
        <v>561</v>
      </c>
      <c r="G110" s="474" t="b">
        <f>IF(A110="","",IF(Daten!$AE$4=0,TRUE,MONTH(A110)=Daten!$AE$4))</f>
        <v>1</v>
      </c>
      <c r="H110" s="480" t="s">
        <v>306</v>
      </c>
      <c r="I110" s="474" t="s">
        <v>77</v>
      </c>
      <c r="J110" s="474"/>
      <c r="K110" s="477" t="s">
        <v>628</v>
      </c>
      <c r="L110" s="484"/>
      <c r="M110" s="422">
        <v>7.5</v>
      </c>
      <c r="N110" s="422"/>
      <c r="O110" s="422"/>
      <c r="P110" s="422"/>
      <c r="Q110" s="422"/>
      <c r="R110" s="422"/>
      <c r="S110" s="422"/>
      <c r="T110" s="422"/>
      <c r="U110" s="422"/>
      <c r="V110" s="422"/>
      <c r="W110" s="422"/>
      <c r="X110" s="422"/>
      <c r="Y110" s="422"/>
      <c r="Z110" s="422"/>
    </row>
    <row r="111" spans="1:26" hidden="1" x14ac:dyDescent="0.35">
      <c r="A111" s="478">
        <v>45719</v>
      </c>
      <c r="B111" s="506">
        <v>15</v>
      </c>
      <c r="C111" s="479" t="s">
        <v>56</v>
      </c>
      <c r="D111" s="479" t="s">
        <v>593</v>
      </c>
      <c r="E111" s="479" t="s">
        <v>648</v>
      </c>
      <c r="F111" s="479" t="s">
        <v>561</v>
      </c>
      <c r="G111" s="475" t="b">
        <f>IF(A111="","",IF(Daten!$AE$4=0,TRUE,MONTH(A111)=Daten!$AE$4))</f>
        <v>1</v>
      </c>
      <c r="H111" s="480" t="s">
        <v>415</v>
      </c>
      <c r="I111" s="475" t="s">
        <v>77</v>
      </c>
      <c r="J111" s="475"/>
      <c r="K111" s="479" t="s">
        <v>628</v>
      </c>
      <c r="L111" s="485"/>
      <c r="M111" s="423"/>
      <c r="N111" s="423"/>
      <c r="O111" s="423"/>
      <c r="P111" s="423"/>
      <c r="Q111" s="423"/>
      <c r="R111" s="423"/>
      <c r="S111" s="423">
        <v>15</v>
      </c>
      <c r="T111" s="423"/>
      <c r="U111" s="423"/>
      <c r="V111" s="423"/>
      <c r="W111" s="423"/>
      <c r="X111" s="423"/>
      <c r="Y111" s="423"/>
      <c r="Z111" s="423"/>
    </row>
    <row r="112" spans="1:26" hidden="1" x14ac:dyDescent="0.35">
      <c r="A112" s="476">
        <v>45719</v>
      </c>
      <c r="B112" s="505">
        <v>120</v>
      </c>
      <c r="C112" s="477" t="s">
        <v>594</v>
      </c>
      <c r="D112" s="477" t="s">
        <v>595</v>
      </c>
      <c r="E112" s="477" t="s">
        <v>649</v>
      </c>
      <c r="F112" s="477" t="s">
        <v>561</v>
      </c>
      <c r="G112" s="474" t="b">
        <f>IF(A112="","",IF(Daten!$AE$4=0,TRUE,MONTH(A112)=Daten!$AE$4))</f>
        <v>1</v>
      </c>
      <c r="H112" s="480" t="s">
        <v>425</v>
      </c>
      <c r="I112" s="474" t="s">
        <v>77</v>
      </c>
      <c r="J112" s="474"/>
      <c r="K112" s="477" t="s">
        <v>628</v>
      </c>
      <c r="L112" s="484"/>
      <c r="M112" s="422"/>
      <c r="N112" s="422"/>
      <c r="O112" s="422"/>
      <c r="P112" s="422"/>
      <c r="Q112" s="422"/>
      <c r="R112" s="422"/>
      <c r="S112" s="422">
        <v>120</v>
      </c>
      <c r="T112" s="422"/>
      <c r="U112" s="422"/>
      <c r="V112" s="422"/>
      <c r="W112" s="422"/>
      <c r="X112" s="422"/>
      <c r="Y112" s="422"/>
      <c r="Z112" s="422"/>
    </row>
    <row r="113" spans="1:26" hidden="1" x14ac:dyDescent="0.35">
      <c r="A113" s="478">
        <v>45719</v>
      </c>
      <c r="B113" s="506">
        <v>15</v>
      </c>
      <c r="C113" s="479" t="s">
        <v>613</v>
      </c>
      <c r="D113" s="479" t="s">
        <v>614</v>
      </c>
      <c r="E113" s="479" t="s">
        <v>711</v>
      </c>
      <c r="F113" s="479" t="s">
        <v>561</v>
      </c>
      <c r="G113" s="475" t="b">
        <f>IF(A113="","",IF(Daten!$AE$4=0,TRUE,MONTH(A113)=Daten!$AE$4))</f>
        <v>1</v>
      </c>
      <c r="H113" s="480" t="s">
        <v>415</v>
      </c>
      <c r="I113" s="475" t="s">
        <v>77</v>
      </c>
      <c r="J113" s="475"/>
      <c r="K113" s="479" t="s">
        <v>628</v>
      </c>
      <c r="L113" s="485"/>
      <c r="M113" s="423"/>
      <c r="N113" s="423"/>
      <c r="O113" s="423"/>
      <c r="P113" s="423"/>
      <c r="Q113" s="423"/>
      <c r="R113" s="423"/>
      <c r="S113" s="423">
        <v>15</v>
      </c>
      <c r="T113" s="423"/>
      <c r="U113" s="423"/>
      <c r="V113" s="423"/>
      <c r="W113" s="423"/>
      <c r="X113" s="423"/>
      <c r="Y113" s="423"/>
      <c r="Z113" s="423"/>
    </row>
    <row r="114" spans="1:26" hidden="1" x14ac:dyDescent="0.35">
      <c r="A114" s="476">
        <v>45719</v>
      </c>
      <c r="B114" s="505">
        <v>15</v>
      </c>
      <c r="C114" s="477" t="s">
        <v>575</v>
      </c>
      <c r="D114" s="477" t="s">
        <v>576</v>
      </c>
      <c r="E114" s="477" t="s">
        <v>646</v>
      </c>
      <c r="F114" s="477" t="s">
        <v>561</v>
      </c>
      <c r="G114" s="474" t="b">
        <f>IF(A114="","",IF(Daten!$AE$4=0,TRUE,MONTH(A114)=Daten!$AE$4))</f>
        <v>1</v>
      </c>
      <c r="H114" s="480" t="s">
        <v>306</v>
      </c>
      <c r="I114" s="474" t="s">
        <v>77</v>
      </c>
      <c r="J114" s="474"/>
      <c r="K114" s="477" t="s">
        <v>628</v>
      </c>
      <c r="L114" s="484"/>
      <c r="M114" s="422">
        <v>15</v>
      </c>
      <c r="N114" s="422"/>
      <c r="O114" s="422"/>
      <c r="P114" s="422"/>
      <c r="Q114" s="422"/>
      <c r="R114" s="422"/>
      <c r="S114" s="422"/>
      <c r="T114" s="422"/>
      <c r="U114" s="422"/>
      <c r="V114" s="422"/>
      <c r="W114" s="422"/>
      <c r="X114" s="422"/>
      <c r="Y114" s="422"/>
      <c r="Z114" s="422"/>
    </row>
    <row r="115" spans="1:26" hidden="1" x14ac:dyDescent="0.35">
      <c r="A115" s="478">
        <v>45719</v>
      </c>
      <c r="B115" s="506">
        <v>15</v>
      </c>
      <c r="C115" s="479" t="s">
        <v>618</v>
      </c>
      <c r="D115" s="479" t="s">
        <v>582</v>
      </c>
      <c r="E115" s="479" t="s">
        <v>638</v>
      </c>
      <c r="F115" s="479" t="s">
        <v>561</v>
      </c>
      <c r="G115" s="475" t="b">
        <f>IF(A115="","",IF(Daten!$AE$4=0,TRUE,MONTH(A115)=Daten!$AE$4))</f>
        <v>1</v>
      </c>
      <c r="H115" s="480" t="s">
        <v>306</v>
      </c>
      <c r="I115" s="475" t="s">
        <v>77</v>
      </c>
      <c r="J115" s="475"/>
      <c r="K115" s="479" t="s">
        <v>628</v>
      </c>
      <c r="L115" s="485"/>
      <c r="M115" s="423">
        <v>15</v>
      </c>
      <c r="N115" s="423"/>
      <c r="O115" s="423"/>
      <c r="P115" s="423"/>
      <c r="Q115" s="423"/>
      <c r="R115" s="423"/>
      <c r="S115" s="423"/>
      <c r="T115" s="423"/>
      <c r="U115" s="423"/>
      <c r="V115" s="423"/>
      <c r="W115" s="423"/>
      <c r="X115" s="423"/>
      <c r="Y115" s="423"/>
      <c r="Z115" s="423"/>
    </row>
    <row r="116" spans="1:26" hidden="1" x14ac:dyDescent="0.35">
      <c r="A116" s="476">
        <v>45719</v>
      </c>
      <c r="B116" s="505">
        <v>15</v>
      </c>
      <c r="C116" s="477" t="s">
        <v>618</v>
      </c>
      <c r="D116" s="477" t="s">
        <v>582</v>
      </c>
      <c r="E116" s="477" t="s">
        <v>650</v>
      </c>
      <c r="F116" s="477" t="s">
        <v>561</v>
      </c>
      <c r="G116" s="474" t="b">
        <f>IF(A116="","",IF(Daten!$AE$4=0,TRUE,MONTH(A116)=Daten!$AE$4))</f>
        <v>1</v>
      </c>
      <c r="H116" s="480" t="s">
        <v>415</v>
      </c>
      <c r="I116" s="474" t="s">
        <v>77</v>
      </c>
      <c r="J116" s="474"/>
      <c r="K116" s="477" t="s">
        <v>628</v>
      </c>
      <c r="L116" s="484"/>
      <c r="M116" s="422"/>
      <c r="N116" s="422"/>
      <c r="O116" s="422"/>
      <c r="P116" s="422"/>
      <c r="Q116" s="422"/>
      <c r="R116" s="422"/>
      <c r="S116" s="422">
        <v>15</v>
      </c>
      <c r="T116" s="422"/>
      <c r="U116" s="422"/>
      <c r="V116" s="422"/>
      <c r="W116" s="422"/>
      <c r="X116" s="422"/>
      <c r="Y116" s="422"/>
      <c r="Z116" s="422"/>
    </row>
    <row r="117" spans="1:26" hidden="1" x14ac:dyDescent="0.35">
      <c r="A117" s="478">
        <v>45719</v>
      </c>
      <c r="B117" s="506">
        <v>15</v>
      </c>
      <c r="C117" s="479" t="s">
        <v>596</v>
      </c>
      <c r="D117" s="479" t="s">
        <v>597</v>
      </c>
      <c r="E117" s="479" t="s">
        <v>651</v>
      </c>
      <c r="F117" s="479" t="s">
        <v>561</v>
      </c>
      <c r="G117" s="475" t="b">
        <f>IF(A117="","",IF(Daten!$AE$4=0,TRUE,MONTH(A117)=Daten!$AE$4))</f>
        <v>1</v>
      </c>
      <c r="H117" s="480" t="s">
        <v>415</v>
      </c>
      <c r="I117" s="475" t="s">
        <v>77</v>
      </c>
      <c r="J117" s="475"/>
      <c r="K117" s="479" t="s">
        <v>628</v>
      </c>
      <c r="L117" s="485"/>
      <c r="M117" s="423"/>
      <c r="N117" s="423"/>
      <c r="O117" s="423"/>
      <c r="P117" s="423"/>
      <c r="Q117" s="423"/>
      <c r="R117" s="423"/>
      <c r="S117" s="423">
        <v>15</v>
      </c>
      <c r="T117" s="423"/>
      <c r="U117" s="423"/>
      <c r="V117" s="423"/>
      <c r="W117" s="423"/>
      <c r="X117" s="423"/>
      <c r="Y117" s="423"/>
      <c r="Z117" s="423"/>
    </row>
    <row r="118" spans="1:26" hidden="1" x14ac:dyDescent="0.35">
      <c r="A118" s="476">
        <v>45719</v>
      </c>
      <c r="B118" s="505">
        <v>15</v>
      </c>
      <c r="C118" s="477" t="s">
        <v>596</v>
      </c>
      <c r="D118" s="477" t="s">
        <v>597</v>
      </c>
      <c r="E118" s="477" t="s">
        <v>653</v>
      </c>
      <c r="F118" s="477" t="s">
        <v>561</v>
      </c>
      <c r="G118" s="474" t="b">
        <f>IF(A118="","",IF(Daten!$AE$4=0,TRUE,MONTH(A118)=Daten!$AE$4))</f>
        <v>1</v>
      </c>
      <c r="H118" s="480" t="s">
        <v>306</v>
      </c>
      <c r="I118" s="474" t="s">
        <v>77</v>
      </c>
      <c r="J118" s="474"/>
      <c r="K118" s="477" t="s">
        <v>628</v>
      </c>
      <c r="L118" s="484"/>
      <c r="M118" s="422">
        <v>15</v>
      </c>
      <c r="N118" s="422"/>
      <c r="O118" s="422"/>
      <c r="P118" s="422"/>
      <c r="Q118" s="422"/>
      <c r="R118" s="422"/>
      <c r="S118" s="422"/>
      <c r="T118" s="422"/>
      <c r="U118" s="422"/>
      <c r="V118" s="422"/>
      <c r="W118" s="422"/>
      <c r="X118" s="422"/>
      <c r="Y118" s="422"/>
      <c r="Z118" s="422"/>
    </row>
    <row r="119" spans="1:26" hidden="1" x14ac:dyDescent="0.35">
      <c r="A119" s="478">
        <v>45719</v>
      </c>
      <c r="B119" s="506">
        <v>15</v>
      </c>
      <c r="C119" s="479" t="s">
        <v>598</v>
      </c>
      <c r="D119" s="479" t="s">
        <v>599</v>
      </c>
      <c r="E119" s="479" t="s">
        <v>652</v>
      </c>
      <c r="F119" s="479" t="s">
        <v>561</v>
      </c>
      <c r="G119" s="475" t="b">
        <f>IF(A119="","",IF(Daten!$AE$4=0,TRUE,MONTH(A119)=Daten!$AE$4))</f>
        <v>1</v>
      </c>
      <c r="H119" s="480" t="s">
        <v>306</v>
      </c>
      <c r="I119" s="475" t="s">
        <v>77</v>
      </c>
      <c r="J119" s="475"/>
      <c r="K119" s="479" t="s">
        <v>628</v>
      </c>
      <c r="L119" s="485"/>
      <c r="M119" s="423">
        <v>15</v>
      </c>
      <c r="N119" s="423"/>
      <c r="O119" s="423"/>
      <c r="P119" s="423"/>
      <c r="Q119" s="423"/>
      <c r="R119" s="423"/>
      <c r="S119" s="423"/>
      <c r="T119" s="423"/>
      <c r="U119" s="423"/>
      <c r="V119" s="423"/>
      <c r="W119" s="423"/>
      <c r="X119" s="423"/>
      <c r="Y119" s="423"/>
      <c r="Z119" s="423"/>
    </row>
    <row r="120" spans="1:26" hidden="1" x14ac:dyDescent="0.35">
      <c r="A120" s="476">
        <v>45719</v>
      </c>
      <c r="B120" s="505">
        <v>60</v>
      </c>
      <c r="C120" s="477" t="s">
        <v>596</v>
      </c>
      <c r="D120" s="477" t="s">
        <v>597</v>
      </c>
      <c r="E120" s="477" t="s">
        <v>680</v>
      </c>
      <c r="F120" s="477" t="s">
        <v>561</v>
      </c>
      <c r="G120" s="474" t="b">
        <f>IF(A120="","",IF(Daten!$AE$4=0,TRUE,MONTH(A120)=Daten!$AE$4))</f>
        <v>1</v>
      </c>
      <c r="H120" s="480" t="s">
        <v>425</v>
      </c>
      <c r="I120" s="474" t="s">
        <v>77</v>
      </c>
      <c r="J120" s="474"/>
      <c r="K120" s="477" t="s">
        <v>628</v>
      </c>
      <c r="L120" s="484"/>
      <c r="M120" s="422"/>
      <c r="N120" s="422"/>
      <c r="O120" s="422"/>
      <c r="P120" s="422"/>
      <c r="Q120" s="422"/>
      <c r="R120" s="422"/>
      <c r="S120" s="422">
        <v>60</v>
      </c>
      <c r="T120" s="422"/>
      <c r="U120" s="422"/>
      <c r="V120" s="422"/>
      <c r="W120" s="422"/>
      <c r="X120" s="422"/>
      <c r="Y120" s="422"/>
      <c r="Z120" s="422"/>
    </row>
    <row r="121" spans="1:26" hidden="1" x14ac:dyDescent="0.35">
      <c r="A121" s="478">
        <v>45719</v>
      </c>
      <c r="B121" s="506">
        <v>-6</v>
      </c>
      <c r="C121" s="479"/>
      <c r="D121" s="479">
        <v>0</v>
      </c>
      <c r="E121" s="479" t="s">
        <v>654</v>
      </c>
      <c r="F121" s="479" t="s">
        <v>381</v>
      </c>
      <c r="G121" s="475" t="b">
        <f>IF(A121="","",IF(Daten!$AE$4=0,TRUE,MONTH(A121)=Daten!$AE$4))</f>
        <v>1</v>
      </c>
      <c r="H121" s="480" t="s">
        <v>452</v>
      </c>
      <c r="I121" s="475" t="s">
        <v>77</v>
      </c>
      <c r="J121" s="475"/>
      <c r="K121" s="479" t="s">
        <v>628</v>
      </c>
      <c r="L121" s="485"/>
      <c r="M121" s="423"/>
      <c r="N121" s="423"/>
      <c r="O121" s="423"/>
      <c r="P121" s="423"/>
      <c r="Q121" s="423"/>
      <c r="R121" s="423"/>
      <c r="S121" s="423"/>
      <c r="T121" s="423"/>
      <c r="U121" s="423"/>
      <c r="V121" s="423"/>
      <c r="W121" s="423"/>
      <c r="X121" s="423"/>
      <c r="Y121" s="423">
        <v>-6</v>
      </c>
      <c r="Z121" s="423"/>
    </row>
    <row r="122" spans="1:26" hidden="1" x14ac:dyDescent="0.35">
      <c r="A122" s="476">
        <v>45720</v>
      </c>
      <c r="B122" s="505">
        <v>60</v>
      </c>
      <c r="C122" s="477" t="s">
        <v>573</v>
      </c>
      <c r="D122" s="477" t="s">
        <v>574</v>
      </c>
      <c r="E122" s="477" t="s">
        <v>639</v>
      </c>
      <c r="F122" s="477" t="s">
        <v>561</v>
      </c>
      <c r="G122" s="474" t="b">
        <f>IF(A122="","",IF(Daten!$AE$4=0,TRUE,MONTH(A122)=Daten!$AE$4))</f>
        <v>1</v>
      </c>
      <c r="H122" s="480" t="s">
        <v>425</v>
      </c>
      <c r="I122" s="474" t="s">
        <v>77</v>
      </c>
      <c r="J122" s="474"/>
      <c r="K122" s="477" t="s">
        <v>628</v>
      </c>
      <c r="L122" s="484"/>
      <c r="M122" s="422"/>
      <c r="N122" s="422"/>
      <c r="O122" s="422"/>
      <c r="P122" s="422"/>
      <c r="Q122" s="422"/>
      <c r="R122" s="422"/>
      <c r="S122" s="422">
        <v>60</v>
      </c>
      <c r="T122" s="422"/>
      <c r="U122" s="422"/>
      <c r="V122" s="422"/>
      <c r="W122" s="422"/>
      <c r="X122" s="422"/>
      <c r="Y122" s="422"/>
      <c r="Z122" s="422"/>
    </row>
    <row r="123" spans="1:26" hidden="1" x14ac:dyDescent="0.35">
      <c r="A123" s="478">
        <v>45720</v>
      </c>
      <c r="B123" s="506">
        <v>7.5</v>
      </c>
      <c r="C123" s="479" t="s">
        <v>583</v>
      </c>
      <c r="D123" s="479" t="s">
        <v>584</v>
      </c>
      <c r="E123" s="479" t="s">
        <v>642</v>
      </c>
      <c r="F123" s="479" t="s">
        <v>561</v>
      </c>
      <c r="G123" s="475" t="b">
        <f>IF(A123="","",IF(Daten!$AE$4=0,TRUE,MONTH(A123)=Daten!$AE$4))</f>
        <v>1</v>
      </c>
      <c r="H123" s="480" t="s">
        <v>306</v>
      </c>
      <c r="I123" s="475" t="s">
        <v>77</v>
      </c>
      <c r="J123" s="475"/>
      <c r="K123" s="479" t="s">
        <v>628</v>
      </c>
      <c r="L123" s="485"/>
      <c r="M123" s="423">
        <v>7.5</v>
      </c>
      <c r="N123" s="423"/>
      <c r="O123" s="423"/>
      <c r="P123" s="423"/>
      <c r="Q123" s="423"/>
      <c r="R123" s="423"/>
      <c r="S123" s="423"/>
      <c r="T123" s="423"/>
      <c r="U123" s="423"/>
      <c r="V123" s="423"/>
      <c r="W123" s="423"/>
      <c r="X123" s="423"/>
      <c r="Y123" s="423"/>
      <c r="Z123" s="423"/>
    </row>
    <row r="124" spans="1:26" hidden="1" x14ac:dyDescent="0.35">
      <c r="A124" s="476">
        <v>45720</v>
      </c>
      <c r="B124" s="505">
        <v>15</v>
      </c>
      <c r="C124" s="477" t="s">
        <v>573</v>
      </c>
      <c r="D124" s="477" t="s">
        <v>574</v>
      </c>
      <c r="E124" s="477" t="s">
        <v>641</v>
      </c>
      <c r="F124" s="477" t="s">
        <v>561</v>
      </c>
      <c r="G124" s="474" t="b">
        <f>IF(A124="","",IF(Daten!$AE$4=0,TRUE,MONTH(A124)=Daten!$AE$4))</f>
        <v>1</v>
      </c>
      <c r="H124" s="480" t="s">
        <v>415</v>
      </c>
      <c r="I124" s="474" t="s">
        <v>77</v>
      </c>
      <c r="J124" s="474"/>
      <c r="K124" s="477" t="s">
        <v>628</v>
      </c>
      <c r="L124" s="484"/>
      <c r="M124" s="422"/>
      <c r="N124" s="422"/>
      <c r="O124" s="422"/>
      <c r="P124" s="422"/>
      <c r="Q124" s="422"/>
      <c r="R124" s="422"/>
      <c r="S124" s="422">
        <v>15</v>
      </c>
      <c r="T124" s="422"/>
      <c r="U124" s="422"/>
      <c r="V124" s="422"/>
      <c r="W124" s="422"/>
      <c r="X124" s="422"/>
      <c r="Y124" s="422"/>
      <c r="Z124" s="422"/>
    </row>
    <row r="125" spans="1:26" hidden="1" x14ac:dyDescent="0.35">
      <c r="A125" s="478">
        <v>45720</v>
      </c>
      <c r="B125" s="506">
        <v>15</v>
      </c>
      <c r="C125" s="479" t="s">
        <v>583</v>
      </c>
      <c r="D125" s="479" t="s">
        <v>584</v>
      </c>
      <c r="E125" s="479" t="s">
        <v>640</v>
      </c>
      <c r="F125" s="479" t="s">
        <v>561</v>
      </c>
      <c r="G125" s="475" t="b">
        <f>IF(A125="","",IF(Daten!$AE$4=0,TRUE,MONTH(A125)=Daten!$AE$4))</f>
        <v>1</v>
      </c>
      <c r="H125" s="480" t="s">
        <v>415</v>
      </c>
      <c r="I125" s="475" t="s">
        <v>77</v>
      </c>
      <c r="J125" s="475"/>
      <c r="K125" s="479" t="s">
        <v>628</v>
      </c>
      <c r="L125" s="485"/>
      <c r="M125" s="423"/>
      <c r="N125" s="423"/>
      <c r="O125" s="423"/>
      <c r="P125" s="423"/>
      <c r="Q125" s="423"/>
      <c r="R125" s="423"/>
      <c r="S125" s="423">
        <v>15</v>
      </c>
      <c r="T125" s="423"/>
      <c r="U125" s="423"/>
      <c r="V125" s="423"/>
      <c r="W125" s="423"/>
      <c r="X125" s="423"/>
      <c r="Y125" s="423"/>
      <c r="Z125" s="423"/>
    </row>
    <row r="126" spans="1:26" hidden="1" x14ac:dyDescent="0.35">
      <c r="A126" s="476">
        <v>45721</v>
      </c>
      <c r="B126" s="505">
        <v>15</v>
      </c>
      <c r="C126" s="477" t="s">
        <v>575</v>
      </c>
      <c r="D126" s="477" t="s">
        <v>576</v>
      </c>
      <c r="E126" s="477" t="s">
        <v>633</v>
      </c>
      <c r="F126" s="477" t="s">
        <v>561</v>
      </c>
      <c r="G126" s="474" t="b">
        <f>IF(A126="","",IF(Daten!$AE$4=0,TRUE,MONTH(A126)=Daten!$AE$4))</f>
        <v>1</v>
      </c>
      <c r="H126" s="480" t="s">
        <v>415</v>
      </c>
      <c r="I126" s="474" t="s">
        <v>77</v>
      </c>
      <c r="J126" s="474"/>
      <c r="K126" s="477" t="s">
        <v>628</v>
      </c>
      <c r="L126" s="484"/>
      <c r="M126" s="422"/>
      <c r="N126" s="422"/>
      <c r="O126" s="422"/>
      <c r="P126" s="422"/>
      <c r="Q126" s="422"/>
      <c r="R126" s="422"/>
      <c r="S126" s="422">
        <v>15</v>
      </c>
      <c r="T126" s="422"/>
      <c r="U126" s="422"/>
      <c r="V126" s="422"/>
      <c r="W126" s="422"/>
      <c r="X126" s="422"/>
      <c r="Y126" s="422"/>
      <c r="Z126" s="422"/>
    </row>
    <row r="127" spans="1:26" hidden="1" x14ac:dyDescent="0.35">
      <c r="A127" s="478">
        <v>45721</v>
      </c>
      <c r="B127" s="506">
        <v>33</v>
      </c>
      <c r="C127" s="479" t="s">
        <v>575</v>
      </c>
      <c r="D127" s="479" t="s">
        <v>576</v>
      </c>
      <c r="E127" s="479" t="s">
        <v>728</v>
      </c>
      <c r="F127" s="479" t="s">
        <v>572</v>
      </c>
      <c r="G127" s="475" t="b">
        <f>IF(A127="","",IF(Daten!$AE$4=0,TRUE,MONTH(A127)=Daten!$AE$4))</f>
        <v>1</v>
      </c>
      <c r="H127" s="480" t="s">
        <v>425</v>
      </c>
      <c r="I127" s="475" t="s">
        <v>77</v>
      </c>
      <c r="J127" s="475"/>
      <c r="K127" s="479" t="s">
        <v>628</v>
      </c>
      <c r="L127" s="485"/>
      <c r="M127" s="423"/>
      <c r="N127" s="423"/>
      <c r="O127" s="423"/>
      <c r="P127" s="423"/>
      <c r="Q127" s="423"/>
      <c r="R127" s="423"/>
      <c r="S127" s="423">
        <v>33</v>
      </c>
      <c r="T127" s="423"/>
      <c r="U127" s="423"/>
      <c r="V127" s="423"/>
      <c r="W127" s="423"/>
      <c r="X127" s="423"/>
      <c r="Y127" s="423"/>
      <c r="Z127" s="423"/>
    </row>
    <row r="128" spans="1:26" hidden="1" x14ac:dyDescent="0.35">
      <c r="A128" s="476">
        <v>45721</v>
      </c>
      <c r="B128" s="505">
        <v>-497</v>
      </c>
      <c r="C128" s="477" t="s">
        <v>578</v>
      </c>
      <c r="D128" s="477" t="s">
        <v>579</v>
      </c>
      <c r="E128" s="477" t="s">
        <v>729</v>
      </c>
      <c r="F128" s="477" t="s">
        <v>567</v>
      </c>
      <c r="G128" s="474" t="b">
        <f>IF(A128="","",IF(Daten!$AE$4=0,TRUE,MONTH(A128)=Daten!$AE$4))</f>
        <v>1</v>
      </c>
      <c r="H128" s="480" t="s">
        <v>451</v>
      </c>
      <c r="I128" s="474" t="s">
        <v>77</v>
      </c>
      <c r="J128" s="474"/>
      <c r="K128" s="477" t="s">
        <v>628</v>
      </c>
      <c r="L128" s="484"/>
      <c r="M128" s="422"/>
      <c r="N128" s="422"/>
      <c r="O128" s="422"/>
      <c r="P128" s="422"/>
      <c r="Q128" s="422"/>
      <c r="R128" s="422"/>
      <c r="S128" s="422"/>
      <c r="T128" s="422">
        <v>-497</v>
      </c>
      <c r="U128" s="422"/>
      <c r="V128" s="422"/>
      <c r="W128" s="422"/>
      <c r="X128" s="422"/>
      <c r="Y128" s="422"/>
      <c r="Z128" s="422"/>
    </row>
    <row r="129" spans="1:26" ht="29" x14ac:dyDescent="0.35">
      <c r="A129" s="478">
        <v>45726</v>
      </c>
      <c r="B129" s="506">
        <v>70</v>
      </c>
      <c r="C129" s="479" t="s">
        <v>562</v>
      </c>
      <c r="D129" s="479" t="s">
        <v>563</v>
      </c>
      <c r="E129" s="479" t="s">
        <v>725</v>
      </c>
      <c r="F129" s="479" t="s">
        <v>590</v>
      </c>
      <c r="G129" s="475" t="b">
        <f>IF(A129="","",IF(Daten!$AE$4=0,TRUE,MONTH(A129)=Daten!$AE$4))</f>
        <v>1</v>
      </c>
      <c r="H129" s="426" t="s">
        <v>821</v>
      </c>
      <c r="I129" s="475" t="s">
        <v>77</v>
      </c>
      <c r="J129" s="475"/>
      <c r="K129" s="479" t="s">
        <v>628</v>
      </c>
      <c r="L129" s="485" t="s">
        <v>820</v>
      </c>
      <c r="M129" s="423"/>
      <c r="N129" s="423"/>
      <c r="O129" s="423"/>
      <c r="P129" s="423"/>
      <c r="Q129" s="423"/>
      <c r="R129" s="423"/>
      <c r="S129" s="423"/>
      <c r="T129" s="423"/>
      <c r="U129" s="423"/>
      <c r="V129" s="423"/>
      <c r="W129" s="423"/>
      <c r="X129" s="423"/>
      <c r="Y129" s="423"/>
      <c r="Z129" s="423"/>
    </row>
    <row r="130" spans="1:26" hidden="1" x14ac:dyDescent="0.35">
      <c r="A130" s="476">
        <v>45726</v>
      </c>
      <c r="B130" s="505">
        <v>75.239999999999995</v>
      </c>
      <c r="C130" s="477" t="s">
        <v>562</v>
      </c>
      <c r="D130" s="477" t="s">
        <v>563</v>
      </c>
      <c r="E130" s="477" t="s">
        <v>726</v>
      </c>
      <c r="F130" s="477" t="s">
        <v>590</v>
      </c>
      <c r="G130" s="474" t="b">
        <f>IF(A130="","",IF(Daten!$AE$4=0,TRUE,MONTH(A130)=Daten!$AE$4))</f>
        <v>1</v>
      </c>
      <c r="H130" s="480" t="s">
        <v>302</v>
      </c>
      <c r="I130" s="474" t="s">
        <v>799</v>
      </c>
      <c r="J130" s="474"/>
      <c r="K130" s="477" t="s">
        <v>628</v>
      </c>
      <c r="L130" s="484"/>
      <c r="M130" s="422"/>
      <c r="N130" s="422"/>
      <c r="O130" s="422"/>
      <c r="P130" s="422"/>
      <c r="Q130" s="422"/>
      <c r="R130" s="422"/>
      <c r="S130" s="422">
        <v>75.239999999999995</v>
      </c>
      <c r="T130" s="422"/>
      <c r="U130" s="422"/>
      <c r="V130" s="422"/>
      <c r="W130" s="422"/>
      <c r="X130" s="422"/>
      <c r="Y130" s="422"/>
      <c r="Z130" s="422"/>
    </row>
    <row r="131" spans="1:26" hidden="1" x14ac:dyDescent="0.35">
      <c r="A131" s="478">
        <v>45726</v>
      </c>
      <c r="B131" s="506">
        <v>75.239999999999995</v>
      </c>
      <c r="C131" s="479" t="s">
        <v>605</v>
      </c>
      <c r="D131" s="479" t="s">
        <v>582</v>
      </c>
      <c r="E131" s="479" t="s">
        <v>302</v>
      </c>
      <c r="F131" s="479" t="s">
        <v>572</v>
      </c>
      <c r="G131" s="475" t="b">
        <f>IF(A131="","",IF(Daten!$AE$4=0,TRUE,MONTH(A131)=Daten!$AE$4))</f>
        <v>1</v>
      </c>
      <c r="H131" s="480" t="s">
        <v>302</v>
      </c>
      <c r="I131" s="475" t="s">
        <v>799</v>
      </c>
      <c r="J131" s="475"/>
      <c r="K131" s="479" t="s">
        <v>628</v>
      </c>
      <c r="L131" s="485"/>
      <c r="M131" s="423"/>
      <c r="N131" s="423"/>
      <c r="O131" s="423"/>
      <c r="P131" s="423"/>
      <c r="Q131" s="423"/>
      <c r="R131" s="423"/>
      <c r="S131" s="423">
        <v>75.239999999999995</v>
      </c>
      <c r="T131" s="423"/>
      <c r="U131" s="423"/>
      <c r="V131" s="423"/>
      <c r="W131" s="423"/>
      <c r="X131" s="423"/>
      <c r="Y131" s="423"/>
      <c r="Z131" s="423"/>
    </row>
    <row r="132" spans="1:26" hidden="1" x14ac:dyDescent="0.35">
      <c r="A132" s="476">
        <v>45726</v>
      </c>
      <c r="B132" s="505">
        <v>60</v>
      </c>
      <c r="C132" s="477" t="s">
        <v>605</v>
      </c>
      <c r="D132" s="477" t="s">
        <v>582</v>
      </c>
      <c r="E132" s="477" t="s">
        <v>727</v>
      </c>
      <c r="F132" s="477" t="s">
        <v>572</v>
      </c>
      <c r="G132" s="474" t="b">
        <f>IF(A132="","",IF(Daten!$AE$4=0,TRUE,MONTH(A132)=Daten!$AE$4))</f>
        <v>1</v>
      </c>
      <c r="H132" s="480" t="s">
        <v>425</v>
      </c>
      <c r="I132" s="474" t="s">
        <v>77</v>
      </c>
      <c r="J132" s="474"/>
      <c r="K132" s="477" t="s">
        <v>628</v>
      </c>
      <c r="L132" s="484"/>
      <c r="M132" s="422"/>
      <c r="N132" s="422"/>
      <c r="O132" s="422"/>
      <c r="P132" s="422"/>
      <c r="Q132" s="422"/>
      <c r="R132" s="422"/>
      <c r="S132" s="422">
        <v>60</v>
      </c>
      <c r="T132" s="422"/>
      <c r="U132" s="422"/>
      <c r="V132" s="422"/>
      <c r="W132" s="422"/>
      <c r="X132" s="422"/>
      <c r="Y132" s="422"/>
      <c r="Z132" s="422"/>
    </row>
    <row r="133" spans="1:26" hidden="1" x14ac:dyDescent="0.35">
      <c r="A133" s="478">
        <v>45733</v>
      </c>
      <c r="B133" s="506">
        <v>154.63</v>
      </c>
      <c r="C133" s="479" t="s">
        <v>562</v>
      </c>
      <c r="D133" s="479" t="s">
        <v>563</v>
      </c>
      <c r="E133" s="479" t="s">
        <v>723</v>
      </c>
      <c r="F133" s="479" t="s">
        <v>572</v>
      </c>
      <c r="G133" s="475" t="b">
        <f>IF(A133="","",IF(Daten!$AE$4=0,TRUE,MONTH(A133)=Daten!$AE$4))</f>
        <v>1</v>
      </c>
      <c r="H133" s="480" t="s">
        <v>299</v>
      </c>
      <c r="I133" s="475" t="s">
        <v>799</v>
      </c>
      <c r="J133" s="475"/>
      <c r="K133" s="479" t="s">
        <v>628</v>
      </c>
      <c r="L133" s="485"/>
      <c r="M133" s="423"/>
      <c r="N133" s="423"/>
      <c r="O133" s="423"/>
      <c r="P133" s="423"/>
      <c r="Q133" s="423"/>
      <c r="R133" s="423"/>
      <c r="S133" s="423">
        <v>154.63</v>
      </c>
      <c r="T133" s="423"/>
      <c r="U133" s="423"/>
      <c r="V133" s="423"/>
      <c r="W133" s="423"/>
      <c r="X133" s="423"/>
      <c r="Y133" s="423"/>
      <c r="Z133" s="423"/>
    </row>
    <row r="134" spans="1:26" hidden="1" x14ac:dyDescent="0.35">
      <c r="A134" s="476">
        <v>45733</v>
      </c>
      <c r="B134" s="505">
        <v>-138</v>
      </c>
      <c r="C134" s="477" t="s">
        <v>568</v>
      </c>
      <c r="D134" s="477" t="s">
        <v>569</v>
      </c>
      <c r="E134" s="477" t="s">
        <v>630</v>
      </c>
      <c r="F134" s="477" t="s">
        <v>567</v>
      </c>
      <c r="G134" s="474" t="b">
        <f>IF(A134="","",IF(Daten!$AE$4=0,TRUE,MONTH(A134)=Daten!$AE$4))</f>
        <v>1</v>
      </c>
      <c r="H134" s="480" t="s">
        <v>459</v>
      </c>
      <c r="I134" s="474" t="s">
        <v>77</v>
      </c>
      <c r="J134" s="474"/>
      <c r="K134" s="477" t="s">
        <v>628</v>
      </c>
      <c r="L134" s="484"/>
      <c r="M134" s="422"/>
      <c r="N134" s="422"/>
      <c r="O134" s="422"/>
      <c r="P134" s="422"/>
      <c r="Q134" s="422"/>
      <c r="R134" s="422"/>
      <c r="S134" s="422"/>
      <c r="T134" s="422">
        <v>-138</v>
      </c>
      <c r="U134" s="422"/>
      <c r="V134" s="422"/>
      <c r="W134" s="422"/>
      <c r="X134" s="422"/>
      <c r="Y134" s="422"/>
      <c r="Z134" s="422"/>
    </row>
    <row r="135" spans="1:26" hidden="1" x14ac:dyDescent="0.35">
      <c r="A135" s="478">
        <v>45733</v>
      </c>
      <c r="B135" s="506">
        <v>-59.94</v>
      </c>
      <c r="C135" s="479" t="s">
        <v>570</v>
      </c>
      <c r="D135" s="479" t="s">
        <v>571</v>
      </c>
      <c r="E135" s="479" t="s">
        <v>724</v>
      </c>
      <c r="F135" s="479" t="s">
        <v>567</v>
      </c>
      <c r="G135" s="475" t="b">
        <f>IF(A135="","",IF(Daten!$AE$4=0,TRUE,MONTH(A135)=Daten!$AE$4))</f>
        <v>1</v>
      </c>
      <c r="H135" s="480" t="s">
        <v>389</v>
      </c>
      <c r="I135" s="475" t="s">
        <v>77</v>
      </c>
      <c r="J135" s="475"/>
      <c r="K135" s="479" t="s">
        <v>628</v>
      </c>
      <c r="L135" s="485"/>
      <c r="M135" s="423"/>
      <c r="N135" s="423"/>
      <c r="O135" s="423"/>
      <c r="P135" s="423"/>
      <c r="Q135" s="423"/>
      <c r="R135" s="423"/>
      <c r="S135" s="423"/>
      <c r="T135" s="423">
        <v>-59.94</v>
      </c>
      <c r="U135" s="423"/>
      <c r="V135" s="423"/>
      <c r="W135" s="423"/>
      <c r="X135" s="423"/>
      <c r="Y135" s="423"/>
      <c r="Z135" s="423"/>
    </row>
    <row r="136" spans="1:26" hidden="1" x14ac:dyDescent="0.35">
      <c r="A136" s="476">
        <v>45734</v>
      </c>
      <c r="B136" s="505">
        <v>15</v>
      </c>
      <c r="C136" s="477" t="s">
        <v>562</v>
      </c>
      <c r="D136" s="477" t="s">
        <v>563</v>
      </c>
      <c r="E136" s="477" t="s">
        <v>627</v>
      </c>
      <c r="F136" s="477" t="s">
        <v>561</v>
      </c>
      <c r="G136" s="474" t="b">
        <f>IF(A136="","",IF(Daten!$AE$4=0,TRUE,MONTH(A136)=Daten!$AE$4))</f>
        <v>1</v>
      </c>
      <c r="H136" s="480" t="s">
        <v>415</v>
      </c>
      <c r="I136" s="474" t="s">
        <v>77</v>
      </c>
      <c r="J136" s="474"/>
      <c r="K136" s="477" t="s">
        <v>628</v>
      </c>
      <c r="L136" s="484"/>
      <c r="M136" s="422"/>
      <c r="N136" s="422"/>
      <c r="O136" s="422"/>
      <c r="P136" s="422"/>
      <c r="Q136" s="422"/>
      <c r="R136" s="422"/>
      <c r="S136" s="422">
        <v>15</v>
      </c>
      <c r="T136" s="422"/>
      <c r="U136" s="422"/>
      <c r="V136" s="422"/>
      <c r="W136" s="422"/>
      <c r="X136" s="422"/>
      <c r="Y136" s="422"/>
      <c r="Z136" s="422"/>
    </row>
    <row r="137" spans="1:26" hidden="1" x14ac:dyDescent="0.35">
      <c r="A137" s="478">
        <v>45740</v>
      </c>
      <c r="B137" s="506">
        <v>112.57</v>
      </c>
      <c r="C137" s="479" t="s">
        <v>608</v>
      </c>
      <c r="D137" s="479" t="s">
        <v>593</v>
      </c>
      <c r="E137" s="479" t="s">
        <v>721</v>
      </c>
      <c r="F137" s="479" t="s">
        <v>572</v>
      </c>
      <c r="G137" s="475" t="b">
        <f>IF(A137="","",IF(Daten!$AE$4=0,TRUE,MONTH(A137)=Daten!$AE$4))</f>
        <v>1</v>
      </c>
      <c r="H137" s="480" t="s">
        <v>304</v>
      </c>
      <c r="I137" s="475" t="s">
        <v>799</v>
      </c>
      <c r="J137" s="475"/>
      <c r="K137" s="479" t="s">
        <v>628</v>
      </c>
      <c r="L137" s="485"/>
      <c r="M137" s="423"/>
      <c r="N137" s="423"/>
      <c r="O137" s="423"/>
      <c r="P137" s="423"/>
      <c r="Q137" s="423"/>
      <c r="R137" s="423"/>
      <c r="S137" s="423">
        <v>112.57</v>
      </c>
      <c r="T137" s="423"/>
      <c r="U137" s="423"/>
      <c r="V137" s="423"/>
      <c r="W137" s="423"/>
      <c r="X137" s="423"/>
      <c r="Y137" s="423"/>
      <c r="Z137" s="423"/>
    </row>
    <row r="138" spans="1:26" ht="29" x14ac:dyDescent="0.35">
      <c r="A138" s="476">
        <v>45740</v>
      </c>
      <c r="B138" s="505">
        <v>80</v>
      </c>
      <c r="C138" s="477" t="s">
        <v>608</v>
      </c>
      <c r="D138" s="477" t="s">
        <v>593</v>
      </c>
      <c r="E138" s="477" t="s">
        <v>722</v>
      </c>
      <c r="F138" s="477" t="s">
        <v>572</v>
      </c>
      <c r="G138" s="474" t="b">
        <f>IF(A138="","",IF(Daten!$AE$4=0,TRUE,MONTH(A138)=Daten!$AE$4))</f>
        <v>1</v>
      </c>
      <c r="H138" s="426" t="s">
        <v>821</v>
      </c>
      <c r="I138" s="474" t="s">
        <v>77</v>
      </c>
      <c r="J138" s="474"/>
      <c r="K138" s="477" t="s">
        <v>628</v>
      </c>
      <c r="L138" s="484" t="s">
        <v>820</v>
      </c>
      <c r="M138" s="422"/>
      <c r="N138" s="422"/>
      <c r="O138" s="422"/>
      <c r="P138" s="422"/>
      <c r="Q138" s="422"/>
      <c r="R138" s="422"/>
      <c r="S138" s="422"/>
      <c r="T138" s="422"/>
      <c r="U138" s="422"/>
      <c r="V138" s="422"/>
      <c r="W138" s="422"/>
      <c r="X138" s="422"/>
      <c r="Y138" s="422"/>
      <c r="Z138" s="422"/>
    </row>
    <row r="139" spans="1:26" hidden="1" x14ac:dyDescent="0.35">
      <c r="A139" s="478">
        <v>45740</v>
      </c>
      <c r="B139" s="506">
        <v>184.12</v>
      </c>
      <c r="C139" s="479" t="s">
        <v>608</v>
      </c>
      <c r="D139" s="479" t="s">
        <v>593</v>
      </c>
      <c r="E139" s="479" t="s">
        <v>184</v>
      </c>
      <c r="F139" s="479" t="s">
        <v>572</v>
      </c>
      <c r="G139" s="475" t="b">
        <f>IF(A139="","",IF(Daten!$AE$4=0,TRUE,MONTH(A139)=Daten!$AE$4))</f>
        <v>1</v>
      </c>
      <c r="H139" s="480" t="s">
        <v>299</v>
      </c>
      <c r="I139" s="475" t="s">
        <v>799</v>
      </c>
      <c r="J139" s="475"/>
      <c r="K139" s="479" t="s">
        <v>628</v>
      </c>
      <c r="L139" s="485"/>
      <c r="M139" s="423"/>
      <c r="N139" s="423"/>
      <c r="O139" s="423"/>
      <c r="P139" s="423"/>
      <c r="Q139" s="423"/>
      <c r="R139" s="423"/>
      <c r="S139" s="423">
        <v>184.12</v>
      </c>
      <c r="T139" s="423"/>
      <c r="U139" s="423"/>
      <c r="V139" s="423"/>
      <c r="W139" s="423"/>
      <c r="X139" s="423"/>
      <c r="Y139" s="423"/>
      <c r="Z139" s="423"/>
    </row>
    <row r="140" spans="1:26" hidden="1" x14ac:dyDescent="0.35">
      <c r="A140" s="476">
        <v>45741</v>
      </c>
      <c r="B140" s="505">
        <v>15</v>
      </c>
      <c r="C140" s="477" t="s">
        <v>594</v>
      </c>
      <c r="D140" s="477" t="s">
        <v>595</v>
      </c>
      <c r="E140" s="477" t="s">
        <v>657</v>
      </c>
      <c r="F140" s="477" t="s">
        <v>561</v>
      </c>
      <c r="G140" s="474" t="b">
        <f>IF(A140="","",IF(Daten!$AE$4=0,TRUE,MONTH(A140)=Daten!$AE$4))</f>
        <v>1</v>
      </c>
      <c r="H140" s="480" t="s">
        <v>415</v>
      </c>
      <c r="I140" s="474" t="s">
        <v>77</v>
      </c>
      <c r="J140" s="474"/>
      <c r="K140" s="477" t="s">
        <v>628</v>
      </c>
      <c r="L140" s="484"/>
      <c r="M140" s="422"/>
      <c r="N140" s="422"/>
      <c r="O140" s="422"/>
      <c r="P140" s="422"/>
      <c r="Q140" s="422"/>
      <c r="R140" s="422"/>
      <c r="S140" s="422">
        <v>15</v>
      </c>
      <c r="T140" s="422"/>
      <c r="U140" s="422"/>
      <c r="V140" s="422"/>
      <c r="W140" s="422"/>
      <c r="X140" s="422"/>
      <c r="Y140" s="422"/>
      <c r="Z140" s="422"/>
    </row>
    <row r="141" spans="1:26" hidden="1" x14ac:dyDescent="0.35">
      <c r="A141" s="478">
        <v>45742</v>
      </c>
      <c r="B141" s="506">
        <v>112.57</v>
      </c>
      <c r="C141" s="479" t="s">
        <v>583</v>
      </c>
      <c r="D141" s="479" t="s">
        <v>584</v>
      </c>
      <c r="E141" s="479" t="s">
        <v>720</v>
      </c>
      <c r="F141" s="479" t="s">
        <v>572</v>
      </c>
      <c r="G141" s="475" t="b">
        <f>IF(A141="","",IF(Daten!$AE$4=0,TRUE,MONTH(A141)=Daten!$AE$4))</f>
        <v>1</v>
      </c>
      <c r="H141" s="480" t="s">
        <v>304</v>
      </c>
      <c r="I141" s="475" t="s">
        <v>799</v>
      </c>
      <c r="J141" s="475"/>
      <c r="K141" s="479" t="s">
        <v>628</v>
      </c>
      <c r="L141" s="485"/>
      <c r="M141" s="423"/>
      <c r="N141" s="423"/>
      <c r="O141" s="423"/>
      <c r="P141" s="423"/>
      <c r="Q141" s="423"/>
      <c r="R141" s="423"/>
      <c r="S141" s="423">
        <v>112.57</v>
      </c>
      <c r="T141" s="423"/>
      <c r="U141" s="423"/>
      <c r="V141" s="423"/>
      <c r="W141" s="423"/>
      <c r="X141" s="423"/>
      <c r="Y141" s="423"/>
      <c r="Z141" s="423"/>
    </row>
    <row r="142" spans="1:26" hidden="1" x14ac:dyDescent="0.35">
      <c r="A142" s="476">
        <v>45742</v>
      </c>
      <c r="B142" s="505">
        <v>7.5</v>
      </c>
      <c r="C142" s="477" t="s">
        <v>600</v>
      </c>
      <c r="D142" s="477" t="s">
        <v>601</v>
      </c>
      <c r="E142" s="477" t="s">
        <v>656</v>
      </c>
      <c r="F142" s="477" t="s">
        <v>561</v>
      </c>
      <c r="G142" s="474" t="b">
        <f>IF(A142="","",IF(Daten!$AE$4=0,TRUE,MONTH(A142)=Daten!$AE$4))</f>
        <v>1</v>
      </c>
      <c r="H142" s="480" t="s">
        <v>306</v>
      </c>
      <c r="I142" s="474" t="s">
        <v>76</v>
      </c>
      <c r="J142" s="474"/>
      <c r="K142" s="477" t="s">
        <v>628</v>
      </c>
      <c r="L142" s="484"/>
      <c r="M142" s="422">
        <v>7.5</v>
      </c>
      <c r="N142" s="422"/>
      <c r="O142" s="422"/>
      <c r="P142" s="422"/>
      <c r="Q142" s="422"/>
      <c r="R142" s="422"/>
      <c r="S142" s="422"/>
      <c r="T142" s="422"/>
      <c r="U142" s="422"/>
      <c r="V142" s="422"/>
      <c r="W142" s="422"/>
      <c r="X142" s="422"/>
      <c r="Y142" s="422"/>
      <c r="Z142" s="422"/>
    </row>
    <row r="143" spans="1:26" hidden="1" x14ac:dyDescent="0.35">
      <c r="A143" s="478">
        <v>45743</v>
      </c>
      <c r="B143" s="506">
        <v>7.5</v>
      </c>
      <c r="C143" s="479" t="s">
        <v>594</v>
      </c>
      <c r="D143" s="479" t="s">
        <v>595</v>
      </c>
      <c r="E143" s="479" t="s">
        <v>655</v>
      </c>
      <c r="F143" s="479" t="s">
        <v>561</v>
      </c>
      <c r="G143" s="475" t="b">
        <f>IF(A143="","",IF(Daten!$AE$4=0,TRUE,MONTH(A143)=Daten!$AE$4))</f>
        <v>1</v>
      </c>
      <c r="H143" s="480" t="s">
        <v>306</v>
      </c>
      <c r="I143" s="475" t="s">
        <v>76</v>
      </c>
      <c r="J143" s="475"/>
      <c r="K143" s="479" t="s">
        <v>628</v>
      </c>
      <c r="L143" s="485"/>
      <c r="M143" s="423">
        <v>7.5</v>
      </c>
      <c r="N143" s="423"/>
      <c r="O143" s="423"/>
      <c r="P143" s="423"/>
      <c r="Q143" s="423"/>
      <c r="R143" s="423"/>
      <c r="S143" s="423"/>
      <c r="T143" s="423"/>
      <c r="U143" s="423"/>
      <c r="V143" s="423"/>
      <c r="W143" s="423"/>
      <c r="X143" s="423"/>
      <c r="Y143" s="423"/>
      <c r="Z143" s="423"/>
    </row>
    <row r="144" spans="1:26" ht="29" x14ac:dyDescent="0.35">
      <c r="A144" s="476">
        <v>45743</v>
      </c>
      <c r="B144" s="505">
        <v>40</v>
      </c>
      <c r="C144" s="477" t="s">
        <v>588</v>
      </c>
      <c r="D144" s="477" t="s">
        <v>589</v>
      </c>
      <c r="E144" s="477" t="s">
        <v>668</v>
      </c>
      <c r="F144" s="477" t="s">
        <v>561</v>
      </c>
      <c r="G144" s="474" t="b">
        <f>IF(A144="","",IF(Daten!$AE$4=0,TRUE,MONTH(A144)=Daten!$AE$4))</f>
        <v>1</v>
      </c>
      <c r="H144" s="426" t="s">
        <v>821</v>
      </c>
      <c r="I144" s="474" t="s">
        <v>77</v>
      </c>
      <c r="J144" s="474"/>
      <c r="K144" s="477" t="s">
        <v>628</v>
      </c>
      <c r="L144" s="484" t="s">
        <v>820</v>
      </c>
      <c r="M144" s="422"/>
      <c r="N144" s="422"/>
      <c r="O144" s="422"/>
      <c r="P144" s="422"/>
      <c r="Q144" s="422"/>
      <c r="R144" s="422"/>
      <c r="S144" s="422"/>
      <c r="T144" s="422"/>
      <c r="U144" s="422"/>
      <c r="V144" s="422"/>
      <c r="W144" s="422"/>
      <c r="X144" s="422"/>
      <c r="Y144" s="422"/>
      <c r="Z144" s="422"/>
    </row>
    <row r="145" spans="1:26" hidden="1" x14ac:dyDescent="0.35">
      <c r="A145" s="478">
        <v>45743</v>
      </c>
      <c r="B145" s="506">
        <v>67.44</v>
      </c>
      <c r="C145" s="479" t="s">
        <v>575</v>
      </c>
      <c r="D145" s="479" t="s">
        <v>576</v>
      </c>
      <c r="E145" s="479" t="s">
        <v>719</v>
      </c>
      <c r="F145" s="479" t="s">
        <v>572</v>
      </c>
      <c r="G145" s="475" t="b">
        <f>IF(A145="","",IF(Daten!$AE$4=0,TRUE,MONTH(A145)=Daten!$AE$4))</f>
        <v>1</v>
      </c>
      <c r="H145" s="480" t="s">
        <v>302</v>
      </c>
      <c r="I145" s="475" t="s">
        <v>799</v>
      </c>
      <c r="J145" s="475"/>
      <c r="K145" s="479" t="s">
        <v>628</v>
      </c>
      <c r="L145" s="485"/>
      <c r="M145" s="423"/>
      <c r="N145" s="423"/>
      <c r="O145" s="423"/>
      <c r="P145" s="423"/>
      <c r="Q145" s="423"/>
      <c r="R145" s="423"/>
      <c r="S145" s="423">
        <v>67.44</v>
      </c>
      <c r="T145" s="423"/>
      <c r="U145" s="423"/>
      <c r="V145" s="423"/>
      <c r="W145" s="423"/>
      <c r="X145" s="423"/>
      <c r="Y145" s="423"/>
      <c r="Z145" s="423"/>
    </row>
    <row r="146" spans="1:26" hidden="1" x14ac:dyDescent="0.35">
      <c r="A146" s="476">
        <v>45744</v>
      </c>
      <c r="B146" s="505">
        <v>291.62</v>
      </c>
      <c r="C146" s="477" t="s">
        <v>586</v>
      </c>
      <c r="D146" s="477" t="s">
        <v>587</v>
      </c>
      <c r="E146" s="477" t="s">
        <v>718</v>
      </c>
      <c r="F146" s="477" t="s">
        <v>572</v>
      </c>
      <c r="G146" s="474" t="b">
        <f>IF(A146="","",IF(Daten!$AE$4=0,TRUE,MONTH(A146)=Daten!$AE$4))</f>
        <v>1</v>
      </c>
      <c r="H146" s="480" t="s">
        <v>299</v>
      </c>
      <c r="I146" s="474" t="s">
        <v>799</v>
      </c>
      <c r="J146" s="474"/>
      <c r="K146" s="477" t="s">
        <v>628</v>
      </c>
      <c r="L146" s="484"/>
      <c r="M146" s="422"/>
      <c r="N146" s="422"/>
      <c r="O146" s="422"/>
      <c r="P146" s="422"/>
      <c r="Q146" s="422"/>
      <c r="R146" s="422"/>
      <c r="S146" s="422">
        <v>291.62</v>
      </c>
      <c r="T146" s="422"/>
      <c r="U146" s="422"/>
      <c r="V146" s="422"/>
      <c r="W146" s="422"/>
      <c r="X146" s="422"/>
      <c r="Y146" s="422"/>
      <c r="Z146" s="422"/>
    </row>
    <row r="147" spans="1:26" ht="116" hidden="1" x14ac:dyDescent="0.35">
      <c r="A147" s="478">
        <v>45744</v>
      </c>
      <c r="B147" s="506">
        <v>140</v>
      </c>
      <c r="C147" s="479" t="s">
        <v>51</v>
      </c>
      <c r="D147" s="479" t="s">
        <v>580</v>
      </c>
      <c r="E147" s="479" t="s">
        <v>387</v>
      </c>
      <c r="F147" s="479" t="s">
        <v>572</v>
      </c>
      <c r="G147" s="475" t="b">
        <f>IF(A147="","",IF(Daten!$AE$4=0,TRUE,MONTH(A147)=Daten!$AE$4))</f>
        <v>1</v>
      </c>
      <c r="H147" s="425" t="s">
        <v>800</v>
      </c>
      <c r="I147" s="475" t="s">
        <v>799</v>
      </c>
      <c r="J147" s="475"/>
      <c r="K147" s="479" t="s">
        <v>628</v>
      </c>
      <c r="L147" s="485" t="s">
        <v>823</v>
      </c>
      <c r="M147" s="508"/>
      <c r="N147" s="508"/>
      <c r="O147" s="508"/>
      <c r="P147" s="508"/>
      <c r="Q147" s="508"/>
      <c r="R147" s="508"/>
      <c r="S147" s="508"/>
      <c r="T147" s="423"/>
      <c r="U147" s="423"/>
      <c r="V147" s="423"/>
      <c r="W147" s="423"/>
      <c r="X147" s="423"/>
      <c r="Y147" s="423"/>
      <c r="Z147" s="423"/>
    </row>
    <row r="148" spans="1:26" hidden="1" x14ac:dyDescent="0.35">
      <c r="A148" s="476">
        <v>45747</v>
      </c>
      <c r="B148" s="505">
        <v>15</v>
      </c>
      <c r="C148" s="477" t="s">
        <v>588</v>
      </c>
      <c r="D148" s="477" t="s">
        <v>589</v>
      </c>
      <c r="E148" s="477" t="s">
        <v>306</v>
      </c>
      <c r="F148" s="477" t="s">
        <v>561</v>
      </c>
      <c r="G148" s="474" t="b">
        <f>IF(A148="","",IF(Daten!$AE$4=0,TRUE,MONTH(A148)=Daten!$AE$4))</f>
        <v>1</v>
      </c>
      <c r="H148" s="480" t="s">
        <v>306</v>
      </c>
      <c r="I148" s="474" t="s">
        <v>76</v>
      </c>
      <c r="J148" s="474"/>
      <c r="K148" s="477" t="s">
        <v>628</v>
      </c>
      <c r="L148" s="484"/>
      <c r="M148" s="422">
        <v>15</v>
      </c>
      <c r="N148" s="422"/>
      <c r="O148" s="422"/>
      <c r="P148" s="422"/>
      <c r="Q148" s="422"/>
      <c r="R148" s="422"/>
      <c r="S148" s="422"/>
      <c r="T148" s="422"/>
      <c r="U148" s="422"/>
      <c r="V148" s="422"/>
      <c r="W148" s="422"/>
      <c r="X148" s="422"/>
      <c r="Y148" s="422"/>
      <c r="Z148" s="422"/>
    </row>
    <row r="149" spans="1:26" hidden="1" x14ac:dyDescent="0.35">
      <c r="A149" s="478">
        <v>45747</v>
      </c>
      <c r="B149" s="506">
        <v>12.83</v>
      </c>
      <c r="C149" s="479" t="s">
        <v>588</v>
      </c>
      <c r="D149" s="479" t="s">
        <v>589</v>
      </c>
      <c r="E149" s="479" t="s">
        <v>717</v>
      </c>
      <c r="F149" s="479" t="s">
        <v>572</v>
      </c>
      <c r="G149" s="475" t="b">
        <f>IF(A149="","",IF(Daten!$AE$4=0,TRUE,MONTH(A149)=Daten!$AE$4))</f>
        <v>1</v>
      </c>
      <c r="H149" s="480" t="s">
        <v>302</v>
      </c>
      <c r="I149" s="475" t="s">
        <v>799</v>
      </c>
      <c r="J149" s="475"/>
      <c r="K149" s="479" t="s">
        <v>628</v>
      </c>
      <c r="L149" s="485"/>
      <c r="M149" s="423"/>
      <c r="N149" s="423"/>
      <c r="O149" s="423"/>
      <c r="P149" s="423"/>
      <c r="Q149" s="423"/>
      <c r="R149" s="423"/>
      <c r="S149" s="423">
        <v>12.83</v>
      </c>
      <c r="T149" s="423"/>
      <c r="U149" s="423"/>
      <c r="V149" s="423"/>
      <c r="W149" s="423"/>
      <c r="X149" s="423"/>
      <c r="Y149" s="423"/>
      <c r="Z149" s="423"/>
    </row>
    <row r="150" spans="1:26" hidden="1" x14ac:dyDescent="0.35">
      <c r="A150" s="476">
        <v>45748</v>
      </c>
      <c r="B150" s="505">
        <v>15</v>
      </c>
      <c r="C150" s="477" t="s">
        <v>613</v>
      </c>
      <c r="D150" s="477" t="s">
        <v>614</v>
      </c>
      <c r="E150" s="477" t="s">
        <v>711</v>
      </c>
      <c r="F150" s="477" t="s">
        <v>561</v>
      </c>
      <c r="G150" s="474" t="b">
        <f>IF(A150="","",IF(Daten!$AE$4=0,TRUE,MONTH(A150)=Daten!$AE$4))</f>
        <v>1</v>
      </c>
      <c r="H150" s="480" t="s">
        <v>415</v>
      </c>
      <c r="I150" s="474" t="s">
        <v>76</v>
      </c>
      <c r="J150" s="474"/>
      <c r="K150" s="477" t="s">
        <v>628</v>
      </c>
      <c r="L150" s="484"/>
      <c r="M150" s="422"/>
      <c r="N150" s="422"/>
      <c r="O150" s="422"/>
      <c r="P150" s="422"/>
      <c r="Q150" s="422"/>
      <c r="R150" s="422"/>
      <c r="S150" s="422">
        <v>15</v>
      </c>
      <c r="T150" s="422"/>
      <c r="U150" s="422"/>
      <c r="V150" s="422"/>
      <c r="W150" s="422"/>
      <c r="X150" s="422"/>
      <c r="Y150" s="422"/>
      <c r="Z150" s="422"/>
    </row>
    <row r="151" spans="1:26" hidden="1" x14ac:dyDescent="0.35">
      <c r="A151" s="478">
        <v>45748</v>
      </c>
      <c r="B151" s="506">
        <v>15</v>
      </c>
      <c r="C151" s="479" t="s">
        <v>613</v>
      </c>
      <c r="D151" s="479" t="s">
        <v>614</v>
      </c>
      <c r="E151" s="479" t="s">
        <v>710</v>
      </c>
      <c r="F151" s="479" t="s">
        <v>561</v>
      </c>
      <c r="G151" s="475" t="b">
        <f>IF(A151="","",IF(Daten!$AE$4=0,TRUE,MONTH(A151)=Daten!$AE$4))</f>
        <v>1</v>
      </c>
      <c r="H151" s="480" t="s">
        <v>306</v>
      </c>
      <c r="I151" s="475" t="s">
        <v>76</v>
      </c>
      <c r="J151" s="475"/>
      <c r="K151" s="479" t="s">
        <v>628</v>
      </c>
      <c r="L151" s="485"/>
      <c r="M151" s="423">
        <v>15</v>
      </c>
      <c r="N151" s="423"/>
      <c r="O151" s="423"/>
      <c r="P151" s="423"/>
      <c r="Q151" s="423"/>
      <c r="R151" s="423"/>
      <c r="S151" s="423"/>
      <c r="T151" s="423"/>
      <c r="U151" s="423"/>
      <c r="V151" s="423"/>
      <c r="W151" s="423"/>
      <c r="X151" s="423"/>
      <c r="Y151" s="423"/>
      <c r="Z151" s="423"/>
    </row>
    <row r="152" spans="1:26" hidden="1" x14ac:dyDescent="0.35">
      <c r="A152" s="476">
        <v>45748</v>
      </c>
      <c r="B152" s="505">
        <v>15</v>
      </c>
      <c r="C152" s="477" t="s">
        <v>586</v>
      </c>
      <c r="D152" s="477" t="s">
        <v>587</v>
      </c>
      <c r="E152" s="477" t="s">
        <v>647</v>
      </c>
      <c r="F152" s="477" t="s">
        <v>561</v>
      </c>
      <c r="G152" s="474" t="b">
        <f>IF(A152="","",IF(Daten!$AE$4=0,TRUE,MONTH(A152)=Daten!$AE$4))</f>
        <v>1</v>
      </c>
      <c r="H152" s="480" t="s">
        <v>306</v>
      </c>
      <c r="I152" s="474" t="s">
        <v>76</v>
      </c>
      <c r="J152" s="474"/>
      <c r="K152" s="477" t="s">
        <v>628</v>
      </c>
      <c r="L152" s="484"/>
      <c r="M152" s="422">
        <v>15</v>
      </c>
      <c r="N152" s="422"/>
      <c r="O152" s="422"/>
      <c r="P152" s="422"/>
      <c r="Q152" s="422"/>
      <c r="R152" s="422"/>
      <c r="S152" s="422"/>
      <c r="T152" s="422"/>
      <c r="U152" s="422"/>
      <c r="V152" s="422"/>
      <c r="W152" s="422"/>
      <c r="X152" s="422"/>
      <c r="Y152" s="422"/>
      <c r="Z152" s="422"/>
    </row>
    <row r="153" spans="1:26" hidden="1" x14ac:dyDescent="0.35">
      <c r="A153" s="478">
        <v>45748</v>
      </c>
      <c r="B153" s="506">
        <v>15</v>
      </c>
      <c r="C153" s="479" t="s">
        <v>56</v>
      </c>
      <c r="D153" s="479" t="s">
        <v>593</v>
      </c>
      <c r="E153" s="479" t="s">
        <v>648</v>
      </c>
      <c r="F153" s="479" t="s">
        <v>561</v>
      </c>
      <c r="G153" s="475" t="b">
        <f>IF(A153="","",IF(Daten!$AE$4=0,TRUE,MONTH(A153)=Daten!$AE$4))</f>
        <v>1</v>
      </c>
      <c r="H153" s="480" t="s">
        <v>415</v>
      </c>
      <c r="I153" s="475" t="s">
        <v>76</v>
      </c>
      <c r="J153" s="475"/>
      <c r="K153" s="479" t="s">
        <v>628</v>
      </c>
      <c r="L153" s="485"/>
      <c r="M153" s="423"/>
      <c r="N153" s="423"/>
      <c r="O153" s="423"/>
      <c r="P153" s="423"/>
      <c r="Q153" s="423"/>
      <c r="R153" s="423"/>
      <c r="S153" s="423">
        <v>15</v>
      </c>
      <c r="T153" s="423"/>
      <c r="U153" s="423"/>
      <c r="V153" s="423"/>
      <c r="W153" s="423"/>
      <c r="X153" s="423"/>
      <c r="Y153" s="423"/>
      <c r="Z153" s="423"/>
    </row>
    <row r="154" spans="1:26" hidden="1" x14ac:dyDescent="0.35">
      <c r="A154" s="476">
        <v>45748</v>
      </c>
      <c r="B154" s="505">
        <v>7.5</v>
      </c>
      <c r="C154" s="477" t="s">
        <v>56</v>
      </c>
      <c r="D154" s="477" t="s">
        <v>593</v>
      </c>
      <c r="E154" s="477" t="s">
        <v>386</v>
      </c>
      <c r="F154" s="477" t="s">
        <v>561</v>
      </c>
      <c r="G154" s="474" t="b">
        <f>IF(A154="","",IF(Daten!$AE$4=0,TRUE,MONTH(A154)=Daten!$AE$4))</f>
        <v>1</v>
      </c>
      <c r="H154" s="480" t="s">
        <v>306</v>
      </c>
      <c r="I154" s="474" t="s">
        <v>76</v>
      </c>
      <c r="J154" s="474"/>
      <c r="K154" s="477" t="s">
        <v>628</v>
      </c>
      <c r="L154" s="484"/>
      <c r="M154" s="422">
        <v>7.5</v>
      </c>
      <c r="N154" s="422"/>
      <c r="O154" s="422"/>
      <c r="P154" s="422"/>
      <c r="Q154" s="422"/>
      <c r="R154" s="422"/>
      <c r="S154" s="422"/>
      <c r="T154" s="422"/>
      <c r="U154" s="422"/>
      <c r="V154" s="422"/>
      <c r="W154" s="422"/>
      <c r="X154" s="422"/>
      <c r="Y154" s="422"/>
      <c r="Z154" s="422"/>
    </row>
    <row r="155" spans="1:26" hidden="1" x14ac:dyDescent="0.35">
      <c r="A155" s="478">
        <v>45748</v>
      </c>
      <c r="B155" s="506">
        <v>15</v>
      </c>
      <c r="C155" s="479" t="s">
        <v>618</v>
      </c>
      <c r="D155" s="479" t="s">
        <v>582</v>
      </c>
      <c r="E155" s="479" t="s">
        <v>650</v>
      </c>
      <c r="F155" s="479" t="s">
        <v>561</v>
      </c>
      <c r="G155" s="475" t="b">
        <f>IF(A155="","",IF(Daten!$AE$4=0,TRUE,MONTH(A155)=Daten!$AE$4))</f>
        <v>1</v>
      </c>
      <c r="H155" s="480" t="s">
        <v>415</v>
      </c>
      <c r="I155" s="475" t="s">
        <v>76</v>
      </c>
      <c r="J155" s="475"/>
      <c r="K155" s="479" t="s">
        <v>628</v>
      </c>
      <c r="L155" s="485"/>
      <c r="M155" s="423"/>
      <c r="N155" s="423"/>
      <c r="O155" s="423"/>
      <c r="P155" s="423"/>
      <c r="Q155" s="423"/>
      <c r="R155" s="423"/>
      <c r="S155" s="423">
        <v>15</v>
      </c>
      <c r="T155" s="423"/>
      <c r="U155" s="423"/>
      <c r="V155" s="423"/>
      <c r="W155" s="423"/>
      <c r="X155" s="423"/>
      <c r="Y155" s="423"/>
      <c r="Z155" s="423"/>
    </row>
    <row r="156" spans="1:26" hidden="1" x14ac:dyDescent="0.35">
      <c r="A156" s="476">
        <v>45748</v>
      </c>
      <c r="B156" s="505">
        <v>15</v>
      </c>
      <c r="C156" s="477" t="s">
        <v>596</v>
      </c>
      <c r="D156" s="477" t="s">
        <v>597</v>
      </c>
      <c r="E156" s="477" t="s">
        <v>651</v>
      </c>
      <c r="F156" s="477" t="s">
        <v>561</v>
      </c>
      <c r="G156" s="474" t="b">
        <f>IF(A156="","",IF(Daten!$AE$4=0,TRUE,MONTH(A156)=Daten!$AE$4))</f>
        <v>1</v>
      </c>
      <c r="H156" s="480" t="s">
        <v>415</v>
      </c>
      <c r="I156" s="474" t="s">
        <v>76</v>
      </c>
      <c r="J156" s="474"/>
      <c r="K156" s="477" t="s">
        <v>628</v>
      </c>
      <c r="L156" s="484"/>
      <c r="M156" s="422"/>
      <c r="N156" s="422"/>
      <c r="O156" s="422"/>
      <c r="P156" s="422"/>
      <c r="Q156" s="422"/>
      <c r="R156" s="422"/>
      <c r="S156" s="422">
        <v>15</v>
      </c>
      <c r="T156" s="422"/>
      <c r="U156" s="422"/>
      <c r="V156" s="422"/>
      <c r="W156" s="422"/>
      <c r="X156" s="422"/>
      <c r="Y156" s="422"/>
      <c r="Z156" s="422"/>
    </row>
    <row r="157" spans="1:26" hidden="1" x14ac:dyDescent="0.35">
      <c r="A157" s="478">
        <v>45748</v>
      </c>
      <c r="B157" s="506">
        <v>15</v>
      </c>
      <c r="C157" s="479" t="s">
        <v>598</v>
      </c>
      <c r="D157" s="479" t="s">
        <v>599</v>
      </c>
      <c r="E157" s="479" t="s">
        <v>652</v>
      </c>
      <c r="F157" s="479" t="s">
        <v>561</v>
      </c>
      <c r="G157" s="475" t="b">
        <f>IF(A157="","",IF(Daten!$AE$4=0,TRUE,MONTH(A157)=Daten!$AE$4))</f>
        <v>1</v>
      </c>
      <c r="H157" s="480" t="s">
        <v>306</v>
      </c>
      <c r="I157" s="475" t="s">
        <v>76</v>
      </c>
      <c r="J157" s="475"/>
      <c r="K157" s="479" t="s">
        <v>628</v>
      </c>
      <c r="L157" s="485"/>
      <c r="M157" s="423">
        <v>15</v>
      </c>
      <c r="N157" s="423"/>
      <c r="O157" s="423"/>
      <c r="P157" s="423"/>
      <c r="Q157" s="423"/>
      <c r="R157" s="423"/>
      <c r="S157" s="423"/>
      <c r="T157" s="423"/>
      <c r="U157" s="423"/>
      <c r="V157" s="423"/>
      <c r="W157" s="423"/>
      <c r="X157" s="423"/>
      <c r="Y157" s="423"/>
      <c r="Z157" s="423"/>
    </row>
    <row r="158" spans="1:26" hidden="1" x14ac:dyDescent="0.35">
      <c r="A158" s="476">
        <v>45748</v>
      </c>
      <c r="B158" s="505">
        <v>15</v>
      </c>
      <c r="C158" s="477" t="s">
        <v>596</v>
      </c>
      <c r="D158" s="477" t="s">
        <v>597</v>
      </c>
      <c r="E158" s="477" t="s">
        <v>653</v>
      </c>
      <c r="F158" s="477" t="s">
        <v>561</v>
      </c>
      <c r="G158" s="474" t="b">
        <f>IF(A158="","",IF(Daten!$AE$4=0,TRUE,MONTH(A158)=Daten!$AE$4))</f>
        <v>1</v>
      </c>
      <c r="H158" s="480" t="s">
        <v>306</v>
      </c>
      <c r="I158" s="474" t="s">
        <v>76</v>
      </c>
      <c r="J158" s="474"/>
      <c r="K158" s="477" t="s">
        <v>628</v>
      </c>
      <c r="L158" s="484"/>
      <c r="M158" s="422">
        <v>15</v>
      </c>
      <c r="N158" s="422"/>
      <c r="O158" s="422"/>
      <c r="P158" s="422"/>
      <c r="Q158" s="422"/>
      <c r="R158" s="422"/>
      <c r="S158" s="422"/>
      <c r="T158" s="422"/>
      <c r="U158" s="422"/>
      <c r="V158" s="422"/>
      <c r="W158" s="422"/>
      <c r="X158" s="422"/>
      <c r="Y158" s="422"/>
      <c r="Z158" s="422"/>
    </row>
    <row r="159" spans="1:26" ht="29" hidden="1" x14ac:dyDescent="0.35">
      <c r="A159" s="478">
        <v>45748</v>
      </c>
      <c r="B159" s="506">
        <v>0</v>
      </c>
      <c r="C159" s="479"/>
      <c r="D159" s="479">
        <v>3529000972</v>
      </c>
      <c r="E159" s="479" t="s">
        <v>716</v>
      </c>
      <c r="F159" s="479" t="s">
        <v>382</v>
      </c>
      <c r="G159" s="475" t="b">
        <f>IF(A159="","",IF(Daten!$AE$4=0,TRUE,MONTH(A159)=Daten!$AE$4))</f>
        <v>1</v>
      </c>
      <c r="H159" s="480" t="s">
        <v>452</v>
      </c>
      <c r="I159" s="475" t="s">
        <v>76</v>
      </c>
      <c r="J159" s="475"/>
      <c r="K159" s="479" t="s">
        <v>628</v>
      </c>
      <c r="L159" s="485" t="s">
        <v>767</v>
      </c>
      <c r="M159" s="423"/>
      <c r="N159" s="423"/>
      <c r="O159" s="423"/>
      <c r="P159" s="423"/>
      <c r="Q159" s="423"/>
      <c r="R159" s="423"/>
      <c r="S159" s="423"/>
      <c r="T159" s="423"/>
      <c r="U159" s="423"/>
      <c r="V159" s="423"/>
      <c r="W159" s="423"/>
      <c r="X159" s="423"/>
      <c r="Y159" s="423"/>
      <c r="Z159" s="423"/>
    </row>
    <row r="160" spans="1:26" hidden="1" x14ac:dyDescent="0.35">
      <c r="A160" s="476">
        <v>45748</v>
      </c>
      <c r="B160" s="505">
        <v>-6.2</v>
      </c>
      <c r="C160" s="477"/>
      <c r="D160" s="477">
        <v>0</v>
      </c>
      <c r="E160" s="477" t="s">
        <v>654</v>
      </c>
      <c r="F160" s="477" t="s">
        <v>381</v>
      </c>
      <c r="G160" s="474" t="b">
        <f>IF(A160="","",IF(Daten!$AE$4=0,TRUE,MONTH(A160)=Daten!$AE$4))</f>
        <v>1</v>
      </c>
      <c r="H160" s="480" t="s">
        <v>452</v>
      </c>
      <c r="I160" s="474" t="s">
        <v>76</v>
      </c>
      <c r="J160" s="474"/>
      <c r="K160" s="477" t="s">
        <v>628</v>
      </c>
      <c r="L160" s="484"/>
      <c r="M160" s="422"/>
      <c r="N160" s="422"/>
      <c r="O160" s="422"/>
      <c r="P160" s="422"/>
      <c r="Q160" s="422"/>
      <c r="R160" s="422"/>
      <c r="S160" s="422"/>
      <c r="T160" s="422"/>
      <c r="U160" s="422"/>
      <c r="V160" s="422"/>
      <c r="W160" s="422"/>
      <c r="X160" s="422"/>
      <c r="Y160" s="422">
        <v>-6.2</v>
      </c>
      <c r="Z160" s="422"/>
    </row>
    <row r="161" spans="1:26" hidden="1" x14ac:dyDescent="0.35">
      <c r="A161" s="478">
        <v>45749</v>
      </c>
      <c r="B161" s="506">
        <v>15</v>
      </c>
      <c r="C161" s="479" t="s">
        <v>573</v>
      </c>
      <c r="D161" s="479" t="s">
        <v>574</v>
      </c>
      <c r="E161" s="479" t="s">
        <v>641</v>
      </c>
      <c r="F161" s="479" t="s">
        <v>561</v>
      </c>
      <c r="G161" s="475" t="b">
        <f>IF(A161="","",IF(Daten!$AE$4=0,TRUE,MONTH(A161)=Daten!$AE$4))</f>
        <v>1</v>
      </c>
      <c r="H161" s="480" t="s">
        <v>415</v>
      </c>
      <c r="I161" s="475" t="s">
        <v>76</v>
      </c>
      <c r="J161" s="475"/>
      <c r="K161" s="479" t="s">
        <v>628</v>
      </c>
      <c r="L161" s="485"/>
      <c r="M161" s="423"/>
      <c r="N161" s="423"/>
      <c r="O161" s="423"/>
      <c r="P161" s="423"/>
      <c r="Q161" s="423"/>
      <c r="R161" s="423"/>
      <c r="S161" s="423">
        <v>15</v>
      </c>
      <c r="T161" s="423"/>
      <c r="U161" s="423"/>
      <c r="V161" s="423"/>
      <c r="W161" s="423"/>
      <c r="X161" s="423"/>
      <c r="Y161" s="423"/>
      <c r="Z161" s="423"/>
    </row>
    <row r="162" spans="1:26" hidden="1" x14ac:dyDescent="0.35">
      <c r="A162" s="476">
        <v>45749</v>
      </c>
      <c r="B162" s="505">
        <v>15</v>
      </c>
      <c r="C162" s="477" t="s">
        <v>51</v>
      </c>
      <c r="D162" s="477" t="s">
        <v>580</v>
      </c>
      <c r="E162" s="477" t="s">
        <v>384</v>
      </c>
      <c r="F162" s="477" t="s">
        <v>561</v>
      </c>
      <c r="G162" s="474" t="b">
        <f>IF(A162="","",IF(Daten!$AE$4=0,TRUE,MONTH(A162)=Daten!$AE$4))</f>
        <v>1</v>
      </c>
      <c r="H162" s="480" t="s">
        <v>415</v>
      </c>
      <c r="I162" s="474" t="s">
        <v>76</v>
      </c>
      <c r="J162" s="474"/>
      <c r="K162" s="477" t="s">
        <v>628</v>
      </c>
      <c r="L162" s="484"/>
      <c r="M162" s="422"/>
      <c r="N162" s="422"/>
      <c r="O162" s="422"/>
      <c r="P162" s="422"/>
      <c r="Q162" s="422"/>
      <c r="R162" s="422"/>
      <c r="S162" s="422">
        <v>15</v>
      </c>
      <c r="T162" s="422"/>
      <c r="U162" s="422"/>
      <c r="V162" s="422"/>
      <c r="W162" s="422"/>
      <c r="X162" s="422"/>
      <c r="Y162" s="422"/>
      <c r="Z162" s="422"/>
    </row>
    <row r="163" spans="1:26" hidden="1" x14ac:dyDescent="0.35">
      <c r="A163" s="478">
        <v>45749</v>
      </c>
      <c r="B163" s="506">
        <v>7.5</v>
      </c>
      <c r="C163" s="479" t="s">
        <v>583</v>
      </c>
      <c r="D163" s="479" t="s">
        <v>584</v>
      </c>
      <c r="E163" s="479" t="s">
        <v>642</v>
      </c>
      <c r="F163" s="479" t="s">
        <v>561</v>
      </c>
      <c r="G163" s="475" t="b">
        <f>IF(A163="","",IF(Daten!$AE$4=0,TRUE,MONTH(A163)=Daten!$AE$4))</f>
        <v>1</v>
      </c>
      <c r="H163" s="480" t="s">
        <v>306</v>
      </c>
      <c r="I163" s="475" t="s">
        <v>76</v>
      </c>
      <c r="J163" s="475"/>
      <c r="K163" s="479" t="s">
        <v>628</v>
      </c>
      <c r="L163" s="485"/>
      <c r="M163" s="423">
        <v>7.5</v>
      </c>
      <c r="N163" s="423"/>
      <c r="O163" s="423"/>
      <c r="P163" s="423"/>
      <c r="Q163" s="423"/>
      <c r="R163" s="423"/>
      <c r="S163" s="423"/>
      <c r="T163" s="423"/>
      <c r="U163" s="423"/>
      <c r="V163" s="423"/>
      <c r="W163" s="423"/>
      <c r="X163" s="423"/>
      <c r="Y163" s="423"/>
      <c r="Z163" s="423"/>
    </row>
    <row r="164" spans="1:26" hidden="1" x14ac:dyDescent="0.35">
      <c r="A164" s="476">
        <v>45749</v>
      </c>
      <c r="B164" s="505">
        <v>15</v>
      </c>
      <c r="C164" s="477" t="s">
        <v>583</v>
      </c>
      <c r="D164" s="477" t="s">
        <v>584</v>
      </c>
      <c r="E164" s="477" t="s">
        <v>640</v>
      </c>
      <c r="F164" s="477" t="s">
        <v>561</v>
      </c>
      <c r="G164" s="474" t="b">
        <f>IF(A164="","",IF(Daten!$AE$4=0,TRUE,MONTH(A164)=Daten!$AE$4))</f>
        <v>1</v>
      </c>
      <c r="H164" s="480" t="s">
        <v>415</v>
      </c>
      <c r="I164" s="474" t="s">
        <v>76</v>
      </c>
      <c r="J164" s="474"/>
      <c r="K164" s="477" t="s">
        <v>628</v>
      </c>
      <c r="L164" s="484"/>
      <c r="M164" s="422"/>
      <c r="N164" s="422"/>
      <c r="O164" s="422"/>
      <c r="P164" s="422"/>
      <c r="Q164" s="422"/>
      <c r="R164" s="422"/>
      <c r="S164" s="422">
        <v>15</v>
      </c>
      <c r="T164" s="422"/>
      <c r="U164" s="422"/>
      <c r="V164" s="422"/>
      <c r="W164" s="422"/>
      <c r="X164" s="422"/>
      <c r="Y164" s="422"/>
      <c r="Z164" s="422"/>
    </row>
    <row r="165" spans="1:26" hidden="1" x14ac:dyDescent="0.35">
      <c r="A165" s="478">
        <v>45749</v>
      </c>
      <c r="B165" s="506">
        <v>15</v>
      </c>
      <c r="C165" s="479" t="s">
        <v>588</v>
      </c>
      <c r="D165" s="479" t="s">
        <v>589</v>
      </c>
      <c r="E165" s="479" t="s">
        <v>385</v>
      </c>
      <c r="F165" s="479" t="s">
        <v>561</v>
      </c>
      <c r="G165" s="475" t="b">
        <f>IF(A165="","",IF(Daten!$AE$4=0,TRUE,MONTH(A165)=Daten!$AE$4))</f>
        <v>1</v>
      </c>
      <c r="H165" s="480" t="s">
        <v>415</v>
      </c>
      <c r="I165" s="475" t="s">
        <v>76</v>
      </c>
      <c r="J165" s="475"/>
      <c r="K165" s="479" t="s">
        <v>628</v>
      </c>
      <c r="L165" s="485"/>
      <c r="M165" s="423"/>
      <c r="N165" s="423"/>
      <c r="O165" s="423"/>
      <c r="P165" s="423"/>
      <c r="Q165" s="423"/>
      <c r="R165" s="423"/>
      <c r="S165" s="423">
        <v>15</v>
      </c>
      <c r="T165" s="423"/>
      <c r="U165" s="423"/>
      <c r="V165" s="423"/>
      <c r="W165" s="423"/>
      <c r="X165" s="423"/>
      <c r="Y165" s="423"/>
      <c r="Z165" s="423"/>
    </row>
    <row r="166" spans="1:26" hidden="1" x14ac:dyDescent="0.35">
      <c r="A166" s="476">
        <v>45749</v>
      </c>
      <c r="B166" s="505">
        <v>7.5</v>
      </c>
      <c r="C166" s="477" t="s">
        <v>66</v>
      </c>
      <c r="D166" s="477" t="s">
        <v>585</v>
      </c>
      <c r="E166" s="477" t="s">
        <v>643</v>
      </c>
      <c r="F166" s="477" t="s">
        <v>561</v>
      </c>
      <c r="G166" s="474" t="b">
        <f>IF(A166="","",IF(Daten!$AE$4=0,TRUE,MONTH(A166)=Daten!$AE$4))</f>
        <v>1</v>
      </c>
      <c r="H166" s="480" t="s">
        <v>306</v>
      </c>
      <c r="I166" s="474" t="s">
        <v>76</v>
      </c>
      <c r="J166" s="474"/>
      <c r="K166" s="477" t="s">
        <v>628</v>
      </c>
      <c r="L166" s="484"/>
      <c r="M166" s="422">
        <v>7.5</v>
      </c>
      <c r="N166" s="422"/>
      <c r="O166" s="422"/>
      <c r="P166" s="422"/>
      <c r="Q166" s="422"/>
      <c r="R166" s="422"/>
      <c r="S166" s="422"/>
      <c r="T166" s="422"/>
      <c r="U166" s="422"/>
      <c r="V166" s="422"/>
      <c r="W166" s="422"/>
      <c r="X166" s="422"/>
      <c r="Y166" s="422"/>
      <c r="Z166" s="422"/>
    </row>
    <row r="167" spans="1:26" hidden="1" x14ac:dyDescent="0.35">
      <c r="A167" s="478">
        <v>45749</v>
      </c>
      <c r="B167" s="506">
        <v>15</v>
      </c>
      <c r="C167" s="479" t="s">
        <v>66</v>
      </c>
      <c r="D167" s="479" t="s">
        <v>585</v>
      </c>
      <c r="E167" s="479" t="s">
        <v>644</v>
      </c>
      <c r="F167" s="479" t="s">
        <v>561</v>
      </c>
      <c r="G167" s="475" t="b">
        <f>IF(A167="","",IF(Daten!$AE$4=0,TRUE,MONTH(A167)=Daten!$AE$4))</f>
        <v>1</v>
      </c>
      <c r="H167" s="480" t="s">
        <v>415</v>
      </c>
      <c r="I167" s="475" t="s">
        <v>76</v>
      </c>
      <c r="J167" s="475"/>
      <c r="K167" s="479" t="s">
        <v>628</v>
      </c>
      <c r="L167" s="485"/>
      <c r="M167" s="423"/>
      <c r="N167" s="423"/>
      <c r="O167" s="423"/>
      <c r="P167" s="423"/>
      <c r="Q167" s="423"/>
      <c r="R167" s="423"/>
      <c r="S167" s="423">
        <v>15</v>
      </c>
      <c r="T167" s="423"/>
      <c r="U167" s="423"/>
      <c r="V167" s="423"/>
      <c r="W167" s="423"/>
      <c r="X167" s="423"/>
      <c r="Y167" s="423"/>
      <c r="Z167" s="423"/>
    </row>
    <row r="168" spans="1:26" hidden="1" x14ac:dyDescent="0.35">
      <c r="A168" s="476">
        <v>45749</v>
      </c>
      <c r="B168" s="505">
        <v>15</v>
      </c>
      <c r="C168" s="477" t="s">
        <v>586</v>
      </c>
      <c r="D168" s="477" t="s">
        <v>587</v>
      </c>
      <c r="E168" s="477" t="s">
        <v>645</v>
      </c>
      <c r="F168" s="477" t="s">
        <v>561</v>
      </c>
      <c r="G168" s="474" t="b">
        <f>IF(A168="","",IF(Daten!$AE$4=0,TRUE,MONTH(A168)=Daten!$AE$4))</f>
        <v>1</v>
      </c>
      <c r="H168" s="480" t="s">
        <v>415</v>
      </c>
      <c r="I168" s="474" t="s">
        <v>76</v>
      </c>
      <c r="J168" s="474"/>
      <c r="K168" s="477" t="s">
        <v>628</v>
      </c>
      <c r="L168" s="484"/>
      <c r="M168" s="422"/>
      <c r="N168" s="422"/>
      <c r="O168" s="422"/>
      <c r="P168" s="422"/>
      <c r="Q168" s="422"/>
      <c r="R168" s="422"/>
      <c r="S168" s="422">
        <v>15</v>
      </c>
      <c r="T168" s="422"/>
      <c r="U168" s="422"/>
      <c r="V168" s="422"/>
      <c r="W168" s="422"/>
      <c r="X168" s="422"/>
      <c r="Y168" s="422"/>
      <c r="Z168" s="422"/>
    </row>
    <row r="169" spans="1:26" hidden="1" x14ac:dyDescent="0.35">
      <c r="A169" s="478">
        <v>45750</v>
      </c>
      <c r="B169" s="506">
        <v>7.5</v>
      </c>
      <c r="C169" s="479" t="s">
        <v>51</v>
      </c>
      <c r="D169" s="479" t="s">
        <v>580</v>
      </c>
      <c r="E169" s="479" t="s">
        <v>637</v>
      </c>
      <c r="F169" s="479" t="s">
        <v>561</v>
      </c>
      <c r="G169" s="475" t="b">
        <f>IF(A169="","",IF(Daten!$AE$4=0,TRUE,MONTH(A169)=Daten!$AE$4))</f>
        <v>1</v>
      </c>
      <c r="H169" s="480" t="s">
        <v>306</v>
      </c>
      <c r="I169" s="475" t="s">
        <v>76</v>
      </c>
      <c r="J169" s="475"/>
      <c r="K169" s="479" t="s">
        <v>628</v>
      </c>
      <c r="L169" s="485"/>
      <c r="M169" s="423">
        <v>7.5</v>
      </c>
      <c r="N169" s="423"/>
      <c r="O169" s="423"/>
      <c r="P169" s="423"/>
      <c r="Q169" s="423"/>
      <c r="R169" s="423"/>
      <c r="S169" s="423"/>
      <c r="T169" s="423"/>
      <c r="U169" s="423"/>
      <c r="V169" s="423"/>
      <c r="W169" s="423"/>
      <c r="X169" s="423"/>
      <c r="Y169" s="423"/>
      <c r="Z169" s="423"/>
    </row>
    <row r="170" spans="1:26" hidden="1" x14ac:dyDescent="0.35">
      <c r="A170" s="476">
        <v>45750</v>
      </c>
      <c r="B170" s="505">
        <v>15</v>
      </c>
      <c r="C170" s="477" t="s">
        <v>618</v>
      </c>
      <c r="D170" s="477" t="s">
        <v>582</v>
      </c>
      <c r="E170" s="477" t="s">
        <v>638</v>
      </c>
      <c r="F170" s="477" t="s">
        <v>561</v>
      </c>
      <c r="G170" s="474" t="b">
        <f>IF(A170="","",IF(Daten!$AE$4=0,TRUE,MONTH(A170)=Daten!$AE$4))</f>
        <v>1</v>
      </c>
      <c r="H170" s="480" t="s">
        <v>306</v>
      </c>
      <c r="I170" s="474" t="s">
        <v>76</v>
      </c>
      <c r="J170" s="474"/>
      <c r="K170" s="477" t="s">
        <v>628</v>
      </c>
      <c r="L170" s="484"/>
      <c r="M170" s="422">
        <v>15</v>
      </c>
      <c r="N170" s="422"/>
      <c r="O170" s="422"/>
      <c r="P170" s="422"/>
      <c r="Q170" s="422"/>
      <c r="R170" s="422"/>
      <c r="S170" s="422"/>
      <c r="T170" s="422"/>
      <c r="U170" s="422"/>
      <c r="V170" s="422"/>
      <c r="W170" s="422"/>
      <c r="X170" s="422"/>
      <c r="Y170" s="422"/>
      <c r="Z170" s="422"/>
    </row>
    <row r="171" spans="1:26" hidden="1" x14ac:dyDescent="0.35">
      <c r="A171" s="478">
        <v>45754</v>
      </c>
      <c r="B171" s="506">
        <v>15</v>
      </c>
      <c r="C171" s="479" t="s">
        <v>575</v>
      </c>
      <c r="D171" s="479" t="s">
        <v>576</v>
      </c>
      <c r="E171" s="479" t="s">
        <v>633</v>
      </c>
      <c r="F171" s="479" t="s">
        <v>561</v>
      </c>
      <c r="G171" s="475" t="b">
        <f>IF(A171="","",IF(Daten!$AE$4=0,TRUE,MONTH(A171)=Daten!$AE$4))</f>
        <v>1</v>
      </c>
      <c r="H171" s="480" t="s">
        <v>415</v>
      </c>
      <c r="I171" s="475" t="s">
        <v>76</v>
      </c>
      <c r="J171" s="475"/>
      <c r="K171" s="479" t="s">
        <v>628</v>
      </c>
      <c r="L171" s="485"/>
      <c r="M171" s="423"/>
      <c r="N171" s="423"/>
      <c r="O171" s="423"/>
      <c r="P171" s="423"/>
      <c r="Q171" s="423"/>
      <c r="R171" s="423"/>
      <c r="S171" s="423">
        <v>15</v>
      </c>
      <c r="T171" s="423"/>
      <c r="U171" s="423"/>
      <c r="V171" s="423"/>
      <c r="W171" s="423"/>
      <c r="X171" s="423"/>
      <c r="Y171" s="423"/>
      <c r="Z171" s="423"/>
    </row>
    <row r="172" spans="1:26" hidden="1" x14ac:dyDescent="0.35">
      <c r="A172" s="476">
        <v>45754</v>
      </c>
      <c r="B172" s="505">
        <v>-497</v>
      </c>
      <c r="C172" s="477" t="s">
        <v>578</v>
      </c>
      <c r="D172" s="477" t="s">
        <v>579</v>
      </c>
      <c r="E172" s="477" t="s">
        <v>715</v>
      </c>
      <c r="F172" s="477" t="s">
        <v>567</v>
      </c>
      <c r="G172" s="474" t="b">
        <f>IF(A172="","",IF(Daten!$AE$4=0,TRUE,MONTH(A172)=Daten!$AE$4))</f>
        <v>1</v>
      </c>
      <c r="H172" s="480" t="s">
        <v>451</v>
      </c>
      <c r="I172" s="474" t="s">
        <v>76</v>
      </c>
      <c r="J172" s="474"/>
      <c r="K172" s="477" t="s">
        <v>628</v>
      </c>
      <c r="L172" s="484"/>
      <c r="M172" s="422"/>
      <c r="N172" s="422"/>
      <c r="O172" s="422"/>
      <c r="P172" s="422"/>
      <c r="Q172" s="422"/>
      <c r="R172" s="422"/>
      <c r="S172" s="422"/>
      <c r="T172" s="422">
        <v>-497</v>
      </c>
      <c r="U172" s="422"/>
      <c r="V172" s="422"/>
      <c r="W172" s="422"/>
      <c r="X172" s="422"/>
      <c r="Y172" s="422"/>
      <c r="Z172" s="422"/>
    </row>
    <row r="173" spans="1:26" hidden="1" x14ac:dyDescent="0.35">
      <c r="A173" s="478">
        <v>45762</v>
      </c>
      <c r="B173" s="506">
        <v>-80.11</v>
      </c>
      <c r="C173" s="479" t="s">
        <v>602</v>
      </c>
      <c r="D173" s="479" t="s">
        <v>603</v>
      </c>
      <c r="E173" s="479" t="s">
        <v>713</v>
      </c>
      <c r="F173" s="479" t="s">
        <v>567</v>
      </c>
      <c r="G173" s="475" t="b">
        <f>IF(A173="","",IF(Daten!$AE$4=0,TRUE,MONTH(A173)=Daten!$AE$4))</f>
        <v>1</v>
      </c>
      <c r="H173" s="480" t="s">
        <v>390</v>
      </c>
      <c r="I173" s="475" t="s">
        <v>76</v>
      </c>
      <c r="J173" s="475"/>
      <c r="K173" s="479" t="s">
        <v>628</v>
      </c>
      <c r="L173" s="485"/>
      <c r="M173" s="423"/>
      <c r="N173" s="423"/>
      <c r="O173" s="423"/>
      <c r="P173" s="423"/>
      <c r="Q173" s="423"/>
      <c r="R173" s="423"/>
      <c r="S173" s="423"/>
      <c r="T173" s="423">
        <v>-80.11</v>
      </c>
      <c r="U173" s="423"/>
      <c r="V173" s="423"/>
      <c r="W173" s="423"/>
      <c r="X173" s="423"/>
      <c r="Y173" s="423"/>
      <c r="Z173" s="423"/>
    </row>
    <row r="174" spans="1:26" hidden="1" x14ac:dyDescent="0.35">
      <c r="A174" s="476">
        <v>45762</v>
      </c>
      <c r="B174" s="505">
        <v>-138</v>
      </c>
      <c r="C174" s="477" t="s">
        <v>568</v>
      </c>
      <c r="D174" s="477" t="s">
        <v>569</v>
      </c>
      <c r="E174" s="477" t="s">
        <v>630</v>
      </c>
      <c r="F174" s="477" t="s">
        <v>567</v>
      </c>
      <c r="G174" s="474" t="b">
        <f>IF(A174="","",IF(Daten!$AE$4=0,TRUE,MONTH(A174)=Daten!$AE$4))</f>
        <v>1</v>
      </c>
      <c r="H174" s="480" t="s">
        <v>459</v>
      </c>
      <c r="I174" s="474" t="s">
        <v>76</v>
      </c>
      <c r="J174" s="474"/>
      <c r="K174" s="477" t="s">
        <v>628</v>
      </c>
      <c r="L174" s="484"/>
      <c r="M174" s="422"/>
      <c r="N174" s="422"/>
      <c r="O174" s="422"/>
      <c r="P174" s="422"/>
      <c r="Q174" s="422"/>
      <c r="R174" s="422"/>
      <c r="S174" s="422"/>
      <c r="T174" s="422">
        <v>-138</v>
      </c>
      <c r="U174" s="422"/>
      <c r="V174" s="422"/>
      <c r="W174" s="422"/>
      <c r="X174" s="422"/>
      <c r="Y174" s="422"/>
      <c r="Z174" s="422"/>
    </row>
    <row r="175" spans="1:26" hidden="1" x14ac:dyDescent="0.35">
      <c r="A175" s="478">
        <v>45762</v>
      </c>
      <c r="B175" s="506">
        <v>-59.94</v>
      </c>
      <c r="C175" s="479" t="s">
        <v>570</v>
      </c>
      <c r="D175" s="479" t="s">
        <v>571</v>
      </c>
      <c r="E175" s="479" t="s">
        <v>714</v>
      </c>
      <c r="F175" s="479" t="s">
        <v>567</v>
      </c>
      <c r="G175" s="475" t="b">
        <f>IF(A175="","",IF(Daten!$AE$4=0,TRUE,MONTH(A175)=Daten!$AE$4))</f>
        <v>1</v>
      </c>
      <c r="H175" s="480" t="s">
        <v>389</v>
      </c>
      <c r="I175" s="475" t="s">
        <v>76</v>
      </c>
      <c r="J175" s="475"/>
      <c r="K175" s="479" t="s">
        <v>628</v>
      </c>
      <c r="L175" s="485"/>
      <c r="M175" s="423"/>
      <c r="N175" s="423"/>
      <c r="O175" s="423"/>
      <c r="P175" s="423"/>
      <c r="Q175" s="423"/>
      <c r="R175" s="423"/>
      <c r="S175" s="423"/>
      <c r="T175" s="423">
        <v>-59.94</v>
      </c>
      <c r="U175" s="423"/>
      <c r="V175" s="423"/>
      <c r="W175" s="423"/>
      <c r="X175" s="423"/>
      <c r="Y175" s="423"/>
      <c r="Z175" s="423"/>
    </row>
    <row r="176" spans="1:26" hidden="1" x14ac:dyDescent="0.35">
      <c r="A176" s="476">
        <v>45769</v>
      </c>
      <c r="B176" s="505">
        <v>15</v>
      </c>
      <c r="C176" s="477" t="s">
        <v>562</v>
      </c>
      <c r="D176" s="477" t="s">
        <v>563</v>
      </c>
      <c r="E176" s="477" t="s">
        <v>627</v>
      </c>
      <c r="F176" s="477" t="s">
        <v>561</v>
      </c>
      <c r="G176" s="474" t="b">
        <f>IF(A176="","",IF(Daten!$AE$4=0,TRUE,MONTH(A176)=Daten!$AE$4))</f>
        <v>1</v>
      </c>
      <c r="H176" s="480" t="s">
        <v>415</v>
      </c>
      <c r="I176" s="474" t="s">
        <v>76</v>
      </c>
      <c r="J176" s="474"/>
      <c r="K176" s="477" t="s">
        <v>628</v>
      </c>
      <c r="L176" s="484"/>
      <c r="M176" s="422"/>
      <c r="N176" s="422"/>
      <c r="O176" s="422"/>
      <c r="P176" s="422"/>
      <c r="Q176" s="422"/>
      <c r="R176" s="422"/>
      <c r="S176" s="422">
        <v>15</v>
      </c>
      <c r="T176" s="422"/>
      <c r="U176" s="422"/>
      <c r="V176" s="422"/>
      <c r="W176" s="422"/>
      <c r="X176" s="422"/>
      <c r="Y176" s="422"/>
      <c r="Z176" s="422"/>
    </row>
    <row r="177" spans="1:26" hidden="1" x14ac:dyDescent="0.35">
      <c r="A177" s="478">
        <v>45772</v>
      </c>
      <c r="B177" s="506">
        <v>-300</v>
      </c>
      <c r="C177" s="479" t="s">
        <v>626</v>
      </c>
      <c r="D177" s="479">
        <v>0</v>
      </c>
      <c r="E177" s="479" t="s">
        <v>712</v>
      </c>
      <c r="F177" s="479" t="s">
        <v>625</v>
      </c>
      <c r="G177" s="475" t="b">
        <f>IF(A177="","",IF(Daten!$AE$4=0,TRUE,MONTH(A177)=Daten!$AE$4))</f>
        <v>1</v>
      </c>
      <c r="H177" s="480" t="s">
        <v>336</v>
      </c>
      <c r="I177" s="475" t="s">
        <v>76</v>
      </c>
      <c r="J177" s="475"/>
      <c r="K177" s="479" t="s">
        <v>628</v>
      </c>
      <c r="L177" s="485"/>
      <c r="M177" s="423"/>
      <c r="N177" s="423"/>
      <c r="O177" s="423"/>
      <c r="P177" s="423"/>
      <c r="Q177" s="423"/>
      <c r="R177" s="423"/>
      <c r="S177" s="423"/>
      <c r="T177" s="423"/>
      <c r="U177" s="423"/>
      <c r="V177" s="423"/>
      <c r="W177" s="423"/>
      <c r="X177" s="423"/>
      <c r="Y177" s="423"/>
      <c r="Z177" s="423">
        <v>-300</v>
      </c>
    </row>
    <row r="178" spans="1:26" hidden="1" x14ac:dyDescent="0.35">
      <c r="A178" s="476">
        <v>45772</v>
      </c>
      <c r="B178" s="505">
        <v>15</v>
      </c>
      <c r="C178" s="477" t="s">
        <v>594</v>
      </c>
      <c r="D178" s="477" t="s">
        <v>595</v>
      </c>
      <c r="E178" s="477" t="s">
        <v>657</v>
      </c>
      <c r="F178" s="477" t="s">
        <v>561</v>
      </c>
      <c r="G178" s="474" t="b">
        <f>IF(A178="","",IF(Daten!$AE$4=0,TRUE,MONTH(A178)=Daten!$AE$4))</f>
        <v>1</v>
      </c>
      <c r="H178" s="480" t="s">
        <v>415</v>
      </c>
      <c r="I178" s="474" t="s">
        <v>76</v>
      </c>
      <c r="J178" s="474"/>
      <c r="K178" s="477" t="s">
        <v>628</v>
      </c>
      <c r="L178" s="484"/>
      <c r="M178" s="422"/>
      <c r="N178" s="422"/>
      <c r="O178" s="422"/>
      <c r="P178" s="422"/>
      <c r="Q178" s="422"/>
      <c r="R178" s="422"/>
      <c r="S178" s="422">
        <v>15</v>
      </c>
      <c r="T178" s="422"/>
      <c r="U178" s="422"/>
      <c r="V178" s="422"/>
      <c r="W178" s="422"/>
      <c r="X178" s="422"/>
      <c r="Y178" s="422"/>
      <c r="Z178" s="422"/>
    </row>
    <row r="179" spans="1:26" hidden="1" x14ac:dyDescent="0.35">
      <c r="A179" s="478">
        <v>45775</v>
      </c>
      <c r="B179" s="506">
        <v>7.5</v>
      </c>
      <c r="C179" s="479" t="s">
        <v>594</v>
      </c>
      <c r="D179" s="479" t="s">
        <v>595</v>
      </c>
      <c r="E179" s="479" t="s">
        <v>655</v>
      </c>
      <c r="F179" s="479" t="s">
        <v>561</v>
      </c>
      <c r="G179" s="475" t="b">
        <f>IF(A179="","",IF(Daten!$AE$4=0,TRUE,MONTH(A179)=Daten!$AE$4))</f>
        <v>1</v>
      </c>
      <c r="H179" s="480" t="s">
        <v>306</v>
      </c>
      <c r="I179" s="475" t="s">
        <v>75</v>
      </c>
      <c r="J179" s="475"/>
      <c r="K179" s="479" t="s">
        <v>628</v>
      </c>
      <c r="L179" s="485"/>
      <c r="M179" s="423">
        <v>7.5</v>
      </c>
      <c r="N179" s="423"/>
      <c r="O179" s="423"/>
      <c r="P179" s="423"/>
      <c r="Q179" s="423"/>
      <c r="R179" s="423"/>
      <c r="S179" s="423"/>
      <c r="T179" s="423"/>
      <c r="U179" s="423"/>
      <c r="V179" s="423"/>
      <c r="W179" s="423"/>
      <c r="X179" s="423"/>
      <c r="Y179" s="423"/>
      <c r="Z179" s="423"/>
    </row>
    <row r="180" spans="1:26" hidden="1" x14ac:dyDescent="0.35">
      <c r="A180" s="476">
        <v>45775</v>
      </c>
      <c r="B180" s="505">
        <v>7.5</v>
      </c>
      <c r="C180" s="477" t="s">
        <v>600</v>
      </c>
      <c r="D180" s="477" t="s">
        <v>601</v>
      </c>
      <c r="E180" s="477" t="s">
        <v>656</v>
      </c>
      <c r="F180" s="477" t="s">
        <v>561</v>
      </c>
      <c r="G180" s="474" t="b">
        <f>IF(A180="","",IF(Daten!$AE$4=0,TRUE,MONTH(A180)=Daten!$AE$4))</f>
        <v>1</v>
      </c>
      <c r="H180" s="480" t="s">
        <v>306</v>
      </c>
      <c r="I180" s="474" t="s">
        <v>75</v>
      </c>
      <c r="J180" s="474"/>
      <c r="K180" s="477" t="s">
        <v>628</v>
      </c>
      <c r="L180" s="484"/>
      <c r="M180" s="422">
        <v>7.5</v>
      </c>
      <c r="N180" s="422"/>
      <c r="O180" s="422"/>
      <c r="P180" s="422"/>
      <c r="Q180" s="422"/>
      <c r="R180" s="422"/>
      <c r="S180" s="422"/>
      <c r="T180" s="422"/>
      <c r="U180" s="422"/>
      <c r="V180" s="422"/>
      <c r="W180" s="422"/>
      <c r="X180" s="422"/>
      <c r="Y180" s="422"/>
      <c r="Z180" s="422"/>
    </row>
    <row r="181" spans="1:26" hidden="1" x14ac:dyDescent="0.35">
      <c r="A181" s="478">
        <v>45776</v>
      </c>
      <c r="B181" s="506">
        <v>15</v>
      </c>
      <c r="C181" s="479" t="s">
        <v>588</v>
      </c>
      <c r="D181" s="479" t="s">
        <v>589</v>
      </c>
      <c r="E181" s="479" t="s">
        <v>306</v>
      </c>
      <c r="F181" s="479" t="s">
        <v>561</v>
      </c>
      <c r="G181" s="475" t="b">
        <f>IF(A181="","",IF(Daten!$AE$4=0,TRUE,MONTH(A181)=Daten!$AE$4))</f>
        <v>1</v>
      </c>
      <c r="H181" s="480" t="s">
        <v>306</v>
      </c>
      <c r="I181" s="475" t="s">
        <v>75</v>
      </c>
      <c r="J181" s="475"/>
      <c r="K181" s="479" t="s">
        <v>628</v>
      </c>
      <c r="L181" s="485"/>
      <c r="M181" s="423">
        <v>15</v>
      </c>
      <c r="N181" s="423"/>
      <c r="O181" s="423"/>
      <c r="P181" s="423"/>
      <c r="Q181" s="423"/>
      <c r="R181" s="423"/>
      <c r="S181" s="423"/>
      <c r="T181" s="423"/>
      <c r="U181" s="423"/>
      <c r="V181" s="423"/>
      <c r="W181" s="423"/>
      <c r="X181" s="423"/>
      <c r="Y181" s="423"/>
      <c r="Z181" s="423"/>
    </row>
    <row r="182" spans="1:26" hidden="1" x14ac:dyDescent="0.35">
      <c r="A182" s="476">
        <v>45779</v>
      </c>
      <c r="B182" s="505">
        <v>15</v>
      </c>
      <c r="C182" s="477" t="s">
        <v>575</v>
      </c>
      <c r="D182" s="477" t="s">
        <v>576</v>
      </c>
      <c r="E182" s="477" t="s">
        <v>646</v>
      </c>
      <c r="F182" s="477" t="s">
        <v>561</v>
      </c>
      <c r="G182" s="474" t="b">
        <f>IF(A182="","",IF(Daten!$AE$4=0,TRUE,MONTH(A182)=Daten!$AE$4))</f>
        <v>1</v>
      </c>
      <c r="H182" s="480" t="s">
        <v>306</v>
      </c>
      <c r="I182" s="474" t="s">
        <v>75</v>
      </c>
      <c r="J182" s="474"/>
      <c r="K182" s="477" t="s">
        <v>628</v>
      </c>
      <c r="L182" s="484"/>
      <c r="M182" s="422">
        <v>15</v>
      </c>
      <c r="N182" s="422"/>
      <c r="O182" s="422"/>
      <c r="P182" s="422"/>
      <c r="Q182" s="422"/>
      <c r="R182" s="422"/>
      <c r="S182" s="422"/>
      <c r="T182" s="422"/>
      <c r="U182" s="422"/>
      <c r="V182" s="422"/>
      <c r="W182" s="422"/>
      <c r="X182" s="422"/>
      <c r="Y182" s="422"/>
      <c r="Z182" s="422"/>
    </row>
    <row r="183" spans="1:26" hidden="1" x14ac:dyDescent="0.35">
      <c r="A183" s="478">
        <v>45779</v>
      </c>
      <c r="B183" s="506">
        <v>15</v>
      </c>
      <c r="C183" s="479" t="s">
        <v>51</v>
      </c>
      <c r="D183" s="479" t="s">
        <v>580</v>
      </c>
      <c r="E183" s="479" t="s">
        <v>384</v>
      </c>
      <c r="F183" s="479" t="s">
        <v>561</v>
      </c>
      <c r="G183" s="475" t="b">
        <f>IF(A183="","",IF(Daten!$AE$4=0,TRUE,MONTH(A183)=Daten!$AE$4))</f>
        <v>1</v>
      </c>
      <c r="H183" s="480" t="s">
        <v>415</v>
      </c>
      <c r="I183" s="475" t="s">
        <v>75</v>
      </c>
      <c r="J183" s="475"/>
      <c r="K183" s="479" t="s">
        <v>628</v>
      </c>
      <c r="L183" s="485"/>
      <c r="M183" s="423"/>
      <c r="N183" s="423"/>
      <c r="O183" s="423"/>
      <c r="P183" s="423"/>
      <c r="Q183" s="423"/>
      <c r="R183" s="423"/>
      <c r="S183" s="423">
        <v>15</v>
      </c>
      <c r="T183" s="423"/>
      <c r="U183" s="423"/>
      <c r="V183" s="423"/>
      <c r="W183" s="423"/>
      <c r="X183" s="423"/>
      <c r="Y183" s="423"/>
      <c r="Z183" s="423"/>
    </row>
    <row r="184" spans="1:26" hidden="1" x14ac:dyDescent="0.35">
      <c r="A184" s="476">
        <v>45779</v>
      </c>
      <c r="B184" s="505">
        <v>15</v>
      </c>
      <c r="C184" s="477" t="s">
        <v>618</v>
      </c>
      <c r="D184" s="477" t="s">
        <v>582</v>
      </c>
      <c r="E184" s="477" t="s">
        <v>650</v>
      </c>
      <c r="F184" s="477" t="s">
        <v>561</v>
      </c>
      <c r="G184" s="474" t="b">
        <f>IF(A184="","",IF(Daten!$AE$4=0,TRUE,MONTH(A184)=Daten!$AE$4))</f>
        <v>1</v>
      </c>
      <c r="H184" s="480" t="s">
        <v>415</v>
      </c>
      <c r="I184" s="474" t="s">
        <v>75</v>
      </c>
      <c r="J184" s="474"/>
      <c r="K184" s="477" t="s">
        <v>628</v>
      </c>
      <c r="L184" s="484"/>
      <c r="M184" s="422"/>
      <c r="N184" s="422"/>
      <c r="O184" s="422"/>
      <c r="P184" s="422"/>
      <c r="Q184" s="422"/>
      <c r="R184" s="422"/>
      <c r="S184" s="422">
        <v>15</v>
      </c>
      <c r="T184" s="422"/>
      <c r="U184" s="422"/>
      <c r="V184" s="422"/>
      <c r="W184" s="422"/>
      <c r="X184" s="422"/>
      <c r="Y184" s="422"/>
      <c r="Z184" s="422"/>
    </row>
    <row r="185" spans="1:26" hidden="1" x14ac:dyDescent="0.35">
      <c r="A185" s="478">
        <v>45779</v>
      </c>
      <c r="B185" s="506">
        <v>15</v>
      </c>
      <c r="C185" s="479" t="s">
        <v>613</v>
      </c>
      <c r="D185" s="479" t="s">
        <v>614</v>
      </c>
      <c r="E185" s="479" t="s">
        <v>710</v>
      </c>
      <c r="F185" s="479" t="s">
        <v>561</v>
      </c>
      <c r="G185" s="475" t="b">
        <f>IF(A185="","",IF(Daten!$AE$4=0,TRUE,MONTH(A185)=Daten!$AE$4))</f>
        <v>1</v>
      </c>
      <c r="H185" s="480" t="s">
        <v>306</v>
      </c>
      <c r="I185" s="475" t="s">
        <v>75</v>
      </c>
      <c r="J185" s="475"/>
      <c r="K185" s="479" t="s">
        <v>628</v>
      </c>
      <c r="L185" s="485"/>
      <c r="M185" s="423">
        <v>15</v>
      </c>
      <c r="N185" s="423"/>
      <c r="O185" s="423"/>
      <c r="P185" s="423"/>
      <c r="Q185" s="423"/>
      <c r="R185" s="423"/>
      <c r="S185" s="423"/>
      <c r="T185" s="423"/>
      <c r="U185" s="423"/>
      <c r="V185" s="423"/>
      <c r="W185" s="423"/>
      <c r="X185" s="423"/>
      <c r="Y185" s="423"/>
      <c r="Z185" s="423"/>
    </row>
    <row r="186" spans="1:26" hidden="1" x14ac:dyDescent="0.35">
      <c r="A186" s="476">
        <v>45779</v>
      </c>
      <c r="B186" s="505">
        <v>15</v>
      </c>
      <c r="C186" s="477" t="s">
        <v>613</v>
      </c>
      <c r="D186" s="477" t="s">
        <v>614</v>
      </c>
      <c r="E186" s="477" t="s">
        <v>711</v>
      </c>
      <c r="F186" s="477" t="s">
        <v>561</v>
      </c>
      <c r="G186" s="474" t="b">
        <f>IF(A186="","",IF(Daten!$AE$4=0,TRUE,MONTH(A186)=Daten!$AE$4))</f>
        <v>1</v>
      </c>
      <c r="H186" s="480" t="s">
        <v>415</v>
      </c>
      <c r="I186" s="474" t="s">
        <v>75</v>
      </c>
      <c r="J186" s="474"/>
      <c r="K186" s="477" t="s">
        <v>628</v>
      </c>
      <c r="L186" s="484"/>
      <c r="M186" s="422"/>
      <c r="N186" s="422"/>
      <c r="O186" s="422"/>
      <c r="P186" s="422"/>
      <c r="Q186" s="422"/>
      <c r="R186" s="422"/>
      <c r="S186" s="422">
        <v>15</v>
      </c>
      <c r="T186" s="422"/>
      <c r="U186" s="422"/>
      <c r="V186" s="422"/>
      <c r="W186" s="422"/>
      <c r="X186" s="422"/>
      <c r="Y186" s="422"/>
      <c r="Z186" s="422"/>
    </row>
    <row r="187" spans="1:26" hidden="1" x14ac:dyDescent="0.35">
      <c r="A187" s="478">
        <v>45779</v>
      </c>
      <c r="B187" s="506">
        <v>15</v>
      </c>
      <c r="C187" s="479" t="s">
        <v>586</v>
      </c>
      <c r="D187" s="479" t="s">
        <v>587</v>
      </c>
      <c r="E187" s="479" t="s">
        <v>645</v>
      </c>
      <c r="F187" s="479" t="s">
        <v>561</v>
      </c>
      <c r="G187" s="475" t="b">
        <f>IF(A187="","",IF(Daten!$AE$4=0,TRUE,MONTH(A187)=Daten!$AE$4))</f>
        <v>1</v>
      </c>
      <c r="H187" s="480" t="s">
        <v>415</v>
      </c>
      <c r="I187" s="475" t="s">
        <v>75</v>
      </c>
      <c r="J187" s="475"/>
      <c r="K187" s="479" t="s">
        <v>628</v>
      </c>
      <c r="L187" s="485"/>
      <c r="M187" s="423"/>
      <c r="N187" s="423"/>
      <c r="O187" s="423"/>
      <c r="P187" s="423"/>
      <c r="Q187" s="423"/>
      <c r="R187" s="423"/>
      <c r="S187" s="423">
        <v>15</v>
      </c>
      <c r="T187" s="423"/>
      <c r="U187" s="423"/>
      <c r="V187" s="423"/>
      <c r="W187" s="423"/>
      <c r="X187" s="423"/>
      <c r="Y187" s="423"/>
      <c r="Z187" s="423"/>
    </row>
    <row r="188" spans="1:26" hidden="1" x14ac:dyDescent="0.35">
      <c r="A188" s="476">
        <v>45779</v>
      </c>
      <c r="B188" s="505">
        <v>7.5</v>
      </c>
      <c r="C188" s="477" t="s">
        <v>56</v>
      </c>
      <c r="D188" s="477" t="s">
        <v>593</v>
      </c>
      <c r="E188" s="477" t="s">
        <v>386</v>
      </c>
      <c r="F188" s="477" t="s">
        <v>561</v>
      </c>
      <c r="G188" s="474" t="b">
        <f>IF(A188="","",IF(Daten!$AE$4=0,TRUE,MONTH(A188)=Daten!$AE$4))</f>
        <v>1</v>
      </c>
      <c r="H188" s="480" t="s">
        <v>306</v>
      </c>
      <c r="I188" s="474" t="s">
        <v>75</v>
      </c>
      <c r="J188" s="474"/>
      <c r="K188" s="477" t="s">
        <v>628</v>
      </c>
      <c r="L188" s="484"/>
      <c r="M188" s="422">
        <v>7.5</v>
      </c>
      <c r="N188" s="422"/>
      <c r="O188" s="422"/>
      <c r="P188" s="422"/>
      <c r="Q188" s="422"/>
      <c r="R188" s="422"/>
      <c r="S188" s="422"/>
      <c r="T188" s="422"/>
      <c r="U188" s="422"/>
      <c r="V188" s="422"/>
      <c r="W188" s="422"/>
      <c r="X188" s="422"/>
      <c r="Y188" s="422"/>
      <c r="Z188" s="422"/>
    </row>
    <row r="189" spans="1:26" hidden="1" x14ac:dyDescent="0.35">
      <c r="A189" s="478">
        <v>45779</v>
      </c>
      <c r="B189" s="506">
        <v>7.5</v>
      </c>
      <c r="C189" s="479" t="s">
        <v>66</v>
      </c>
      <c r="D189" s="479" t="s">
        <v>585</v>
      </c>
      <c r="E189" s="479" t="s">
        <v>643</v>
      </c>
      <c r="F189" s="479" t="s">
        <v>561</v>
      </c>
      <c r="G189" s="475" t="b">
        <f>IF(A189="","",IF(Daten!$AE$4=0,TRUE,MONTH(A189)=Daten!$AE$4))</f>
        <v>1</v>
      </c>
      <c r="H189" s="480" t="s">
        <v>306</v>
      </c>
      <c r="I189" s="475" t="s">
        <v>75</v>
      </c>
      <c r="J189" s="475"/>
      <c r="K189" s="479" t="s">
        <v>628</v>
      </c>
      <c r="L189" s="485"/>
      <c r="M189" s="423">
        <v>7.5</v>
      </c>
      <c r="N189" s="423"/>
      <c r="O189" s="423"/>
      <c r="P189" s="423"/>
      <c r="Q189" s="423"/>
      <c r="R189" s="423"/>
      <c r="S189" s="423"/>
      <c r="T189" s="423"/>
      <c r="U189" s="423"/>
      <c r="V189" s="423"/>
      <c r="W189" s="423"/>
      <c r="X189" s="423"/>
      <c r="Y189" s="423"/>
      <c r="Z189" s="423"/>
    </row>
    <row r="190" spans="1:26" hidden="1" x14ac:dyDescent="0.35">
      <c r="A190" s="476">
        <v>45779</v>
      </c>
      <c r="B190" s="505">
        <v>15</v>
      </c>
      <c r="C190" s="477" t="s">
        <v>588</v>
      </c>
      <c r="D190" s="477" t="s">
        <v>589</v>
      </c>
      <c r="E190" s="477" t="s">
        <v>385</v>
      </c>
      <c r="F190" s="477" t="s">
        <v>561</v>
      </c>
      <c r="G190" s="474" t="b">
        <f>IF(A190="","",IF(Daten!$AE$4=0,TRUE,MONTH(A190)=Daten!$AE$4))</f>
        <v>1</v>
      </c>
      <c r="H190" s="480" t="s">
        <v>415</v>
      </c>
      <c r="I190" s="474" t="s">
        <v>75</v>
      </c>
      <c r="J190" s="474"/>
      <c r="K190" s="477" t="s">
        <v>628</v>
      </c>
      <c r="L190" s="484"/>
      <c r="M190" s="422"/>
      <c r="N190" s="422"/>
      <c r="O190" s="422"/>
      <c r="P190" s="422"/>
      <c r="Q190" s="422"/>
      <c r="R190" s="422"/>
      <c r="S190" s="422">
        <v>15</v>
      </c>
      <c r="T190" s="422"/>
      <c r="U190" s="422"/>
      <c r="V190" s="422"/>
      <c r="W190" s="422"/>
      <c r="X190" s="422"/>
      <c r="Y190" s="422"/>
      <c r="Z190" s="422"/>
    </row>
    <row r="191" spans="1:26" hidden="1" x14ac:dyDescent="0.35">
      <c r="A191" s="478">
        <v>45779</v>
      </c>
      <c r="B191" s="506">
        <v>15</v>
      </c>
      <c r="C191" s="479" t="s">
        <v>56</v>
      </c>
      <c r="D191" s="479" t="s">
        <v>593</v>
      </c>
      <c r="E191" s="479" t="s">
        <v>648</v>
      </c>
      <c r="F191" s="479" t="s">
        <v>561</v>
      </c>
      <c r="G191" s="475" t="b">
        <f>IF(A191="","",IF(Daten!$AE$4=0,TRUE,MONTH(A191)=Daten!$AE$4))</f>
        <v>1</v>
      </c>
      <c r="H191" s="480" t="s">
        <v>415</v>
      </c>
      <c r="I191" s="475" t="s">
        <v>75</v>
      </c>
      <c r="J191" s="475"/>
      <c r="K191" s="479" t="s">
        <v>628</v>
      </c>
      <c r="L191" s="485"/>
      <c r="M191" s="423"/>
      <c r="N191" s="423"/>
      <c r="O191" s="423"/>
      <c r="P191" s="423"/>
      <c r="Q191" s="423"/>
      <c r="R191" s="423"/>
      <c r="S191" s="423">
        <v>15</v>
      </c>
      <c r="T191" s="423"/>
      <c r="U191" s="423"/>
      <c r="V191" s="423"/>
      <c r="W191" s="423"/>
      <c r="X191" s="423"/>
      <c r="Y191" s="423"/>
      <c r="Z191" s="423"/>
    </row>
    <row r="192" spans="1:26" hidden="1" x14ac:dyDescent="0.35">
      <c r="A192" s="476">
        <v>45779</v>
      </c>
      <c r="B192" s="505">
        <v>15</v>
      </c>
      <c r="C192" s="477" t="s">
        <v>66</v>
      </c>
      <c r="D192" s="477" t="s">
        <v>585</v>
      </c>
      <c r="E192" s="477" t="s">
        <v>644</v>
      </c>
      <c r="F192" s="477" t="s">
        <v>561</v>
      </c>
      <c r="G192" s="474" t="b">
        <f>IF(A192="","",IF(Daten!$AE$4=0,TRUE,MONTH(A192)=Daten!$AE$4))</f>
        <v>1</v>
      </c>
      <c r="H192" s="480" t="s">
        <v>415</v>
      </c>
      <c r="I192" s="474" t="s">
        <v>75</v>
      </c>
      <c r="J192" s="474"/>
      <c r="K192" s="477" t="s">
        <v>628</v>
      </c>
      <c r="L192" s="484"/>
      <c r="M192" s="422"/>
      <c r="N192" s="422"/>
      <c r="O192" s="422"/>
      <c r="P192" s="422"/>
      <c r="Q192" s="422"/>
      <c r="R192" s="422"/>
      <c r="S192" s="422">
        <v>15</v>
      </c>
      <c r="T192" s="422"/>
      <c r="U192" s="422"/>
      <c r="V192" s="422"/>
      <c r="W192" s="422"/>
      <c r="X192" s="422"/>
      <c r="Y192" s="422"/>
      <c r="Z192" s="422"/>
    </row>
    <row r="193" spans="1:26" hidden="1" x14ac:dyDescent="0.35">
      <c r="A193" s="478">
        <v>45779</v>
      </c>
      <c r="B193" s="506">
        <v>15</v>
      </c>
      <c r="C193" s="479" t="s">
        <v>586</v>
      </c>
      <c r="D193" s="479" t="s">
        <v>587</v>
      </c>
      <c r="E193" s="479" t="s">
        <v>647</v>
      </c>
      <c r="F193" s="479" t="s">
        <v>561</v>
      </c>
      <c r="G193" s="475" t="b">
        <f>IF(A193="","",IF(Daten!$AE$4=0,TRUE,MONTH(A193)=Daten!$AE$4))</f>
        <v>1</v>
      </c>
      <c r="H193" s="480" t="s">
        <v>306</v>
      </c>
      <c r="I193" s="475" t="s">
        <v>75</v>
      </c>
      <c r="J193" s="475"/>
      <c r="K193" s="479" t="s">
        <v>628</v>
      </c>
      <c r="L193" s="485"/>
      <c r="M193" s="423">
        <v>15</v>
      </c>
      <c r="N193" s="423"/>
      <c r="O193" s="423"/>
      <c r="P193" s="423"/>
      <c r="Q193" s="423"/>
      <c r="R193" s="423"/>
      <c r="S193" s="423"/>
      <c r="T193" s="423"/>
      <c r="U193" s="423"/>
      <c r="V193" s="423"/>
      <c r="W193" s="423"/>
      <c r="X193" s="423"/>
      <c r="Y193" s="423"/>
      <c r="Z193" s="423"/>
    </row>
    <row r="194" spans="1:26" hidden="1" x14ac:dyDescent="0.35">
      <c r="A194" s="476">
        <v>45779</v>
      </c>
      <c r="B194" s="505">
        <v>15</v>
      </c>
      <c r="C194" s="477" t="s">
        <v>596</v>
      </c>
      <c r="D194" s="477" t="s">
        <v>597</v>
      </c>
      <c r="E194" s="477" t="s">
        <v>651</v>
      </c>
      <c r="F194" s="477" t="s">
        <v>561</v>
      </c>
      <c r="G194" s="474" t="b">
        <f>IF(A194="","",IF(Daten!$AE$4=0,TRUE,MONTH(A194)=Daten!$AE$4))</f>
        <v>1</v>
      </c>
      <c r="H194" s="480" t="s">
        <v>415</v>
      </c>
      <c r="I194" s="474" t="s">
        <v>75</v>
      </c>
      <c r="J194" s="474"/>
      <c r="K194" s="477" t="s">
        <v>628</v>
      </c>
      <c r="L194" s="484"/>
      <c r="M194" s="422"/>
      <c r="N194" s="422"/>
      <c r="O194" s="422"/>
      <c r="P194" s="422"/>
      <c r="Q194" s="422"/>
      <c r="R194" s="422"/>
      <c r="S194" s="422">
        <v>15</v>
      </c>
      <c r="T194" s="422"/>
      <c r="U194" s="422"/>
      <c r="V194" s="422"/>
      <c r="W194" s="422"/>
      <c r="X194" s="422"/>
      <c r="Y194" s="422"/>
      <c r="Z194" s="422"/>
    </row>
    <row r="195" spans="1:26" hidden="1" x14ac:dyDescent="0.35">
      <c r="A195" s="478">
        <v>45779</v>
      </c>
      <c r="B195" s="506">
        <v>15</v>
      </c>
      <c r="C195" s="479" t="s">
        <v>596</v>
      </c>
      <c r="D195" s="479" t="s">
        <v>597</v>
      </c>
      <c r="E195" s="479" t="s">
        <v>653</v>
      </c>
      <c r="F195" s="479" t="s">
        <v>561</v>
      </c>
      <c r="G195" s="475" t="b">
        <f>IF(A195="","",IF(Daten!$AE$4=0,TRUE,MONTH(A195)=Daten!$AE$4))</f>
        <v>1</v>
      </c>
      <c r="H195" s="480" t="s">
        <v>306</v>
      </c>
      <c r="I195" s="475" t="s">
        <v>75</v>
      </c>
      <c r="J195" s="475"/>
      <c r="K195" s="479" t="s">
        <v>628</v>
      </c>
      <c r="L195" s="485"/>
      <c r="M195" s="423">
        <v>15</v>
      </c>
      <c r="N195" s="423"/>
      <c r="O195" s="423"/>
      <c r="P195" s="423"/>
      <c r="Q195" s="423"/>
      <c r="R195" s="423"/>
      <c r="S195" s="423"/>
      <c r="T195" s="423"/>
      <c r="U195" s="423"/>
      <c r="V195" s="423"/>
      <c r="W195" s="423"/>
      <c r="X195" s="423"/>
      <c r="Y195" s="423"/>
      <c r="Z195" s="423"/>
    </row>
    <row r="196" spans="1:26" hidden="1" x14ac:dyDescent="0.35">
      <c r="A196" s="476">
        <v>45779</v>
      </c>
      <c r="B196" s="505">
        <v>15</v>
      </c>
      <c r="C196" s="477" t="s">
        <v>598</v>
      </c>
      <c r="D196" s="477" t="s">
        <v>599</v>
      </c>
      <c r="E196" s="477" t="s">
        <v>652</v>
      </c>
      <c r="F196" s="477" t="s">
        <v>561</v>
      </c>
      <c r="G196" s="474" t="b">
        <f>IF(A196="","",IF(Daten!$AE$4=0,TRUE,MONTH(A196)=Daten!$AE$4))</f>
        <v>1</v>
      </c>
      <c r="H196" s="480" t="s">
        <v>306</v>
      </c>
      <c r="I196" s="474" t="s">
        <v>75</v>
      </c>
      <c r="J196" s="474"/>
      <c r="K196" s="477" t="s">
        <v>628</v>
      </c>
      <c r="L196" s="484"/>
      <c r="M196" s="422">
        <v>15</v>
      </c>
      <c r="N196" s="422"/>
      <c r="O196" s="422"/>
      <c r="P196" s="422"/>
      <c r="Q196" s="422"/>
      <c r="R196" s="422"/>
      <c r="S196" s="422"/>
      <c r="T196" s="422"/>
      <c r="U196" s="422"/>
      <c r="V196" s="422"/>
      <c r="W196" s="422"/>
      <c r="X196" s="422"/>
      <c r="Y196" s="422"/>
      <c r="Z196" s="422"/>
    </row>
    <row r="197" spans="1:26" hidden="1" x14ac:dyDescent="0.35">
      <c r="A197" s="478">
        <v>45779</v>
      </c>
      <c r="B197" s="506">
        <v>-4.5</v>
      </c>
      <c r="C197" s="479"/>
      <c r="D197" s="479">
        <v>0</v>
      </c>
      <c r="E197" s="479" t="s">
        <v>654</v>
      </c>
      <c r="F197" s="479" t="s">
        <v>381</v>
      </c>
      <c r="G197" s="475" t="b">
        <f>IF(A197="","",IF(Daten!$AE$4=0,TRUE,MONTH(A197)=Daten!$AE$4))</f>
        <v>1</v>
      </c>
      <c r="H197" s="480" t="s">
        <v>452</v>
      </c>
      <c r="I197" s="475" t="s">
        <v>75</v>
      </c>
      <c r="J197" s="475"/>
      <c r="K197" s="479" t="s">
        <v>628</v>
      </c>
      <c r="L197" s="485"/>
      <c r="M197" s="423"/>
      <c r="N197" s="423"/>
      <c r="O197" s="423"/>
      <c r="P197" s="423"/>
      <c r="Q197" s="423"/>
      <c r="R197" s="423"/>
      <c r="S197" s="423"/>
      <c r="T197" s="423"/>
      <c r="U197" s="423"/>
      <c r="V197" s="423"/>
      <c r="W197" s="423"/>
      <c r="X197" s="423"/>
      <c r="Y197" s="423">
        <v>-4.5</v>
      </c>
      <c r="Z197" s="423"/>
    </row>
    <row r="198" spans="1:26" hidden="1" x14ac:dyDescent="0.35">
      <c r="A198" s="476">
        <v>45782</v>
      </c>
      <c r="B198" s="505">
        <v>7.5</v>
      </c>
      <c r="C198" s="477" t="s">
        <v>583</v>
      </c>
      <c r="D198" s="477" t="s">
        <v>584</v>
      </c>
      <c r="E198" s="477" t="s">
        <v>642</v>
      </c>
      <c r="F198" s="477" t="s">
        <v>561</v>
      </c>
      <c r="G198" s="474" t="b">
        <f>IF(A198="","",IF(Daten!$AE$4=0,TRUE,MONTH(A198)=Daten!$AE$4))</f>
        <v>1</v>
      </c>
      <c r="H198" s="480" t="s">
        <v>306</v>
      </c>
      <c r="I198" s="474" t="s">
        <v>75</v>
      </c>
      <c r="J198" s="474"/>
      <c r="K198" s="477" t="s">
        <v>628</v>
      </c>
      <c r="L198" s="484"/>
      <c r="M198" s="422">
        <v>7.5</v>
      </c>
      <c r="N198" s="422"/>
      <c r="O198" s="422"/>
      <c r="P198" s="422"/>
      <c r="Q198" s="422"/>
      <c r="R198" s="422"/>
      <c r="S198" s="422"/>
      <c r="T198" s="422"/>
      <c r="U198" s="422"/>
      <c r="V198" s="422"/>
      <c r="W198" s="422"/>
      <c r="X198" s="422"/>
      <c r="Y198" s="422"/>
      <c r="Z198" s="422"/>
    </row>
    <row r="199" spans="1:26" hidden="1" x14ac:dyDescent="0.35">
      <c r="A199" s="478">
        <v>45782</v>
      </c>
      <c r="B199" s="506">
        <v>7.5</v>
      </c>
      <c r="C199" s="479" t="s">
        <v>51</v>
      </c>
      <c r="D199" s="479" t="s">
        <v>580</v>
      </c>
      <c r="E199" s="479" t="s">
        <v>637</v>
      </c>
      <c r="F199" s="479" t="s">
        <v>561</v>
      </c>
      <c r="G199" s="475" t="b">
        <f>IF(A199="","",IF(Daten!$AE$4=0,TRUE,MONTH(A199)=Daten!$AE$4))</f>
        <v>1</v>
      </c>
      <c r="H199" s="480" t="s">
        <v>306</v>
      </c>
      <c r="I199" s="475" t="s">
        <v>75</v>
      </c>
      <c r="J199" s="475"/>
      <c r="K199" s="479" t="s">
        <v>628</v>
      </c>
      <c r="L199" s="485"/>
      <c r="M199" s="423">
        <v>7.5</v>
      </c>
      <c r="N199" s="423"/>
      <c r="O199" s="423"/>
      <c r="P199" s="423"/>
      <c r="Q199" s="423"/>
      <c r="R199" s="423"/>
      <c r="S199" s="423"/>
      <c r="T199" s="423"/>
      <c r="U199" s="423"/>
      <c r="V199" s="423"/>
      <c r="W199" s="423"/>
      <c r="X199" s="423"/>
      <c r="Y199" s="423"/>
      <c r="Z199" s="423"/>
    </row>
    <row r="200" spans="1:26" hidden="1" x14ac:dyDescent="0.35">
      <c r="A200" s="476">
        <v>45782</v>
      </c>
      <c r="B200" s="505">
        <v>15</v>
      </c>
      <c r="C200" s="477" t="s">
        <v>573</v>
      </c>
      <c r="D200" s="477" t="s">
        <v>574</v>
      </c>
      <c r="E200" s="477" t="s">
        <v>641</v>
      </c>
      <c r="F200" s="477" t="s">
        <v>561</v>
      </c>
      <c r="G200" s="474" t="b">
        <f>IF(A200="","",IF(Daten!$AE$4=0,TRUE,MONTH(A200)=Daten!$AE$4))</f>
        <v>1</v>
      </c>
      <c r="H200" s="480" t="s">
        <v>415</v>
      </c>
      <c r="I200" s="474" t="s">
        <v>75</v>
      </c>
      <c r="J200" s="474"/>
      <c r="K200" s="477" t="s">
        <v>628</v>
      </c>
      <c r="L200" s="484"/>
      <c r="M200" s="422"/>
      <c r="N200" s="422"/>
      <c r="O200" s="422"/>
      <c r="P200" s="422"/>
      <c r="Q200" s="422"/>
      <c r="R200" s="422"/>
      <c r="S200" s="422">
        <v>15</v>
      </c>
      <c r="T200" s="422"/>
      <c r="U200" s="422"/>
      <c r="V200" s="422"/>
      <c r="W200" s="422"/>
      <c r="X200" s="422"/>
      <c r="Y200" s="422"/>
      <c r="Z200" s="422"/>
    </row>
    <row r="201" spans="1:26" hidden="1" x14ac:dyDescent="0.35">
      <c r="A201" s="478">
        <v>45782</v>
      </c>
      <c r="B201" s="506">
        <v>15</v>
      </c>
      <c r="C201" s="479" t="s">
        <v>583</v>
      </c>
      <c r="D201" s="479" t="s">
        <v>584</v>
      </c>
      <c r="E201" s="479" t="s">
        <v>640</v>
      </c>
      <c r="F201" s="479" t="s">
        <v>561</v>
      </c>
      <c r="G201" s="475" t="b">
        <f>IF(A201="","",IF(Daten!$AE$4=0,TRUE,MONTH(A201)=Daten!$AE$4))</f>
        <v>1</v>
      </c>
      <c r="H201" s="480" t="s">
        <v>415</v>
      </c>
      <c r="I201" s="475" t="s">
        <v>75</v>
      </c>
      <c r="J201" s="475"/>
      <c r="K201" s="479" t="s">
        <v>628</v>
      </c>
      <c r="L201" s="485"/>
      <c r="M201" s="423"/>
      <c r="N201" s="423"/>
      <c r="O201" s="423"/>
      <c r="P201" s="423"/>
      <c r="Q201" s="423"/>
      <c r="R201" s="423"/>
      <c r="S201" s="423">
        <v>15</v>
      </c>
      <c r="T201" s="423"/>
      <c r="U201" s="423"/>
      <c r="V201" s="423"/>
      <c r="W201" s="423"/>
      <c r="X201" s="423"/>
      <c r="Y201" s="423"/>
      <c r="Z201" s="423"/>
    </row>
    <row r="202" spans="1:26" hidden="1" x14ac:dyDescent="0.35">
      <c r="A202" s="476">
        <v>45782</v>
      </c>
      <c r="B202" s="505">
        <v>15</v>
      </c>
      <c r="C202" s="477" t="s">
        <v>575</v>
      </c>
      <c r="D202" s="477" t="s">
        <v>576</v>
      </c>
      <c r="E202" s="477" t="s">
        <v>633</v>
      </c>
      <c r="F202" s="477" t="s">
        <v>561</v>
      </c>
      <c r="G202" s="474" t="b">
        <f>IF(A202="","",IF(Daten!$AE$4=0,TRUE,MONTH(A202)=Daten!$AE$4))</f>
        <v>1</v>
      </c>
      <c r="H202" s="480" t="s">
        <v>415</v>
      </c>
      <c r="I202" s="474" t="s">
        <v>75</v>
      </c>
      <c r="J202" s="474"/>
      <c r="K202" s="477" t="s">
        <v>628</v>
      </c>
      <c r="L202" s="484"/>
      <c r="M202" s="422"/>
      <c r="N202" s="422"/>
      <c r="O202" s="422"/>
      <c r="P202" s="422"/>
      <c r="Q202" s="422"/>
      <c r="R202" s="422"/>
      <c r="S202" s="422">
        <v>15</v>
      </c>
      <c r="T202" s="422"/>
      <c r="U202" s="422"/>
      <c r="V202" s="422"/>
      <c r="W202" s="422"/>
      <c r="X202" s="422"/>
      <c r="Y202" s="422"/>
      <c r="Z202" s="422"/>
    </row>
    <row r="203" spans="1:26" hidden="1" x14ac:dyDescent="0.35">
      <c r="A203" s="478">
        <v>45782</v>
      </c>
      <c r="B203" s="506">
        <v>15</v>
      </c>
      <c r="C203" s="479" t="s">
        <v>618</v>
      </c>
      <c r="D203" s="479" t="s">
        <v>582</v>
      </c>
      <c r="E203" s="479" t="s">
        <v>638</v>
      </c>
      <c r="F203" s="479" t="s">
        <v>561</v>
      </c>
      <c r="G203" s="475" t="b">
        <f>IF(A203="","",IF(Daten!$AE$4=0,TRUE,MONTH(A203)=Daten!$AE$4))</f>
        <v>1</v>
      </c>
      <c r="H203" s="480" t="s">
        <v>306</v>
      </c>
      <c r="I203" s="475" t="s">
        <v>75</v>
      </c>
      <c r="J203" s="475"/>
      <c r="K203" s="479" t="s">
        <v>628</v>
      </c>
      <c r="L203" s="485"/>
      <c r="M203" s="423">
        <v>15</v>
      </c>
      <c r="N203" s="423"/>
      <c r="O203" s="423"/>
      <c r="P203" s="423"/>
      <c r="Q203" s="423"/>
      <c r="R203" s="423"/>
      <c r="S203" s="423"/>
      <c r="T203" s="423"/>
      <c r="U203" s="423"/>
      <c r="V203" s="423"/>
      <c r="W203" s="423"/>
      <c r="X203" s="423"/>
      <c r="Y203" s="423"/>
      <c r="Z203" s="423"/>
    </row>
    <row r="204" spans="1:26" hidden="1" x14ac:dyDescent="0.35">
      <c r="A204" s="476">
        <v>45782</v>
      </c>
      <c r="B204" s="505">
        <v>-497</v>
      </c>
      <c r="C204" s="477" t="s">
        <v>578</v>
      </c>
      <c r="D204" s="477" t="s">
        <v>579</v>
      </c>
      <c r="E204" s="477" t="s">
        <v>709</v>
      </c>
      <c r="F204" s="477" t="s">
        <v>567</v>
      </c>
      <c r="G204" s="474" t="b">
        <f>IF(A204="","",IF(Daten!$AE$4=0,TRUE,MONTH(A204)=Daten!$AE$4))</f>
        <v>1</v>
      </c>
      <c r="H204" s="480" t="s">
        <v>451</v>
      </c>
      <c r="I204" s="474" t="s">
        <v>75</v>
      </c>
      <c r="J204" s="474"/>
      <c r="K204" s="477" t="s">
        <v>628</v>
      </c>
      <c r="L204" s="484"/>
      <c r="M204" s="422"/>
      <c r="N204" s="422"/>
      <c r="O204" s="422"/>
      <c r="P204" s="422"/>
      <c r="Q204" s="422"/>
      <c r="R204" s="422"/>
      <c r="S204" s="422"/>
      <c r="T204" s="422">
        <v>-497</v>
      </c>
      <c r="U204" s="422"/>
      <c r="V204" s="422"/>
      <c r="W204" s="422"/>
      <c r="X204" s="422"/>
      <c r="Y204" s="422"/>
      <c r="Z204" s="422"/>
    </row>
    <row r="205" spans="1:26" hidden="1" x14ac:dyDescent="0.35">
      <c r="A205" s="478">
        <v>45786</v>
      </c>
      <c r="B205" s="506">
        <v>-21.43</v>
      </c>
      <c r="C205" s="479" t="s">
        <v>623</v>
      </c>
      <c r="D205" s="479" t="s">
        <v>624</v>
      </c>
      <c r="E205" s="479" t="s">
        <v>708</v>
      </c>
      <c r="F205" s="479" t="s">
        <v>622</v>
      </c>
      <c r="G205" s="475" t="b">
        <f>IF(A205="","",IF(Daten!$AE$4=0,TRUE,MONTH(A205)=Daten!$AE$4))</f>
        <v>1</v>
      </c>
      <c r="H205" s="480" t="s">
        <v>12</v>
      </c>
      <c r="I205" s="475" t="s">
        <v>75</v>
      </c>
      <c r="J205" s="475"/>
      <c r="K205" s="479" t="s">
        <v>628</v>
      </c>
      <c r="L205" s="485"/>
      <c r="M205" s="423"/>
      <c r="N205" s="423"/>
      <c r="O205" s="423"/>
      <c r="P205" s="423"/>
      <c r="Q205" s="423"/>
      <c r="R205" s="423"/>
      <c r="S205" s="423"/>
      <c r="T205" s="423"/>
      <c r="U205" s="423"/>
      <c r="V205" s="423">
        <v>-21.43</v>
      </c>
      <c r="W205" s="423"/>
      <c r="X205" s="423"/>
      <c r="Y205" s="423"/>
      <c r="Z205" s="423"/>
    </row>
    <row r="206" spans="1:26" hidden="1" x14ac:dyDescent="0.35">
      <c r="A206" s="476">
        <v>45790</v>
      </c>
      <c r="B206" s="505">
        <v>108.63</v>
      </c>
      <c r="C206" s="477" t="s">
        <v>591</v>
      </c>
      <c r="D206" s="477" t="s">
        <v>592</v>
      </c>
      <c r="E206" s="477" t="s">
        <v>128</v>
      </c>
      <c r="F206" s="477" t="s">
        <v>590</v>
      </c>
      <c r="G206" s="474" t="b">
        <f>IF(A206="","",IF(Daten!$AE$4=0,TRUE,MONTH(A206)=Daten!$AE$4))</f>
        <v>1</v>
      </c>
      <c r="H206" s="480" t="s">
        <v>419</v>
      </c>
      <c r="I206" s="474" t="s">
        <v>799</v>
      </c>
      <c r="J206" s="474"/>
      <c r="K206" s="477" t="s">
        <v>628</v>
      </c>
      <c r="L206" s="484"/>
      <c r="M206" s="422"/>
      <c r="N206" s="422"/>
      <c r="O206" s="422"/>
      <c r="P206" s="422"/>
      <c r="Q206" s="422"/>
      <c r="R206" s="422"/>
      <c r="S206" s="422">
        <v>108.63</v>
      </c>
      <c r="T206" s="422"/>
      <c r="U206" s="422"/>
      <c r="V206" s="422"/>
      <c r="W206" s="422"/>
      <c r="X206" s="422"/>
      <c r="Y206" s="422"/>
      <c r="Z206" s="422"/>
    </row>
    <row r="207" spans="1:26" hidden="1" x14ac:dyDescent="0.35">
      <c r="A207" s="478">
        <v>45790</v>
      </c>
      <c r="B207" s="506">
        <v>500</v>
      </c>
      <c r="C207" s="479" t="s">
        <v>591</v>
      </c>
      <c r="D207" s="479" t="s">
        <v>592</v>
      </c>
      <c r="E207" s="479" t="s">
        <v>306</v>
      </c>
      <c r="F207" s="479" t="s">
        <v>590</v>
      </c>
      <c r="G207" s="475" t="b">
        <f>IF(A207="","",IF(Daten!$AE$4=0,TRUE,MONTH(A207)=Daten!$AE$4))</f>
        <v>1</v>
      </c>
      <c r="H207" s="480" t="s">
        <v>306</v>
      </c>
      <c r="I207" s="475" t="s">
        <v>75</v>
      </c>
      <c r="J207" s="475"/>
      <c r="K207" s="479" t="s">
        <v>628</v>
      </c>
      <c r="L207" s="485"/>
      <c r="M207" s="423">
        <v>500</v>
      </c>
      <c r="N207" s="423"/>
      <c r="O207" s="423"/>
      <c r="P207" s="423"/>
      <c r="Q207" s="423"/>
      <c r="R207" s="423"/>
      <c r="S207" s="423"/>
      <c r="T207" s="423"/>
      <c r="U207" s="423"/>
      <c r="V207" s="423"/>
      <c r="W207" s="423"/>
      <c r="X207" s="423"/>
      <c r="Y207" s="423"/>
      <c r="Z207" s="423"/>
    </row>
    <row r="208" spans="1:26" hidden="1" x14ac:dyDescent="0.35">
      <c r="A208" s="476">
        <v>45792</v>
      </c>
      <c r="B208" s="505">
        <v>-365.24</v>
      </c>
      <c r="C208" s="477" t="s">
        <v>634</v>
      </c>
      <c r="D208" s="477" t="s">
        <v>577</v>
      </c>
      <c r="E208" s="477" t="s">
        <v>673</v>
      </c>
      <c r="F208" s="477" t="s">
        <v>567</v>
      </c>
      <c r="G208" s="474" t="b">
        <f>IF(A208="","",IF(Daten!$AE$4=0,TRUE,MONTH(A208)=Daten!$AE$4))</f>
        <v>1</v>
      </c>
      <c r="H208" s="480" t="s">
        <v>445</v>
      </c>
      <c r="I208" s="474" t="s">
        <v>801</v>
      </c>
      <c r="J208" s="474"/>
      <c r="K208" s="477" t="s">
        <v>628</v>
      </c>
      <c r="L208" s="484"/>
      <c r="M208" s="422"/>
      <c r="N208" s="422"/>
      <c r="O208" s="422"/>
      <c r="P208" s="422"/>
      <c r="Q208" s="422"/>
      <c r="R208" s="422"/>
      <c r="S208" s="422"/>
      <c r="T208" s="422">
        <v>-365.24</v>
      </c>
      <c r="U208" s="422"/>
      <c r="V208" s="422"/>
      <c r="W208" s="422"/>
      <c r="X208" s="422"/>
      <c r="Y208" s="422"/>
      <c r="Z208" s="422"/>
    </row>
    <row r="209" spans="1:26" hidden="1" x14ac:dyDescent="0.35">
      <c r="A209" s="478">
        <v>45793</v>
      </c>
      <c r="B209" s="506">
        <v>-138</v>
      </c>
      <c r="C209" s="479" t="s">
        <v>568</v>
      </c>
      <c r="D209" s="479" t="s">
        <v>569</v>
      </c>
      <c r="E209" s="479" t="s">
        <v>630</v>
      </c>
      <c r="F209" s="479" t="s">
        <v>567</v>
      </c>
      <c r="G209" s="475" t="b">
        <f>IF(A209="","",IF(Daten!$AE$4=0,TRUE,MONTH(A209)=Daten!$AE$4))</f>
        <v>1</v>
      </c>
      <c r="H209" s="480" t="s">
        <v>459</v>
      </c>
      <c r="I209" s="475" t="s">
        <v>75</v>
      </c>
      <c r="J209" s="475"/>
      <c r="K209" s="479" t="s">
        <v>628</v>
      </c>
      <c r="L209" s="485"/>
      <c r="M209" s="423"/>
      <c r="N209" s="423"/>
      <c r="O209" s="423"/>
      <c r="P209" s="423"/>
      <c r="Q209" s="423"/>
      <c r="R209" s="423"/>
      <c r="S209" s="423"/>
      <c r="T209" s="423">
        <v>-138</v>
      </c>
      <c r="U209" s="423"/>
      <c r="V209" s="423"/>
      <c r="W209" s="423"/>
      <c r="X209" s="423"/>
      <c r="Y209" s="423"/>
      <c r="Z209" s="423"/>
    </row>
    <row r="210" spans="1:26" hidden="1" x14ac:dyDescent="0.35">
      <c r="A210" s="476">
        <v>45793</v>
      </c>
      <c r="B210" s="505">
        <v>-59.94</v>
      </c>
      <c r="C210" s="477" t="s">
        <v>570</v>
      </c>
      <c r="D210" s="477" t="s">
        <v>571</v>
      </c>
      <c r="E210" s="477" t="s">
        <v>707</v>
      </c>
      <c r="F210" s="477" t="s">
        <v>567</v>
      </c>
      <c r="G210" s="474" t="b">
        <f>IF(A210="","",IF(Daten!$AE$4=0,TRUE,MONTH(A210)=Daten!$AE$4))</f>
        <v>1</v>
      </c>
      <c r="H210" s="480" t="s">
        <v>389</v>
      </c>
      <c r="I210" s="474" t="s">
        <v>75</v>
      </c>
      <c r="J210" s="474"/>
      <c r="K210" s="477" t="s">
        <v>628</v>
      </c>
      <c r="L210" s="484"/>
      <c r="M210" s="422"/>
      <c r="N210" s="422"/>
      <c r="O210" s="422"/>
      <c r="P210" s="422"/>
      <c r="Q210" s="422"/>
      <c r="R210" s="422"/>
      <c r="S210" s="422"/>
      <c r="T210" s="422">
        <v>-59.94</v>
      </c>
      <c r="U210" s="422"/>
      <c r="V210" s="422"/>
      <c r="W210" s="422"/>
      <c r="X210" s="422"/>
      <c r="Y210" s="422"/>
      <c r="Z210" s="422"/>
    </row>
    <row r="211" spans="1:26" hidden="1" x14ac:dyDescent="0.35">
      <c r="A211" s="478">
        <v>45796</v>
      </c>
      <c r="B211" s="506">
        <v>15</v>
      </c>
      <c r="C211" s="479" t="s">
        <v>562</v>
      </c>
      <c r="D211" s="479" t="s">
        <v>563</v>
      </c>
      <c r="E211" s="479" t="s">
        <v>627</v>
      </c>
      <c r="F211" s="479" t="s">
        <v>561</v>
      </c>
      <c r="G211" s="475" t="b">
        <f>IF(A211="","",IF(Daten!$AE$4=0,TRUE,MONTH(A211)=Daten!$AE$4))</f>
        <v>1</v>
      </c>
      <c r="H211" s="480" t="s">
        <v>415</v>
      </c>
      <c r="I211" s="475" t="s">
        <v>75</v>
      </c>
      <c r="J211" s="475"/>
      <c r="K211" s="479" t="s">
        <v>628</v>
      </c>
      <c r="L211" s="485"/>
      <c r="M211" s="423"/>
      <c r="N211" s="423"/>
      <c r="O211" s="423"/>
      <c r="P211" s="423"/>
      <c r="Q211" s="423"/>
      <c r="R211" s="423"/>
      <c r="S211" s="423">
        <v>15</v>
      </c>
      <c r="T211" s="423"/>
      <c r="U211" s="423"/>
      <c r="V211" s="423"/>
      <c r="W211" s="423"/>
      <c r="X211" s="423"/>
      <c r="Y211" s="423"/>
      <c r="Z211" s="423"/>
    </row>
    <row r="212" spans="1:26" hidden="1" x14ac:dyDescent="0.35">
      <c r="A212" s="476">
        <v>45803</v>
      </c>
      <c r="B212" s="505">
        <v>7.5</v>
      </c>
      <c r="C212" s="477" t="s">
        <v>600</v>
      </c>
      <c r="D212" s="477" t="s">
        <v>601</v>
      </c>
      <c r="E212" s="477" t="s">
        <v>656</v>
      </c>
      <c r="F212" s="477" t="s">
        <v>561</v>
      </c>
      <c r="G212" s="474" t="b">
        <f>IF(A212="","",IF(Daten!$AE$4=0,TRUE,MONTH(A212)=Daten!$AE$4))</f>
        <v>1</v>
      </c>
      <c r="H212" s="480" t="s">
        <v>306</v>
      </c>
      <c r="I212" s="474" t="s">
        <v>74</v>
      </c>
      <c r="J212" s="474"/>
      <c r="K212" s="477" t="s">
        <v>628</v>
      </c>
      <c r="L212" s="484"/>
      <c r="M212" s="422">
        <v>7.5</v>
      </c>
      <c r="N212" s="422"/>
      <c r="O212" s="422"/>
      <c r="P212" s="422"/>
      <c r="Q212" s="422"/>
      <c r="R212" s="422"/>
      <c r="S212" s="422"/>
      <c r="T212" s="422"/>
      <c r="U212" s="422"/>
      <c r="V212" s="422"/>
      <c r="W212" s="422"/>
      <c r="X212" s="422"/>
      <c r="Y212" s="422"/>
      <c r="Z212" s="422"/>
    </row>
    <row r="213" spans="1:26" hidden="1" x14ac:dyDescent="0.35">
      <c r="A213" s="478">
        <v>45803</v>
      </c>
      <c r="B213" s="506">
        <v>15</v>
      </c>
      <c r="C213" s="479" t="s">
        <v>594</v>
      </c>
      <c r="D213" s="479" t="s">
        <v>595</v>
      </c>
      <c r="E213" s="479" t="s">
        <v>657</v>
      </c>
      <c r="F213" s="479" t="s">
        <v>561</v>
      </c>
      <c r="G213" s="475" t="b">
        <f>IF(A213="","",IF(Daten!$AE$4=0,TRUE,MONTH(A213)=Daten!$AE$4))</f>
        <v>1</v>
      </c>
      <c r="H213" s="480" t="s">
        <v>415</v>
      </c>
      <c r="I213" s="475" t="s">
        <v>75</v>
      </c>
      <c r="J213" s="475"/>
      <c r="K213" s="479" t="s">
        <v>628</v>
      </c>
      <c r="L213" s="485"/>
      <c r="M213" s="423"/>
      <c r="N213" s="423"/>
      <c r="O213" s="423"/>
      <c r="P213" s="423"/>
      <c r="Q213" s="423"/>
      <c r="R213" s="423"/>
      <c r="S213" s="423">
        <v>15</v>
      </c>
      <c r="T213" s="423"/>
      <c r="U213" s="423"/>
      <c r="V213" s="423"/>
      <c r="W213" s="423"/>
      <c r="X213" s="423"/>
      <c r="Y213" s="423"/>
      <c r="Z213" s="423"/>
    </row>
    <row r="214" spans="1:26" hidden="1" x14ac:dyDescent="0.35">
      <c r="A214" s="476">
        <v>45804</v>
      </c>
      <c r="B214" s="505">
        <v>7.5</v>
      </c>
      <c r="C214" s="477" t="s">
        <v>594</v>
      </c>
      <c r="D214" s="477" t="s">
        <v>595</v>
      </c>
      <c r="E214" s="477" t="s">
        <v>655</v>
      </c>
      <c r="F214" s="477" t="s">
        <v>561</v>
      </c>
      <c r="G214" s="474" t="b">
        <f>IF(A214="","",IF(Daten!$AE$4=0,TRUE,MONTH(A214)=Daten!$AE$4))</f>
        <v>1</v>
      </c>
      <c r="H214" s="480" t="s">
        <v>306</v>
      </c>
      <c r="I214" s="474" t="s">
        <v>74</v>
      </c>
      <c r="J214" s="474"/>
      <c r="K214" s="477" t="s">
        <v>628</v>
      </c>
      <c r="L214" s="484"/>
      <c r="M214" s="422">
        <v>7.5</v>
      </c>
      <c r="N214" s="422"/>
      <c r="O214" s="422"/>
      <c r="P214" s="422"/>
      <c r="Q214" s="422"/>
      <c r="R214" s="422"/>
      <c r="S214" s="422"/>
      <c r="T214" s="422"/>
      <c r="U214" s="422"/>
      <c r="V214" s="422"/>
      <c r="W214" s="422"/>
      <c r="X214" s="422"/>
      <c r="Y214" s="422"/>
      <c r="Z214" s="422"/>
    </row>
    <row r="215" spans="1:26" hidden="1" x14ac:dyDescent="0.35">
      <c r="A215" s="478">
        <v>45807</v>
      </c>
      <c r="B215" s="506">
        <v>15</v>
      </c>
      <c r="C215" s="479" t="s">
        <v>588</v>
      </c>
      <c r="D215" s="479" t="s">
        <v>589</v>
      </c>
      <c r="E215" s="479" t="s">
        <v>306</v>
      </c>
      <c r="F215" s="479" t="s">
        <v>561</v>
      </c>
      <c r="G215" s="475" t="b">
        <f>IF(A215="","",IF(Daten!$AE$4=0,TRUE,MONTH(A215)=Daten!$AE$4))</f>
        <v>1</v>
      </c>
      <c r="H215" s="480" t="s">
        <v>306</v>
      </c>
      <c r="I215" s="475" t="s">
        <v>74</v>
      </c>
      <c r="J215" s="475"/>
      <c r="K215" s="479" t="s">
        <v>628</v>
      </c>
      <c r="L215" s="485"/>
      <c r="M215" s="423">
        <v>15</v>
      </c>
      <c r="N215" s="423"/>
      <c r="O215" s="423"/>
      <c r="P215" s="423"/>
      <c r="Q215" s="423"/>
      <c r="R215" s="423"/>
      <c r="S215" s="423"/>
      <c r="T215" s="423"/>
      <c r="U215" s="423"/>
      <c r="V215" s="423"/>
      <c r="W215" s="423"/>
      <c r="X215" s="423"/>
      <c r="Y215" s="423"/>
      <c r="Z215" s="423"/>
    </row>
    <row r="216" spans="1:26" hidden="1" x14ac:dyDescent="0.35">
      <c r="A216" s="476">
        <v>45810</v>
      </c>
      <c r="B216" s="505">
        <v>30</v>
      </c>
      <c r="C216" s="477" t="s">
        <v>591</v>
      </c>
      <c r="D216" s="477" t="s">
        <v>592</v>
      </c>
      <c r="E216" s="477" t="s">
        <v>706</v>
      </c>
      <c r="F216" s="477" t="s">
        <v>590</v>
      </c>
      <c r="G216" s="474" t="b">
        <f>IF(A216="","",IF(Daten!$AE$4=0,TRUE,MONTH(A216)=Daten!$AE$4))</f>
        <v>1</v>
      </c>
      <c r="H216" s="480" t="s">
        <v>306</v>
      </c>
      <c r="I216" s="474" t="s">
        <v>74</v>
      </c>
      <c r="J216" s="474"/>
      <c r="K216" s="477" t="s">
        <v>628</v>
      </c>
      <c r="L216" s="484"/>
      <c r="M216" s="422">
        <v>30</v>
      </c>
      <c r="N216" s="422"/>
      <c r="O216" s="422"/>
      <c r="P216" s="422"/>
      <c r="Q216" s="422"/>
      <c r="R216" s="422"/>
      <c r="S216" s="422"/>
      <c r="T216" s="422"/>
      <c r="U216" s="422"/>
      <c r="V216" s="422"/>
      <c r="W216" s="422"/>
      <c r="X216" s="422"/>
      <c r="Y216" s="422"/>
      <c r="Z216" s="422"/>
    </row>
    <row r="217" spans="1:26" hidden="1" x14ac:dyDescent="0.35">
      <c r="A217" s="478">
        <v>45810</v>
      </c>
      <c r="B217" s="506">
        <v>15</v>
      </c>
      <c r="C217" s="479" t="s">
        <v>618</v>
      </c>
      <c r="D217" s="479" t="s">
        <v>582</v>
      </c>
      <c r="E217" s="479" t="s">
        <v>650</v>
      </c>
      <c r="F217" s="479" t="s">
        <v>561</v>
      </c>
      <c r="G217" s="475" t="b">
        <f>IF(A217="","",IF(Daten!$AE$4=0,TRUE,MONTH(A217)=Daten!$AE$4))</f>
        <v>1</v>
      </c>
      <c r="H217" s="480" t="s">
        <v>415</v>
      </c>
      <c r="I217" s="475" t="s">
        <v>74</v>
      </c>
      <c r="J217" s="475"/>
      <c r="K217" s="479" t="s">
        <v>628</v>
      </c>
      <c r="L217" s="485"/>
      <c r="M217" s="423"/>
      <c r="N217" s="423"/>
      <c r="O217" s="423"/>
      <c r="P217" s="423"/>
      <c r="Q217" s="423"/>
      <c r="R217" s="423"/>
      <c r="S217" s="423">
        <v>15</v>
      </c>
      <c r="T217" s="423"/>
      <c r="U217" s="423"/>
      <c r="V217" s="423"/>
      <c r="W217" s="423"/>
      <c r="X217" s="423"/>
      <c r="Y217" s="423"/>
      <c r="Z217" s="423"/>
    </row>
    <row r="218" spans="1:26" hidden="1" x14ac:dyDescent="0.35">
      <c r="A218" s="476">
        <v>45810</v>
      </c>
      <c r="B218" s="505">
        <v>15</v>
      </c>
      <c r="C218" s="477" t="s">
        <v>51</v>
      </c>
      <c r="D218" s="477" t="s">
        <v>580</v>
      </c>
      <c r="E218" s="477" t="s">
        <v>384</v>
      </c>
      <c r="F218" s="477" t="s">
        <v>561</v>
      </c>
      <c r="G218" s="474" t="b">
        <f>IF(A218="","",IF(Daten!$AE$4=0,TRUE,MONTH(A218)=Daten!$AE$4))</f>
        <v>1</v>
      </c>
      <c r="H218" s="480" t="s">
        <v>415</v>
      </c>
      <c r="I218" s="474" t="s">
        <v>74</v>
      </c>
      <c r="J218" s="474"/>
      <c r="K218" s="477" t="s">
        <v>628</v>
      </c>
      <c r="L218" s="484"/>
      <c r="M218" s="422"/>
      <c r="N218" s="422"/>
      <c r="O218" s="422"/>
      <c r="P218" s="422"/>
      <c r="Q218" s="422"/>
      <c r="R218" s="422"/>
      <c r="S218" s="422">
        <v>15</v>
      </c>
      <c r="T218" s="422"/>
      <c r="U218" s="422"/>
      <c r="V218" s="422"/>
      <c r="W218" s="422"/>
      <c r="X218" s="422"/>
      <c r="Y218" s="422"/>
      <c r="Z218" s="422"/>
    </row>
    <row r="219" spans="1:26" hidden="1" x14ac:dyDescent="0.35">
      <c r="A219" s="478">
        <v>45810</v>
      </c>
      <c r="B219" s="506">
        <v>7.5</v>
      </c>
      <c r="C219" s="479" t="s">
        <v>66</v>
      </c>
      <c r="D219" s="479" t="s">
        <v>585</v>
      </c>
      <c r="E219" s="479" t="s">
        <v>643</v>
      </c>
      <c r="F219" s="479" t="s">
        <v>561</v>
      </c>
      <c r="G219" s="475" t="b">
        <f>IF(A219="","",IF(Daten!$AE$4=0,TRUE,MONTH(A219)=Daten!$AE$4))</f>
        <v>1</v>
      </c>
      <c r="H219" s="480" t="s">
        <v>306</v>
      </c>
      <c r="I219" s="475" t="s">
        <v>74</v>
      </c>
      <c r="J219" s="475"/>
      <c r="K219" s="479" t="s">
        <v>628</v>
      </c>
      <c r="L219" s="485"/>
      <c r="M219" s="423">
        <v>7.5</v>
      </c>
      <c r="N219" s="423"/>
      <c r="O219" s="423"/>
      <c r="P219" s="423"/>
      <c r="Q219" s="423"/>
      <c r="R219" s="423"/>
      <c r="S219" s="423"/>
      <c r="T219" s="423"/>
      <c r="U219" s="423"/>
      <c r="V219" s="423"/>
      <c r="W219" s="423"/>
      <c r="X219" s="423"/>
      <c r="Y219" s="423"/>
      <c r="Z219" s="423"/>
    </row>
    <row r="220" spans="1:26" hidden="1" x14ac:dyDescent="0.35">
      <c r="A220" s="476">
        <v>45810</v>
      </c>
      <c r="B220" s="505">
        <v>15</v>
      </c>
      <c r="C220" s="477" t="s">
        <v>588</v>
      </c>
      <c r="D220" s="477" t="s">
        <v>589</v>
      </c>
      <c r="E220" s="477" t="s">
        <v>385</v>
      </c>
      <c r="F220" s="477" t="s">
        <v>561</v>
      </c>
      <c r="G220" s="474" t="b">
        <f>IF(A220="","",IF(Daten!$AE$4=0,TRUE,MONTH(A220)=Daten!$AE$4))</f>
        <v>1</v>
      </c>
      <c r="H220" s="480" t="s">
        <v>415</v>
      </c>
      <c r="I220" s="474" t="s">
        <v>74</v>
      </c>
      <c r="J220" s="474"/>
      <c r="K220" s="477" t="s">
        <v>628</v>
      </c>
      <c r="L220" s="484"/>
      <c r="M220" s="422"/>
      <c r="N220" s="422"/>
      <c r="O220" s="422"/>
      <c r="P220" s="422"/>
      <c r="Q220" s="422"/>
      <c r="R220" s="422"/>
      <c r="S220" s="422">
        <v>15</v>
      </c>
      <c r="T220" s="422"/>
      <c r="U220" s="422"/>
      <c r="V220" s="422"/>
      <c r="W220" s="422"/>
      <c r="X220" s="422"/>
      <c r="Y220" s="422"/>
      <c r="Z220" s="422"/>
    </row>
    <row r="221" spans="1:26" hidden="1" x14ac:dyDescent="0.35">
      <c r="A221" s="478">
        <v>45810</v>
      </c>
      <c r="B221" s="506">
        <v>15</v>
      </c>
      <c r="C221" s="479" t="s">
        <v>586</v>
      </c>
      <c r="D221" s="479" t="s">
        <v>587</v>
      </c>
      <c r="E221" s="479" t="s">
        <v>645</v>
      </c>
      <c r="F221" s="479" t="s">
        <v>561</v>
      </c>
      <c r="G221" s="475" t="b">
        <f>IF(A221="","",IF(Daten!$AE$4=0,TRUE,MONTH(A221)=Daten!$AE$4))</f>
        <v>1</v>
      </c>
      <c r="H221" s="480" t="s">
        <v>415</v>
      </c>
      <c r="I221" s="475" t="s">
        <v>74</v>
      </c>
      <c r="J221" s="475"/>
      <c r="K221" s="479" t="s">
        <v>628</v>
      </c>
      <c r="L221" s="485"/>
      <c r="M221" s="423"/>
      <c r="N221" s="423"/>
      <c r="O221" s="423"/>
      <c r="P221" s="423"/>
      <c r="Q221" s="423"/>
      <c r="R221" s="423"/>
      <c r="S221" s="423">
        <v>15</v>
      </c>
      <c r="T221" s="423"/>
      <c r="U221" s="423"/>
      <c r="V221" s="423"/>
      <c r="W221" s="423"/>
      <c r="X221" s="423"/>
      <c r="Y221" s="423"/>
      <c r="Z221" s="423"/>
    </row>
    <row r="222" spans="1:26" hidden="1" x14ac:dyDescent="0.35">
      <c r="A222" s="476">
        <v>45810</v>
      </c>
      <c r="B222" s="505">
        <v>7.5</v>
      </c>
      <c r="C222" s="477" t="s">
        <v>56</v>
      </c>
      <c r="D222" s="477" t="s">
        <v>593</v>
      </c>
      <c r="E222" s="477" t="s">
        <v>386</v>
      </c>
      <c r="F222" s="477" t="s">
        <v>561</v>
      </c>
      <c r="G222" s="474" t="b">
        <f>IF(A222="","",IF(Daten!$AE$4=0,TRUE,MONTH(A222)=Daten!$AE$4))</f>
        <v>1</v>
      </c>
      <c r="H222" s="480" t="s">
        <v>306</v>
      </c>
      <c r="I222" s="474" t="s">
        <v>74</v>
      </c>
      <c r="J222" s="474"/>
      <c r="K222" s="477" t="s">
        <v>628</v>
      </c>
      <c r="L222" s="484"/>
      <c r="M222" s="422">
        <v>7.5</v>
      </c>
      <c r="N222" s="422"/>
      <c r="O222" s="422"/>
      <c r="P222" s="422"/>
      <c r="Q222" s="422"/>
      <c r="R222" s="422"/>
      <c r="S222" s="422"/>
      <c r="T222" s="422"/>
      <c r="U222" s="422"/>
      <c r="V222" s="422"/>
      <c r="W222" s="422"/>
      <c r="X222" s="422"/>
      <c r="Y222" s="422"/>
      <c r="Z222" s="422"/>
    </row>
    <row r="223" spans="1:26" hidden="1" x14ac:dyDescent="0.35">
      <c r="A223" s="478">
        <v>45810</v>
      </c>
      <c r="B223" s="506">
        <v>120</v>
      </c>
      <c r="C223" s="479" t="s">
        <v>594</v>
      </c>
      <c r="D223" s="479" t="s">
        <v>595</v>
      </c>
      <c r="E223" s="479" t="s">
        <v>649</v>
      </c>
      <c r="F223" s="479" t="s">
        <v>561</v>
      </c>
      <c r="G223" s="475" t="b">
        <f>IF(A223="","",IF(Daten!$AE$4=0,TRUE,MONTH(A223)=Daten!$AE$4))</f>
        <v>1</v>
      </c>
      <c r="H223" s="480" t="s">
        <v>425</v>
      </c>
      <c r="I223" s="475" t="s">
        <v>74</v>
      </c>
      <c r="J223" s="475"/>
      <c r="K223" s="479" t="s">
        <v>628</v>
      </c>
      <c r="L223" s="485"/>
      <c r="M223" s="423"/>
      <c r="N223" s="423"/>
      <c r="O223" s="423"/>
      <c r="P223" s="423"/>
      <c r="Q223" s="423"/>
      <c r="R223" s="423"/>
      <c r="S223" s="423">
        <v>120</v>
      </c>
      <c r="T223" s="423"/>
      <c r="U223" s="423"/>
      <c r="V223" s="423"/>
      <c r="W223" s="423"/>
      <c r="X223" s="423"/>
      <c r="Y223" s="423"/>
      <c r="Z223" s="423"/>
    </row>
    <row r="224" spans="1:26" hidden="1" x14ac:dyDescent="0.35">
      <c r="A224" s="476">
        <v>45810</v>
      </c>
      <c r="B224" s="505">
        <v>15</v>
      </c>
      <c r="C224" s="477" t="s">
        <v>56</v>
      </c>
      <c r="D224" s="477" t="s">
        <v>593</v>
      </c>
      <c r="E224" s="477" t="s">
        <v>648</v>
      </c>
      <c r="F224" s="477" t="s">
        <v>561</v>
      </c>
      <c r="G224" s="474" t="b">
        <f>IF(A224="","",IF(Daten!$AE$4=0,TRUE,MONTH(A224)=Daten!$AE$4))</f>
        <v>1</v>
      </c>
      <c r="H224" s="480" t="s">
        <v>415</v>
      </c>
      <c r="I224" s="474" t="s">
        <v>74</v>
      </c>
      <c r="J224" s="474"/>
      <c r="K224" s="477" t="s">
        <v>628</v>
      </c>
      <c r="L224" s="484"/>
      <c r="M224" s="422"/>
      <c r="N224" s="422"/>
      <c r="O224" s="422"/>
      <c r="P224" s="422"/>
      <c r="Q224" s="422"/>
      <c r="R224" s="422"/>
      <c r="S224" s="422">
        <v>15</v>
      </c>
      <c r="T224" s="422"/>
      <c r="U224" s="422"/>
      <c r="V224" s="422"/>
      <c r="W224" s="422"/>
      <c r="X224" s="422"/>
      <c r="Y224" s="422"/>
      <c r="Z224" s="422"/>
    </row>
    <row r="225" spans="1:26" hidden="1" x14ac:dyDescent="0.35">
      <c r="A225" s="478">
        <v>45810</v>
      </c>
      <c r="B225" s="506">
        <v>15</v>
      </c>
      <c r="C225" s="479" t="s">
        <v>586</v>
      </c>
      <c r="D225" s="479" t="s">
        <v>587</v>
      </c>
      <c r="E225" s="479" t="s">
        <v>647</v>
      </c>
      <c r="F225" s="479" t="s">
        <v>561</v>
      </c>
      <c r="G225" s="475" t="b">
        <f>IF(A225="","",IF(Daten!$AE$4=0,TRUE,MONTH(A225)=Daten!$AE$4))</f>
        <v>1</v>
      </c>
      <c r="H225" s="480" t="s">
        <v>306</v>
      </c>
      <c r="I225" s="475" t="s">
        <v>74</v>
      </c>
      <c r="J225" s="475"/>
      <c r="K225" s="479" t="s">
        <v>628</v>
      </c>
      <c r="L225" s="485"/>
      <c r="M225" s="423">
        <v>15</v>
      </c>
      <c r="N225" s="423"/>
      <c r="O225" s="423"/>
      <c r="P225" s="423"/>
      <c r="Q225" s="423"/>
      <c r="R225" s="423"/>
      <c r="S225" s="423"/>
      <c r="T225" s="423"/>
      <c r="U225" s="423"/>
      <c r="V225" s="423"/>
      <c r="W225" s="423"/>
      <c r="X225" s="423"/>
      <c r="Y225" s="423"/>
      <c r="Z225" s="423"/>
    </row>
    <row r="226" spans="1:26" hidden="1" x14ac:dyDescent="0.35">
      <c r="A226" s="476">
        <v>45810</v>
      </c>
      <c r="B226" s="505">
        <v>15</v>
      </c>
      <c r="C226" s="477" t="s">
        <v>66</v>
      </c>
      <c r="D226" s="477" t="s">
        <v>585</v>
      </c>
      <c r="E226" s="477" t="s">
        <v>644</v>
      </c>
      <c r="F226" s="477" t="s">
        <v>561</v>
      </c>
      <c r="G226" s="474" t="b">
        <f>IF(A226="","",IF(Daten!$AE$4=0,TRUE,MONTH(A226)=Daten!$AE$4))</f>
        <v>1</v>
      </c>
      <c r="H226" s="480" t="s">
        <v>415</v>
      </c>
      <c r="I226" s="474" t="s">
        <v>74</v>
      </c>
      <c r="J226" s="474"/>
      <c r="K226" s="477" t="s">
        <v>628</v>
      </c>
      <c r="L226" s="484"/>
      <c r="M226" s="422"/>
      <c r="N226" s="422"/>
      <c r="O226" s="422"/>
      <c r="P226" s="422"/>
      <c r="Q226" s="422"/>
      <c r="R226" s="422"/>
      <c r="S226" s="422">
        <v>15</v>
      </c>
      <c r="T226" s="422"/>
      <c r="U226" s="422"/>
      <c r="V226" s="422"/>
      <c r="W226" s="422"/>
      <c r="X226" s="422"/>
      <c r="Y226" s="422"/>
      <c r="Z226" s="422"/>
    </row>
    <row r="227" spans="1:26" hidden="1" x14ac:dyDescent="0.35">
      <c r="A227" s="478">
        <v>45810</v>
      </c>
      <c r="B227" s="506">
        <v>15</v>
      </c>
      <c r="C227" s="479" t="s">
        <v>575</v>
      </c>
      <c r="D227" s="479" t="s">
        <v>576</v>
      </c>
      <c r="E227" s="479" t="s">
        <v>646</v>
      </c>
      <c r="F227" s="479" t="s">
        <v>561</v>
      </c>
      <c r="G227" s="475" t="b">
        <f>IF(A227="","",IF(Daten!$AE$4=0,TRUE,MONTH(A227)=Daten!$AE$4))</f>
        <v>1</v>
      </c>
      <c r="H227" s="480" t="s">
        <v>306</v>
      </c>
      <c r="I227" s="475" t="s">
        <v>74</v>
      </c>
      <c r="J227" s="475"/>
      <c r="K227" s="479" t="s">
        <v>628</v>
      </c>
      <c r="L227" s="485"/>
      <c r="M227" s="423">
        <v>15</v>
      </c>
      <c r="N227" s="423"/>
      <c r="O227" s="423"/>
      <c r="P227" s="423"/>
      <c r="Q227" s="423"/>
      <c r="R227" s="423"/>
      <c r="S227" s="423"/>
      <c r="T227" s="423"/>
      <c r="U227" s="423"/>
      <c r="V227" s="423"/>
      <c r="W227" s="423"/>
      <c r="X227" s="423"/>
      <c r="Y227" s="423"/>
      <c r="Z227" s="423"/>
    </row>
    <row r="228" spans="1:26" hidden="1" x14ac:dyDescent="0.35">
      <c r="A228" s="476">
        <v>45810</v>
      </c>
      <c r="B228" s="505">
        <v>15</v>
      </c>
      <c r="C228" s="477" t="s">
        <v>596</v>
      </c>
      <c r="D228" s="477" t="s">
        <v>597</v>
      </c>
      <c r="E228" s="477" t="s">
        <v>651</v>
      </c>
      <c r="F228" s="477" t="s">
        <v>561</v>
      </c>
      <c r="G228" s="474" t="b">
        <f>IF(A228="","",IF(Daten!$AE$4=0,TRUE,MONTH(A228)=Daten!$AE$4))</f>
        <v>1</v>
      </c>
      <c r="H228" s="480" t="s">
        <v>415</v>
      </c>
      <c r="I228" s="474" t="s">
        <v>74</v>
      </c>
      <c r="J228" s="474"/>
      <c r="K228" s="477" t="s">
        <v>628</v>
      </c>
      <c r="L228" s="484"/>
      <c r="M228" s="422"/>
      <c r="N228" s="422"/>
      <c r="O228" s="422"/>
      <c r="P228" s="422"/>
      <c r="Q228" s="422"/>
      <c r="R228" s="422"/>
      <c r="S228" s="422">
        <v>15</v>
      </c>
      <c r="T228" s="422"/>
      <c r="U228" s="422"/>
      <c r="V228" s="422"/>
      <c r="W228" s="422"/>
      <c r="X228" s="422"/>
      <c r="Y228" s="422"/>
      <c r="Z228" s="422"/>
    </row>
    <row r="229" spans="1:26" hidden="1" x14ac:dyDescent="0.35">
      <c r="A229" s="478">
        <v>45810</v>
      </c>
      <c r="B229" s="506">
        <v>60</v>
      </c>
      <c r="C229" s="479" t="s">
        <v>596</v>
      </c>
      <c r="D229" s="479" t="s">
        <v>597</v>
      </c>
      <c r="E229" s="479" t="s">
        <v>680</v>
      </c>
      <c r="F229" s="479" t="s">
        <v>561</v>
      </c>
      <c r="G229" s="475" t="b">
        <f>IF(A229="","",IF(Daten!$AE$4=0,TRUE,MONTH(A229)=Daten!$AE$4))</f>
        <v>1</v>
      </c>
      <c r="H229" s="480" t="s">
        <v>425</v>
      </c>
      <c r="I229" s="475" t="s">
        <v>74</v>
      </c>
      <c r="J229" s="475"/>
      <c r="K229" s="479" t="s">
        <v>628</v>
      </c>
      <c r="L229" s="485"/>
      <c r="M229" s="423"/>
      <c r="N229" s="423"/>
      <c r="O229" s="423"/>
      <c r="P229" s="423"/>
      <c r="Q229" s="423"/>
      <c r="R229" s="423"/>
      <c r="S229" s="423">
        <v>60</v>
      </c>
      <c r="T229" s="423"/>
      <c r="U229" s="423"/>
      <c r="V229" s="423"/>
      <c r="W229" s="423"/>
      <c r="X229" s="423"/>
      <c r="Y229" s="423"/>
      <c r="Z229" s="423"/>
    </row>
    <row r="230" spans="1:26" hidden="1" x14ac:dyDescent="0.35">
      <c r="A230" s="476">
        <v>45810</v>
      </c>
      <c r="B230" s="505">
        <v>15</v>
      </c>
      <c r="C230" s="477" t="s">
        <v>596</v>
      </c>
      <c r="D230" s="477" t="s">
        <v>597</v>
      </c>
      <c r="E230" s="477" t="s">
        <v>653</v>
      </c>
      <c r="F230" s="477" t="s">
        <v>561</v>
      </c>
      <c r="G230" s="474" t="b">
        <f>IF(A230="","",IF(Daten!$AE$4=0,TRUE,MONTH(A230)=Daten!$AE$4))</f>
        <v>1</v>
      </c>
      <c r="H230" s="480" t="s">
        <v>306</v>
      </c>
      <c r="I230" s="474" t="s">
        <v>74</v>
      </c>
      <c r="J230" s="474"/>
      <c r="K230" s="477" t="s">
        <v>628</v>
      </c>
      <c r="L230" s="484"/>
      <c r="M230" s="422">
        <v>15</v>
      </c>
      <c r="N230" s="422"/>
      <c r="O230" s="422"/>
      <c r="P230" s="422"/>
      <c r="Q230" s="422"/>
      <c r="R230" s="422"/>
      <c r="S230" s="422"/>
      <c r="T230" s="422"/>
      <c r="U230" s="422"/>
      <c r="V230" s="422"/>
      <c r="W230" s="422"/>
      <c r="X230" s="422"/>
      <c r="Y230" s="422"/>
      <c r="Z230" s="422"/>
    </row>
    <row r="231" spans="1:26" hidden="1" x14ac:dyDescent="0.35">
      <c r="A231" s="478">
        <v>45810</v>
      </c>
      <c r="B231" s="506">
        <v>15</v>
      </c>
      <c r="C231" s="479" t="s">
        <v>598</v>
      </c>
      <c r="D231" s="479" t="s">
        <v>599</v>
      </c>
      <c r="E231" s="479" t="s">
        <v>652</v>
      </c>
      <c r="F231" s="479" t="s">
        <v>561</v>
      </c>
      <c r="G231" s="475" t="b">
        <f>IF(A231="","",IF(Daten!$AE$4=0,TRUE,MONTH(A231)=Daten!$AE$4))</f>
        <v>1</v>
      </c>
      <c r="H231" s="480" t="s">
        <v>306</v>
      </c>
      <c r="I231" s="475" t="s">
        <v>74</v>
      </c>
      <c r="J231" s="475"/>
      <c r="K231" s="479" t="s">
        <v>628</v>
      </c>
      <c r="L231" s="485"/>
      <c r="M231" s="423">
        <v>15</v>
      </c>
      <c r="N231" s="423"/>
      <c r="O231" s="423"/>
      <c r="P231" s="423"/>
      <c r="Q231" s="423"/>
      <c r="R231" s="423"/>
      <c r="S231" s="423"/>
      <c r="T231" s="423"/>
      <c r="U231" s="423"/>
      <c r="V231" s="423"/>
      <c r="W231" s="423"/>
      <c r="X231" s="423"/>
      <c r="Y231" s="423"/>
      <c r="Z231" s="423"/>
    </row>
    <row r="232" spans="1:26" hidden="1" x14ac:dyDescent="0.35">
      <c r="A232" s="476">
        <v>45810</v>
      </c>
      <c r="B232" s="505">
        <v>-4.8</v>
      </c>
      <c r="C232" s="477"/>
      <c r="D232" s="477">
        <v>0</v>
      </c>
      <c r="E232" s="477" t="s">
        <v>654</v>
      </c>
      <c r="F232" s="477" t="s">
        <v>381</v>
      </c>
      <c r="G232" s="474" t="b">
        <f>IF(A232="","",IF(Daten!$AE$4=0,TRUE,MONTH(A232)=Daten!$AE$4))</f>
        <v>1</v>
      </c>
      <c r="H232" s="480" t="s">
        <v>452</v>
      </c>
      <c r="I232" s="474" t="s">
        <v>74</v>
      </c>
      <c r="J232" s="474"/>
      <c r="K232" s="477" t="s">
        <v>628</v>
      </c>
      <c r="L232" s="484"/>
      <c r="M232" s="422"/>
      <c r="N232" s="422"/>
      <c r="O232" s="422"/>
      <c r="P232" s="422"/>
      <c r="Q232" s="422"/>
      <c r="R232" s="422"/>
      <c r="S232" s="422"/>
      <c r="T232" s="422"/>
      <c r="U232" s="422"/>
      <c r="V232" s="422"/>
      <c r="W232" s="422"/>
      <c r="X232" s="422"/>
      <c r="Y232" s="422">
        <v>-4.8</v>
      </c>
      <c r="Z232" s="422"/>
    </row>
    <row r="233" spans="1:26" hidden="1" x14ac:dyDescent="0.35">
      <c r="A233" s="478">
        <v>45811</v>
      </c>
      <c r="B233" s="506">
        <v>7.5</v>
      </c>
      <c r="C233" s="479" t="s">
        <v>51</v>
      </c>
      <c r="D233" s="479" t="s">
        <v>580</v>
      </c>
      <c r="E233" s="479" t="s">
        <v>637</v>
      </c>
      <c r="F233" s="479" t="s">
        <v>561</v>
      </c>
      <c r="G233" s="475" t="b">
        <f>IF(A233="","",IF(Daten!$AE$4=0,TRUE,MONTH(A233)=Daten!$AE$4))</f>
        <v>1</v>
      </c>
      <c r="H233" s="480" t="s">
        <v>306</v>
      </c>
      <c r="I233" s="475" t="s">
        <v>74</v>
      </c>
      <c r="J233" s="475"/>
      <c r="K233" s="479" t="s">
        <v>628</v>
      </c>
      <c r="L233" s="485"/>
      <c r="M233" s="423">
        <v>7.5</v>
      </c>
      <c r="N233" s="423"/>
      <c r="O233" s="423"/>
      <c r="P233" s="423"/>
      <c r="Q233" s="423"/>
      <c r="R233" s="423"/>
      <c r="S233" s="423"/>
      <c r="T233" s="423"/>
      <c r="U233" s="423"/>
      <c r="V233" s="423"/>
      <c r="W233" s="423"/>
      <c r="X233" s="423"/>
      <c r="Y233" s="423"/>
      <c r="Z233" s="423"/>
    </row>
    <row r="234" spans="1:26" hidden="1" x14ac:dyDescent="0.35">
      <c r="A234" s="476">
        <v>45811</v>
      </c>
      <c r="B234" s="505">
        <v>60</v>
      </c>
      <c r="C234" s="477" t="s">
        <v>573</v>
      </c>
      <c r="D234" s="477" t="s">
        <v>574</v>
      </c>
      <c r="E234" s="477" t="s">
        <v>639</v>
      </c>
      <c r="F234" s="477" t="s">
        <v>561</v>
      </c>
      <c r="G234" s="474" t="b">
        <f>IF(A234="","",IF(Daten!$AE$4=0,TRUE,MONTH(A234)=Daten!$AE$4))</f>
        <v>1</v>
      </c>
      <c r="H234" s="480" t="s">
        <v>425</v>
      </c>
      <c r="I234" s="474" t="s">
        <v>74</v>
      </c>
      <c r="J234" s="474"/>
      <c r="K234" s="477" t="s">
        <v>628</v>
      </c>
      <c r="L234" s="484"/>
      <c r="M234" s="422"/>
      <c r="N234" s="422"/>
      <c r="O234" s="422"/>
      <c r="P234" s="422"/>
      <c r="Q234" s="422"/>
      <c r="R234" s="422"/>
      <c r="S234" s="422">
        <v>60</v>
      </c>
      <c r="T234" s="422"/>
      <c r="U234" s="422"/>
      <c r="V234" s="422"/>
      <c r="W234" s="422"/>
      <c r="X234" s="422"/>
      <c r="Y234" s="422"/>
      <c r="Z234" s="422"/>
    </row>
    <row r="235" spans="1:26" hidden="1" x14ac:dyDescent="0.35">
      <c r="A235" s="478">
        <v>45811</v>
      </c>
      <c r="B235" s="506">
        <v>15</v>
      </c>
      <c r="C235" s="479" t="s">
        <v>583</v>
      </c>
      <c r="D235" s="479" t="s">
        <v>584</v>
      </c>
      <c r="E235" s="479" t="s">
        <v>640</v>
      </c>
      <c r="F235" s="479" t="s">
        <v>561</v>
      </c>
      <c r="G235" s="475" t="b">
        <f>IF(A235="","",IF(Daten!$AE$4=0,TRUE,MONTH(A235)=Daten!$AE$4))</f>
        <v>1</v>
      </c>
      <c r="H235" s="480" t="s">
        <v>415</v>
      </c>
      <c r="I235" s="475" t="s">
        <v>74</v>
      </c>
      <c r="J235" s="475"/>
      <c r="K235" s="479" t="s">
        <v>628</v>
      </c>
      <c r="L235" s="485"/>
      <c r="M235" s="423"/>
      <c r="N235" s="423"/>
      <c r="O235" s="423"/>
      <c r="P235" s="423"/>
      <c r="Q235" s="423"/>
      <c r="R235" s="423"/>
      <c r="S235" s="423">
        <v>15</v>
      </c>
      <c r="T235" s="423"/>
      <c r="U235" s="423"/>
      <c r="V235" s="423"/>
      <c r="W235" s="423"/>
      <c r="X235" s="423"/>
      <c r="Y235" s="423"/>
      <c r="Z235" s="423"/>
    </row>
    <row r="236" spans="1:26" hidden="1" x14ac:dyDescent="0.35">
      <c r="A236" s="476">
        <v>45811</v>
      </c>
      <c r="B236" s="505">
        <v>15</v>
      </c>
      <c r="C236" s="477" t="s">
        <v>573</v>
      </c>
      <c r="D236" s="477" t="s">
        <v>574</v>
      </c>
      <c r="E236" s="477" t="s">
        <v>641</v>
      </c>
      <c r="F236" s="477" t="s">
        <v>561</v>
      </c>
      <c r="G236" s="474" t="b">
        <f>IF(A236="","",IF(Daten!$AE$4=0,TRUE,MONTH(A236)=Daten!$AE$4))</f>
        <v>1</v>
      </c>
      <c r="H236" s="480" t="s">
        <v>415</v>
      </c>
      <c r="I236" s="474" t="s">
        <v>74</v>
      </c>
      <c r="J236" s="474"/>
      <c r="K236" s="477" t="s">
        <v>628</v>
      </c>
      <c r="L236" s="484"/>
      <c r="M236" s="422"/>
      <c r="N236" s="422"/>
      <c r="O236" s="422"/>
      <c r="P236" s="422"/>
      <c r="Q236" s="422"/>
      <c r="R236" s="422"/>
      <c r="S236" s="422">
        <v>15</v>
      </c>
      <c r="T236" s="422"/>
      <c r="U236" s="422"/>
      <c r="V236" s="422"/>
      <c r="W236" s="422"/>
      <c r="X236" s="422"/>
      <c r="Y236" s="422"/>
      <c r="Z236" s="422"/>
    </row>
    <row r="237" spans="1:26" hidden="1" x14ac:dyDescent="0.35">
      <c r="A237" s="478">
        <v>45811</v>
      </c>
      <c r="B237" s="506">
        <v>7.5</v>
      </c>
      <c r="C237" s="479" t="s">
        <v>583</v>
      </c>
      <c r="D237" s="479" t="s">
        <v>584</v>
      </c>
      <c r="E237" s="479" t="s">
        <v>642</v>
      </c>
      <c r="F237" s="479" t="s">
        <v>561</v>
      </c>
      <c r="G237" s="475" t="b">
        <f>IF(A237="","",IF(Daten!$AE$4=0,TRUE,MONTH(A237)=Daten!$AE$4))</f>
        <v>1</v>
      </c>
      <c r="H237" s="480" t="s">
        <v>306</v>
      </c>
      <c r="I237" s="475" t="s">
        <v>74</v>
      </c>
      <c r="J237" s="475"/>
      <c r="K237" s="479" t="s">
        <v>628</v>
      </c>
      <c r="L237" s="485"/>
      <c r="M237" s="423">
        <v>7.5</v>
      </c>
      <c r="N237" s="423"/>
      <c r="O237" s="423"/>
      <c r="P237" s="423"/>
      <c r="Q237" s="423"/>
      <c r="R237" s="423"/>
      <c r="S237" s="423"/>
      <c r="T237" s="423"/>
      <c r="U237" s="423"/>
      <c r="V237" s="423"/>
      <c r="W237" s="423"/>
      <c r="X237" s="423"/>
      <c r="Y237" s="423"/>
      <c r="Z237" s="423"/>
    </row>
    <row r="238" spans="1:26" hidden="1" x14ac:dyDescent="0.35">
      <c r="A238" s="476">
        <v>45811</v>
      </c>
      <c r="B238" s="505">
        <v>15</v>
      </c>
      <c r="C238" s="477" t="s">
        <v>618</v>
      </c>
      <c r="D238" s="477" t="s">
        <v>582</v>
      </c>
      <c r="E238" s="477" t="s">
        <v>638</v>
      </c>
      <c r="F238" s="477" t="s">
        <v>561</v>
      </c>
      <c r="G238" s="474" t="b">
        <f>IF(A238="","",IF(Daten!$AE$4=0,TRUE,MONTH(A238)=Daten!$AE$4))</f>
        <v>1</v>
      </c>
      <c r="H238" s="480" t="s">
        <v>306</v>
      </c>
      <c r="I238" s="474" t="s">
        <v>74</v>
      </c>
      <c r="J238" s="474"/>
      <c r="K238" s="477" t="s">
        <v>628</v>
      </c>
      <c r="L238" s="484"/>
      <c r="M238" s="422">
        <v>15</v>
      </c>
      <c r="N238" s="422"/>
      <c r="O238" s="422"/>
      <c r="P238" s="422"/>
      <c r="Q238" s="422"/>
      <c r="R238" s="422"/>
      <c r="S238" s="422"/>
      <c r="T238" s="422"/>
      <c r="U238" s="422"/>
      <c r="V238" s="422"/>
      <c r="W238" s="422"/>
      <c r="X238" s="422"/>
      <c r="Y238" s="422"/>
      <c r="Z238" s="422"/>
    </row>
    <row r="239" spans="1:26" hidden="1" x14ac:dyDescent="0.35">
      <c r="A239" s="478">
        <v>45813</v>
      </c>
      <c r="B239" s="506">
        <v>15</v>
      </c>
      <c r="C239" s="479" t="s">
        <v>575</v>
      </c>
      <c r="D239" s="479" t="s">
        <v>576</v>
      </c>
      <c r="E239" s="479" t="s">
        <v>633</v>
      </c>
      <c r="F239" s="479" t="s">
        <v>561</v>
      </c>
      <c r="G239" s="475" t="b">
        <f>IF(A239="","",IF(Daten!$AE$4=0,TRUE,MONTH(A239)=Daten!$AE$4))</f>
        <v>1</v>
      </c>
      <c r="H239" s="480" t="s">
        <v>415</v>
      </c>
      <c r="I239" s="475" t="s">
        <v>74</v>
      </c>
      <c r="J239" s="475"/>
      <c r="K239" s="479" t="s">
        <v>628</v>
      </c>
      <c r="L239" s="485"/>
      <c r="M239" s="423"/>
      <c r="N239" s="423"/>
      <c r="O239" s="423"/>
      <c r="P239" s="423"/>
      <c r="Q239" s="423"/>
      <c r="R239" s="423"/>
      <c r="S239" s="423">
        <v>15</v>
      </c>
      <c r="T239" s="423"/>
      <c r="U239" s="423"/>
      <c r="V239" s="423"/>
      <c r="W239" s="423"/>
      <c r="X239" s="423"/>
      <c r="Y239" s="423"/>
      <c r="Z239" s="423"/>
    </row>
    <row r="240" spans="1:26" hidden="1" x14ac:dyDescent="0.35">
      <c r="A240" s="476">
        <v>45813</v>
      </c>
      <c r="B240" s="505">
        <v>1824.7</v>
      </c>
      <c r="C240" s="477" t="s">
        <v>621</v>
      </c>
      <c r="D240" s="477" t="s">
        <v>579</v>
      </c>
      <c r="E240" s="477" t="s">
        <v>705</v>
      </c>
      <c r="F240" s="477" t="s">
        <v>572</v>
      </c>
      <c r="G240" s="474" t="b">
        <f>IF(A240="","",IF(Daten!$AE$4=0,TRUE,MONTH(A240)=Daten!$AE$4))</f>
        <v>1</v>
      </c>
      <c r="H240" s="480" t="s">
        <v>460</v>
      </c>
      <c r="I240" s="474" t="s">
        <v>74</v>
      </c>
      <c r="J240" s="474"/>
      <c r="K240" s="477" t="s">
        <v>628</v>
      </c>
      <c r="L240" s="484"/>
      <c r="M240" s="422"/>
      <c r="N240" s="422"/>
      <c r="O240" s="422"/>
      <c r="P240" s="422"/>
      <c r="Q240" s="422"/>
      <c r="R240" s="422"/>
      <c r="S240" s="422">
        <v>1824.7</v>
      </c>
      <c r="T240" s="422"/>
      <c r="U240" s="422"/>
      <c r="V240" s="422"/>
      <c r="W240" s="422"/>
      <c r="X240" s="422"/>
      <c r="Y240" s="422"/>
      <c r="Z240" s="422"/>
    </row>
    <row r="241" spans="1:26" hidden="1" x14ac:dyDescent="0.35">
      <c r="A241" s="478">
        <v>45814</v>
      </c>
      <c r="B241" s="506">
        <v>60</v>
      </c>
      <c r="C241" s="479" t="s">
        <v>605</v>
      </c>
      <c r="D241" s="479" t="s">
        <v>582</v>
      </c>
      <c r="E241" s="479" t="s">
        <v>672</v>
      </c>
      <c r="F241" s="479" t="s">
        <v>572</v>
      </c>
      <c r="G241" s="475" t="b">
        <f>IF(A241="","",IF(Daten!$AE$4=0,TRUE,MONTH(A241)=Daten!$AE$4))</f>
        <v>1</v>
      </c>
      <c r="H241" s="480" t="s">
        <v>425</v>
      </c>
      <c r="I241" s="475" t="s">
        <v>74</v>
      </c>
      <c r="J241" s="475"/>
      <c r="K241" s="479" t="s">
        <v>628</v>
      </c>
      <c r="L241" s="485"/>
      <c r="M241" s="423"/>
      <c r="N241" s="423"/>
      <c r="O241" s="423"/>
      <c r="P241" s="423"/>
      <c r="Q241" s="423"/>
      <c r="R241" s="423"/>
      <c r="S241" s="423">
        <v>60</v>
      </c>
      <c r="T241" s="423"/>
      <c r="U241" s="423"/>
      <c r="V241" s="423"/>
      <c r="W241" s="423"/>
      <c r="X241" s="423"/>
      <c r="Y241" s="423"/>
      <c r="Z241" s="423"/>
    </row>
    <row r="242" spans="1:26" hidden="1" x14ac:dyDescent="0.35">
      <c r="A242" s="476">
        <v>45818</v>
      </c>
      <c r="B242" s="505">
        <v>150</v>
      </c>
      <c r="C242" s="477" t="s">
        <v>609</v>
      </c>
      <c r="D242" s="477" t="s">
        <v>585</v>
      </c>
      <c r="E242" s="477" t="s">
        <v>704</v>
      </c>
      <c r="F242" s="477" t="s">
        <v>572</v>
      </c>
      <c r="G242" s="474" t="b">
        <f>IF(A242="","",IF(Daten!$AE$4=0,TRUE,MONTH(A242)=Daten!$AE$4))</f>
        <v>1</v>
      </c>
      <c r="H242" s="480" t="s">
        <v>425</v>
      </c>
      <c r="I242" s="474" t="s">
        <v>74</v>
      </c>
      <c r="J242" s="474"/>
      <c r="K242" s="477" t="s">
        <v>628</v>
      </c>
      <c r="L242" s="484"/>
      <c r="M242" s="422"/>
      <c r="N242" s="422"/>
      <c r="O242" s="422"/>
      <c r="P242" s="422"/>
      <c r="Q242" s="422"/>
      <c r="R242" s="422"/>
      <c r="S242" s="422">
        <v>150</v>
      </c>
      <c r="T242" s="422"/>
      <c r="U242" s="422"/>
      <c r="V242" s="422"/>
      <c r="W242" s="422"/>
      <c r="X242" s="422"/>
      <c r="Y242" s="422"/>
      <c r="Z242" s="422"/>
    </row>
    <row r="243" spans="1:26" hidden="1" x14ac:dyDescent="0.35">
      <c r="A243" s="478">
        <v>45819</v>
      </c>
      <c r="B243" s="506">
        <v>15</v>
      </c>
      <c r="C243" s="479" t="s">
        <v>591</v>
      </c>
      <c r="D243" s="479" t="s">
        <v>592</v>
      </c>
      <c r="E243" s="479" t="s">
        <v>385</v>
      </c>
      <c r="F243" s="479" t="s">
        <v>590</v>
      </c>
      <c r="G243" s="475" t="b">
        <f>IF(A243="","",IF(Daten!$AE$4=0,TRUE,MONTH(A243)=Daten!$AE$4))</f>
        <v>1</v>
      </c>
      <c r="H243" s="480" t="s">
        <v>415</v>
      </c>
      <c r="I243" s="475" t="s">
        <v>74</v>
      </c>
      <c r="J243" s="475"/>
      <c r="K243" s="479" t="s">
        <v>628</v>
      </c>
      <c r="L243" s="485"/>
      <c r="M243" s="423"/>
      <c r="N243" s="423"/>
      <c r="O243" s="423"/>
      <c r="P243" s="423"/>
      <c r="Q243" s="423"/>
      <c r="R243" s="423"/>
      <c r="S243" s="423">
        <v>15</v>
      </c>
      <c r="T243" s="423"/>
      <c r="U243" s="423"/>
      <c r="V243" s="423"/>
      <c r="W243" s="423"/>
      <c r="X243" s="423"/>
      <c r="Y243" s="423"/>
      <c r="Z243" s="423"/>
    </row>
    <row r="244" spans="1:26" hidden="1" x14ac:dyDescent="0.35">
      <c r="A244" s="476">
        <v>45819</v>
      </c>
      <c r="B244" s="505">
        <v>120</v>
      </c>
      <c r="C244" s="477" t="s">
        <v>583</v>
      </c>
      <c r="D244" s="477" t="s">
        <v>584</v>
      </c>
      <c r="E244" s="477" t="s">
        <v>703</v>
      </c>
      <c r="F244" s="477" t="s">
        <v>572</v>
      </c>
      <c r="G244" s="474" t="b">
        <f>IF(A244="","",IF(Daten!$AE$4=0,TRUE,MONTH(A244)=Daten!$AE$4))</f>
        <v>1</v>
      </c>
      <c r="H244" s="480" t="s">
        <v>425</v>
      </c>
      <c r="I244" s="474" t="s">
        <v>74</v>
      </c>
      <c r="J244" s="474"/>
      <c r="K244" s="477" t="s">
        <v>628</v>
      </c>
      <c r="L244" s="484"/>
      <c r="M244" s="422"/>
      <c r="N244" s="422"/>
      <c r="O244" s="422"/>
      <c r="P244" s="422"/>
      <c r="Q244" s="422"/>
      <c r="R244" s="422"/>
      <c r="S244" s="422">
        <v>120</v>
      </c>
      <c r="T244" s="422"/>
      <c r="U244" s="422"/>
      <c r="V244" s="422"/>
      <c r="W244" s="422"/>
      <c r="X244" s="422"/>
      <c r="Y244" s="422"/>
      <c r="Z244" s="422"/>
    </row>
    <row r="245" spans="1:26" hidden="1" x14ac:dyDescent="0.35">
      <c r="A245" s="478">
        <v>45824</v>
      </c>
      <c r="B245" s="506">
        <v>33</v>
      </c>
      <c r="C245" s="479" t="s">
        <v>575</v>
      </c>
      <c r="D245" s="479" t="s">
        <v>576</v>
      </c>
      <c r="E245" s="479" t="s">
        <v>701</v>
      </c>
      <c r="F245" s="479" t="s">
        <v>572</v>
      </c>
      <c r="G245" s="475" t="b">
        <f>IF(A245="","",IF(Daten!$AE$4=0,TRUE,MONTH(A245)=Daten!$AE$4))</f>
        <v>1</v>
      </c>
      <c r="H245" s="480" t="s">
        <v>425</v>
      </c>
      <c r="I245" s="475" t="s">
        <v>74</v>
      </c>
      <c r="J245" s="475"/>
      <c r="K245" s="479" t="s">
        <v>628</v>
      </c>
      <c r="L245" s="485"/>
      <c r="M245" s="423"/>
      <c r="N245" s="423"/>
      <c r="O245" s="423"/>
      <c r="P245" s="423"/>
      <c r="Q245" s="423"/>
      <c r="R245" s="423"/>
      <c r="S245" s="423">
        <v>33</v>
      </c>
      <c r="T245" s="423"/>
      <c r="U245" s="423"/>
      <c r="V245" s="423"/>
      <c r="W245" s="423"/>
      <c r="X245" s="423"/>
      <c r="Y245" s="423"/>
      <c r="Z245" s="423"/>
    </row>
    <row r="246" spans="1:26" ht="29" x14ac:dyDescent="0.35">
      <c r="A246" s="476">
        <v>45824</v>
      </c>
      <c r="B246" s="505">
        <v>70</v>
      </c>
      <c r="C246" s="477" t="s">
        <v>562</v>
      </c>
      <c r="D246" s="477" t="s">
        <v>563</v>
      </c>
      <c r="E246" s="477" t="s">
        <v>702</v>
      </c>
      <c r="F246" s="477" t="s">
        <v>590</v>
      </c>
      <c r="G246" s="474" t="b">
        <f>IF(A246="","",IF(Daten!$AE$4=0,TRUE,MONTH(A246)=Daten!$AE$4))</f>
        <v>1</v>
      </c>
      <c r="H246" s="426" t="s">
        <v>821</v>
      </c>
      <c r="I246" s="474" t="s">
        <v>74</v>
      </c>
      <c r="J246" s="474"/>
      <c r="K246" s="477" t="s">
        <v>628</v>
      </c>
      <c r="L246" s="484" t="s">
        <v>820</v>
      </c>
      <c r="M246" s="422"/>
      <c r="N246" s="422"/>
      <c r="O246" s="422"/>
      <c r="P246" s="422"/>
      <c r="Q246" s="422"/>
      <c r="R246" s="422"/>
      <c r="S246" s="422"/>
      <c r="T246" s="422"/>
      <c r="U246" s="422"/>
      <c r="V246" s="422"/>
      <c r="W246" s="422"/>
      <c r="X246" s="422"/>
      <c r="Y246" s="422"/>
      <c r="Z246" s="422"/>
    </row>
    <row r="247" spans="1:26" hidden="1" x14ac:dyDescent="0.35">
      <c r="A247" s="478">
        <v>45825</v>
      </c>
      <c r="B247" s="506">
        <v>-59.94</v>
      </c>
      <c r="C247" s="479" t="s">
        <v>570</v>
      </c>
      <c r="D247" s="479" t="s">
        <v>571</v>
      </c>
      <c r="E247" s="479" t="s">
        <v>700</v>
      </c>
      <c r="F247" s="479" t="s">
        <v>567</v>
      </c>
      <c r="G247" s="475" t="b">
        <f>IF(A247="","",IF(Daten!$AE$4=0,TRUE,MONTH(A247)=Daten!$AE$4))</f>
        <v>1</v>
      </c>
      <c r="H247" s="480" t="s">
        <v>389</v>
      </c>
      <c r="I247" s="475" t="s">
        <v>74</v>
      </c>
      <c r="J247" s="475"/>
      <c r="K247" s="479" t="s">
        <v>628</v>
      </c>
      <c r="L247" s="485"/>
      <c r="M247" s="423"/>
      <c r="N247" s="423"/>
      <c r="O247" s="423"/>
      <c r="P247" s="423"/>
      <c r="Q247" s="423"/>
      <c r="R247" s="423"/>
      <c r="S247" s="423"/>
      <c r="T247" s="423">
        <v>-59.94</v>
      </c>
      <c r="U247" s="423"/>
      <c r="V247" s="423"/>
      <c r="W247" s="423"/>
      <c r="X247" s="423"/>
      <c r="Y247" s="423"/>
      <c r="Z247" s="423"/>
    </row>
    <row r="248" spans="1:26" hidden="1" x14ac:dyDescent="0.35">
      <c r="A248" s="476">
        <v>45825</v>
      </c>
      <c r="B248" s="505">
        <v>-138</v>
      </c>
      <c r="C248" s="477" t="s">
        <v>568</v>
      </c>
      <c r="D248" s="477" t="s">
        <v>569</v>
      </c>
      <c r="E248" s="477" t="s">
        <v>630</v>
      </c>
      <c r="F248" s="477" t="s">
        <v>567</v>
      </c>
      <c r="G248" s="474" t="b">
        <f>IF(A248="","",IF(Daten!$AE$4=0,TRUE,MONTH(A248)=Daten!$AE$4))</f>
        <v>1</v>
      </c>
      <c r="H248" s="480" t="s">
        <v>459</v>
      </c>
      <c r="I248" s="474" t="s">
        <v>74</v>
      </c>
      <c r="J248" s="474"/>
      <c r="K248" s="477" t="s">
        <v>628</v>
      </c>
      <c r="L248" s="484"/>
      <c r="M248" s="422"/>
      <c r="N248" s="422"/>
      <c r="O248" s="422"/>
      <c r="P248" s="422"/>
      <c r="Q248" s="422"/>
      <c r="R248" s="422"/>
      <c r="S248" s="422"/>
      <c r="T248" s="422">
        <v>-138</v>
      </c>
      <c r="U248" s="422"/>
      <c r="V248" s="422"/>
      <c r="W248" s="422"/>
      <c r="X248" s="422"/>
      <c r="Y248" s="422"/>
      <c r="Z248" s="422"/>
    </row>
    <row r="249" spans="1:26" hidden="1" x14ac:dyDescent="0.35">
      <c r="A249" s="478">
        <v>45826</v>
      </c>
      <c r="B249" s="506">
        <v>15</v>
      </c>
      <c r="C249" s="479" t="s">
        <v>562</v>
      </c>
      <c r="D249" s="479" t="s">
        <v>563</v>
      </c>
      <c r="E249" s="479" t="s">
        <v>627</v>
      </c>
      <c r="F249" s="479" t="s">
        <v>561</v>
      </c>
      <c r="G249" s="475" t="b">
        <f>IF(A249="","",IF(Daten!$AE$4=0,TRUE,MONTH(A249)=Daten!$AE$4))</f>
        <v>1</v>
      </c>
      <c r="H249" s="480" t="s">
        <v>415</v>
      </c>
      <c r="I249" s="475" t="s">
        <v>74</v>
      </c>
      <c r="J249" s="475"/>
      <c r="K249" s="479" t="s">
        <v>628</v>
      </c>
      <c r="L249" s="485"/>
      <c r="M249" s="423"/>
      <c r="N249" s="423"/>
      <c r="O249" s="423"/>
      <c r="P249" s="423"/>
      <c r="Q249" s="423"/>
      <c r="R249" s="423"/>
      <c r="S249" s="423">
        <v>15</v>
      </c>
      <c r="T249" s="423"/>
      <c r="U249" s="423"/>
      <c r="V249" s="423"/>
      <c r="W249" s="423"/>
      <c r="X249" s="423"/>
      <c r="Y249" s="423"/>
      <c r="Z249" s="423"/>
    </row>
    <row r="250" spans="1:26" hidden="1" x14ac:dyDescent="0.35">
      <c r="A250" s="476">
        <v>45831</v>
      </c>
      <c r="B250" s="505">
        <v>248.63</v>
      </c>
      <c r="C250" s="477" t="s">
        <v>51</v>
      </c>
      <c r="D250" s="477" t="s">
        <v>580</v>
      </c>
      <c r="E250" s="477" t="s">
        <v>699</v>
      </c>
      <c r="F250" s="477" t="s">
        <v>572</v>
      </c>
      <c r="G250" s="474" t="b">
        <f>IF(A250="","",IF(Daten!$AE$4=0,TRUE,MONTH(A250)=Daten!$AE$4))</f>
        <v>1</v>
      </c>
      <c r="H250" s="480" t="s">
        <v>419</v>
      </c>
      <c r="I250" s="474" t="s">
        <v>799</v>
      </c>
      <c r="J250" s="474"/>
      <c r="K250" s="477" t="s">
        <v>628</v>
      </c>
      <c r="L250" s="484"/>
      <c r="M250" s="422"/>
      <c r="N250" s="422"/>
      <c r="O250" s="422"/>
      <c r="P250" s="422"/>
      <c r="Q250" s="422"/>
      <c r="R250" s="422"/>
      <c r="S250" s="422">
        <v>248.63</v>
      </c>
      <c r="T250" s="422"/>
      <c r="U250" s="422"/>
      <c r="V250" s="422"/>
      <c r="W250" s="422"/>
      <c r="X250" s="422"/>
      <c r="Y250" s="422"/>
      <c r="Z250" s="422"/>
    </row>
    <row r="251" spans="1:26" hidden="1" x14ac:dyDescent="0.35">
      <c r="A251" s="478">
        <v>45833</v>
      </c>
      <c r="B251" s="506">
        <v>15</v>
      </c>
      <c r="C251" s="479" t="s">
        <v>594</v>
      </c>
      <c r="D251" s="479" t="s">
        <v>595</v>
      </c>
      <c r="E251" s="479" t="s">
        <v>657</v>
      </c>
      <c r="F251" s="479" t="s">
        <v>561</v>
      </c>
      <c r="G251" s="475" t="b">
        <f>IF(A251="","",IF(Daten!$AE$4=0,TRUE,MONTH(A251)=Daten!$AE$4))</f>
        <v>1</v>
      </c>
      <c r="H251" s="480" t="s">
        <v>415</v>
      </c>
      <c r="I251" s="475" t="s">
        <v>74</v>
      </c>
      <c r="J251" s="475"/>
      <c r="K251" s="479" t="s">
        <v>628</v>
      </c>
      <c r="L251" s="485"/>
      <c r="M251" s="423"/>
      <c r="N251" s="423"/>
      <c r="O251" s="423"/>
      <c r="P251" s="423"/>
      <c r="Q251" s="423"/>
      <c r="R251" s="423"/>
      <c r="S251" s="423">
        <v>15</v>
      </c>
      <c r="T251" s="423"/>
      <c r="U251" s="423"/>
      <c r="V251" s="423"/>
      <c r="W251" s="423"/>
      <c r="X251" s="423"/>
      <c r="Y251" s="423"/>
      <c r="Z251" s="423"/>
    </row>
    <row r="252" spans="1:26" ht="29" x14ac:dyDescent="0.35">
      <c r="A252" s="476">
        <v>45834</v>
      </c>
      <c r="B252" s="505">
        <v>80</v>
      </c>
      <c r="C252" s="477" t="s">
        <v>608</v>
      </c>
      <c r="D252" s="477" t="s">
        <v>593</v>
      </c>
      <c r="E252" s="477" t="s">
        <v>698</v>
      </c>
      <c r="F252" s="477" t="s">
        <v>572</v>
      </c>
      <c r="G252" s="474" t="b">
        <f>IF(A252="","",IF(Daten!$AE$4=0,TRUE,MONTH(A252)=Daten!$AE$4))</f>
        <v>1</v>
      </c>
      <c r="H252" s="426" t="s">
        <v>821</v>
      </c>
      <c r="I252" s="474" t="s">
        <v>74</v>
      </c>
      <c r="J252" s="474"/>
      <c r="K252" s="477" t="s">
        <v>628</v>
      </c>
      <c r="L252" s="484" t="s">
        <v>820</v>
      </c>
      <c r="M252" s="422"/>
      <c r="N252" s="422"/>
      <c r="O252" s="422"/>
      <c r="P252" s="422"/>
      <c r="Q252" s="422"/>
      <c r="R252" s="422"/>
      <c r="S252" s="422"/>
      <c r="T252" s="422"/>
      <c r="U252" s="422"/>
      <c r="V252" s="422"/>
      <c r="W252" s="422"/>
      <c r="X252" s="422"/>
      <c r="Y252" s="422"/>
      <c r="Z252" s="422"/>
    </row>
    <row r="253" spans="1:26" hidden="1" x14ac:dyDescent="0.35">
      <c r="A253" s="478">
        <v>45834</v>
      </c>
      <c r="B253" s="506">
        <v>7.5</v>
      </c>
      <c r="C253" s="479" t="s">
        <v>600</v>
      </c>
      <c r="D253" s="479" t="s">
        <v>601</v>
      </c>
      <c r="E253" s="479" t="s">
        <v>656</v>
      </c>
      <c r="F253" s="479" t="s">
        <v>561</v>
      </c>
      <c r="G253" s="475" t="b">
        <f>IF(A253="","",IF(Daten!$AE$4=0,TRUE,MONTH(A253)=Daten!$AE$4))</f>
        <v>1</v>
      </c>
      <c r="H253" s="480" t="s">
        <v>306</v>
      </c>
      <c r="I253" s="475" t="s">
        <v>73</v>
      </c>
      <c r="J253" s="475"/>
      <c r="K253" s="479" t="s">
        <v>628</v>
      </c>
      <c r="L253" s="485"/>
      <c r="M253" s="423">
        <v>7.5</v>
      </c>
      <c r="N253" s="423"/>
      <c r="O253" s="423"/>
      <c r="P253" s="423"/>
      <c r="Q253" s="423"/>
      <c r="R253" s="423"/>
      <c r="S253" s="423"/>
      <c r="T253" s="423"/>
      <c r="U253" s="423"/>
      <c r="V253" s="423"/>
      <c r="W253" s="423"/>
      <c r="X253" s="423"/>
      <c r="Y253" s="423"/>
      <c r="Z253" s="423"/>
    </row>
    <row r="254" spans="1:26" hidden="1" x14ac:dyDescent="0.35">
      <c r="A254" s="476">
        <v>45835</v>
      </c>
      <c r="B254" s="505">
        <v>7.5</v>
      </c>
      <c r="C254" s="477" t="s">
        <v>594</v>
      </c>
      <c r="D254" s="477" t="s">
        <v>595</v>
      </c>
      <c r="E254" s="477" t="s">
        <v>655</v>
      </c>
      <c r="F254" s="477" t="s">
        <v>561</v>
      </c>
      <c r="G254" s="474" t="b">
        <f>IF(A254="","",IF(Daten!$AE$4=0,TRUE,MONTH(A254)=Daten!$AE$4))</f>
        <v>1</v>
      </c>
      <c r="H254" s="480" t="s">
        <v>306</v>
      </c>
      <c r="I254" s="474" t="s">
        <v>73</v>
      </c>
      <c r="J254" s="474"/>
      <c r="K254" s="477" t="s">
        <v>628</v>
      </c>
      <c r="L254" s="484"/>
      <c r="M254" s="422">
        <v>7.5</v>
      </c>
      <c r="N254" s="422"/>
      <c r="O254" s="422"/>
      <c r="P254" s="422"/>
      <c r="Q254" s="422"/>
      <c r="R254" s="422"/>
      <c r="S254" s="422"/>
      <c r="T254" s="422"/>
      <c r="U254" s="422"/>
      <c r="V254" s="422"/>
      <c r="W254" s="422"/>
      <c r="X254" s="422"/>
      <c r="Y254" s="422"/>
      <c r="Z254" s="422"/>
    </row>
    <row r="255" spans="1:26" ht="29" x14ac:dyDescent="0.35">
      <c r="A255" s="478">
        <v>45835</v>
      </c>
      <c r="B255" s="506">
        <v>40</v>
      </c>
      <c r="C255" s="479" t="s">
        <v>588</v>
      </c>
      <c r="D255" s="479" t="s">
        <v>589</v>
      </c>
      <c r="E255" s="479" t="s">
        <v>668</v>
      </c>
      <c r="F255" s="479" t="s">
        <v>561</v>
      </c>
      <c r="G255" s="475" t="b">
        <f>IF(A255="","",IF(Daten!$AE$4=0,TRUE,MONTH(A255)=Daten!$AE$4))</f>
        <v>1</v>
      </c>
      <c r="H255" s="426" t="s">
        <v>821</v>
      </c>
      <c r="I255" s="475" t="s">
        <v>74</v>
      </c>
      <c r="J255" s="475"/>
      <c r="K255" s="479" t="s">
        <v>628</v>
      </c>
      <c r="L255" s="485" t="s">
        <v>820</v>
      </c>
      <c r="M255" s="423"/>
      <c r="N255" s="423"/>
      <c r="O255" s="423"/>
      <c r="P255" s="423"/>
      <c r="Q255" s="423"/>
      <c r="R255" s="423"/>
      <c r="S255" s="423"/>
      <c r="T255" s="423"/>
      <c r="U255" s="423"/>
      <c r="V255" s="423"/>
      <c r="W255" s="423"/>
      <c r="X255" s="423"/>
      <c r="Y255" s="423"/>
      <c r="Z255" s="423"/>
    </row>
    <row r="256" spans="1:26" hidden="1" x14ac:dyDescent="0.35">
      <c r="A256" s="476">
        <v>45838</v>
      </c>
      <c r="B256" s="505">
        <v>15</v>
      </c>
      <c r="C256" s="477" t="s">
        <v>588</v>
      </c>
      <c r="D256" s="477" t="s">
        <v>589</v>
      </c>
      <c r="E256" s="477" t="s">
        <v>306</v>
      </c>
      <c r="F256" s="477" t="s">
        <v>561</v>
      </c>
      <c r="G256" s="474" t="b">
        <f>IF(A256="","",IF(Daten!$AE$4=0,TRUE,MONTH(A256)=Daten!$AE$4))</f>
        <v>1</v>
      </c>
      <c r="H256" s="480" t="s">
        <v>306</v>
      </c>
      <c r="I256" s="474" t="s">
        <v>73</v>
      </c>
      <c r="J256" s="474"/>
      <c r="K256" s="477" t="s">
        <v>628</v>
      </c>
      <c r="L256" s="484"/>
      <c r="M256" s="422">
        <v>15</v>
      </c>
      <c r="N256" s="422"/>
      <c r="O256" s="422"/>
      <c r="P256" s="422"/>
      <c r="Q256" s="422"/>
      <c r="R256" s="422"/>
      <c r="S256" s="422"/>
      <c r="T256" s="422"/>
      <c r="U256" s="422"/>
      <c r="V256" s="422"/>
      <c r="W256" s="422"/>
      <c r="X256" s="422"/>
      <c r="Y256" s="422"/>
      <c r="Z256" s="422"/>
    </row>
    <row r="257" spans="1:26" hidden="1" x14ac:dyDescent="0.35">
      <c r="A257" s="478">
        <v>45839</v>
      </c>
      <c r="B257" s="506">
        <v>15</v>
      </c>
      <c r="C257" s="479" t="s">
        <v>618</v>
      </c>
      <c r="D257" s="479" t="s">
        <v>582</v>
      </c>
      <c r="E257" s="479" t="s">
        <v>650</v>
      </c>
      <c r="F257" s="479" t="s">
        <v>561</v>
      </c>
      <c r="G257" s="475" t="b">
        <f>IF(A257="","",IF(Daten!$AE$4=0,TRUE,MONTH(A257)=Daten!$AE$4))</f>
        <v>1</v>
      </c>
      <c r="H257" s="480" t="s">
        <v>415</v>
      </c>
      <c r="I257" s="475" t="s">
        <v>73</v>
      </c>
      <c r="J257" s="475"/>
      <c r="K257" s="479" t="s">
        <v>628</v>
      </c>
      <c r="L257" s="485"/>
      <c r="M257" s="423"/>
      <c r="N257" s="423"/>
      <c r="O257" s="423"/>
      <c r="P257" s="423"/>
      <c r="Q257" s="423"/>
      <c r="R257" s="423"/>
      <c r="S257" s="423">
        <v>15</v>
      </c>
      <c r="T257" s="423"/>
      <c r="U257" s="423"/>
      <c r="V257" s="423"/>
      <c r="W257" s="423"/>
      <c r="X257" s="423"/>
      <c r="Y257" s="423"/>
      <c r="Z257" s="423"/>
    </row>
    <row r="258" spans="1:26" hidden="1" x14ac:dyDescent="0.35">
      <c r="A258" s="476">
        <v>45839</v>
      </c>
      <c r="B258" s="505">
        <v>15</v>
      </c>
      <c r="C258" s="477" t="s">
        <v>586</v>
      </c>
      <c r="D258" s="477" t="s">
        <v>587</v>
      </c>
      <c r="E258" s="477" t="s">
        <v>647</v>
      </c>
      <c r="F258" s="477" t="s">
        <v>561</v>
      </c>
      <c r="G258" s="474" t="b">
        <f>IF(A258="","",IF(Daten!$AE$4=0,TRUE,MONTH(A258)=Daten!$AE$4))</f>
        <v>1</v>
      </c>
      <c r="H258" s="480" t="s">
        <v>306</v>
      </c>
      <c r="I258" s="474" t="s">
        <v>73</v>
      </c>
      <c r="J258" s="474"/>
      <c r="K258" s="477" t="s">
        <v>628</v>
      </c>
      <c r="L258" s="484"/>
      <c r="M258" s="422">
        <v>15</v>
      </c>
      <c r="N258" s="422"/>
      <c r="O258" s="422"/>
      <c r="P258" s="422"/>
      <c r="Q258" s="422"/>
      <c r="R258" s="422"/>
      <c r="S258" s="422"/>
      <c r="T258" s="422"/>
      <c r="U258" s="422"/>
      <c r="V258" s="422"/>
      <c r="W258" s="422"/>
      <c r="X258" s="422"/>
      <c r="Y258" s="422"/>
      <c r="Z258" s="422"/>
    </row>
    <row r="259" spans="1:26" hidden="1" x14ac:dyDescent="0.35">
      <c r="A259" s="478">
        <v>45839</v>
      </c>
      <c r="B259" s="506">
        <v>15</v>
      </c>
      <c r="C259" s="479" t="s">
        <v>56</v>
      </c>
      <c r="D259" s="479" t="s">
        <v>593</v>
      </c>
      <c r="E259" s="479" t="s">
        <v>648</v>
      </c>
      <c r="F259" s="479" t="s">
        <v>561</v>
      </c>
      <c r="G259" s="475" t="b">
        <f>IF(A259="","",IF(Daten!$AE$4=0,TRUE,MONTH(A259)=Daten!$AE$4))</f>
        <v>1</v>
      </c>
      <c r="H259" s="480" t="s">
        <v>415</v>
      </c>
      <c r="I259" s="475" t="s">
        <v>73</v>
      </c>
      <c r="J259" s="475"/>
      <c r="K259" s="479" t="s">
        <v>628</v>
      </c>
      <c r="L259" s="485"/>
      <c r="M259" s="423"/>
      <c r="N259" s="423"/>
      <c r="O259" s="423"/>
      <c r="P259" s="423"/>
      <c r="Q259" s="423"/>
      <c r="R259" s="423"/>
      <c r="S259" s="423">
        <v>15</v>
      </c>
      <c r="T259" s="423"/>
      <c r="U259" s="423"/>
      <c r="V259" s="423"/>
      <c r="W259" s="423"/>
      <c r="X259" s="423"/>
      <c r="Y259" s="423"/>
      <c r="Z259" s="423"/>
    </row>
    <row r="260" spans="1:26" hidden="1" x14ac:dyDescent="0.35">
      <c r="A260" s="476">
        <v>45839</v>
      </c>
      <c r="B260" s="505">
        <v>7.5</v>
      </c>
      <c r="C260" s="477" t="s">
        <v>56</v>
      </c>
      <c r="D260" s="477" t="s">
        <v>593</v>
      </c>
      <c r="E260" s="477" t="s">
        <v>386</v>
      </c>
      <c r="F260" s="477" t="s">
        <v>561</v>
      </c>
      <c r="G260" s="474" t="b">
        <f>IF(A260="","",IF(Daten!$AE$4=0,TRUE,MONTH(A260)=Daten!$AE$4))</f>
        <v>1</v>
      </c>
      <c r="H260" s="480" t="s">
        <v>306</v>
      </c>
      <c r="I260" s="474" t="s">
        <v>73</v>
      </c>
      <c r="J260" s="474"/>
      <c r="K260" s="477" t="s">
        <v>628</v>
      </c>
      <c r="L260" s="484"/>
      <c r="M260" s="422">
        <v>7.5</v>
      </c>
      <c r="N260" s="422"/>
      <c r="O260" s="422"/>
      <c r="P260" s="422"/>
      <c r="Q260" s="422"/>
      <c r="R260" s="422"/>
      <c r="S260" s="422"/>
      <c r="T260" s="422"/>
      <c r="U260" s="422"/>
      <c r="V260" s="422"/>
      <c r="W260" s="422"/>
      <c r="X260" s="422"/>
      <c r="Y260" s="422"/>
      <c r="Z260" s="422"/>
    </row>
    <row r="261" spans="1:26" hidden="1" x14ac:dyDescent="0.35">
      <c r="A261" s="478">
        <v>45839</v>
      </c>
      <c r="B261" s="506">
        <v>15</v>
      </c>
      <c r="C261" s="479" t="s">
        <v>598</v>
      </c>
      <c r="D261" s="479" t="s">
        <v>599</v>
      </c>
      <c r="E261" s="479" t="s">
        <v>652</v>
      </c>
      <c r="F261" s="479" t="s">
        <v>561</v>
      </c>
      <c r="G261" s="475" t="b">
        <f>IF(A261="","",IF(Daten!$AE$4=0,TRUE,MONTH(A261)=Daten!$AE$4))</f>
        <v>1</v>
      </c>
      <c r="H261" s="480" t="s">
        <v>306</v>
      </c>
      <c r="I261" s="475" t="s">
        <v>73</v>
      </c>
      <c r="J261" s="475"/>
      <c r="K261" s="479" t="s">
        <v>628</v>
      </c>
      <c r="L261" s="485"/>
      <c r="M261" s="423">
        <v>15</v>
      </c>
      <c r="N261" s="423"/>
      <c r="O261" s="423"/>
      <c r="P261" s="423"/>
      <c r="Q261" s="423"/>
      <c r="R261" s="423"/>
      <c r="S261" s="423"/>
      <c r="T261" s="423"/>
      <c r="U261" s="423"/>
      <c r="V261" s="423"/>
      <c r="W261" s="423"/>
      <c r="X261" s="423"/>
      <c r="Y261" s="423"/>
      <c r="Z261" s="423"/>
    </row>
    <row r="262" spans="1:26" hidden="1" x14ac:dyDescent="0.35">
      <c r="A262" s="476">
        <v>45839</v>
      </c>
      <c r="B262" s="505">
        <v>15</v>
      </c>
      <c r="C262" s="477" t="s">
        <v>596</v>
      </c>
      <c r="D262" s="477" t="s">
        <v>597</v>
      </c>
      <c r="E262" s="477" t="s">
        <v>653</v>
      </c>
      <c r="F262" s="477" t="s">
        <v>561</v>
      </c>
      <c r="G262" s="474" t="b">
        <f>IF(A262="","",IF(Daten!$AE$4=0,TRUE,MONTH(A262)=Daten!$AE$4))</f>
        <v>1</v>
      </c>
      <c r="H262" s="480" t="s">
        <v>306</v>
      </c>
      <c r="I262" s="474" t="s">
        <v>73</v>
      </c>
      <c r="J262" s="474"/>
      <c r="K262" s="477" t="s">
        <v>628</v>
      </c>
      <c r="L262" s="484"/>
      <c r="M262" s="422">
        <v>15</v>
      </c>
      <c r="N262" s="422"/>
      <c r="O262" s="422"/>
      <c r="P262" s="422"/>
      <c r="Q262" s="422"/>
      <c r="R262" s="422"/>
      <c r="S262" s="422"/>
      <c r="T262" s="422"/>
      <c r="U262" s="422"/>
      <c r="V262" s="422"/>
      <c r="W262" s="422"/>
      <c r="X262" s="422"/>
      <c r="Y262" s="422"/>
      <c r="Z262" s="422"/>
    </row>
    <row r="263" spans="1:26" hidden="1" x14ac:dyDescent="0.35">
      <c r="A263" s="478">
        <v>45839</v>
      </c>
      <c r="B263" s="506">
        <v>15</v>
      </c>
      <c r="C263" s="479" t="s">
        <v>596</v>
      </c>
      <c r="D263" s="479" t="s">
        <v>597</v>
      </c>
      <c r="E263" s="479" t="s">
        <v>651</v>
      </c>
      <c r="F263" s="479" t="s">
        <v>561</v>
      </c>
      <c r="G263" s="475" t="b">
        <f>IF(A263="","",IF(Daten!$AE$4=0,TRUE,MONTH(A263)=Daten!$AE$4))</f>
        <v>1</v>
      </c>
      <c r="H263" s="480" t="s">
        <v>415</v>
      </c>
      <c r="I263" s="475" t="s">
        <v>73</v>
      </c>
      <c r="J263" s="475"/>
      <c r="K263" s="479" t="s">
        <v>628</v>
      </c>
      <c r="L263" s="485"/>
      <c r="M263" s="423"/>
      <c r="N263" s="423"/>
      <c r="O263" s="423"/>
      <c r="P263" s="423"/>
      <c r="Q263" s="423"/>
      <c r="R263" s="423"/>
      <c r="S263" s="423">
        <v>15</v>
      </c>
      <c r="T263" s="423"/>
      <c r="U263" s="423"/>
      <c r="V263" s="423"/>
      <c r="W263" s="423"/>
      <c r="X263" s="423"/>
      <c r="Y263" s="423"/>
      <c r="Z263" s="423"/>
    </row>
    <row r="264" spans="1:26" hidden="1" x14ac:dyDescent="0.35">
      <c r="A264" s="476">
        <v>45839</v>
      </c>
      <c r="B264" s="505">
        <v>-1241</v>
      </c>
      <c r="C264" s="477" t="s">
        <v>619</v>
      </c>
      <c r="D264" s="477" t="s">
        <v>620</v>
      </c>
      <c r="E264" s="477" t="s">
        <v>696</v>
      </c>
      <c r="F264" s="477" t="s">
        <v>567</v>
      </c>
      <c r="G264" s="474" t="b">
        <f>IF(A264="","",IF(Daten!$AE$4=0,TRUE,MONTH(A264)=Daten!$AE$4))</f>
        <v>1</v>
      </c>
      <c r="H264" s="480" t="s">
        <v>423</v>
      </c>
      <c r="I264" s="474" t="s">
        <v>799</v>
      </c>
      <c r="J264" s="474"/>
      <c r="K264" s="477" t="s">
        <v>628</v>
      </c>
      <c r="L264" s="484"/>
      <c r="M264" s="422"/>
      <c r="N264" s="422"/>
      <c r="O264" s="422"/>
      <c r="P264" s="422"/>
      <c r="Q264" s="422"/>
      <c r="R264" s="422"/>
      <c r="S264" s="422"/>
      <c r="T264" s="422">
        <v>-1241</v>
      </c>
      <c r="U264" s="422"/>
      <c r="V264" s="422"/>
      <c r="W264" s="422"/>
      <c r="X264" s="422"/>
      <c r="Y264" s="422"/>
      <c r="Z264" s="422"/>
    </row>
    <row r="265" spans="1:26" ht="29" hidden="1" x14ac:dyDescent="0.35">
      <c r="A265" s="478">
        <v>45839</v>
      </c>
      <c r="B265" s="506">
        <v>0</v>
      </c>
      <c r="C265" s="479"/>
      <c r="D265" s="479">
        <v>3529000972</v>
      </c>
      <c r="E265" s="479" t="s">
        <v>697</v>
      </c>
      <c r="F265" s="479" t="s">
        <v>382</v>
      </c>
      <c r="G265" s="475" t="b">
        <f>IF(A265="","",IF(Daten!$AE$4=0,TRUE,MONTH(A265)=Daten!$AE$4))</f>
        <v>1</v>
      </c>
      <c r="H265" s="480" t="s">
        <v>452</v>
      </c>
      <c r="I265" s="475" t="s">
        <v>73</v>
      </c>
      <c r="J265" s="475"/>
      <c r="K265" s="479" t="s">
        <v>628</v>
      </c>
      <c r="L265" s="485" t="s">
        <v>767</v>
      </c>
      <c r="M265" s="423"/>
      <c r="N265" s="423"/>
      <c r="O265" s="423"/>
      <c r="P265" s="423"/>
      <c r="Q265" s="423"/>
      <c r="R265" s="423"/>
      <c r="S265" s="423"/>
      <c r="T265" s="423"/>
      <c r="U265" s="423"/>
      <c r="V265" s="423"/>
      <c r="W265" s="423"/>
      <c r="X265" s="423"/>
      <c r="Y265" s="423"/>
      <c r="Z265" s="423"/>
    </row>
    <row r="266" spans="1:26" hidden="1" x14ac:dyDescent="0.35">
      <c r="A266" s="476">
        <v>45839</v>
      </c>
      <c r="B266" s="505">
        <v>-5.5</v>
      </c>
      <c r="C266" s="477"/>
      <c r="D266" s="477">
        <v>0</v>
      </c>
      <c r="E266" s="477" t="s">
        <v>654</v>
      </c>
      <c r="F266" s="477" t="s">
        <v>381</v>
      </c>
      <c r="G266" s="474" t="b">
        <f>IF(A266="","",IF(Daten!$AE$4=0,TRUE,MONTH(A266)=Daten!$AE$4))</f>
        <v>1</v>
      </c>
      <c r="H266" s="480" t="s">
        <v>452</v>
      </c>
      <c r="I266" s="474" t="s">
        <v>73</v>
      </c>
      <c r="J266" s="474"/>
      <c r="K266" s="477" t="s">
        <v>628</v>
      </c>
      <c r="L266" s="484"/>
      <c r="M266" s="422"/>
      <c r="N266" s="422"/>
      <c r="O266" s="422"/>
      <c r="P266" s="422"/>
      <c r="Q266" s="422"/>
      <c r="R266" s="422"/>
      <c r="S266" s="422"/>
      <c r="T266" s="422"/>
      <c r="U266" s="422"/>
      <c r="V266" s="422"/>
      <c r="W266" s="422"/>
      <c r="X266" s="422"/>
      <c r="Y266" s="422">
        <v>-5.5</v>
      </c>
      <c r="Z266" s="422"/>
    </row>
    <row r="267" spans="1:26" hidden="1" x14ac:dyDescent="0.35">
      <c r="A267" s="478">
        <v>45840</v>
      </c>
      <c r="B267" s="506">
        <v>15</v>
      </c>
      <c r="C267" s="479" t="s">
        <v>51</v>
      </c>
      <c r="D267" s="479" t="s">
        <v>580</v>
      </c>
      <c r="E267" s="479" t="s">
        <v>384</v>
      </c>
      <c r="F267" s="479" t="s">
        <v>561</v>
      </c>
      <c r="G267" s="475" t="b">
        <f>IF(A267="","",IF(Daten!$AE$4=0,TRUE,MONTH(A267)=Daten!$AE$4))</f>
        <v>1</v>
      </c>
      <c r="H267" s="480" t="s">
        <v>415</v>
      </c>
      <c r="I267" s="475" t="s">
        <v>73</v>
      </c>
      <c r="J267" s="475"/>
      <c r="K267" s="479" t="s">
        <v>628</v>
      </c>
      <c r="L267" s="485"/>
      <c r="M267" s="423"/>
      <c r="N267" s="423"/>
      <c r="O267" s="423"/>
      <c r="P267" s="423"/>
      <c r="Q267" s="423"/>
      <c r="R267" s="423"/>
      <c r="S267" s="423">
        <v>15</v>
      </c>
      <c r="T267" s="423"/>
      <c r="U267" s="423"/>
      <c r="V267" s="423"/>
      <c r="W267" s="423"/>
      <c r="X267" s="423"/>
      <c r="Y267" s="423"/>
      <c r="Z267" s="423"/>
    </row>
    <row r="268" spans="1:26" hidden="1" x14ac:dyDescent="0.35">
      <c r="A268" s="476">
        <v>45840</v>
      </c>
      <c r="B268" s="505">
        <v>7.5</v>
      </c>
      <c r="C268" s="477" t="s">
        <v>583</v>
      </c>
      <c r="D268" s="477" t="s">
        <v>584</v>
      </c>
      <c r="E268" s="477" t="s">
        <v>642</v>
      </c>
      <c r="F268" s="477" t="s">
        <v>561</v>
      </c>
      <c r="G268" s="474" t="b">
        <f>IF(A268="","",IF(Daten!$AE$4=0,TRUE,MONTH(A268)=Daten!$AE$4))</f>
        <v>1</v>
      </c>
      <c r="H268" s="480" t="s">
        <v>306</v>
      </c>
      <c r="I268" s="474" t="s">
        <v>73</v>
      </c>
      <c r="J268" s="474"/>
      <c r="K268" s="477" t="s">
        <v>628</v>
      </c>
      <c r="L268" s="484"/>
      <c r="M268" s="422">
        <v>7.5</v>
      </c>
      <c r="N268" s="422"/>
      <c r="O268" s="422"/>
      <c r="P268" s="422"/>
      <c r="Q268" s="422"/>
      <c r="R268" s="422"/>
      <c r="S268" s="422"/>
      <c r="T268" s="422"/>
      <c r="U268" s="422"/>
      <c r="V268" s="422"/>
      <c r="W268" s="422"/>
      <c r="X268" s="422"/>
      <c r="Y268" s="422"/>
      <c r="Z268" s="422"/>
    </row>
    <row r="269" spans="1:26" hidden="1" x14ac:dyDescent="0.35">
      <c r="A269" s="478">
        <v>45840</v>
      </c>
      <c r="B269" s="506">
        <v>15</v>
      </c>
      <c r="C269" s="479" t="s">
        <v>573</v>
      </c>
      <c r="D269" s="479" t="s">
        <v>574</v>
      </c>
      <c r="E269" s="479" t="s">
        <v>641</v>
      </c>
      <c r="F269" s="479" t="s">
        <v>561</v>
      </c>
      <c r="G269" s="475" t="b">
        <f>IF(A269="","",IF(Daten!$AE$4=0,TRUE,MONTH(A269)=Daten!$AE$4))</f>
        <v>1</v>
      </c>
      <c r="H269" s="480" t="s">
        <v>415</v>
      </c>
      <c r="I269" s="475" t="s">
        <v>73</v>
      </c>
      <c r="J269" s="475"/>
      <c r="K269" s="479" t="s">
        <v>628</v>
      </c>
      <c r="L269" s="485"/>
      <c r="M269" s="423"/>
      <c r="N269" s="423"/>
      <c r="O269" s="423"/>
      <c r="P269" s="423"/>
      <c r="Q269" s="423"/>
      <c r="R269" s="423"/>
      <c r="S269" s="423">
        <v>15</v>
      </c>
      <c r="T269" s="423"/>
      <c r="U269" s="423"/>
      <c r="V269" s="423"/>
      <c r="W269" s="423"/>
      <c r="X269" s="423"/>
      <c r="Y269" s="423"/>
      <c r="Z269" s="423"/>
    </row>
    <row r="270" spans="1:26" hidden="1" x14ac:dyDescent="0.35">
      <c r="A270" s="476">
        <v>45840</v>
      </c>
      <c r="B270" s="505">
        <v>15</v>
      </c>
      <c r="C270" s="477" t="s">
        <v>583</v>
      </c>
      <c r="D270" s="477" t="s">
        <v>584</v>
      </c>
      <c r="E270" s="477" t="s">
        <v>640</v>
      </c>
      <c r="F270" s="477" t="s">
        <v>561</v>
      </c>
      <c r="G270" s="474" t="b">
        <f>IF(A270="","",IF(Daten!$AE$4=0,TRUE,MONTH(A270)=Daten!$AE$4))</f>
        <v>1</v>
      </c>
      <c r="H270" s="480" t="s">
        <v>415</v>
      </c>
      <c r="I270" s="474" t="s">
        <v>73</v>
      </c>
      <c r="J270" s="474"/>
      <c r="K270" s="477" t="s">
        <v>628</v>
      </c>
      <c r="L270" s="484"/>
      <c r="M270" s="422"/>
      <c r="N270" s="422"/>
      <c r="O270" s="422"/>
      <c r="P270" s="422"/>
      <c r="Q270" s="422"/>
      <c r="R270" s="422"/>
      <c r="S270" s="422">
        <v>15</v>
      </c>
      <c r="T270" s="422"/>
      <c r="U270" s="422"/>
      <c r="V270" s="422"/>
      <c r="W270" s="422"/>
      <c r="X270" s="422"/>
      <c r="Y270" s="422"/>
      <c r="Z270" s="422"/>
    </row>
    <row r="271" spans="1:26" hidden="1" x14ac:dyDescent="0.35">
      <c r="A271" s="478">
        <v>45840</v>
      </c>
      <c r="B271" s="506">
        <v>15</v>
      </c>
      <c r="C271" s="479" t="s">
        <v>66</v>
      </c>
      <c r="D271" s="479" t="s">
        <v>585</v>
      </c>
      <c r="E271" s="479" t="s">
        <v>644</v>
      </c>
      <c r="F271" s="479" t="s">
        <v>561</v>
      </c>
      <c r="G271" s="475" t="b">
        <f>IF(A271="","",IF(Daten!$AE$4=0,TRUE,MONTH(A271)=Daten!$AE$4))</f>
        <v>1</v>
      </c>
      <c r="H271" s="480" t="s">
        <v>415</v>
      </c>
      <c r="I271" s="475" t="s">
        <v>73</v>
      </c>
      <c r="J271" s="475"/>
      <c r="K271" s="479" t="s">
        <v>628</v>
      </c>
      <c r="L271" s="485"/>
      <c r="M271" s="423"/>
      <c r="N271" s="423"/>
      <c r="O271" s="423"/>
      <c r="P271" s="423"/>
      <c r="Q271" s="423"/>
      <c r="R271" s="423"/>
      <c r="S271" s="423">
        <v>15</v>
      </c>
      <c r="T271" s="423"/>
      <c r="U271" s="423"/>
      <c r="V271" s="423"/>
      <c r="W271" s="423"/>
      <c r="X271" s="423"/>
      <c r="Y271" s="423"/>
      <c r="Z271" s="423"/>
    </row>
    <row r="272" spans="1:26" hidden="1" x14ac:dyDescent="0.35">
      <c r="A272" s="476">
        <v>45840</v>
      </c>
      <c r="B272" s="505">
        <v>15</v>
      </c>
      <c r="C272" s="477" t="s">
        <v>588</v>
      </c>
      <c r="D272" s="477" t="s">
        <v>589</v>
      </c>
      <c r="E272" s="477" t="s">
        <v>385</v>
      </c>
      <c r="F272" s="477" t="s">
        <v>561</v>
      </c>
      <c r="G272" s="474" t="b">
        <f>IF(A272="","",IF(Daten!$AE$4=0,TRUE,MONTH(A272)=Daten!$AE$4))</f>
        <v>1</v>
      </c>
      <c r="H272" s="480" t="s">
        <v>415</v>
      </c>
      <c r="I272" s="474" t="s">
        <v>73</v>
      </c>
      <c r="J272" s="474"/>
      <c r="K272" s="477" t="s">
        <v>628</v>
      </c>
      <c r="L272" s="484"/>
      <c r="M272" s="422"/>
      <c r="N272" s="422"/>
      <c r="O272" s="422"/>
      <c r="P272" s="422"/>
      <c r="Q272" s="422"/>
      <c r="R272" s="422"/>
      <c r="S272" s="422">
        <v>15</v>
      </c>
      <c r="T272" s="422"/>
      <c r="U272" s="422"/>
      <c r="V272" s="422"/>
      <c r="W272" s="422"/>
      <c r="X272" s="422"/>
      <c r="Y272" s="422"/>
      <c r="Z272" s="422"/>
    </row>
    <row r="273" spans="1:26" hidden="1" x14ac:dyDescent="0.35">
      <c r="A273" s="478">
        <v>45840</v>
      </c>
      <c r="B273" s="506">
        <v>7.5</v>
      </c>
      <c r="C273" s="479" t="s">
        <v>66</v>
      </c>
      <c r="D273" s="479" t="s">
        <v>585</v>
      </c>
      <c r="E273" s="479" t="s">
        <v>643</v>
      </c>
      <c r="F273" s="479" t="s">
        <v>561</v>
      </c>
      <c r="G273" s="475" t="b">
        <f>IF(A273="","",IF(Daten!$AE$4=0,TRUE,MONTH(A273)=Daten!$AE$4))</f>
        <v>1</v>
      </c>
      <c r="H273" s="480" t="s">
        <v>306</v>
      </c>
      <c r="I273" s="475" t="s">
        <v>73</v>
      </c>
      <c r="J273" s="475"/>
      <c r="K273" s="479" t="s">
        <v>628</v>
      </c>
      <c r="L273" s="485"/>
      <c r="M273" s="423">
        <v>7.5</v>
      </c>
      <c r="N273" s="423"/>
      <c r="O273" s="423"/>
      <c r="P273" s="423"/>
      <c r="Q273" s="423"/>
      <c r="R273" s="423"/>
      <c r="S273" s="423"/>
      <c r="T273" s="423"/>
      <c r="U273" s="423"/>
      <c r="V273" s="423"/>
      <c r="W273" s="423"/>
      <c r="X273" s="423"/>
      <c r="Y273" s="423"/>
      <c r="Z273" s="423"/>
    </row>
    <row r="274" spans="1:26" hidden="1" x14ac:dyDescent="0.35">
      <c r="A274" s="476">
        <v>45840</v>
      </c>
      <c r="B274" s="505">
        <v>15</v>
      </c>
      <c r="C274" s="477" t="s">
        <v>586</v>
      </c>
      <c r="D274" s="477" t="s">
        <v>587</v>
      </c>
      <c r="E274" s="477" t="s">
        <v>645</v>
      </c>
      <c r="F274" s="477" t="s">
        <v>561</v>
      </c>
      <c r="G274" s="474" t="b">
        <f>IF(A274="","",IF(Daten!$AE$4=0,TRUE,MONTH(A274)=Daten!$AE$4))</f>
        <v>1</v>
      </c>
      <c r="H274" s="480" t="s">
        <v>415</v>
      </c>
      <c r="I274" s="474" t="s">
        <v>73</v>
      </c>
      <c r="J274" s="474"/>
      <c r="K274" s="477" t="s">
        <v>628</v>
      </c>
      <c r="L274" s="484"/>
      <c r="M274" s="422"/>
      <c r="N274" s="422"/>
      <c r="O274" s="422"/>
      <c r="P274" s="422"/>
      <c r="Q274" s="422"/>
      <c r="R274" s="422"/>
      <c r="S274" s="422">
        <v>15</v>
      </c>
      <c r="T274" s="422"/>
      <c r="U274" s="422"/>
      <c r="V274" s="422"/>
      <c r="W274" s="422"/>
      <c r="X274" s="422"/>
      <c r="Y274" s="422"/>
      <c r="Z274" s="422"/>
    </row>
    <row r="275" spans="1:26" hidden="1" x14ac:dyDescent="0.35">
      <c r="A275" s="478">
        <v>45840</v>
      </c>
      <c r="B275" s="506">
        <v>15</v>
      </c>
      <c r="C275" s="479" t="s">
        <v>575</v>
      </c>
      <c r="D275" s="479" t="s">
        <v>576</v>
      </c>
      <c r="E275" s="479" t="s">
        <v>646</v>
      </c>
      <c r="F275" s="479" t="s">
        <v>561</v>
      </c>
      <c r="G275" s="475" t="b">
        <f>IF(A275="","",IF(Daten!$AE$4=0,TRUE,MONTH(A275)=Daten!$AE$4))</f>
        <v>1</v>
      </c>
      <c r="H275" s="480" t="s">
        <v>306</v>
      </c>
      <c r="I275" s="475" t="s">
        <v>73</v>
      </c>
      <c r="J275" s="475"/>
      <c r="K275" s="479" t="s">
        <v>628</v>
      </c>
      <c r="L275" s="485"/>
      <c r="M275" s="423">
        <v>15</v>
      </c>
      <c r="N275" s="423"/>
      <c r="O275" s="423"/>
      <c r="P275" s="423"/>
      <c r="Q275" s="423"/>
      <c r="R275" s="423"/>
      <c r="S275" s="423"/>
      <c r="T275" s="423"/>
      <c r="U275" s="423"/>
      <c r="V275" s="423"/>
      <c r="W275" s="423"/>
      <c r="X275" s="423"/>
      <c r="Y275" s="423"/>
      <c r="Z275" s="423"/>
    </row>
    <row r="276" spans="1:26" ht="29" x14ac:dyDescent="0.35">
      <c r="A276" s="476">
        <v>45841</v>
      </c>
      <c r="B276" s="505">
        <v>0.01</v>
      </c>
      <c r="C276" s="477" t="s">
        <v>613</v>
      </c>
      <c r="D276" s="477" t="s">
        <v>614</v>
      </c>
      <c r="E276" s="477" t="s">
        <v>695</v>
      </c>
      <c r="F276" s="477" t="s">
        <v>590</v>
      </c>
      <c r="G276" s="474" t="b">
        <f>IF(A276="","",IF(Daten!$AE$4=0,TRUE,MONTH(A276)=Daten!$AE$4))</f>
        <v>1</v>
      </c>
      <c r="H276" s="426" t="s">
        <v>821</v>
      </c>
      <c r="I276" s="474" t="s">
        <v>73</v>
      </c>
      <c r="J276" s="474"/>
      <c r="K276" s="477" t="s">
        <v>628</v>
      </c>
      <c r="L276" s="484" t="s">
        <v>788</v>
      </c>
      <c r="M276" s="422"/>
      <c r="N276" s="422"/>
      <c r="O276" s="422"/>
      <c r="P276" s="422"/>
      <c r="Q276" s="422"/>
      <c r="R276" s="422"/>
      <c r="S276" s="422"/>
      <c r="T276" s="422"/>
      <c r="U276" s="422"/>
      <c r="V276" s="422"/>
      <c r="W276" s="422"/>
      <c r="X276" s="422"/>
      <c r="Y276" s="422"/>
      <c r="Z276" s="422"/>
    </row>
    <row r="277" spans="1:26" hidden="1" x14ac:dyDescent="0.35">
      <c r="A277" s="478">
        <v>45841</v>
      </c>
      <c r="B277" s="506">
        <v>7.5</v>
      </c>
      <c r="C277" s="479" t="s">
        <v>51</v>
      </c>
      <c r="D277" s="479" t="s">
        <v>580</v>
      </c>
      <c r="E277" s="479" t="s">
        <v>637</v>
      </c>
      <c r="F277" s="479" t="s">
        <v>561</v>
      </c>
      <c r="G277" s="475" t="b">
        <f>IF(A277="","",IF(Daten!$AE$4=0,TRUE,MONTH(A277)=Daten!$AE$4))</f>
        <v>1</v>
      </c>
      <c r="H277" s="480" t="s">
        <v>306</v>
      </c>
      <c r="I277" s="475" t="s">
        <v>73</v>
      </c>
      <c r="J277" s="475"/>
      <c r="K277" s="479" t="s">
        <v>628</v>
      </c>
      <c r="L277" s="485"/>
      <c r="M277" s="423">
        <v>7.5</v>
      </c>
      <c r="N277" s="423"/>
      <c r="O277" s="423"/>
      <c r="P277" s="423"/>
      <c r="Q277" s="423"/>
      <c r="R277" s="423"/>
      <c r="S277" s="423"/>
      <c r="T277" s="423"/>
      <c r="U277" s="423"/>
      <c r="V277" s="423"/>
      <c r="W277" s="423"/>
      <c r="X277" s="423"/>
      <c r="Y277" s="423"/>
      <c r="Z277" s="423"/>
    </row>
    <row r="278" spans="1:26" hidden="1" x14ac:dyDescent="0.35">
      <c r="A278" s="476">
        <v>45841</v>
      </c>
      <c r="B278" s="505">
        <v>15</v>
      </c>
      <c r="C278" s="477" t="s">
        <v>618</v>
      </c>
      <c r="D278" s="477" t="s">
        <v>582</v>
      </c>
      <c r="E278" s="477" t="s">
        <v>638</v>
      </c>
      <c r="F278" s="477" t="s">
        <v>561</v>
      </c>
      <c r="G278" s="474" t="b">
        <f>IF(A278="","",IF(Daten!$AE$4=0,TRUE,MONTH(A278)=Daten!$AE$4))</f>
        <v>1</v>
      </c>
      <c r="H278" s="480" t="s">
        <v>306</v>
      </c>
      <c r="I278" s="474" t="s">
        <v>73</v>
      </c>
      <c r="J278" s="474"/>
      <c r="K278" s="477" t="s">
        <v>628</v>
      </c>
      <c r="L278" s="484"/>
      <c r="M278" s="422">
        <v>15</v>
      </c>
      <c r="N278" s="422"/>
      <c r="O278" s="422"/>
      <c r="P278" s="422"/>
      <c r="Q278" s="422"/>
      <c r="R278" s="422"/>
      <c r="S278" s="422"/>
      <c r="T278" s="422"/>
      <c r="U278" s="422"/>
      <c r="V278" s="422"/>
      <c r="W278" s="422"/>
      <c r="X278" s="422"/>
      <c r="Y278" s="422"/>
      <c r="Z278" s="422"/>
    </row>
    <row r="279" spans="1:26" hidden="1" x14ac:dyDescent="0.35">
      <c r="A279" s="478">
        <v>45845</v>
      </c>
      <c r="B279" s="506">
        <v>15</v>
      </c>
      <c r="C279" s="479" t="s">
        <v>575</v>
      </c>
      <c r="D279" s="479" t="s">
        <v>576</v>
      </c>
      <c r="E279" s="479" t="s">
        <v>633</v>
      </c>
      <c r="F279" s="479" t="s">
        <v>561</v>
      </c>
      <c r="G279" s="475" t="b">
        <f>IF(A279="","",IF(Daten!$AE$4=0,TRUE,MONTH(A279)=Daten!$AE$4))</f>
        <v>1</v>
      </c>
      <c r="H279" s="480" t="s">
        <v>415</v>
      </c>
      <c r="I279" s="475" t="s">
        <v>73</v>
      </c>
      <c r="J279" s="475"/>
      <c r="K279" s="479" t="s">
        <v>628</v>
      </c>
      <c r="L279" s="485"/>
      <c r="M279" s="423"/>
      <c r="N279" s="423"/>
      <c r="O279" s="423"/>
      <c r="P279" s="423"/>
      <c r="Q279" s="423"/>
      <c r="R279" s="423"/>
      <c r="S279" s="423">
        <v>15</v>
      </c>
      <c r="T279" s="423"/>
      <c r="U279" s="423"/>
      <c r="V279" s="423"/>
      <c r="W279" s="423"/>
      <c r="X279" s="423"/>
      <c r="Y279" s="423"/>
      <c r="Z279" s="423"/>
    </row>
    <row r="280" spans="1:26" hidden="1" x14ac:dyDescent="0.35">
      <c r="A280" s="476">
        <v>45845</v>
      </c>
      <c r="B280" s="505">
        <v>-431.49</v>
      </c>
      <c r="C280" s="477" t="s">
        <v>616</v>
      </c>
      <c r="D280" s="477" t="s">
        <v>617</v>
      </c>
      <c r="E280" s="477" t="s">
        <v>693</v>
      </c>
      <c r="F280" s="477" t="s">
        <v>567</v>
      </c>
      <c r="G280" s="474" t="b">
        <f>IF(A280="","",IF(Daten!$AE$4=0,TRUE,MONTH(A280)=Daten!$AE$4))</f>
        <v>1</v>
      </c>
      <c r="H280" s="480" t="s">
        <v>379</v>
      </c>
      <c r="I280" s="474" t="s">
        <v>799</v>
      </c>
      <c r="J280" s="474"/>
      <c r="K280" s="477" t="s">
        <v>628</v>
      </c>
      <c r="L280" s="484"/>
      <c r="M280" s="422"/>
      <c r="N280" s="422"/>
      <c r="O280" s="422"/>
      <c r="P280" s="422"/>
      <c r="Q280" s="422"/>
      <c r="R280" s="422"/>
      <c r="S280" s="422"/>
      <c r="T280" s="422">
        <v>-431.49</v>
      </c>
      <c r="U280" s="422"/>
      <c r="V280" s="422"/>
      <c r="W280" s="422"/>
      <c r="X280" s="422"/>
      <c r="Y280" s="422"/>
      <c r="Z280" s="422"/>
    </row>
    <row r="281" spans="1:26" hidden="1" x14ac:dyDescent="0.35">
      <c r="A281" s="478">
        <v>45845</v>
      </c>
      <c r="B281" s="506">
        <v>-471</v>
      </c>
      <c r="C281" s="479" t="s">
        <v>578</v>
      </c>
      <c r="D281" s="479" t="s">
        <v>579</v>
      </c>
      <c r="E281" s="479" t="s">
        <v>694</v>
      </c>
      <c r="F281" s="479" t="s">
        <v>567</v>
      </c>
      <c r="G281" s="475" t="b">
        <f>IF(A281="","",IF(Daten!$AE$4=0,TRUE,MONTH(A281)=Daten!$AE$4))</f>
        <v>1</v>
      </c>
      <c r="H281" s="480" t="s">
        <v>451</v>
      </c>
      <c r="I281" s="475" t="s">
        <v>73</v>
      </c>
      <c r="J281" s="475"/>
      <c r="K281" s="479" t="s">
        <v>628</v>
      </c>
      <c r="L281" s="485"/>
      <c r="M281" s="423"/>
      <c r="N281" s="423"/>
      <c r="O281" s="423"/>
      <c r="P281" s="423"/>
      <c r="Q281" s="423"/>
      <c r="R281" s="423"/>
      <c r="S281" s="423"/>
      <c r="T281" s="423">
        <v>-471</v>
      </c>
      <c r="U281" s="423"/>
      <c r="V281" s="423"/>
      <c r="W281" s="423"/>
      <c r="X281" s="423"/>
      <c r="Y281" s="423"/>
      <c r="Z281" s="423"/>
    </row>
    <row r="282" spans="1:26" hidden="1" x14ac:dyDescent="0.35">
      <c r="A282" s="476">
        <v>45852</v>
      </c>
      <c r="B282" s="505">
        <v>60</v>
      </c>
      <c r="C282" s="477" t="s">
        <v>591</v>
      </c>
      <c r="D282" s="477" t="s">
        <v>592</v>
      </c>
      <c r="E282" s="477" t="s">
        <v>666</v>
      </c>
      <c r="F282" s="477" t="s">
        <v>590</v>
      </c>
      <c r="G282" s="474" t="b">
        <f>IF(A282="","",IF(Daten!$AE$4=0,TRUE,MONTH(A282)=Daten!$AE$4))</f>
        <v>1</v>
      </c>
      <c r="H282" s="480" t="s">
        <v>425</v>
      </c>
      <c r="I282" s="474" t="s">
        <v>73</v>
      </c>
      <c r="J282" s="474"/>
      <c r="K282" s="477" t="s">
        <v>628</v>
      </c>
      <c r="L282" s="484"/>
      <c r="M282" s="422"/>
      <c r="N282" s="422"/>
      <c r="O282" s="422"/>
      <c r="P282" s="422"/>
      <c r="Q282" s="422"/>
      <c r="R282" s="422"/>
      <c r="S282" s="422">
        <v>60</v>
      </c>
      <c r="T282" s="422"/>
      <c r="U282" s="422"/>
      <c r="V282" s="422"/>
      <c r="W282" s="422"/>
      <c r="X282" s="422"/>
      <c r="Y282" s="422"/>
      <c r="Z282" s="422"/>
    </row>
    <row r="283" spans="1:26" hidden="1" x14ac:dyDescent="0.35">
      <c r="A283" s="478">
        <v>45852</v>
      </c>
      <c r="B283" s="506">
        <v>15</v>
      </c>
      <c r="C283" s="479" t="s">
        <v>591</v>
      </c>
      <c r="D283" s="479" t="s">
        <v>592</v>
      </c>
      <c r="E283" s="479" t="s">
        <v>385</v>
      </c>
      <c r="F283" s="479" t="s">
        <v>590</v>
      </c>
      <c r="G283" s="475" t="b">
        <f>IF(A283="","",IF(Daten!$AE$4=0,TRUE,MONTH(A283)=Daten!$AE$4))</f>
        <v>1</v>
      </c>
      <c r="H283" s="480" t="s">
        <v>415</v>
      </c>
      <c r="I283" s="475" t="s">
        <v>73</v>
      </c>
      <c r="J283" s="475"/>
      <c r="K283" s="479" t="s">
        <v>628</v>
      </c>
      <c r="L283" s="485"/>
      <c r="M283" s="423"/>
      <c r="N283" s="423"/>
      <c r="O283" s="423"/>
      <c r="P283" s="423"/>
      <c r="Q283" s="423"/>
      <c r="R283" s="423"/>
      <c r="S283" s="423">
        <v>15</v>
      </c>
      <c r="T283" s="423"/>
      <c r="U283" s="423"/>
      <c r="V283" s="423"/>
      <c r="W283" s="423"/>
      <c r="X283" s="423"/>
      <c r="Y283" s="423"/>
      <c r="Z283" s="423"/>
    </row>
    <row r="284" spans="1:26" hidden="1" x14ac:dyDescent="0.35">
      <c r="A284" s="476">
        <v>45853</v>
      </c>
      <c r="B284" s="505">
        <v>-80.11</v>
      </c>
      <c r="C284" s="477" t="s">
        <v>602</v>
      </c>
      <c r="D284" s="477" t="s">
        <v>603</v>
      </c>
      <c r="E284" s="477" t="s">
        <v>692</v>
      </c>
      <c r="F284" s="477" t="s">
        <v>615</v>
      </c>
      <c r="G284" s="474" t="b">
        <f>IF(A284="","",IF(Daten!$AE$4=0,TRUE,MONTH(A284)=Daten!$AE$4))</f>
        <v>1</v>
      </c>
      <c r="H284" s="480" t="s">
        <v>390</v>
      </c>
      <c r="I284" s="474" t="s">
        <v>73</v>
      </c>
      <c r="J284" s="474"/>
      <c r="K284" s="477" t="s">
        <v>628</v>
      </c>
      <c r="L284" s="484"/>
      <c r="M284" s="422"/>
      <c r="N284" s="422"/>
      <c r="O284" s="422"/>
      <c r="P284" s="422"/>
      <c r="Q284" s="422"/>
      <c r="R284" s="422"/>
      <c r="S284" s="422"/>
      <c r="T284" s="422">
        <v>-80.11</v>
      </c>
      <c r="U284" s="422"/>
      <c r="V284" s="422"/>
      <c r="W284" s="422"/>
      <c r="X284" s="422"/>
      <c r="Y284" s="422"/>
      <c r="Z284" s="422"/>
    </row>
    <row r="285" spans="1:26" hidden="1" x14ac:dyDescent="0.35">
      <c r="A285" s="478">
        <v>45853</v>
      </c>
      <c r="B285" s="506">
        <v>-138</v>
      </c>
      <c r="C285" s="479" t="s">
        <v>568</v>
      </c>
      <c r="D285" s="479" t="s">
        <v>569</v>
      </c>
      <c r="E285" s="479" t="s">
        <v>630</v>
      </c>
      <c r="F285" s="479" t="s">
        <v>567</v>
      </c>
      <c r="G285" s="475" t="b">
        <f>IF(A285="","",IF(Daten!$AE$4=0,TRUE,MONTH(A285)=Daten!$AE$4))</f>
        <v>1</v>
      </c>
      <c r="H285" s="480" t="s">
        <v>459</v>
      </c>
      <c r="I285" s="475" t="s">
        <v>73</v>
      </c>
      <c r="J285" s="475"/>
      <c r="K285" s="479" t="s">
        <v>628</v>
      </c>
      <c r="L285" s="485"/>
      <c r="M285" s="423"/>
      <c r="N285" s="423"/>
      <c r="O285" s="423"/>
      <c r="P285" s="423"/>
      <c r="Q285" s="423"/>
      <c r="R285" s="423"/>
      <c r="S285" s="423"/>
      <c r="T285" s="423">
        <v>-138</v>
      </c>
      <c r="U285" s="423"/>
      <c r="V285" s="423"/>
      <c r="W285" s="423"/>
      <c r="X285" s="423"/>
      <c r="Y285" s="423"/>
      <c r="Z285" s="423"/>
    </row>
    <row r="286" spans="1:26" hidden="1" x14ac:dyDescent="0.35">
      <c r="A286" s="476">
        <v>45853</v>
      </c>
      <c r="B286" s="505">
        <v>-365.24</v>
      </c>
      <c r="C286" s="477" t="s">
        <v>634</v>
      </c>
      <c r="D286" s="477" t="s">
        <v>577</v>
      </c>
      <c r="E286" s="477" t="s">
        <v>673</v>
      </c>
      <c r="F286" s="477" t="s">
        <v>567</v>
      </c>
      <c r="G286" s="474" t="b">
        <f>IF(A286="","",IF(Daten!$AE$4=0,TRUE,MONTH(A286)=Daten!$AE$4))</f>
        <v>1</v>
      </c>
      <c r="H286" s="480" t="s">
        <v>445</v>
      </c>
      <c r="I286" s="474" t="s">
        <v>802</v>
      </c>
      <c r="J286" s="474"/>
      <c r="K286" s="477" t="s">
        <v>628</v>
      </c>
      <c r="L286" s="484"/>
      <c r="M286" s="422"/>
      <c r="N286" s="422"/>
      <c r="O286" s="422"/>
      <c r="P286" s="422"/>
      <c r="Q286" s="422"/>
      <c r="R286" s="422"/>
      <c r="S286" s="422"/>
      <c r="T286" s="422">
        <v>-365.24</v>
      </c>
      <c r="U286" s="422"/>
      <c r="V286" s="422"/>
      <c r="W286" s="422"/>
      <c r="X286" s="422"/>
      <c r="Y286" s="422"/>
      <c r="Z286" s="422"/>
    </row>
    <row r="287" spans="1:26" hidden="1" x14ac:dyDescent="0.35">
      <c r="A287" s="478">
        <v>45854</v>
      </c>
      <c r="B287" s="506">
        <v>108.63</v>
      </c>
      <c r="C287" s="479" t="s">
        <v>562</v>
      </c>
      <c r="D287" s="479" t="s">
        <v>563</v>
      </c>
      <c r="E287" s="479" t="s">
        <v>689</v>
      </c>
      <c r="F287" s="479" t="s">
        <v>590</v>
      </c>
      <c r="G287" s="475" t="b">
        <f>IF(A287="","",IF(Daten!$AE$4=0,TRUE,MONTH(A287)=Daten!$AE$4))</f>
        <v>1</v>
      </c>
      <c r="H287" s="480" t="s">
        <v>419</v>
      </c>
      <c r="I287" s="475" t="s">
        <v>799</v>
      </c>
      <c r="J287" s="475"/>
      <c r="K287" s="479" t="s">
        <v>628</v>
      </c>
      <c r="L287" s="485"/>
      <c r="M287" s="423"/>
      <c r="N287" s="423"/>
      <c r="O287" s="423"/>
      <c r="P287" s="423"/>
      <c r="Q287" s="423"/>
      <c r="R287" s="423"/>
      <c r="S287" s="423">
        <v>108.63</v>
      </c>
      <c r="T287" s="423"/>
      <c r="U287" s="423"/>
      <c r="V287" s="423"/>
      <c r="W287" s="423"/>
      <c r="X287" s="423"/>
      <c r="Y287" s="423"/>
      <c r="Z287" s="423"/>
    </row>
    <row r="288" spans="1:26" ht="29" x14ac:dyDescent="0.35">
      <c r="A288" s="476">
        <v>45854</v>
      </c>
      <c r="B288" s="505">
        <v>-46.61</v>
      </c>
      <c r="C288" s="477" t="s">
        <v>613</v>
      </c>
      <c r="D288" s="477" t="s">
        <v>614</v>
      </c>
      <c r="E288" s="477" t="s">
        <v>690</v>
      </c>
      <c r="F288" s="477" t="s">
        <v>564</v>
      </c>
      <c r="G288" s="474" t="b">
        <f>IF(A288="","",IF(Daten!$AE$4=0,TRUE,MONTH(A288)=Daten!$AE$4))</f>
        <v>1</v>
      </c>
      <c r="H288" s="426" t="s">
        <v>821</v>
      </c>
      <c r="I288" s="474" t="s">
        <v>73</v>
      </c>
      <c r="J288" s="474"/>
      <c r="K288" s="477" t="s">
        <v>628</v>
      </c>
      <c r="L288" s="484" t="s">
        <v>788</v>
      </c>
      <c r="M288" s="422"/>
      <c r="N288" s="422"/>
      <c r="O288" s="422"/>
      <c r="P288" s="422"/>
      <c r="Q288" s="422"/>
      <c r="R288" s="422"/>
      <c r="S288" s="422"/>
      <c r="T288" s="422"/>
      <c r="U288" s="422"/>
      <c r="V288" s="422"/>
      <c r="W288" s="422"/>
      <c r="X288" s="422"/>
      <c r="Y288" s="422"/>
      <c r="Z288" s="422"/>
    </row>
    <row r="289" spans="1:26" hidden="1" x14ac:dyDescent="0.35">
      <c r="A289" s="478">
        <v>45854</v>
      </c>
      <c r="B289" s="506">
        <v>-59.94</v>
      </c>
      <c r="C289" s="479" t="s">
        <v>570</v>
      </c>
      <c r="D289" s="479" t="s">
        <v>571</v>
      </c>
      <c r="E289" s="479" t="s">
        <v>691</v>
      </c>
      <c r="F289" s="479" t="s">
        <v>567</v>
      </c>
      <c r="G289" s="475" t="b">
        <f>IF(A289="","",IF(Daten!$AE$4=0,TRUE,MONTH(A289)=Daten!$AE$4))</f>
        <v>1</v>
      </c>
      <c r="H289" s="480" t="s">
        <v>389</v>
      </c>
      <c r="I289" s="475" t="s">
        <v>73</v>
      </c>
      <c r="J289" s="475"/>
      <c r="K289" s="479" t="s">
        <v>628</v>
      </c>
      <c r="L289" s="485"/>
      <c r="M289" s="423"/>
      <c r="N289" s="423"/>
      <c r="O289" s="423"/>
      <c r="P289" s="423"/>
      <c r="Q289" s="423"/>
      <c r="R289" s="423"/>
      <c r="S289" s="423"/>
      <c r="T289" s="423">
        <v>-59.94</v>
      </c>
      <c r="U289" s="423"/>
      <c r="V289" s="423"/>
      <c r="W289" s="423"/>
      <c r="X289" s="423"/>
      <c r="Y289" s="423"/>
      <c r="Z289" s="423"/>
    </row>
    <row r="290" spans="1:26" hidden="1" x14ac:dyDescent="0.35">
      <c r="A290" s="476">
        <v>45856</v>
      </c>
      <c r="B290" s="505">
        <v>15</v>
      </c>
      <c r="C290" s="477" t="s">
        <v>562</v>
      </c>
      <c r="D290" s="477" t="s">
        <v>563</v>
      </c>
      <c r="E290" s="477" t="s">
        <v>627</v>
      </c>
      <c r="F290" s="477" t="s">
        <v>561</v>
      </c>
      <c r="G290" s="474" t="b">
        <f>IF(A290="","",IF(Daten!$AE$4=0,TRUE,MONTH(A290)=Daten!$AE$4))</f>
        <v>1</v>
      </c>
      <c r="H290" s="480" t="s">
        <v>415</v>
      </c>
      <c r="I290" s="474" t="s">
        <v>73</v>
      </c>
      <c r="J290" s="474"/>
      <c r="K290" s="477" t="s">
        <v>628</v>
      </c>
      <c r="L290" s="484"/>
      <c r="M290" s="422"/>
      <c r="N290" s="422"/>
      <c r="O290" s="422"/>
      <c r="P290" s="422"/>
      <c r="Q290" s="422"/>
      <c r="R290" s="422"/>
      <c r="S290" s="422">
        <v>15</v>
      </c>
      <c r="T290" s="422"/>
      <c r="U290" s="422"/>
      <c r="V290" s="422"/>
      <c r="W290" s="422"/>
      <c r="X290" s="422"/>
      <c r="Y290" s="422"/>
      <c r="Z290" s="422"/>
    </row>
    <row r="291" spans="1:26" hidden="1" x14ac:dyDescent="0.35">
      <c r="A291" s="478">
        <v>45859</v>
      </c>
      <c r="B291" s="506">
        <v>108.63</v>
      </c>
      <c r="C291" s="479" t="s">
        <v>609</v>
      </c>
      <c r="D291" s="479" t="s">
        <v>585</v>
      </c>
      <c r="E291" s="479" t="s">
        <v>688</v>
      </c>
      <c r="F291" s="479" t="s">
        <v>572</v>
      </c>
      <c r="G291" s="475" t="b">
        <f>IF(A291="","",IF(Daten!$AE$4=0,TRUE,MONTH(A291)=Daten!$AE$4))</f>
        <v>1</v>
      </c>
      <c r="H291" s="480" t="s">
        <v>419</v>
      </c>
      <c r="I291" s="475" t="s">
        <v>799</v>
      </c>
      <c r="J291" s="475"/>
      <c r="K291" s="479" t="s">
        <v>628</v>
      </c>
      <c r="L291" s="485"/>
      <c r="M291" s="423"/>
      <c r="N291" s="423"/>
      <c r="O291" s="423"/>
      <c r="P291" s="423"/>
      <c r="Q291" s="423"/>
      <c r="R291" s="423"/>
      <c r="S291" s="423">
        <v>108.63</v>
      </c>
      <c r="T291" s="423"/>
      <c r="U291" s="423"/>
      <c r="V291" s="423"/>
      <c r="W291" s="423"/>
      <c r="X291" s="423"/>
      <c r="Y291" s="423"/>
      <c r="Z291" s="423"/>
    </row>
    <row r="292" spans="1:26" hidden="1" x14ac:dyDescent="0.35">
      <c r="A292" s="476">
        <v>45862</v>
      </c>
      <c r="B292" s="505">
        <v>108.63</v>
      </c>
      <c r="C292" s="477" t="s">
        <v>608</v>
      </c>
      <c r="D292" s="477" t="s">
        <v>593</v>
      </c>
      <c r="E292" s="477" t="s">
        <v>681</v>
      </c>
      <c r="F292" s="477" t="s">
        <v>572</v>
      </c>
      <c r="G292" s="474" t="b">
        <f>IF(A292="","",IF(Daten!$AE$4=0,TRUE,MONTH(A292)=Daten!$AE$4))</f>
        <v>1</v>
      </c>
      <c r="H292" s="480" t="s">
        <v>419</v>
      </c>
      <c r="I292" s="474" t="s">
        <v>799</v>
      </c>
      <c r="J292" s="474"/>
      <c r="K292" s="477" t="s">
        <v>628</v>
      </c>
      <c r="L292" s="484"/>
      <c r="M292" s="422"/>
      <c r="N292" s="422"/>
      <c r="O292" s="422"/>
      <c r="P292" s="422"/>
      <c r="Q292" s="422"/>
      <c r="R292" s="422"/>
      <c r="S292" s="422">
        <v>108.63</v>
      </c>
      <c r="T292" s="422"/>
      <c r="U292" s="422"/>
      <c r="V292" s="422"/>
      <c r="W292" s="422"/>
      <c r="X292" s="422"/>
      <c r="Y292" s="422"/>
      <c r="Z292" s="422"/>
    </row>
    <row r="293" spans="1:26" hidden="1" x14ac:dyDescent="0.35">
      <c r="A293" s="478">
        <v>45863</v>
      </c>
      <c r="B293" s="506">
        <v>108.63</v>
      </c>
      <c r="C293" s="479" t="s">
        <v>612</v>
      </c>
      <c r="D293" s="479" t="s">
        <v>584</v>
      </c>
      <c r="E293" s="479" t="s">
        <v>687</v>
      </c>
      <c r="F293" s="479" t="s">
        <v>572</v>
      </c>
      <c r="G293" s="475" t="b">
        <f>IF(A293="","",IF(Daten!$AE$4=0,TRUE,MONTH(A293)=Daten!$AE$4))</f>
        <v>1</v>
      </c>
      <c r="H293" s="480" t="s">
        <v>419</v>
      </c>
      <c r="I293" s="475" t="s">
        <v>799</v>
      </c>
      <c r="J293" s="475"/>
      <c r="K293" s="479" t="s">
        <v>628</v>
      </c>
      <c r="L293" s="485"/>
      <c r="M293" s="423"/>
      <c r="N293" s="423"/>
      <c r="O293" s="423"/>
      <c r="P293" s="423"/>
      <c r="Q293" s="423"/>
      <c r="R293" s="423"/>
      <c r="S293" s="423">
        <v>108.63</v>
      </c>
      <c r="T293" s="423"/>
      <c r="U293" s="423"/>
      <c r="V293" s="423"/>
      <c r="W293" s="423"/>
      <c r="X293" s="423"/>
      <c r="Y293" s="423"/>
      <c r="Z293" s="423"/>
    </row>
    <row r="294" spans="1:26" hidden="1" x14ac:dyDescent="0.35">
      <c r="A294" s="476">
        <v>45863</v>
      </c>
      <c r="B294" s="505">
        <v>15</v>
      </c>
      <c r="C294" s="477" t="s">
        <v>594</v>
      </c>
      <c r="D294" s="477" t="s">
        <v>595</v>
      </c>
      <c r="E294" s="477" t="s">
        <v>657</v>
      </c>
      <c r="F294" s="477" t="s">
        <v>561</v>
      </c>
      <c r="G294" s="474" t="b">
        <f>IF(A294="","",IF(Daten!$AE$4=0,TRUE,MONTH(A294)=Daten!$AE$4))</f>
        <v>1</v>
      </c>
      <c r="H294" s="480" t="s">
        <v>415</v>
      </c>
      <c r="I294" s="474" t="s">
        <v>73</v>
      </c>
      <c r="J294" s="474"/>
      <c r="K294" s="477" t="s">
        <v>628</v>
      </c>
      <c r="L294" s="484"/>
      <c r="M294" s="422"/>
      <c r="N294" s="422"/>
      <c r="O294" s="422"/>
      <c r="P294" s="422"/>
      <c r="Q294" s="422"/>
      <c r="R294" s="422"/>
      <c r="S294" s="422">
        <v>15</v>
      </c>
      <c r="T294" s="422"/>
      <c r="U294" s="422"/>
      <c r="V294" s="422"/>
      <c r="W294" s="422"/>
      <c r="X294" s="422"/>
      <c r="Y294" s="422"/>
      <c r="Z294" s="422"/>
    </row>
    <row r="295" spans="1:26" hidden="1" x14ac:dyDescent="0.35">
      <c r="A295" s="478">
        <v>45866</v>
      </c>
      <c r="B295" s="506">
        <v>7.5</v>
      </c>
      <c r="C295" s="479" t="s">
        <v>594</v>
      </c>
      <c r="D295" s="479" t="s">
        <v>595</v>
      </c>
      <c r="E295" s="479" t="s">
        <v>655</v>
      </c>
      <c r="F295" s="479" t="s">
        <v>561</v>
      </c>
      <c r="G295" s="475" t="b">
        <f>IF(A295="","",IF(Daten!$AE$4=0,TRUE,MONTH(A295)=Daten!$AE$4))</f>
        <v>1</v>
      </c>
      <c r="H295" s="480" t="s">
        <v>306</v>
      </c>
      <c r="I295" s="475" t="s">
        <v>72</v>
      </c>
      <c r="J295" s="475"/>
      <c r="K295" s="479" t="s">
        <v>628</v>
      </c>
      <c r="L295" s="485"/>
      <c r="M295" s="423">
        <v>7.5</v>
      </c>
      <c r="N295" s="423"/>
      <c r="O295" s="423"/>
      <c r="P295" s="423"/>
      <c r="Q295" s="423"/>
      <c r="R295" s="423"/>
      <c r="S295" s="423"/>
      <c r="T295" s="423"/>
      <c r="U295" s="423"/>
      <c r="V295" s="423"/>
      <c r="W295" s="423"/>
      <c r="X295" s="423"/>
      <c r="Y295" s="423"/>
      <c r="Z295" s="423"/>
    </row>
    <row r="296" spans="1:26" hidden="1" x14ac:dyDescent="0.35">
      <c r="A296" s="476">
        <v>45866</v>
      </c>
      <c r="B296" s="505">
        <v>7.5</v>
      </c>
      <c r="C296" s="477" t="s">
        <v>600</v>
      </c>
      <c r="D296" s="477" t="s">
        <v>601</v>
      </c>
      <c r="E296" s="477" t="s">
        <v>656</v>
      </c>
      <c r="F296" s="477" t="s">
        <v>561</v>
      </c>
      <c r="G296" s="474" t="b">
        <f>IF(A296="","",IF(Daten!$AE$4=0,TRUE,MONTH(A296)=Daten!$AE$4))</f>
        <v>1</v>
      </c>
      <c r="H296" s="480" t="s">
        <v>306</v>
      </c>
      <c r="I296" s="474" t="s">
        <v>72</v>
      </c>
      <c r="J296" s="474"/>
      <c r="K296" s="477" t="s">
        <v>628</v>
      </c>
      <c r="L296" s="484"/>
      <c r="M296" s="422">
        <v>7.5</v>
      </c>
      <c r="N296" s="422"/>
      <c r="O296" s="422"/>
      <c r="P296" s="422"/>
      <c r="Q296" s="422"/>
      <c r="R296" s="422"/>
      <c r="S296" s="422"/>
      <c r="T296" s="422"/>
      <c r="U296" s="422"/>
      <c r="V296" s="422"/>
      <c r="W296" s="422"/>
      <c r="X296" s="422"/>
      <c r="Y296" s="422"/>
      <c r="Z296" s="422"/>
    </row>
    <row r="297" spans="1:26" hidden="1" x14ac:dyDescent="0.35">
      <c r="A297" s="478">
        <v>45867</v>
      </c>
      <c r="B297" s="506">
        <v>108.63</v>
      </c>
      <c r="C297" s="479" t="s">
        <v>610</v>
      </c>
      <c r="D297" s="479" t="s">
        <v>611</v>
      </c>
      <c r="E297" s="479" t="s">
        <v>685</v>
      </c>
      <c r="F297" s="479" t="s">
        <v>572</v>
      </c>
      <c r="G297" s="475" t="b">
        <f>IF(A297="","",IF(Daten!$AE$4=0,TRUE,MONTH(A297)=Daten!$AE$4))</f>
        <v>1</v>
      </c>
      <c r="H297" s="480" t="s">
        <v>419</v>
      </c>
      <c r="I297" s="475" t="s">
        <v>799</v>
      </c>
      <c r="J297" s="475"/>
      <c r="K297" s="479" t="s">
        <v>628</v>
      </c>
      <c r="L297" s="485"/>
      <c r="M297" s="423"/>
      <c r="N297" s="423"/>
      <c r="O297" s="423"/>
      <c r="P297" s="423"/>
      <c r="Q297" s="423"/>
      <c r="R297" s="423"/>
      <c r="S297" s="423">
        <v>108.63</v>
      </c>
      <c r="T297" s="423"/>
      <c r="U297" s="423"/>
      <c r="V297" s="423"/>
      <c r="W297" s="423"/>
      <c r="X297" s="423"/>
      <c r="Y297" s="423"/>
      <c r="Z297" s="423"/>
    </row>
    <row r="298" spans="1:26" hidden="1" x14ac:dyDescent="0.35">
      <c r="A298" s="476">
        <v>45867</v>
      </c>
      <c r="B298" s="505">
        <v>15</v>
      </c>
      <c r="C298" s="477" t="s">
        <v>588</v>
      </c>
      <c r="D298" s="477" t="s">
        <v>589</v>
      </c>
      <c r="E298" s="477" t="s">
        <v>306</v>
      </c>
      <c r="F298" s="477" t="s">
        <v>561</v>
      </c>
      <c r="G298" s="474" t="b">
        <f>IF(A298="","",IF(Daten!$AE$4=0,TRUE,MONTH(A298)=Daten!$AE$4))</f>
        <v>1</v>
      </c>
      <c r="H298" s="480" t="s">
        <v>306</v>
      </c>
      <c r="I298" s="474" t="s">
        <v>72</v>
      </c>
      <c r="J298" s="474"/>
      <c r="K298" s="477" t="s">
        <v>628</v>
      </c>
      <c r="L298" s="484"/>
      <c r="M298" s="422">
        <v>15</v>
      </c>
      <c r="N298" s="422"/>
      <c r="O298" s="422"/>
      <c r="P298" s="422"/>
      <c r="Q298" s="422"/>
      <c r="R298" s="422"/>
      <c r="S298" s="422"/>
      <c r="T298" s="422"/>
      <c r="U298" s="422"/>
      <c r="V298" s="422"/>
      <c r="W298" s="422"/>
      <c r="X298" s="422"/>
      <c r="Y298" s="422"/>
      <c r="Z298" s="422"/>
    </row>
    <row r="299" spans="1:26" hidden="1" x14ac:dyDescent="0.35">
      <c r="A299" s="478">
        <v>45867</v>
      </c>
      <c r="B299" s="506">
        <v>108.63</v>
      </c>
      <c r="C299" s="479" t="s">
        <v>594</v>
      </c>
      <c r="D299" s="479" t="s">
        <v>595</v>
      </c>
      <c r="E299" s="479" t="s">
        <v>686</v>
      </c>
      <c r="F299" s="479" t="s">
        <v>561</v>
      </c>
      <c r="G299" s="475" t="b">
        <f>IF(A299="","",IF(Daten!$AE$4=0,TRUE,MONTH(A299)=Daten!$AE$4))</f>
        <v>1</v>
      </c>
      <c r="H299" s="480" t="s">
        <v>419</v>
      </c>
      <c r="I299" s="475" t="s">
        <v>799</v>
      </c>
      <c r="J299" s="475"/>
      <c r="K299" s="479" t="s">
        <v>628</v>
      </c>
      <c r="L299" s="485"/>
      <c r="M299" s="423"/>
      <c r="N299" s="423"/>
      <c r="O299" s="423"/>
      <c r="P299" s="423"/>
      <c r="Q299" s="423"/>
      <c r="R299" s="423"/>
      <c r="S299" s="423">
        <v>108.63</v>
      </c>
      <c r="T299" s="423"/>
      <c r="U299" s="423"/>
      <c r="V299" s="423"/>
      <c r="W299" s="423"/>
      <c r="X299" s="423"/>
      <c r="Y299" s="423"/>
      <c r="Z299" s="423"/>
    </row>
    <row r="300" spans="1:26" hidden="1" x14ac:dyDescent="0.35">
      <c r="A300" s="476">
        <v>45869</v>
      </c>
      <c r="B300" s="505">
        <v>108.63</v>
      </c>
      <c r="C300" s="477" t="s">
        <v>588</v>
      </c>
      <c r="D300" s="477" t="s">
        <v>589</v>
      </c>
      <c r="E300" s="477" t="s">
        <v>684</v>
      </c>
      <c r="F300" s="477" t="s">
        <v>572</v>
      </c>
      <c r="G300" s="474" t="b">
        <f>IF(A300="","",IF(Daten!$AE$4=0,TRUE,MONTH(A300)=Daten!$AE$4))</f>
        <v>1</v>
      </c>
      <c r="H300" s="480" t="s">
        <v>419</v>
      </c>
      <c r="I300" s="474" t="s">
        <v>799</v>
      </c>
      <c r="J300" s="474"/>
      <c r="K300" s="477" t="s">
        <v>628</v>
      </c>
      <c r="L300" s="484"/>
      <c r="M300" s="422"/>
      <c r="N300" s="422"/>
      <c r="O300" s="422"/>
      <c r="P300" s="422"/>
      <c r="Q300" s="422"/>
      <c r="R300" s="422"/>
      <c r="S300" s="422">
        <v>108.63</v>
      </c>
      <c r="T300" s="422"/>
      <c r="U300" s="422"/>
      <c r="V300" s="422"/>
      <c r="W300" s="422"/>
      <c r="X300" s="422"/>
      <c r="Y300" s="422"/>
      <c r="Z300" s="422"/>
    </row>
    <row r="301" spans="1:26" hidden="1" x14ac:dyDescent="0.35">
      <c r="A301" s="478">
        <v>45870</v>
      </c>
      <c r="B301" s="506">
        <v>15</v>
      </c>
      <c r="C301" s="479" t="s">
        <v>575</v>
      </c>
      <c r="D301" s="479" t="s">
        <v>576</v>
      </c>
      <c r="E301" s="479" t="s">
        <v>646</v>
      </c>
      <c r="F301" s="479" t="s">
        <v>561</v>
      </c>
      <c r="G301" s="475" t="b">
        <f>IF(A301="","",IF(Daten!$AE$4=0,TRUE,MONTH(A301)=Daten!$AE$4))</f>
        <v>1</v>
      </c>
      <c r="H301" s="480" t="s">
        <v>306</v>
      </c>
      <c r="I301" s="475" t="s">
        <v>72</v>
      </c>
      <c r="J301" s="475"/>
      <c r="K301" s="479" t="s">
        <v>628</v>
      </c>
      <c r="L301" s="485"/>
      <c r="M301" s="423">
        <v>15</v>
      </c>
      <c r="N301" s="423"/>
      <c r="O301" s="423"/>
      <c r="P301" s="423"/>
      <c r="Q301" s="423"/>
      <c r="R301" s="423"/>
      <c r="S301" s="423"/>
      <c r="T301" s="423"/>
      <c r="U301" s="423"/>
      <c r="V301" s="423"/>
      <c r="W301" s="423"/>
      <c r="X301" s="423"/>
      <c r="Y301" s="423"/>
      <c r="Z301" s="423"/>
    </row>
    <row r="302" spans="1:26" hidden="1" x14ac:dyDescent="0.35">
      <c r="A302" s="476">
        <v>45870</v>
      </c>
      <c r="B302" s="505">
        <v>15</v>
      </c>
      <c r="C302" s="477" t="s">
        <v>56</v>
      </c>
      <c r="D302" s="477" t="s">
        <v>593</v>
      </c>
      <c r="E302" s="477" t="s">
        <v>648</v>
      </c>
      <c r="F302" s="477" t="s">
        <v>561</v>
      </c>
      <c r="G302" s="474" t="b">
        <f>IF(A302="","",IF(Daten!$AE$4=0,TRUE,MONTH(A302)=Daten!$AE$4))</f>
        <v>1</v>
      </c>
      <c r="H302" s="480" t="s">
        <v>415</v>
      </c>
      <c r="I302" s="474" t="s">
        <v>72</v>
      </c>
      <c r="J302" s="474"/>
      <c r="K302" s="477" t="s">
        <v>628</v>
      </c>
      <c r="L302" s="484"/>
      <c r="M302" s="422"/>
      <c r="N302" s="422"/>
      <c r="O302" s="422"/>
      <c r="P302" s="422"/>
      <c r="Q302" s="422"/>
      <c r="R302" s="422"/>
      <c r="S302" s="422">
        <v>15</v>
      </c>
      <c r="T302" s="422"/>
      <c r="U302" s="422"/>
      <c r="V302" s="422"/>
      <c r="W302" s="422"/>
      <c r="X302" s="422"/>
      <c r="Y302" s="422"/>
      <c r="Z302" s="422"/>
    </row>
    <row r="303" spans="1:26" hidden="1" x14ac:dyDescent="0.35">
      <c r="A303" s="478">
        <v>45870</v>
      </c>
      <c r="B303" s="506">
        <v>7.5</v>
      </c>
      <c r="C303" s="479" t="s">
        <v>56</v>
      </c>
      <c r="D303" s="479" t="s">
        <v>593</v>
      </c>
      <c r="E303" s="479" t="s">
        <v>386</v>
      </c>
      <c r="F303" s="479" t="s">
        <v>561</v>
      </c>
      <c r="G303" s="475" t="b">
        <f>IF(A303="","",IF(Daten!$AE$4=0,TRUE,MONTH(A303)=Daten!$AE$4))</f>
        <v>1</v>
      </c>
      <c r="H303" s="480" t="s">
        <v>306</v>
      </c>
      <c r="I303" s="475" t="s">
        <v>72</v>
      </c>
      <c r="J303" s="475"/>
      <c r="K303" s="479" t="s">
        <v>628</v>
      </c>
      <c r="L303" s="485"/>
      <c r="M303" s="423">
        <v>7.5</v>
      </c>
      <c r="N303" s="423"/>
      <c r="O303" s="423"/>
      <c r="P303" s="423"/>
      <c r="Q303" s="423"/>
      <c r="R303" s="423"/>
      <c r="S303" s="423"/>
      <c r="T303" s="423"/>
      <c r="U303" s="423"/>
      <c r="V303" s="423"/>
      <c r="W303" s="423"/>
      <c r="X303" s="423"/>
      <c r="Y303" s="423"/>
      <c r="Z303" s="423"/>
    </row>
    <row r="304" spans="1:26" hidden="1" x14ac:dyDescent="0.35">
      <c r="A304" s="476">
        <v>45870</v>
      </c>
      <c r="B304" s="505">
        <v>15</v>
      </c>
      <c r="C304" s="477" t="s">
        <v>586</v>
      </c>
      <c r="D304" s="477" t="s">
        <v>587</v>
      </c>
      <c r="E304" s="477" t="s">
        <v>647</v>
      </c>
      <c r="F304" s="477" t="s">
        <v>561</v>
      </c>
      <c r="G304" s="474" t="b">
        <f>IF(A304="","",IF(Daten!$AE$4=0,TRUE,MONTH(A304)=Daten!$AE$4))</f>
        <v>1</v>
      </c>
      <c r="H304" s="480" t="s">
        <v>306</v>
      </c>
      <c r="I304" s="474" t="s">
        <v>72</v>
      </c>
      <c r="J304" s="474"/>
      <c r="K304" s="477" t="s">
        <v>628</v>
      </c>
      <c r="L304" s="484"/>
      <c r="M304" s="422">
        <v>15</v>
      </c>
      <c r="N304" s="422"/>
      <c r="O304" s="422"/>
      <c r="P304" s="422"/>
      <c r="Q304" s="422"/>
      <c r="R304" s="422"/>
      <c r="S304" s="422"/>
      <c r="T304" s="422"/>
      <c r="U304" s="422"/>
      <c r="V304" s="422"/>
      <c r="W304" s="422"/>
      <c r="X304" s="422"/>
      <c r="Y304" s="422"/>
      <c r="Z304" s="422"/>
    </row>
    <row r="305" spans="1:26" hidden="1" x14ac:dyDescent="0.35">
      <c r="A305" s="478">
        <v>45870</v>
      </c>
      <c r="B305" s="506">
        <v>15</v>
      </c>
      <c r="C305" s="479" t="s">
        <v>581</v>
      </c>
      <c r="D305" s="479" t="s">
        <v>582</v>
      </c>
      <c r="E305" s="479" t="s">
        <v>650</v>
      </c>
      <c r="F305" s="479" t="s">
        <v>561</v>
      </c>
      <c r="G305" s="475" t="b">
        <f>IF(A305="","",IF(Daten!$AE$4=0,TRUE,MONTH(A305)=Daten!$AE$4))</f>
        <v>1</v>
      </c>
      <c r="H305" s="480" t="s">
        <v>415</v>
      </c>
      <c r="I305" s="475" t="s">
        <v>72</v>
      </c>
      <c r="J305" s="475"/>
      <c r="K305" s="479" t="s">
        <v>628</v>
      </c>
      <c r="L305" s="485"/>
      <c r="M305" s="423"/>
      <c r="N305" s="423"/>
      <c r="O305" s="423"/>
      <c r="P305" s="423"/>
      <c r="Q305" s="423"/>
      <c r="R305" s="423"/>
      <c r="S305" s="423">
        <v>15</v>
      </c>
      <c r="T305" s="423"/>
      <c r="U305" s="423"/>
      <c r="V305" s="423"/>
      <c r="W305" s="423"/>
      <c r="X305" s="423"/>
      <c r="Y305" s="423"/>
      <c r="Z305" s="423"/>
    </row>
    <row r="306" spans="1:26" hidden="1" x14ac:dyDescent="0.35">
      <c r="A306" s="476">
        <v>45870</v>
      </c>
      <c r="B306" s="505">
        <v>15</v>
      </c>
      <c r="C306" s="477" t="s">
        <v>598</v>
      </c>
      <c r="D306" s="477" t="s">
        <v>599</v>
      </c>
      <c r="E306" s="477" t="s">
        <v>652</v>
      </c>
      <c r="F306" s="477" t="s">
        <v>561</v>
      </c>
      <c r="G306" s="474" t="b">
        <f>IF(A306="","",IF(Daten!$AE$4=0,TRUE,MONTH(A306)=Daten!$AE$4))</f>
        <v>1</v>
      </c>
      <c r="H306" s="480" t="s">
        <v>306</v>
      </c>
      <c r="I306" s="474" t="s">
        <v>72</v>
      </c>
      <c r="J306" s="474"/>
      <c r="K306" s="477" t="s">
        <v>628</v>
      </c>
      <c r="L306" s="484"/>
      <c r="M306" s="422">
        <v>15</v>
      </c>
      <c r="N306" s="422"/>
      <c r="O306" s="422"/>
      <c r="P306" s="422"/>
      <c r="Q306" s="422"/>
      <c r="R306" s="422"/>
      <c r="S306" s="422"/>
      <c r="T306" s="422"/>
      <c r="U306" s="422"/>
      <c r="V306" s="422"/>
      <c r="W306" s="422"/>
      <c r="X306" s="422"/>
      <c r="Y306" s="422"/>
      <c r="Z306" s="422"/>
    </row>
    <row r="307" spans="1:26" hidden="1" x14ac:dyDescent="0.35">
      <c r="A307" s="478">
        <v>45870</v>
      </c>
      <c r="B307" s="506">
        <v>15</v>
      </c>
      <c r="C307" s="479" t="s">
        <v>596</v>
      </c>
      <c r="D307" s="479" t="s">
        <v>597</v>
      </c>
      <c r="E307" s="479" t="s">
        <v>653</v>
      </c>
      <c r="F307" s="479" t="s">
        <v>561</v>
      </c>
      <c r="G307" s="475" t="b">
        <f>IF(A307="","",IF(Daten!$AE$4=0,TRUE,MONTH(A307)=Daten!$AE$4))</f>
        <v>1</v>
      </c>
      <c r="H307" s="480" t="s">
        <v>306</v>
      </c>
      <c r="I307" s="475" t="s">
        <v>72</v>
      </c>
      <c r="J307" s="475"/>
      <c r="K307" s="479" t="s">
        <v>628</v>
      </c>
      <c r="L307" s="485"/>
      <c r="M307" s="423">
        <v>15</v>
      </c>
      <c r="N307" s="423"/>
      <c r="O307" s="423"/>
      <c r="P307" s="423"/>
      <c r="Q307" s="423"/>
      <c r="R307" s="423"/>
      <c r="S307" s="423"/>
      <c r="T307" s="423"/>
      <c r="U307" s="423"/>
      <c r="V307" s="423"/>
      <c r="W307" s="423"/>
      <c r="X307" s="423"/>
      <c r="Y307" s="423"/>
      <c r="Z307" s="423"/>
    </row>
    <row r="308" spans="1:26" hidden="1" x14ac:dyDescent="0.35">
      <c r="A308" s="476">
        <v>45870</v>
      </c>
      <c r="B308" s="505">
        <v>15</v>
      </c>
      <c r="C308" s="477" t="s">
        <v>596</v>
      </c>
      <c r="D308" s="477" t="s">
        <v>597</v>
      </c>
      <c r="E308" s="477" t="s">
        <v>651</v>
      </c>
      <c r="F308" s="477" t="s">
        <v>561</v>
      </c>
      <c r="G308" s="474" t="b">
        <f>IF(A308="","",IF(Daten!$AE$4=0,TRUE,MONTH(A308)=Daten!$AE$4))</f>
        <v>1</v>
      </c>
      <c r="H308" s="480" t="s">
        <v>415</v>
      </c>
      <c r="I308" s="474" t="s">
        <v>72</v>
      </c>
      <c r="J308" s="474"/>
      <c r="K308" s="477" t="s">
        <v>628</v>
      </c>
      <c r="L308" s="484"/>
      <c r="M308" s="422"/>
      <c r="N308" s="422"/>
      <c r="O308" s="422"/>
      <c r="P308" s="422"/>
      <c r="Q308" s="422"/>
      <c r="R308" s="422"/>
      <c r="S308" s="422">
        <v>15</v>
      </c>
      <c r="T308" s="422"/>
      <c r="U308" s="422"/>
      <c r="V308" s="422"/>
      <c r="W308" s="422"/>
      <c r="X308" s="422"/>
      <c r="Y308" s="422"/>
      <c r="Z308" s="422"/>
    </row>
    <row r="309" spans="1:26" hidden="1" x14ac:dyDescent="0.35">
      <c r="A309" s="478">
        <v>45870</v>
      </c>
      <c r="B309" s="506">
        <v>-5.6</v>
      </c>
      <c r="C309" s="479"/>
      <c r="D309" s="479">
        <v>0</v>
      </c>
      <c r="E309" s="479" t="s">
        <v>654</v>
      </c>
      <c r="F309" s="479" t="s">
        <v>381</v>
      </c>
      <c r="G309" s="475" t="b">
        <f>IF(A309="","",IF(Daten!$AE$4=0,TRUE,MONTH(A309)=Daten!$AE$4))</f>
        <v>1</v>
      </c>
      <c r="H309" s="480" t="s">
        <v>452</v>
      </c>
      <c r="I309" s="475" t="s">
        <v>72</v>
      </c>
      <c r="J309" s="475"/>
      <c r="K309" s="479" t="s">
        <v>628</v>
      </c>
      <c r="L309" s="485"/>
      <c r="M309" s="423"/>
      <c r="N309" s="423"/>
      <c r="O309" s="423"/>
      <c r="P309" s="423"/>
      <c r="Q309" s="423"/>
      <c r="R309" s="423"/>
      <c r="S309" s="423"/>
      <c r="T309" s="423"/>
      <c r="U309" s="423"/>
      <c r="V309" s="423"/>
      <c r="W309" s="423"/>
      <c r="X309" s="423"/>
      <c r="Y309" s="423">
        <v>-5.6</v>
      </c>
      <c r="Z309" s="423"/>
    </row>
    <row r="310" spans="1:26" hidden="1" x14ac:dyDescent="0.35">
      <c r="A310" s="476">
        <v>45873</v>
      </c>
      <c r="B310" s="505">
        <v>7.5</v>
      </c>
      <c r="C310" s="477" t="s">
        <v>583</v>
      </c>
      <c r="D310" s="477" t="s">
        <v>584</v>
      </c>
      <c r="E310" s="477" t="s">
        <v>642</v>
      </c>
      <c r="F310" s="477" t="s">
        <v>561</v>
      </c>
      <c r="G310" s="474" t="b">
        <f>IF(A310="","",IF(Daten!$AE$4=0,TRUE,MONTH(A310)=Daten!$AE$4))</f>
        <v>1</v>
      </c>
      <c r="H310" s="480" t="s">
        <v>306</v>
      </c>
      <c r="I310" s="474" t="s">
        <v>72</v>
      </c>
      <c r="J310" s="474"/>
      <c r="K310" s="477" t="s">
        <v>628</v>
      </c>
      <c r="L310" s="484"/>
      <c r="M310" s="422">
        <v>7.5</v>
      </c>
      <c r="N310" s="422"/>
      <c r="O310" s="422"/>
      <c r="P310" s="422"/>
      <c r="Q310" s="422"/>
      <c r="R310" s="422"/>
      <c r="S310" s="422"/>
      <c r="T310" s="422"/>
      <c r="U310" s="422"/>
      <c r="V310" s="422"/>
      <c r="W310" s="422"/>
      <c r="X310" s="422"/>
      <c r="Y310" s="422"/>
      <c r="Z310" s="422"/>
    </row>
    <row r="311" spans="1:26" hidden="1" x14ac:dyDescent="0.35">
      <c r="A311" s="478">
        <v>45873</v>
      </c>
      <c r="B311" s="506">
        <v>15</v>
      </c>
      <c r="C311" s="479" t="s">
        <v>51</v>
      </c>
      <c r="D311" s="479" t="s">
        <v>580</v>
      </c>
      <c r="E311" s="479" t="s">
        <v>384</v>
      </c>
      <c r="F311" s="479" t="s">
        <v>561</v>
      </c>
      <c r="G311" s="475" t="b">
        <f>IF(A311="","",IF(Daten!$AE$4=0,TRUE,MONTH(A311)=Daten!$AE$4))</f>
        <v>1</v>
      </c>
      <c r="H311" s="480" t="s">
        <v>415</v>
      </c>
      <c r="I311" s="475" t="s">
        <v>72</v>
      </c>
      <c r="J311" s="475"/>
      <c r="K311" s="479" t="s">
        <v>628</v>
      </c>
      <c r="L311" s="485"/>
      <c r="M311" s="423"/>
      <c r="N311" s="423"/>
      <c r="O311" s="423"/>
      <c r="P311" s="423"/>
      <c r="Q311" s="423"/>
      <c r="R311" s="423"/>
      <c r="S311" s="423">
        <v>15</v>
      </c>
      <c r="T311" s="423"/>
      <c r="U311" s="423"/>
      <c r="V311" s="423"/>
      <c r="W311" s="423"/>
      <c r="X311" s="423"/>
      <c r="Y311" s="423"/>
      <c r="Z311" s="423"/>
    </row>
    <row r="312" spans="1:26" hidden="1" x14ac:dyDescent="0.35">
      <c r="A312" s="476">
        <v>45873</v>
      </c>
      <c r="B312" s="505">
        <v>15</v>
      </c>
      <c r="C312" s="477" t="s">
        <v>573</v>
      </c>
      <c r="D312" s="477" t="s">
        <v>574</v>
      </c>
      <c r="E312" s="477" t="s">
        <v>641</v>
      </c>
      <c r="F312" s="477" t="s">
        <v>561</v>
      </c>
      <c r="G312" s="474" t="b">
        <f>IF(A312="","",IF(Daten!$AE$4=0,TRUE,MONTH(A312)=Daten!$AE$4))</f>
        <v>1</v>
      </c>
      <c r="H312" s="480" t="s">
        <v>415</v>
      </c>
      <c r="I312" s="474" t="s">
        <v>72</v>
      </c>
      <c r="J312" s="474"/>
      <c r="K312" s="477" t="s">
        <v>628</v>
      </c>
      <c r="L312" s="484"/>
      <c r="M312" s="422"/>
      <c r="N312" s="422"/>
      <c r="O312" s="422"/>
      <c r="P312" s="422"/>
      <c r="Q312" s="422"/>
      <c r="R312" s="422"/>
      <c r="S312" s="422">
        <v>15</v>
      </c>
      <c r="T312" s="422"/>
      <c r="U312" s="422"/>
      <c r="V312" s="422"/>
      <c r="W312" s="422"/>
      <c r="X312" s="422"/>
      <c r="Y312" s="422"/>
      <c r="Z312" s="422"/>
    </row>
    <row r="313" spans="1:26" hidden="1" x14ac:dyDescent="0.35">
      <c r="A313" s="478">
        <v>45873</v>
      </c>
      <c r="B313" s="506">
        <v>7.5</v>
      </c>
      <c r="C313" s="479" t="s">
        <v>51</v>
      </c>
      <c r="D313" s="479" t="s">
        <v>580</v>
      </c>
      <c r="E313" s="479" t="s">
        <v>637</v>
      </c>
      <c r="F313" s="479" t="s">
        <v>561</v>
      </c>
      <c r="G313" s="475" t="b">
        <f>IF(A313="","",IF(Daten!$AE$4=0,TRUE,MONTH(A313)=Daten!$AE$4))</f>
        <v>1</v>
      </c>
      <c r="H313" s="480" t="s">
        <v>306</v>
      </c>
      <c r="I313" s="475" t="s">
        <v>72</v>
      </c>
      <c r="J313" s="475"/>
      <c r="K313" s="479" t="s">
        <v>628</v>
      </c>
      <c r="L313" s="485"/>
      <c r="M313" s="423">
        <v>7.5</v>
      </c>
      <c r="N313" s="423"/>
      <c r="O313" s="423"/>
      <c r="P313" s="423"/>
      <c r="Q313" s="423"/>
      <c r="R313" s="423"/>
      <c r="S313" s="423"/>
      <c r="T313" s="423"/>
      <c r="U313" s="423"/>
      <c r="V313" s="423"/>
      <c r="W313" s="423"/>
      <c r="X313" s="423"/>
      <c r="Y313" s="423"/>
      <c r="Z313" s="423"/>
    </row>
    <row r="314" spans="1:26" hidden="1" x14ac:dyDescent="0.35">
      <c r="A314" s="476">
        <v>45873</v>
      </c>
      <c r="B314" s="505">
        <v>15</v>
      </c>
      <c r="C314" s="477" t="s">
        <v>583</v>
      </c>
      <c r="D314" s="477" t="s">
        <v>584</v>
      </c>
      <c r="E314" s="477" t="s">
        <v>640</v>
      </c>
      <c r="F314" s="477" t="s">
        <v>561</v>
      </c>
      <c r="G314" s="474" t="b">
        <f>IF(A314="","",IF(Daten!$AE$4=0,TRUE,MONTH(A314)=Daten!$AE$4))</f>
        <v>1</v>
      </c>
      <c r="H314" s="480" t="s">
        <v>415</v>
      </c>
      <c r="I314" s="474" t="s">
        <v>72</v>
      </c>
      <c r="J314" s="474"/>
      <c r="K314" s="477" t="s">
        <v>628</v>
      </c>
      <c r="L314" s="484"/>
      <c r="M314" s="422"/>
      <c r="N314" s="422"/>
      <c r="O314" s="422"/>
      <c r="P314" s="422"/>
      <c r="Q314" s="422"/>
      <c r="R314" s="422"/>
      <c r="S314" s="422">
        <v>15</v>
      </c>
      <c r="T314" s="422"/>
      <c r="U314" s="422"/>
      <c r="V314" s="422"/>
      <c r="W314" s="422"/>
      <c r="X314" s="422"/>
      <c r="Y314" s="422"/>
      <c r="Z314" s="422"/>
    </row>
    <row r="315" spans="1:26" hidden="1" x14ac:dyDescent="0.35">
      <c r="A315" s="478">
        <v>45873</v>
      </c>
      <c r="B315" s="506">
        <v>15</v>
      </c>
      <c r="C315" s="479" t="s">
        <v>66</v>
      </c>
      <c r="D315" s="479" t="s">
        <v>585</v>
      </c>
      <c r="E315" s="479" t="s">
        <v>644</v>
      </c>
      <c r="F315" s="479" t="s">
        <v>561</v>
      </c>
      <c r="G315" s="475" t="b">
        <f>IF(A315="","",IF(Daten!$AE$4=0,TRUE,MONTH(A315)=Daten!$AE$4))</f>
        <v>1</v>
      </c>
      <c r="H315" s="480" t="s">
        <v>415</v>
      </c>
      <c r="I315" s="475" t="s">
        <v>72</v>
      </c>
      <c r="J315" s="475"/>
      <c r="K315" s="479" t="s">
        <v>628</v>
      </c>
      <c r="L315" s="485"/>
      <c r="M315" s="423"/>
      <c r="N315" s="423"/>
      <c r="O315" s="423"/>
      <c r="P315" s="423"/>
      <c r="Q315" s="423"/>
      <c r="R315" s="423"/>
      <c r="S315" s="423">
        <v>15</v>
      </c>
      <c r="T315" s="423"/>
      <c r="U315" s="423"/>
      <c r="V315" s="423"/>
      <c r="W315" s="423"/>
      <c r="X315" s="423"/>
      <c r="Y315" s="423"/>
      <c r="Z315" s="423"/>
    </row>
    <row r="316" spans="1:26" hidden="1" x14ac:dyDescent="0.35">
      <c r="A316" s="476">
        <v>45873</v>
      </c>
      <c r="B316" s="505">
        <v>7.5</v>
      </c>
      <c r="C316" s="477" t="s">
        <v>66</v>
      </c>
      <c r="D316" s="477" t="s">
        <v>585</v>
      </c>
      <c r="E316" s="477" t="s">
        <v>643</v>
      </c>
      <c r="F316" s="477" t="s">
        <v>561</v>
      </c>
      <c r="G316" s="474" t="b">
        <f>IF(A316="","",IF(Daten!$AE$4=0,TRUE,MONTH(A316)=Daten!$AE$4))</f>
        <v>1</v>
      </c>
      <c r="H316" s="480" t="s">
        <v>306</v>
      </c>
      <c r="I316" s="474" t="s">
        <v>72</v>
      </c>
      <c r="J316" s="474"/>
      <c r="K316" s="477" t="s">
        <v>628</v>
      </c>
      <c r="L316" s="484"/>
      <c r="M316" s="422">
        <v>7.5</v>
      </c>
      <c r="N316" s="422"/>
      <c r="O316" s="422"/>
      <c r="P316" s="422"/>
      <c r="Q316" s="422"/>
      <c r="R316" s="422"/>
      <c r="S316" s="422"/>
      <c r="T316" s="422"/>
      <c r="U316" s="422"/>
      <c r="V316" s="422"/>
      <c r="W316" s="422"/>
      <c r="X316" s="422"/>
      <c r="Y316" s="422"/>
      <c r="Z316" s="422"/>
    </row>
    <row r="317" spans="1:26" hidden="1" x14ac:dyDescent="0.35">
      <c r="A317" s="478">
        <v>45873</v>
      </c>
      <c r="B317" s="506">
        <v>15</v>
      </c>
      <c r="C317" s="479" t="s">
        <v>588</v>
      </c>
      <c r="D317" s="479" t="s">
        <v>589</v>
      </c>
      <c r="E317" s="479" t="s">
        <v>385</v>
      </c>
      <c r="F317" s="479" t="s">
        <v>561</v>
      </c>
      <c r="G317" s="475" t="b">
        <f>IF(A317="","",IF(Daten!$AE$4=0,TRUE,MONTH(A317)=Daten!$AE$4))</f>
        <v>1</v>
      </c>
      <c r="H317" s="480" t="s">
        <v>415</v>
      </c>
      <c r="I317" s="475" t="s">
        <v>72</v>
      </c>
      <c r="J317" s="475"/>
      <c r="K317" s="479" t="s">
        <v>628</v>
      </c>
      <c r="L317" s="485"/>
      <c r="M317" s="423"/>
      <c r="N317" s="423"/>
      <c r="O317" s="423"/>
      <c r="P317" s="423"/>
      <c r="Q317" s="423"/>
      <c r="R317" s="423"/>
      <c r="S317" s="423">
        <v>15</v>
      </c>
      <c r="T317" s="423"/>
      <c r="U317" s="423"/>
      <c r="V317" s="423"/>
      <c r="W317" s="423"/>
      <c r="X317" s="423"/>
      <c r="Y317" s="423"/>
      <c r="Z317" s="423"/>
    </row>
    <row r="318" spans="1:26" hidden="1" x14ac:dyDescent="0.35">
      <c r="A318" s="476">
        <v>45873</v>
      </c>
      <c r="B318" s="505">
        <v>15</v>
      </c>
      <c r="C318" s="477" t="s">
        <v>586</v>
      </c>
      <c r="D318" s="477" t="s">
        <v>587</v>
      </c>
      <c r="E318" s="477" t="s">
        <v>645</v>
      </c>
      <c r="F318" s="477" t="s">
        <v>561</v>
      </c>
      <c r="G318" s="474" t="b">
        <f>IF(A318="","",IF(Daten!$AE$4=0,TRUE,MONTH(A318)=Daten!$AE$4))</f>
        <v>1</v>
      </c>
      <c r="H318" s="480" t="s">
        <v>415</v>
      </c>
      <c r="I318" s="474" t="s">
        <v>72</v>
      </c>
      <c r="J318" s="474"/>
      <c r="K318" s="477" t="s">
        <v>628</v>
      </c>
      <c r="L318" s="484"/>
      <c r="M318" s="422"/>
      <c r="N318" s="422"/>
      <c r="O318" s="422"/>
      <c r="P318" s="422"/>
      <c r="Q318" s="422"/>
      <c r="R318" s="422"/>
      <c r="S318" s="422">
        <v>15</v>
      </c>
      <c r="T318" s="422"/>
      <c r="U318" s="422"/>
      <c r="V318" s="422"/>
      <c r="W318" s="422"/>
      <c r="X318" s="422"/>
      <c r="Y318" s="422"/>
      <c r="Z318" s="422"/>
    </row>
    <row r="319" spans="1:26" hidden="1" x14ac:dyDescent="0.35">
      <c r="A319" s="478">
        <v>45874</v>
      </c>
      <c r="B319" s="506">
        <v>15</v>
      </c>
      <c r="C319" s="479" t="s">
        <v>581</v>
      </c>
      <c r="D319" s="479" t="s">
        <v>582</v>
      </c>
      <c r="E319" s="479" t="s">
        <v>638</v>
      </c>
      <c r="F319" s="479" t="s">
        <v>561</v>
      </c>
      <c r="G319" s="475" t="b">
        <f>IF(A319="","",IF(Daten!$AE$4=0,TRUE,MONTH(A319)=Daten!$AE$4))</f>
        <v>1</v>
      </c>
      <c r="H319" s="480" t="s">
        <v>306</v>
      </c>
      <c r="I319" s="475" t="s">
        <v>72</v>
      </c>
      <c r="J319" s="475"/>
      <c r="K319" s="479" t="s">
        <v>628</v>
      </c>
      <c r="L319" s="485"/>
      <c r="M319" s="423">
        <v>15</v>
      </c>
      <c r="N319" s="423"/>
      <c r="O319" s="423"/>
      <c r="P319" s="423"/>
      <c r="Q319" s="423"/>
      <c r="R319" s="423"/>
      <c r="S319" s="423"/>
      <c r="T319" s="423"/>
      <c r="U319" s="423"/>
      <c r="V319" s="423"/>
      <c r="W319" s="423"/>
      <c r="X319" s="423"/>
      <c r="Y319" s="423"/>
      <c r="Z319" s="423"/>
    </row>
    <row r="320" spans="1:26" hidden="1" x14ac:dyDescent="0.35">
      <c r="A320" s="476">
        <v>45874</v>
      </c>
      <c r="B320" s="505">
        <v>15</v>
      </c>
      <c r="C320" s="477" t="s">
        <v>575</v>
      </c>
      <c r="D320" s="477" t="s">
        <v>576</v>
      </c>
      <c r="E320" s="477" t="s">
        <v>633</v>
      </c>
      <c r="F320" s="477" t="s">
        <v>561</v>
      </c>
      <c r="G320" s="474" t="b">
        <f>IF(A320="","",IF(Daten!$AE$4=0,TRUE,MONTH(A320)=Daten!$AE$4))</f>
        <v>1</v>
      </c>
      <c r="H320" s="480" t="s">
        <v>415</v>
      </c>
      <c r="I320" s="474" t="s">
        <v>72</v>
      </c>
      <c r="J320" s="474"/>
      <c r="K320" s="477" t="s">
        <v>628</v>
      </c>
      <c r="L320" s="484"/>
      <c r="M320" s="422"/>
      <c r="N320" s="422"/>
      <c r="O320" s="422"/>
      <c r="P320" s="422"/>
      <c r="Q320" s="422"/>
      <c r="R320" s="422"/>
      <c r="S320" s="422">
        <v>15</v>
      </c>
      <c r="T320" s="422"/>
      <c r="U320" s="422"/>
      <c r="V320" s="422"/>
      <c r="W320" s="422"/>
      <c r="X320" s="422"/>
      <c r="Y320" s="422"/>
      <c r="Z320" s="422"/>
    </row>
    <row r="321" spans="1:26" hidden="1" x14ac:dyDescent="0.35">
      <c r="A321" s="478">
        <v>45874</v>
      </c>
      <c r="B321" s="506">
        <v>108.63</v>
      </c>
      <c r="C321" s="479" t="s">
        <v>605</v>
      </c>
      <c r="D321" s="479" t="s">
        <v>582</v>
      </c>
      <c r="E321" s="479" t="s">
        <v>128</v>
      </c>
      <c r="F321" s="479" t="s">
        <v>572</v>
      </c>
      <c r="G321" s="475" t="b">
        <f>IF(A321="","",IF(Daten!$AE$4=0,TRUE,MONTH(A321)=Daten!$AE$4))</f>
        <v>1</v>
      </c>
      <c r="H321" s="480" t="s">
        <v>419</v>
      </c>
      <c r="I321" s="475" t="s">
        <v>799</v>
      </c>
      <c r="J321" s="475"/>
      <c r="K321" s="479" t="s">
        <v>628</v>
      </c>
      <c r="L321" s="485"/>
      <c r="M321" s="423"/>
      <c r="N321" s="423"/>
      <c r="O321" s="423"/>
      <c r="P321" s="423"/>
      <c r="Q321" s="423"/>
      <c r="R321" s="423"/>
      <c r="S321" s="423">
        <v>108.63</v>
      </c>
      <c r="T321" s="423"/>
      <c r="U321" s="423"/>
      <c r="V321" s="423"/>
      <c r="W321" s="423"/>
      <c r="X321" s="423"/>
      <c r="Y321" s="423"/>
      <c r="Z321" s="423"/>
    </row>
    <row r="322" spans="1:26" hidden="1" x14ac:dyDescent="0.35">
      <c r="A322" s="476">
        <v>45874</v>
      </c>
      <c r="B322" s="505">
        <v>-471</v>
      </c>
      <c r="C322" s="477" t="s">
        <v>578</v>
      </c>
      <c r="D322" s="477" t="s">
        <v>579</v>
      </c>
      <c r="E322" s="477" t="s">
        <v>683</v>
      </c>
      <c r="F322" s="477" t="s">
        <v>567</v>
      </c>
      <c r="G322" s="474" t="b">
        <f>IF(A322="","",IF(Daten!$AE$4=0,TRUE,MONTH(A322)=Daten!$AE$4))</f>
        <v>1</v>
      </c>
      <c r="H322" s="480" t="s">
        <v>451</v>
      </c>
      <c r="I322" s="474" t="s">
        <v>72</v>
      </c>
      <c r="J322" s="474"/>
      <c r="K322" s="477" t="s">
        <v>628</v>
      </c>
      <c r="L322" s="484"/>
      <c r="M322" s="422"/>
      <c r="N322" s="422"/>
      <c r="O322" s="422"/>
      <c r="P322" s="422"/>
      <c r="Q322" s="422"/>
      <c r="R322" s="422"/>
      <c r="S322" s="422"/>
      <c r="T322" s="422">
        <v>-471</v>
      </c>
      <c r="U322" s="422"/>
      <c r="V322" s="422"/>
      <c r="W322" s="422"/>
      <c r="X322" s="422"/>
      <c r="Y322" s="422"/>
      <c r="Z322" s="422"/>
    </row>
    <row r="323" spans="1:26" hidden="1" x14ac:dyDescent="0.35">
      <c r="A323" s="478">
        <v>45881</v>
      </c>
      <c r="B323" s="506">
        <v>15</v>
      </c>
      <c r="C323" s="479" t="s">
        <v>591</v>
      </c>
      <c r="D323" s="479" t="s">
        <v>592</v>
      </c>
      <c r="E323" s="479" t="s">
        <v>306</v>
      </c>
      <c r="F323" s="479" t="s">
        <v>590</v>
      </c>
      <c r="G323" s="475" t="b">
        <f>IF(A323="","",IF(Daten!$AE$4=0,TRUE,MONTH(A323)=Daten!$AE$4))</f>
        <v>1</v>
      </c>
      <c r="H323" s="480" t="s">
        <v>306</v>
      </c>
      <c r="I323" s="475" t="s">
        <v>72</v>
      </c>
      <c r="J323" s="475"/>
      <c r="K323" s="479" t="s">
        <v>628</v>
      </c>
      <c r="L323" s="485"/>
      <c r="M323" s="423">
        <v>15</v>
      </c>
      <c r="N323" s="423"/>
      <c r="O323" s="423"/>
      <c r="P323" s="423"/>
      <c r="Q323" s="423"/>
      <c r="R323" s="423"/>
      <c r="S323" s="423"/>
      <c r="T323" s="423"/>
      <c r="U323" s="423"/>
      <c r="V323" s="423"/>
      <c r="W323" s="423"/>
      <c r="X323" s="423"/>
      <c r="Y323" s="423"/>
      <c r="Z323" s="423"/>
    </row>
    <row r="324" spans="1:26" hidden="1" x14ac:dyDescent="0.35">
      <c r="A324" s="476">
        <v>45881</v>
      </c>
      <c r="B324" s="505">
        <v>15</v>
      </c>
      <c r="C324" s="477" t="s">
        <v>591</v>
      </c>
      <c r="D324" s="477" t="s">
        <v>592</v>
      </c>
      <c r="E324" s="477" t="s">
        <v>385</v>
      </c>
      <c r="F324" s="477" t="s">
        <v>590</v>
      </c>
      <c r="G324" s="474" t="b">
        <f>IF(A324="","",IF(Daten!$AE$4=0,TRUE,MONTH(A324)=Daten!$AE$4))</f>
        <v>1</v>
      </c>
      <c r="H324" s="480" t="s">
        <v>415</v>
      </c>
      <c r="I324" s="474" t="s">
        <v>72</v>
      </c>
      <c r="J324" s="474"/>
      <c r="K324" s="477" t="s">
        <v>628</v>
      </c>
      <c r="L324" s="484"/>
      <c r="M324" s="422"/>
      <c r="N324" s="422"/>
      <c r="O324" s="422"/>
      <c r="P324" s="422"/>
      <c r="Q324" s="422"/>
      <c r="R324" s="422"/>
      <c r="S324" s="422">
        <v>15</v>
      </c>
      <c r="T324" s="422"/>
      <c r="U324" s="422"/>
      <c r="V324" s="422"/>
      <c r="W324" s="422"/>
      <c r="X324" s="422"/>
      <c r="Y324" s="422"/>
      <c r="Z324" s="422"/>
    </row>
    <row r="325" spans="1:26" hidden="1" x14ac:dyDescent="0.35">
      <c r="A325" s="478">
        <v>45884</v>
      </c>
      <c r="B325" s="506">
        <v>108.63</v>
      </c>
      <c r="C325" s="479" t="s">
        <v>573</v>
      </c>
      <c r="D325" s="479" t="s">
        <v>574</v>
      </c>
      <c r="E325" s="479" t="s">
        <v>681</v>
      </c>
      <c r="F325" s="479" t="s">
        <v>572</v>
      </c>
      <c r="G325" s="475" t="b">
        <f>IF(A325="","",IF(Daten!$AE$4=0,TRUE,MONTH(A325)=Daten!$AE$4))</f>
        <v>1</v>
      </c>
      <c r="H325" s="480" t="s">
        <v>419</v>
      </c>
      <c r="I325" s="475" t="s">
        <v>799</v>
      </c>
      <c r="J325" s="475"/>
      <c r="K325" s="479" t="s">
        <v>628</v>
      </c>
      <c r="L325" s="485"/>
      <c r="M325" s="423"/>
      <c r="N325" s="423"/>
      <c r="O325" s="423"/>
      <c r="P325" s="423"/>
      <c r="Q325" s="423"/>
      <c r="R325" s="423"/>
      <c r="S325" s="423">
        <v>108.63</v>
      </c>
      <c r="T325" s="423"/>
      <c r="U325" s="423"/>
      <c r="V325" s="423"/>
      <c r="W325" s="423"/>
      <c r="X325" s="423"/>
      <c r="Y325" s="423"/>
      <c r="Z325" s="423"/>
    </row>
    <row r="326" spans="1:26" hidden="1" x14ac:dyDescent="0.35">
      <c r="A326" s="476">
        <v>45884</v>
      </c>
      <c r="B326" s="505">
        <v>-59.94</v>
      </c>
      <c r="C326" s="477" t="s">
        <v>570</v>
      </c>
      <c r="D326" s="477" t="s">
        <v>571</v>
      </c>
      <c r="E326" s="477" t="s">
        <v>682</v>
      </c>
      <c r="F326" s="477" t="s">
        <v>567</v>
      </c>
      <c r="G326" s="474" t="b">
        <f>IF(A326="","",IF(Daten!$AE$4=0,TRUE,MONTH(A326)=Daten!$AE$4))</f>
        <v>1</v>
      </c>
      <c r="H326" s="480" t="s">
        <v>389</v>
      </c>
      <c r="I326" s="474" t="s">
        <v>72</v>
      </c>
      <c r="J326" s="474"/>
      <c r="K326" s="477" t="s">
        <v>628</v>
      </c>
      <c r="L326" s="484"/>
      <c r="M326" s="422"/>
      <c r="N326" s="422"/>
      <c r="O326" s="422"/>
      <c r="P326" s="422"/>
      <c r="Q326" s="422"/>
      <c r="R326" s="422"/>
      <c r="S326" s="422"/>
      <c r="T326" s="422">
        <v>-59.94</v>
      </c>
      <c r="U326" s="422"/>
      <c r="V326" s="422"/>
      <c r="W326" s="422"/>
      <c r="X326" s="422"/>
      <c r="Y326" s="422"/>
      <c r="Z326" s="422"/>
    </row>
    <row r="327" spans="1:26" hidden="1" x14ac:dyDescent="0.35">
      <c r="A327" s="478">
        <v>45884</v>
      </c>
      <c r="B327" s="506">
        <v>-138</v>
      </c>
      <c r="C327" s="479" t="s">
        <v>568</v>
      </c>
      <c r="D327" s="479" t="s">
        <v>569</v>
      </c>
      <c r="E327" s="479" t="s">
        <v>630</v>
      </c>
      <c r="F327" s="479" t="s">
        <v>567</v>
      </c>
      <c r="G327" s="475" t="b">
        <f>IF(A327="","",IF(Daten!$AE$4=0,TRUE,MONTH(A327)=Daten!$AE$4))</f>
        <v>1</v>
      </c>
      <c r="H327" s="480" t="s">
        <v>459</v>
      </c>
      <c r="I327" s="475" t="s">
        <v>72</v>
      </c>
      <c r="J327" s="475"/>
      <c r="K327" s="479" t="s">
        <v>628</v>
      </c>
      <c r="L327" s="485"/>
      <c r="M327" s="423"/>
      <c r="N327" s="423"/>
      <c r="O327" s="423"/>
      <c r="P327" s="423"/>
      <c r="Q327" s="423"/>
      <c r="R327" s="423"/>
      <c r="S327" s="423"/>
      <c r="T327" s="423">
        <v>-138</v>
      </c>
      <c r="U327" s="423"/>
      <c r="V327" s="423"/>
      <c r="W327" s="423"/>
      <c r="X327" s="423"/>
      <c r="Y327" s="423"/>
      <c r="Z327" s="423"/>
    </row>
    <row r="328" spans="1:26" hidden="1" x14ac:dyDescent="0.35">
      <c r="A328" s="476">
        <v>45887</v>
      </c>
      <c r="B328" s="505">
        <v>15</v>
      </c>
      <c r="C328" s="477" t="s">
        <v>562</v>
      </c>
      <c r="D328" s="477" t="s">
        <v>563</v>
      </c>
      <c r="E328" s="477" t="s">
        <v>627</v>
      </c>
      <c r="F328" s="477" t="s">
        <v>561</v>
      </c>
      <c r="G328" s="474" t="b">
        <f>IF(A328="","",IF(Daten!$AE$4=0,TRUE,MONTH(A328)=Daten!$AE$4))</f>
        <v>1</v>
      </c>
      <c r="H328" s="480" t="s">
        <v>415</v>
      </c>
      <c r="I328" s="474" t="s">
        <v>72</v>
      </c>
      <c r="J328" s="474"/>
      <c r="K328" s="477" t="s">
        <v>628</v>
      </c>
      <c r="L328" s="484"/>
      <c r="M328" s="422"/>
      <c r="N328" s="422"/>
      <c r="O328" s="422"/>
      <c r="P328" s="422"/>
      <c r="Q328" s="422"/>
      <c r="R328" s="422"/>
      <c r="S328" s="422">
        <v>15</v>
      </c>
      <c r="T328" s="422"/>
      <c r="U328" s="422"/>
      <c r="V328" s="422"/>
      <c r="W328" s="422"/>
      <c r="X328" s="422"/>
      <c r="Y328" s="422"/>
      <c r="Z328" s="422"/>
    </row>
    <row r="329" spans="1:26" hidden="1" x14ac:dyDescent="0.35">
      <c r="A329" s="478">
        <v>45894</v>
      </c>
      <c r="B329" s="506">
        <v>15</v>
      </c>
      <c r="C329" s="479" t="s">
        <v>594</v>
      </c>
      <c r="D329" s="479" t="s">
        <v>595</v>
      </c>
      <c r="E329" s="479" t="s">
        <v>657</v>
      </c>
      <c r="F329" s="479" t="s">
        <v>561</v>
      </c>
      <c r="G329" s="475" t="b">
        <f>IF(A329="","",IF(Daten!$AE$4=0,TRUE,MONTH(A329)=Daten!$AE$4))</f>
        <v>1</v>
      </c>
      <c r="H329" s="480" t="s">
        <v>415</v>
      </c>
      <c r="I329" s="475" t="s">
        <v>72</v>
      </c>
      <c r="J329" s="475"/>
      <c r="K329" s="479" t="s">
        <v>628</v>
      </c>
      <c r="L329" s="485"/>
      <c r="M329" s="423"/>
      <c r="N329" s="423"/>
      <c r="O329" s="423"/>
      <c r="P329" s="423"/>
      <c r="Q329" s="423"/>
      <c r="R329" s="423"/>
      <c r="S329" s="423">
        <v>15</v>
      </c>
      <c r="T329" s="423"/>
      <c r="U329" s="423"/>
      <c r="V329" s="423"/>
      <c r="W329" s="423"/>
      <c r="X329" s="423"/>
      <c r="Y329" s="423"/>
      <c r="Z329" s="423"/>
    </row>
    <row r="330" spans="1:26" hidden="1" x14ac:dyDescent="0.35">
      <c r="A330" s="476">
        <v>45895</v>
      </c>
      <c r="B330" s="505">
        <v>7.5</v>
      </c>
      <c r="C330" s="477" t="s">
        <v>600</v>
      </c>
      <c r="D330" s="477" t="s">
        <v>601</v>
      </c>
      <c r="E330" s="477" t="s">
        <v>656</v>
      </c>
      <c r="F330" s="477" t="s">
        <v>561</v>
      </c>
      <c r="G330" s="474" t="b">
        <f>IF(A330="","",IF(Daten!$AE$4=0,TRUE,MONTH(A330)=Daten!$AE$4))</f>
        <v>1</v>
      </c>
      <c r="H330" s="480" t="s">
        <v>306</v>
      </c>
      <c r="I330" s="474" t="s">
        <v>71</v>
      </c>
      <c r="J330" s="474"/>
      <c r="K330" s="477" t="s">
        <v>628</v>
      </c>
      <c r="L330" s="484"/>
      <c r="M330" s="422">
        <v>7.5</v>
      </c>
      <c r="N330" s="422"/>
      <c r="O330" s="422"/>
      <c r="P330" s="422"/>
      <c r="Q330" s="422"/>
      <c r="R330" s="422"/>
      <c r="S330" s="422"/>
      <c r="T330" s="422"/>
      <c r="U330" s="422"/>
      <c r="V330" s="422"/>
      <c r="W330" s="422"/>
      <c r="X330" s="422"/>
      <c r="Y330" s="422"/>
      <c r="Z330" s="422"/>
    </row>
    <row r="331" spans="1:26" hidden="1" x14ac:dyDescent="0.35">
      <c r="A331" s="478">
        <v>45896</v>
      </c>
      <c r="B331" s="506">
        <v>7.5</v>
      </c>
      <c r="C331" s="479" t="s">
        <v>594</v>
      </c>
      <c r="D331" s="479" t="s">
        <v>595</v>
      </c>
      <c r="E331" s="479" t="s">
        <v>655</v>
      </c>
      <c r="F331" s="479" t="s">
        <v>561</v>
      </c>
      <c r="G331" s="475" t="b">
        <f>IF(A331="","",IF(Daten!$AE$4=0,TRUE,MONTH(A331)=Daten!$AE$4))</f>
        <v>1</v>
      </c>
      <c r="H331" s="480" t="s">
        <v>306</v>
      </c>
      <c r="I331" s="475" t="s">
        <v>71</v>
      </c>
      <c r="J331" s="475"/>
      <c r="K331" s="479" t="s">
        <v>628</v>
      </c>
      <c r="L331" s="485"/>
      <c r="M331" s="423">
        <v>7.5</v>
      </c>
      <c r="N331" s="423"/>
      <c r="O331" s="423"/>
      <c r="P331" s="423"/>
      <c r="Q331" s="423"/>
      <c r="R331" s="423"/>
      <c r="S331" s="423"/>
      <c r="T331" s="423"/>
      <c r="U331" s="423"/>
      <c r="V331" s="423"/>
      <c r="W331" s="423"/>
      <c r="X331" s="423"/>
      <c r="Y331" s="423"/>
      <c r="Z331" s="423"/>
    </row>
    <row r="332" spans="1:26" hidden="1" x14ac:dyDescent="0.35">
      <c r="A332" s="476">
        <v>45898</v>
      </c>
      <c r="B332" s="505">
        <v>15</v>
      </c>
      <c r="C332" s="477" t="s">
        <v>588</v>
      </c>
      <c r="D332" s="477" t="s">
        <v>589</v>
      </c>
      <c r="E332" s="477" t="s">
        <v>306</v>
      </c>
      <c r="F332" s="477" t="s">
        <v>561</v>
      </c>
      <c r="G332" s="474" t="b">
        <f>IF(A332="","",IF(Daten!$AE$4=0,TRUE,MONTH(A332)=Daten!$AE$4))</f>
        <v>1</v>
      </c>
      <c r="H332" s="480" t="s">
        <v>306</v>
      </c>
      <c r="I332" s="474" t="s">
        <v>71</v>
      </c>
      <c r="J332" s="474"/>
      <c r="K332" s="477" t="s">
        <v>628</v>
      </c>
      <c r="L332" s="484"/>
      <c r="M332" s="422">
        <v>15</v>
      </c>
      <c r="N332" s="422"/>
      <c r="O332" s="422"/>
      <c r="P332" s="422"/>
      <c r="Q332" s="422"/>
      <c r="R332" s="422"/>
      <c r="S332" s="422"/>
      <c r="T332" s="422"/>
      <c r="U332" s="422"/>
      <c r="V332" s="422"/>
      <c r="W332" s="422"/>
      <c r="X332" s="422"/>
      <c r="Y332" s="422"/>
      <c r="Z332" s="422"/>
    </row>
    <row r="333" spans="1:26" hidden="1" x14ac:dyDescent="0.35">
      <c r="A333" s="478">
        <v>45901</v>
      </c>
      <c r="B333" s="506">
        <v>15</v>
      </c>
      <c r="C333" s="479" t="s">
        <v>575</v>
      </c>
      <c r="D333" s="479" t="s">
        <v>576</v>
      </c>
      <c r="E333" s="479" t="s">
        <v>646</v>
      </c>
      <c r="F333" s="479" t="s">
        <v>561</v>
      </c>
      <c r="G333" s="475" t="b">
        <f>IF(A333="","",IF(Daten!$AE$4=0,TRUE,MONTH(A333)=Daten!$AE$4))</f>
        <v>1</v>
      </c>
      <c r="H333" s="480" t="s">
        <v>306</v>
      </c>
      <c r="I333" s="475" t="s">
        <v>71</v>
      </c>
      <c r="J333" s="475"/>
      <c r="K333" s="479" t="s">
        <v>628</v>
      </c>
      <c r="L333" s="485"/>
      <c r="M333" s="423">
        <v>15</v>
      </c>
      <c r="N333" s="423"/>
      <c r="O333" s="423"/>
      <c r="P333" s="423"/>
      <c r="Q333" s="423"/>
      <c r="R333" s="423"/>
      <c r="S333" s="423"/>
      <c r="T333" s="423"/>
      <c r="U333" s="423"/>
      <c r="V333" s="423"/>
      <c r="W333" s="423"/>
      <c r="X333" s="423"/>
      <c r="Y333" s="423"/>
      <c r="Z333" s="423"/>
    </row>
    <row r="334" spans="1:26" hidden="1" x14ac:dyDescent="0.35">
      <c r="A334" s="476">
        <v>45901</v>
      </c>
      <c r="B334" s="505">
        <v>15</v>
      </c>
      <c r="C334" s="477" t="s">
        <v>56</v>
      </c>
      <c r="D334" s="477" t="s">
        <v>593</v>
      </c>
      <c r="E334" s="477" t="s">
        <v>648</v>
      </c>
      <c r="F334" s="477" t="s">
        <v>561</v>
      </c>
      <c r="G334" s="474" t="b">
        <f>IF(A334="","",IF(Daten!$AE$4=0,TRUE,MONTH(A334)=Daten!$AE$4))</f>
        <v>1</v>
      </c>
      <c r="H334" s="480" t="s">
        <v>415</v>
      </c>
      <c r="I334" s="474" t="s">
        <v>71</v>
      </c>
      <c r="J334" s="474"/>
      <c r="K334" s="477" t="s">
        <v>628</v>
      </c>
      <c r="L334" s="484"/>
      <c r="M334" s="422"/>
      <c r="N334" s="422"/>
      <c r="O334" s="422"/>
      <c r="P334" s="422"/>
      <c r="Q334" s="422"/>
      <c r="R334" s="422"/>
      <c r="S334" s="422">
        <v>15</v>
      </c>
      <c r="T334" s="422"/>
      <c r="U334" s="422"/>
      <c r="V334" s="422"/>
      <c r="W334" s="422"/>
      <c r="X334" s="422"/>
      <c r="Y334" s="422"/>
      <c r="Z334" s="422"/>
    </row>
    <row r="335" spans="1:26" hidden="1" x14ac:dyDescent="0.35">
      <c r="A335" s="478">
        <v>45901</v>
      </c>
      <c r="B335" s="506">
        <v>15</v>
      </c>
      <c r="C335" s="479" t="s">
        <v>586</v>
      </c>
      <c r="D335" s="479" t="s">
        <v>587</v>
      </c>
      <c r="E335" s="479" t="s">
        <v>647</v>
      </c>
      <c r="F335" s="479" t="s">
        <v>561</v>
      </c>
      <c r="G335" s="475" t="b">
        <f>IF(A335="","",IF(Daten!$AE$4=0,TRUE,MONTH(A335)=Daten!$AE$4))</f>
        <v>1</v>
      </c>
      <c r="H335" s="480" t="s">
        <v>306</v>
      </c>
      <c r="I335" s="475" t="s">
        <v>71</v>
      </c>
      <c r="J335" s="475"/>
      <c r="K335" s="479" t="s">
        <v>628</v>
      </c>
      <c r="L335" s="485"/>
      <c r="M335" s="423">
        <v>15</v>
      </c>
      <c r="N335" s="423"/>
      <c r="O335" s="423"/>
      <c r="P335" s="423"/>
      <c r="Q335" s="423"/>
      <c r="R335" s="423"/>
      <c r="S335" s="423"/>
      <c r="T335" s="423"/>
      <c r="U335" s="423"/>
      <c r="V335" s="423"/>
      <c r="W335" s="423"/>
      <c r="X335" s="423"/>
      <c r="Y335" s="423"/>
      <c r="Z335" s="423"/>
    </row>
    <row r="336" spans="1:26" hidden="1" x14ac:dyDescent="0.35">
      <c r="A336" s="476">
        <v>45901</v>
      </c>
      <c r="B336" s="505">
        <v>120</v>
      </c>
      <c r="C336" s="477" t="s">
        <v>594</v>
      </c>
      <c r="D336" s="477" t="s">
        <v>595</v>
      </c>
      <c r="E336" s="477" t="s">
        <v>649</v>
      </c>
      <c r="F336" s="477" t="s">
        <v>561</v>
      </c>
      <c r="G336" s="474" t="b">
        <f>IF(A336="","",IF(Daten!$AE$4=0,TRUE,MONTH(A336)=Daten!$AE$4))</f>
        <v>1</v>
      </c>
      <c r="H336" s="480" t="s">
        <v>425</v>
      </c>
      <c r="I336" s="474" t="s">
        <v>71</v>
      </c>
      <c r="J336" s="474"/>
      <c r="K336" s="477" t="s">
        <v>628</v>
      </c>
      <c r="L336" s="484"/>
      <c r="M336" s="422"/>
      <c r="N336" s="422"/>
      <c r="O336" s="422"/>
      <c r="P336" s="422"/>
      <c r="Q336" s="422"/>
      <c r="R336" s="422"/>
      <c r="S336" s="422">
        <v>120</v>
      </c>
      <c r="T336" s="422"/>
      <c r="U336" s="422"/>
      <c r="V336" s="422"/>
      <c r="W336" s="422"/>
      <c r="X336" s="422"/>
      <c r="Y336" s="422"/>
      <c r="Z336" s="422"/>
    </row>
    <row r="337" spans="1:26" hidden="1" x14ac:dyDescent="0.35">
      <c r="A337" s="478">
        <v>45901</v>
      </c>
      <c r="B337" s="506">
        <v>7.5</v>
      </c>
      <c r="C337" s="479" t="s">
        <v>56</v>
      </c>
      <c r="D337" s="479" t="s">
        <v>593</v>
      </c>
      <c r="E337" s="479" t="s">
        <v>386</v>
      </c>
      <c r="F337" s="479" t="s">
        <v>561</v>
      </c>
      <c r="G337" s="475" t="b">
        <f>IF(A337="","",IF(Daten!$AE$4=0,TRUE,MONTH(A337)=Daten!$AE$4))</f>
        <v>1</v>
      </c>
      <c r="H337" s="480" t="s">
        <v>306</v>
      </c>
      <c r="I337" s="475" t="s">
        <v>71</v>
      </c>
      <c r="J337" s="475"/>
      <c r="K337" s="479" t="s">
        <v>628</v>
      </c>
      <c r="L337" s="485"/>
      <c r="M337" s="423">
        <v>7.5</v>
      </c>
      <c r="N337" s="423"/>
      <c r="O337" s="423"/>
      <c r="P337" s="423"/>
      <c r="Q337" s="423"/>
      <c r="R337" s="423"/>
      <c r="S337" s="423"/>
      <c r="T337" s="423"/>
      <c r="U337" s="423"/>
      <c r="V337" s="423"/>
      <c r="W337" s="423"/>
      <c r="X337" s="423"/>
      <c r="Y337" s="423"/>
      <c r="Z337" s="423"/>
    </row>
    <row r="338" spans="1:26" hidden="1" x14ac:dyDescent="0.35">
      <c r="A338" s="476">
        <v>45901</v>
      </c>
      <c r="B338" s="505">
        <v>15</v>
      </c>
      <c r="C338" s="477" t="s">
        <v>596</v>
      </c>
      <c r="D338" s="477" t="s">
        <v>597</v>
      </c>
      <c r="E338" s="477" t="s">
        <v>651</v>
      </c>
      <c r="F338" s="477" t="s">
        <v>561</v>
      </c>
      <c r="G338" s="474" t="b">
        <f>IF(A338="","",IF(Daten!$AE$4=0,TRUE,MONTH(A338)=Daten!$AE$4))</f>
        <v>1</v>
      </c>
      <c r="H338" s="480" t="s">
        <v>415</v>
      </c>
      <c r="I338" s="474" t="s">
        <v>71</v>
      </c>
      <c r="J338" s="474"/>
      <c r="K338" s="477" t="s">
        <v>628</v>
      </c>
      <c r="L338" s="484"/>
      <c r="M338" s="422"/>
      <c r="N338" s="422"/>
      <c r="O338" s="422"/>
      <c r="P338" s="422"/>
      <c r="Q338" s="422"/>
      <c r="R338" s="422"/>
      <c r="S338" s="422">
        <v>15</v>
      </c>
      <c r="T338" s="422"/>
      <c r="U338" s="422"/>
      <c r="V338" s="422"/>
      <c r="W338" s="422"/>
      <c r="X338" s="422"/>
      <c r="Y338" s="422"/>
      <c r="Z338" s="422"/>
    </row>
    <row r="339" spans="1:26" hidden="1" x14ac:dyDescent="0.35">
      <c r="A339" s="478">
        <v>45901</v>
      </c>
      <c r="B339" s="506">
        <v>60</v>
      </c>
      <c r="C339" s="479" t="s">
        <v>596</v>
      </c>
      <c r="D339" s="479" t="s">
        <v>597</v>
      </c>
      <c r="E339" s="479" t="s">
        <v>680</v>
      </c>
      <c r="F339" s="479" t="s">
        <v>561</v>
      </c>
      <c r="G339" s="475" t="b">
        <f>IF(A339="","",IF(Daten!$AE$4=0,TRUE,MONTH(A339)=Daten!$AE$4))</f>
        <v>1</v>
      </c>
      <c r="H339" s="480" t="s">
        <v>425</v>
      </c>
      <c r="I339" s="475" t="s">
        <v>71</v>
      </c>
      <c r="J339" s="475"/>
      <c r="K339" s="479" t="s">
        <v>628</v>
      </c>
      <c r="L339" s="485"/>
      <c r="M339" s="423"/>
      <c r="N339" s="423"/>
      <c r="O339" s="423"/>
      <c r="P339" s="423"/>
      <c r="Q339" s="423"/>
      <c r="R339" s="423"/>
      <c r="S339" s="423">
        <v>60</v>
      </c>
      <c r="T339" s="423"/>
      <c r="U339" s="423"/>
      <c r="V339" s="423"/>
      <c r="W339" s="423"/>
      <c r="X339" s="423"/>
      <c r="Y339" s="423"/>
      <c r="Z339" s="423"/>
    </row>
    <row r="340" spans="1:26" hidden="1" x14ac:dyDescent="0.35">
      <c r="A340" s="476">
        <v>45901</v>
      </c>
      <c r="B340" s="505">
        <v>15</v>
      </c>
      <c r="C340" s="477" t="s">
        <v>596</v>
      </c>
      <c r="D340" s="477" t="s">
        <v>597</v>
      </c>
      <c r="E340" s="477" t="s">
        <v>653</v>
      </c>
      <c r="F340" s="477" t="s">
        <v>561</v>
      </c>
      <c r="G340" s="474" t="b">
        <f>IF(A340="","",IF(Daten!$AE$4=0,TRUE,MONTH(A340)=Daten!$AE$4))</f>
        <v>1</v>
      </c>
      <c r="H340" s="480" t="s">
        <v>306</v>
      </c>
      <c r="I340" s="474" t="s">
        <v>71</v>
      </c>
      <c r="J340" s="474"/>
      <c r="K340" s="477" t="s">
        <v>628</v>
      </c>
      <c r="L340" s="484"/>
      <c r="M340" s="422">
        <v>15</v>
      </c>
      <c r="N340" s="422"/>
      <c r="O340" s="422"/>
      <c r="P340" s="422"/>
      <c r="Q340" s="422"/>
      <c r="R340" s="422"/>
      <c r="S340" s="422"/>
      <c r="T340" s="422"/>
      <c r="U340" s="422"/>
      <c r="V340" s="422"/>
      <c r="W340" s="422"/>
      <c r="X340" s="422"/>
      <c r="Y340" s="422"/>
      <c r="Z340" s="422"/>
    </row>
    <row r="341" spans="1:26" hidden="1" x14ac:dyDescent="0.35">
      <c r="A341" s="478">
        <v>45901</v>
      </c>
      <c r="B341" s="506">
        <v>15</v>
      </c>
      <c r="C341" s="479" t="s">
        <v>598</v>
      </c>
      <c r="D341" s="479" t="s">
        <v>599</v>
      </c>
      <c r="E341" s="479" t="s">
        <v>652</v>
      </c>
      <c r="F341" s="479" t="s">
        <v>561</v>
      </c>
      <c r="G341" s="475" t="b">
        <f>IF(A341="","",IF(Daten!$AE$4=0,TRUE,MONTH(A341)=Daten!$AE$4))</f>
        <v>1</v>
      </c>
      <c r="H341" s="480" t="s">
        <v>306</v>
      </c>
      <c r="I341" s="475" t="s">
        <v>71</v>
      </c>
      <c r="J341" s="475"/>
      <c r="K341" s="479" t="s">
        <v>628</v>
      </c>
      <c r="L341" s="485"/>
      <c r="M341" s="423">
        <v>15</v>
      </c>
      <c r="N341" s="423"/>
      <c r="O341" s="423"/>
      <c r="P341" s="423"/>
      <c r="Q341" s="423"/>
      <c r="R341" s="423"/>
      <c r="S341" s="423"/>
      <c r="T341" s="423"/>
      <c r="U341" s="423"/>
      <c r="V341" s="423"/>
      <c r="W341" s="423"/>
      <c r="X341" s="423"/>
      <c r="Y341" s="423"/>
      <c r="Z341" s="423"/>
    </row>
    <row r="342" spans="1:26" hidden="1" x14ac:dyDescent="0.35">
      <c r="A342" s="476">
        <v>45901</v>
      </c>
      <c r="B342" s="505">
        <v>-4.5999999999999996</v>
      </c>
      <c r="C342" s="477"/>
      <c r="D342" s="477">
        <v>0</v>
      </c>
      <c r="E342" s="477" t="s">
        <v>654</v>
      </c>
      <c r="F342" s="477" t="s">
        <v>381</v>
      </c>
      <c r="G342" s="474" t="b">
        <f>IF(A342="","",IF(Daten!$AE$4=0,TRUE,MONTH(A342)=Daten!$AE$4))</f>
        <v>1</v>
      </c>
      <c r="H342" s="480" t="s">
        <v>452</v>
      </c>
      <c r="I342" s="474" t="s">
        <v>71</v>
      </c>
      <c r="J342" s="474"/>
      <c r="K342" s="477" t="s">
        <v>628</v>
      </c>
      <c r="L342" s="484"/>
      <c r="M342" s="422"/>
      <c r="N342" s="422"/>
      <c r="O342" s="422"/>
      <c r="P342" s="422"/>
      <c r="Q342" s="422"/>
      <c r="R342" s="422"/>
      <c r="S342" s="422"/>
      <c r="T342" s="422"/>
      <c r="U342" s="422"/>
      <c r="V342" s="422"/>
      <c r="W342" s="422"/>
      <c r="X342" s="422"/>
      <c r="Y342" s="422">
        <v>-4.5999999999999996</v>
      </c>
      <c r="Z342" s="422"/>
    </row>
    <row r="343" spans="1:26" hidden="1" x14ac:dyDescent="0.35">
      <c r="A343" s="478">
        <v>45902</v>
      </c>
      <c r="B343" s="506">
        <v>15</v>
      </c>
      <c r="C343" s="479" t="s">
        <v>51</v>
      </c>
      <c r="D343" s="479" t="s">
        <v>580</v>
      </c>
      <c r="E343" s="479" t="s">
        <v>384</v>
      </c>
      <c r="F343" s="479" t="s">
        <v>561</v>
      </c>
      <c r="G343" s="475" t="b">
        <f>IF(A343="","",IF(Daten!$AE$4=0,TRUE,MONTH(A343)=Daten!$AE$4))</f>
        <v>1</v>
      </c>
      <c r="H343" s="480" t="s">
        <v>415</v>
      </c>
      <c r="I343" s="475" t="s">
        <v>71</v>
      </c>
      <c r="J343" s="475"/>
      <c r="K343" s="479" t="s">
        <v>628</v>
      </c>
      <c r="L343" s="485"/>
      <c r="M343" s="423"/>
      <c r="N343" s="423"/>
      <c r="O343" s="423"/>
      <c r="P343" s="423"/>
      <c r="Q343" s="423"/>
      <c r="R343" s="423"/>
      <c r="S343" s="423">
        <v>15</v>
      </c>
      <c r="T343" s="423"/>
      <c r="U343" s="423"/>
      <c r="V343" s="423"/>
      <c r="W343" s="423"/>
      <c r="X343" s="423"/>
      <c r="Y343" s="423"/>
      <c r="Z343" s="423"/>
    </row>
    <row r="344" spans="1:26" hidden="1" x14ac:dyDescent="0.35">
      <c r="A344" s="476">
        <v>45902</v>
      </c>
      <c r="B344" s="505">
        <v>60</v>
      </c>
      <c r="C344" s="477" t="s">
        <v>573</v>
      </c>
      <c r="D344" s="477" t="s">
        <v>574</v>
      </c>
      <c r="E344" s="477" t="s">
        <v>639</v>
      </c>
      <c r="F344" s="477" t="s">
        <v>561</v>
      </c>
      <c r="G344" s="474" t="b">
        <f>IF(A344="","",IF(Daten!$AE$4=0,TRUE,MONTH(A344)=Daten!$AE$4))</f>
        <v>1</v>
      </c>
      <c r="H344" s="480" t="s">
        <v>425</v>
      </c>
      <c r="I344" s="474" t="s">
        <v>71</v>
      </c>
      <c r="J344" s="474"/>
      <c r="K344" s="477" t="s">
        <v>628</v>
      </c>
      <c r="L344" s="484"/>
      <c r="M344" s="422"/>
      <c r="N344" s="422"/>
      <c r="O344" s="422"/>
      <c r="P344" s="422"/>
      <c r="Q344" s="422"/>
      <c r="R344" s="422"/>
      <c r="S344" s="422">
        <v>60</v>
      </c>
      <c r="T344" s="422"/>
      <c r="U344" s="422"/>
      <c r="V344" s="422"/>
      <c r="W344" s="422"/>
      <c r="X344" s="422"/>
      <c r="Y344" s="422"/>
      <c r="Z344" s="422"/>
    </row>
    <row r="345" spans="1:26" hidden="1" x14ac:dyDescent="0.35">
      <c r="A345" s="478">
        <v>45902</v>
      </c>
      <c r="B345" s="506">
        <v>15</v>
      </c>
      <c r="C345" s="479" t="s">
        <v>573</v>
      </c>
      <c r="D345" s="479" t="s">
        <v>574</v>
      </c>
      <c r="E345" s="479" t="s">
        <v>641</v>
      </c>
      <c r="F345" s="479" t="s">
        <v>561</v>
      </c>
      <c r="G345" s="475" t="b">
        <f>IF(A345="","",IF(Daten!$AE$4=0,TRUE,MONTH(A345)=Daten!$AE$4))</f>
        <v>1</v>
      </c>
      <c r="H345" s="480" t="s">
        <v>415</v>
      </c>
      <c r="I345" s="475" t="s">
        <v>71</v>
      </c>
      <c r="J345" s="475"/>
      <c r="K345" s="479" t="s">
        <v>628</v>
      </c>
      <c r="L345" s="485"/>
      <c r="M345" s="423"/>
      <c r="N345" s="423"/>
      <c r="O345" s="423"/>
      <c r="P345" s="423"/>
      <c r="Q345" s="423"/>
      <c r="R345" s="423"/>
      <c r="S345" s="423">
        <v>15</v>
      </c>
      <c r="T345" s="423"/>
      <c r="U345" s="423"/>
      <c r="V345" s="423"/>
      <c r="W345" s="423"/>
      <c r="X345" s="423"/>
      <c r="Y345" s="423"/>
      <c r="Z345" s="423"/>
    </row>
    <row r="346" spans="1:26" hidden="1" x14ac:dyDescent="0.35">
      <c r="A346" s="476">
        <v>45902</v>
      </c>
      <c r="B346" s="505">
        <v>15</v>
      </c>
      <c r="C346" s="477" t="s">
        <v>583</v>
      </c>
      <c r="D346" s="477" t="s">
        <v>584</v>
      </c>
      <c r="E346" s="477" t="s">
        <v>640</v>
      </c>
      <c r="F346" s="477" t="s">
        <v>561</v>
      </c>
      <c r="G346" s="474" t="b">
        <f>IF(A346="","",IF(Daten!$AE$4=0,TRUE,MONTH(A346)=Daten!$AE$4))</f>
        <v>1</v>
      </c>
      <c r="H346" s="480" t="s">
        <v>415</v>
      </c>
      <c r="I346" s="474" t="s">
        <v>71</v>
      </c>
      <c r="J346" s="474"/>
      <c r="K346" s="477" t="s">
        <v>628</v>
      </c>
      <c r="L346" s="484"/>
      <c r="M346" s="422"/>
      <c r="N346" s="422"/>
      <c r="O346" s="422"/>
      <c r="P346" s="422"/>
      <c r="Q346" s="422"/>
      <c r="R346" s="422"/>
      <c r="S346" s="422">
        <v>15</v>
      </c>
      <c r="T346" s="422"/>
      <c r="U346" s="422"/>
      <c r="V346" s="422"/>
      <c r="W346" s="422"/>
      <c r="X346" s="422"/>
      <c r="Y346" s="422"/>
      <c r="Z346" s="422"/>
    </row>
    <row r="347" spans="1:26" hidden="1" x14ac:dyDescent="0.35">
      <c r="A347" s="478">
        <v>45902</v>
      </c>
      <c r="B347" s="506">
        <v>7.5</v>
      </c>
      <c r="C347" s="479" t="s">
        <v>583</v>
      </c>
      <c r="D347" s="479" t="s">
        <v>584</v>
      </c>
      <c r="E347" s="479" t="s">
        <v>642</v>
      </c>
      <c r="F347" s="479" t="s">
        <v>561</v>
      </c>
      <c r="G347" s="475" t="b">
        <f>IF(A347="","",IF(Daten!$AE$4=0,TRUE,MONTH(A347)=Daten!$AE$4))</f>
        <v>1</v>
      </c>
      <c r="H347" s="480" t="s">
        <v>306</v>
      </c>
      <c r="I347" s="475" t="s">
        <v>71</v>
      </c>
      <c r="J347" s="475"/>
      <c r="K347" s="479" t="s">
        <v>628</v>
      </c>
      <c r="L347" s="485"/>
      <c r="M347" s="423">
        <v>7.5</v>
      </c>
      <c r="N347" s="423"/>
      <c r="O347" s="423"/>
      <c r="P347" s="423"/>
      <c r="Q347" s="423"/>
      <c r="R347" s="423"/>
      <c r="S347" s="423"/>
      <c r="T347" s="423"/>
      <c r="U347" s="423"/>
      <c r="V347" s="423"/>
      <c r="W347" s="423"/>
      <c r="X347" s="423"/>
      <c r="Y347" s="423"/>
      <c r="Z347" s="423"/>
    </row>
    <row r="348" spans="1:26" hidden="1" x14ac:dyDescent="0.35">
      <c r="A348" s="476">
        <v>45902</v>
      </c>
      <c r="B348" s="505">
        <v>15</v>
      </c>
      <c r="C348" s="477" t="s">
        <v>588</v>
      </c>
      <c r="D348" s="477" t="s">
        <v>589</v>
      </c>
      <c r="E348" s="477" t="s">
        <v>385</v>
      </c>
      <c r="F348" s="477" t="s">
        <v>561</v>
      </c>
      <c r="G348" s="474" t="b">
        <f>IF(A348="","",IF(Daten!$AE$4=0,TRUE,MONTH(A348)=Daten!$AE$4))</f>
        <v>1</v>
      </c>
      <c r="H348" s="480" t="s">
        <v>415</v>
      </c>
      <c r="I348" s="474" t="s">
        <v>71</v>
      </c>
      <c r="J348" s="474"/>
      <c r="K348" s="477" t="s">
        <v>628</v>
      </c>
      <c r="L348" s="484"/>
      <c r="M348" s="422"/>
      <c r="N348" s="422"/>
      <c r="O348" s="422"/>
      <c r="P348" s="422"/>
      <c r="Q348" s="422"/>
      <c r="R348" s="422"/>
      <c r="S348" s="422">
        <v>15</v>
      </c>
      <c r="T348" s="422"/>
      <c r="U348" s="422"/>
      <c r="V348" s="422"/>
      <c r="W348" s="422"/>
      <c r="X348" s="422"/>
      <c r="Y348" s="422"/>
      <c r="Z348" s="422"/>
    </row>
    <row r="349" spans="1:26" hidden="1" x14ac:dyDescent="0.35">
      <c r="A349" s="478">
        <v>45902</v>
      </c>
      <c r="B349" s="506">
        <v>15</v>
      </c>
      <c r="C349" s="479" t="s">
        <v>586</v>
      </c>
      <c r="D349" s="479" t="s">
        <v>587</v>
      </c>
      <c r="E349" s="479" t="s">
        <v>645</v>
      </c>
      <c r="F349" s="479" t="s">
        <v>561</v>
      </c>
      <c r="G349" s="475" t="b">
        <f>IF(A349="","",IF(Daten!$AE$4=0,TRUE,MONTH(A349)=Daten!$AE$4))</f>
        <v>1</v>
      </c>
      <c r="H349" s="480" t="s">
        <v>415</v>
      </c>
      <c r="I349" s="475" t="s">
        <v>71</v>
      </c>
      <c r="J349" s="475"/>
      <c r="K349" s="479" t="s">
        <v>628</v>
      </c>
      <c r="L349" s="485"/>
      <c r="M349" s="423"/>
      <c r="N349" s="423"/>
      <c r="O349" s="423"/>
      <c r="P349" s="423"/>
      <c r="Q349" s="423"/>
      <c r="R349" s="423"/>
      <c r="S349" s="423">
        <v>15</v>
      </c>
      <c r="T349" s="423"/>
      <c r="U349" s="423"/>
      <c r="V349" s="423"/>
      <c r="W349" s="423"/>
      <c r="X349" s="423"/>
      <c r="Y349" s="423"/>
      <c r="Z349" s="423"/>
    </row>
    <row r="350" spans="1:26" hidden="1" x14ac:dyDescent="0.35">
      <c r="A350" s="476">
        <v>45902</v>
      </c>
      <c r="B350" s="505">
        <v>15</v>
      </c>
      <c r="C350" s="477" t="s">
        <v>66</v>
      </c>
      <c r="D350" s="477" t="s">
        <v>585</v>
      </c>
      <c r="E350" s="477" t="s">
        <v>644</v>
      </c>
      <c r="F350" s="477" t="s">
        <v>561</v>
      </c>
      <c r="G350" s="474" t="b">
        <f>IF(A350="","",IF(Daten!$AE$4=0,TRUE,MONTH(A350)=Daten!$AE$4))</f>
        <v>1</v>
      </c>
      <c r="H350" s="480" t="s">
        <v>415</v>
      </c>
      <c r="I350" s="474" t="s">
        <v>71</v>
      </c>
      <c r="J350" s="474"/>
      <c r="K350" s="477" t="s">
        <v>628</v>
      </c>
      <c r="L350" s="484"/>
      <c r="M350" s="422"/>
      <c r="N350" s="422"/>
      <c r="O350" s="422"/>
      <c r="P350" s="422"/>
      <c r="Q350" s="422"/>
      <c r="R350" s="422"/>
      <c r="S350" s="422">
        <v>15</v>
      </c>
      <c r="T350" s="422"/>
      <c r="U350" s="422"/>
      <c r="V350" s="422"/>
      <c r="W350" s="422"/>
      <c r="X350" s="422"/>
      <c r="Y350" s="422"/>
      <c r="Z350" s="422"/>
    </row>
    <row r="351" spans="1:26" hidden="1" x14ac:dyDescent="0.35">
      <c r="A351" s="478">
        <v>45902</v>
      </c>
      <c r="B351" s="506">
        <v>7.5</v>
      </c>
      <c r="C351" s="479" t="s">
        <v>66</v>
      </c>
      <c r="D351" s="479" t="s">
        <v>585</v>
      </c>
      <c r="E351" s="479" t="s">
        <v>643</v>
      </c>
      <c r="F351" s="479" t="s">
        <v>561</v>
      </c>
      <c r="G351" s="475" t="b">
        <f>IF(A351="","",IF(Daten!$AE$4=0,TRUE,MONTH(A351)=Daten!$AE$4))</f>
        <v>1</v>
      </c>
      <c r="H351" s="480" t="s">
        <v>306</v>
      </c>
      <c r="I351" s="475" t="s">
        <v>71</v>
      </c>
      <c r="J351" s="475"/>
      <c r="K351" s="479" t="s">
        <v>628</v>
      </c>
      <c r="L351" s="485"/>
      <c r="M351" s="423">
        <v>7.5</v>
      </c>
      <c r="N351" s="423"/>
      <c r="O351" s="423"/>
      <c r="P351" s="423"/>
      <c r="Q351" s="423"/>
      <c r="R351" s="423"/>
      <c r="S351" s="423"/>
      <c r="T351" s="423"/>
      <c r="U351" s="423"/>
      <c r="V351" s="423"/>
      <c r="W351" s="423"/>
      <c r="X351" s="423"/>
      <c r="Y351" s="423"/>
      <c r="Z351" s="423"/>
    </row>
    <row r="352" spans="1:26" hidden="1" x14ac:dyDescent="0.35">
      <c r="A352" s="476">
        <v>45903</v>
      </c>
      <c r="B352" s="505">
        <v>15</v>
      </c>
      <c r="C352" s="477" t="s">
        <v>581</v>
      </c>
      <c r="D352" s="477" t="s">
        <v>582</v>
      </c>
      <c r="E352" s="477" t="s">
        <v>650</v>
      </c>
      <c r="F352" s="477" t="s">
        <v>561</v>
      </c>
      <c r="G352" s="474" t="b">
        <f>IF(A352="","",IF(Daten!$AE$4=0,TRUE,MONTH(A352)=Daten!$AE$4))</f>
        <v>1</v>
      </c>
      <c r="H352" s="480" t="s">
        <v>415</v>
      </c>
      <c r="I352" s="474" t="s">
        <v>71</v>
      </c>
      <c r="J352" s="474"/>
      <c r="K352" s="477" t="s">
        <v>628</v>
      </c>
      <c r="L352" s="484"/>
      <c r="M352" s="422"/>
      <c r="N352" s="422"/>
      <c r="O352" s="422"/>
      <c r="P352" s="422"/>
      <c r="Q352" s="422"/>
      <c r="R352" s="422"/>
      <c r="S352" s="422">
        <v>15</v>
      </c>
      <c r="T352" s="422"/>
      <c r="U352" s="422"/>
      <c r="V352" s="422"/>
      <c r="W352" s="422"/>
      <c r="X352" s="422"/>
      <c r="Y352" s="422"/>
      <c r="Z352" s="422"/>
    </row>
    <row r="353" spans="1:26" hidden="1" x14ac:dyDescent="0.35">
      <c r="A353" s="478">
        <v>45903</v>
      </c>
      <c r="B353" s="506">
        <v>7.5</v>
      </c>
      <c r="C353" s="479" t="s">
        <v>51</v>
      </c>
      <c r="D353" s="479" t="s">
        <v>580</v>
      </c>
      <c r="E353" s="479" t="s">
        <v>637</v>
      </c>
      <c r="F353" s="479" t="s">
        <v>561</v>
      </c>
      <c r="G353" s="475" t="b">
        <f>IF(A353="","",IF(Daten!$AE$4=0,TRUE,MONTH(A353)=Daten!$AE$4))</f>
        <v>1</v>
      </c>
      <c r="H353" s="480" t="s">
        <v>306</v>
      </c>
      <c r="I353" s="475" t="s">
        <v>71</v>
      </c>
      <c r="J353" s="475"/>
      <c r="K353" s="479" t="s">
        <v>628</v>
      </c>
      <c r="L353" s="485"/>
      <c r="M353" s="423">
        <v>7.5</v>
      </c>
      <c r="N353" s="423"/>
      <c r="O353" s="423"/>
      <c r="P353" s="423"/>
      <c r="Q353" s="423"/>
      <c r="R353" s="423"/>
      <c r="S353" s="423"/>
      <c r="T353" s="423"/>
      <c r="U353" s="423"/>
      <c r="V353" s="423"/>
      <c r="W353" s="423"/>
      <c r="X353" s="423"/>
      <c r="Y353" s="423"/>
      <c r="Z353" s="423"/>
    </row>
    <row r="354" spans="1:26" hidden="1" x14ac:dyDescent="0.35">
      <c r="A354" s="476">
        <v>45903</v>
      </c>
      <c r="B354" s="505">
        <v>15</v>
      </c>
      <c r="C354" s="477" t="s">
        <v>581</v>
      </c>
      <c r="D354" s="477" t="s">
        <v>582</v>
      </c>
      <c r="E354" s="477" t="s">
        <v>638</v>
      </c>
      <c r="F354" s="477" t="s">
        <v>561</v>
      </c>
      <c r="G354" s="474" t="b">
        <f>IF(A354="","",IF(Daten!$AE$4=0,TRUE,MONTH(A354)=Daten!$AE$4))</f>
        <v>1</v>
      </c>
      <c r="H354" s="480" t="s">
        <v>306</v>
      </c>
      <c r="I354" s="474" t="s">
        <v>71</v>
      </c>
      <c r="J354" s="474"/>
      <c r="K354" s="477" t="s">
        <v>628</v>
      </c>
      <c r="L354" s="484"/>
      <c r="M354" s="422">
        <v>15</v>
      </c>
      <c r="N354" s="422"/>
      <c r="O354" s="422"/>
      <c r="P354" s="422"/>
      <c r="Q354" s="422"/>
      <c r="R354" s="422"/>
      <c r="S354" s="422"/>
      <c r="T354" s="422"/>
      <c r="U354" s="422"/>
      <c r="V354" s="422"/>
      <c r="W354" s="422"/>
      <c r="X354" s="422"/>
      <c r="Y354" s="422"/>
      <c r="Z354" s="422"/>
    </row>
    <row r="355" spans="1:26" ht="29" x14ac:dyDescent="0.35">
      <c r="A355" s="478">
        <v>45904</v>
      </c>
      <c r="B355" s="506">
        <v>140</v>
      </c>
      <c r="C355" s="479" t="s">
        <v>51</v>
      </c>
      <c r="D355" s="479" t="s">
        <v>580</v>
      </c>
      <c r="E355" s="479" t="s">
        <v>678</v>
      </c>
      <c r="F355" s="479" t="s">
        <v>572</v>
      </c>
      <c r="G355" s="475" t="b">
        <f>IF(A355="","",IF(Daten!$AE$4=0,TRUE,MONTH(A355)=Daten!$AE$4))</f>
        <v>1</v>
      </c>
      <c r="H355" s="426" t="s">
        <v>821</v>
      </c>
      <c r="I355" s="475" t="s">
        <v>71</v>
      </c>
      <c r="J355" s="475"/>
      <c r="K355" s="479" t="s">
        <v>628</v>
      </c>
      <c r="L355" s="485" t="s">
        <v>820</v>
      </c>
      <c r="M355" s="423"/>
      <c r="N355" s="423"/>
      <c r="O355" s="423"/>
      <c r="P355" s="423"/>
      <c r="Q355" s="423"/>
      <c r="R355" s="423"/>
      <c r="S355" s="423"/>
      <c r="T355" s="423"/>
      <c r="U355" s="423"/>
      <c r="V355" s="423"/>
      <c r="W355" s="423"/>
      <c r="X355" s="423"/>
      <c r="Y355" s="423"/>
      <c r="Z355" s="423"/>
    </row>
    <row r="356" spans="1:26" hidden="1" x14ac:dyDescent="0.35">
      <c r="A356" s="476">
        <v>45904</v>
      </c>
      <c r="B356" s="505">
        <v>150</v>
      </c>
      <c r="C356" s="477" t="s">
        <v>609</v>
      </c>
      <c r="D356" s="477" t="s">
        <v>585</v>
      </c>
      <c r="E356" s="477" t="s">
        <v>679</v>
      </c>
      <c r="F356" s="477" t="s">
        <v>572</v>
      </c>
      <c r="G356" s="474" t="b">
        <f>IF(A356="","",IF(Daten!$AE$4=0,TRUE,MONTH(A356)=Daten!$AE$4))</f>
        <v>1</v>
      </c>
      <c r="H356" s="480" t="s">
        <v>425</v>
      </c>
      <c r="I356" s="474" t="s">
        <v>71</v>
      </c>
      <c r="J356" s="474"/>
      <c r="K356" s="477" t="s">
        <v>628</v>
      </c>
      <c r="L356" s="484"/>
      <c r="M356" s="422"/>
      <c r="N356" s="422"/>
      <c r="O356" s="422"/>
      <c r="P356" s="422"/>
      <c r="Q356" s="422"/>
      <c r="R356" s="422"/>
      <c r="S356" s="422">
        <v>150</v>
      </c>
      <c r="T356" s="422"/>
      <c r="U356" s="422"/>
      <c r="V356" s="422"/>
      <c r="W356" s="422"/>
      <c r="X356" s="422"/>
      <c r="Y356" s="422"/>
      <c r="Z356" s="422"/>
    </row>
    <row r="357" spans="1:26" hidden="1" x14ac:dyDescent="0.35">
      <c r="A357" s="478">
        <v>45905</v>
      </c>
      <c r="B357" s="506">
        <v>15</v>
      </c>
      <c r="C357" s="479" t="s">
        <v>575</v>
      </c>
      <c r="D357" s="479" t="s">
        <v>576</v>
      </c>
      <c r="E357" s="479" t="s">
        <v>633</v>
      </c>
      <c r="F357" s="479" t="s">
        <v>561</v>
      </c>
      <c r="G357" s="475" t="b">
        <f>IF(A357="","",IF(Daten!$AE$4=0,TRUE,MONTH(A357)=Daten!$AE$4))</f>
        <v>1</v>
      </c>
      <c r="H357" s="480" t="s">
        <v>415</v>
      </c>
      <c r="I357" s="475" t="s">
        <v>71</v>
      </c>
      <c r="J357" s="475"/>
      <c r="K357" s="479" t="s">
        <v>628</v>
      </c>
      <c r="L357" s="485"/>
      <c r="M357" s="423"/>
      <c r="N357" s="423"/>
      <c r="O357" s="423"/>
      <c r="P357" s="423"/>
      <c r="Q357" s="423"/>
      <c r="R357" s="423"/>
      <c r="S357" s="423">
        <v>15</v>
      </c>
      <c r="T357" s="423"/>
      <c r="U357" s="423"/>
      <c r="V357" s="423"/>
      <c r="W357" s="423"/>
      <c r="X357" s="423"/>
      <c r="Y357" s="423"/>
      <c r="Z357" s="423"/>
    </row>
    <row r="358" spans="1:26" hidden="1" x14ac:dyDescent="0.35">
      <c r="A358" s="476">
        <v>45905</v>
      </c>
      <c r="B358" s="505">
        <v>-471</v>
      </c>
      <c r="C358" s="477" t="s">
        <v>578</v>
      </c>
      <c r="D358" s="477" t="s">
        <v>579</v>
      </c>
      <c r="E358" s="477" t="s">
        <v>677</v>
      </c>
      <c r="F358" s="477" t="s">
        <v>567</v>
      </c>
      <c r="G358" s="474" t="b">
        <f>IF(A358="","",IF(Daten!$AE$4=0,TRUE,MONTH(A358)=Daten!$AE$4))</f>
        <v>1</v>
      </c>
      <c r="H358" s="480" t="s">
        <v>451</v>
      </c>
      <c r="I358" s="474" t="s">
        <v>71</v>
      </c>
      <c r="J358" s="474"/>
      <c r="K358" s="477" t="s">
        <v>628</v>
      </c>
      <c r="L358" s="484"/>
      <c r="M358" s="422"/>
      <c r="N358" s="422"/>
      <c r="O358" s="422"/>
      <c r="P358" s="422"/>
      <c r="Q358" s="422"/>
      <c r="R358" s="422"/>
      <c r="S358" s="422"/>
      <c r="T358" s="422">
        <v>-471</v>
      </c>
      <c r="U358" s="422"/>
      <c r="V358" s="422"/>
      <c r="W358" s="422"/>
      <c r="X358" s="422"/>
      <c r="Y358" s="422"/>
      <c r="Z358" s="422"/>
    </row>
    <row r="359" spans="1:26" ht="29" x14ac:dyDescent="0.35">
      <c r="A359" s="478">
        <v>45911</v>
      </c>
      <c r="B359" s="506">
        <v>80</v>
      </c>
      <c r="C359" s="479" t="s">
        <v>608</v>
      </c>
      <c r="D359" s="479" t="s">
        <v>593</v>
      </c>
      <c r="E359" s="479" t="s">
        <v>676</v>
      </c>
      <c r="F359" s="479" t="s">
        <v>572</v>
      </c>
      <c r="G359" s="475" t="b">
        <f>IF(A359="","",IF(Daten!$AE$4=0,TRUE,MONTH(A359)=Daten!$AE$4))</f>
        <v>1</v>
      </c>
      <c r="H359" s="426" t="s">
        <v>821</v>
      </c>
      <c r="I359" s="475" t="s">
        <v>71</v>
      </c>
      <c r="J359" s="475"/>
      <c r="K359" s="479" t="s">
        <v>628</v>
      </c>
      <c r="L359" s="485" t="s">
        <v>820</v>
      </c>
      <c r="M359" s="423"/>
      <c r="N359" s="423"/>
      <c r="O359" s="423"/>
      <c r="P359" s="423"/>
      <c r="Q359" s="423"/>
      <c r="R359" s="423"/>
      <c r="S359" s="423"/>
      <c r="T359" s="423"/>
      <c r="U359" s="423"/>
      <c r="V359" s="423"/>
      <c r="W359" s="423"/>
      <c r="X359" s="423"/>
      <c r="Y359" s="423"/>
      <c r="Z359" s="423"/>
    </row>
    <row r="360" spans="1:26" ht="29" x14ac:dyDescent="0.35">
      <c r="A360" s="476">
        <v>45912</v>
      </c>
      <c r="B360" s="505">
        <v>-256.2</v>
      </c>
      <c r="C360" s="477" t="s">
        <v>606</v>
      </c>
      <c r="D360" s="477" t="s">
        <v>607</v>
      </c>
      <c r="E360" s="477" t="s">
        <v>675</v>
      </c>
      <c r="F360" s="477" t="s">
        <v>564</v>
      </c>
      <c r="G360" s="474" t="b">
        <f>IF(A360="","",IF(Daten!$AE$4=0,TRUE,MONTH(A360)=Daten!$AE$4))</f>
        <v>1</v>
      </c>
      <c r="H360" s="426" t="s">
        <v>821</v>
      </c>
      <c r="I360" s="474" t="s">
        <v>71</v>
      </c>
      <c r="J360" s="474"/>
      <c r="K360" s="477" t="s">
        <v>628</v>
      </c>
      <c r="L360" s="484" t="s">
        <v>789</v>
      </c>
      <c r="M360" s="422"/>
      <c r="N360" s="422"/>
      <c r="O360" s="422"/>
      <c r="P360" s="422"/>
      <c r="Q360" s="422"/>
      <c r="R360" s="422"/>
      <c r="S360" s="422"/>
      <c r="T360" s="422"/>
      <c r="U360" s="422"/>
      <c r="V360" s="422"/>
      <c r="W360" s="422"/>
      <c r="X360" s="422"/>
      <c r="Y360" s="422"/>
      <c r="Z360" s="422"/>
    </row>
    <row r="361" spans="1:26" ht="29" x14ac:dyDescent="0.35">
      <c r="A361" s="478">
        <v>45915</v>
      </c>
      <c r="B361" s="506">
        <v>70</v>
      </c>
      <c r="C361" s="479" t="s">
        <v>562</v>
      </c>
      <c r="D361" s="479" t="s">
        <v>563</v>
      </c>
      <c r="E361" s="479" t="s">
        <v>671</v>
      </c>
      <c r="F361" s="479" t="s">
        <v>590</v>
      </c>
      <c r="G361" s="475" t="b">
        <f>IF(A361="","",IF(Daten!$AE$4=0,TRUE,MONTH(A361)=Daten!$AE$4))</f>
        <v>1</v>
      </c>
      <c r="H361" s="426" t="s">
        <v>821</v>
      </c>
      <c r="I361" s="475" t="s">
        <v>71</v>
      </c>
      <c r="J361" s="475"/>
      <c r="K361" s="479" t="s">
        <v>628</v>
      </c>
      <c r="L361" s="485" t="s">
        <v>820</v>
      </c>
      <c r="M361" s="423"/>
      <c r="N361" s="423"/>
      <c r="O361" s="423"/>
      <c r="P361" s="423"/>
      <c r="Q361" s="423"/>
      <c r="R361" s="423"/>
      <c r="S361" s="423"/>
      <c r="T361" s="423"/>
      <c r="U361" s="423"/>
      <c r="V361" s="423"/>
      <c r="W361" s="423"/>
      <c r="X361" s="423"/>
      <c r="Y361" s="423"/>
      <c r="Z361" s="423"/>
    </row>
    <row r="362" spans="1:26" hidden="1" x14ac:dyDescent="0.35">
      <c r="A362" s="476">
        <v>45915</v>
      </c>
      <c r="B362" s="505">
        <v>60</v>
      </c>
      <c r="C362" s="477" t="s">
        <v>605</v>
      </c>
      <c r="D362" s="477" t="s">
        <v>582</v>
      </c>
      <c r="E362" s="477" t="s">
        <v>672</v>
      </c>
      <c r="F362" s="477" t="s">
        <v>572</v>
      </c>
      <c r="G362" s="474" t="b">
        <f>IF(A362="","",IF(Daten!$AE$4=0,TRUE,MONTH(A362)=Daten!$AE$4))</f>
        <v>1</v>
      </c>
      <c r="H362" s="480" t="s">
        <v>425</v>
      </c>
      <c r="I362" s="474" t="s">
        <v>71</v>
      </c>
      <c r="J362" s="474"/>
      <c r="K362" s="477" t="s">
        <v>628</v>
      </c>
      <c r="L362" s="484"/>
      <c r="M362" s="422"/>
      <c r="N362" s="422"/>
      <c r="O362" s="422"/>
      <c r="P362" s="422"/>
      <c r="Q362" s="422"/>
      <c r="R362" s="422"/>
      <c r="S362" s="422">
        <v>60</v>
      </c>
      <c r="T362" s="422"/>
      <c r="U362" s="422"/>
      <c r="V362" s="422"/>
      <c r="W362" s="422"/>
      <c r="X362" s="422"/>
      <c r="Y362" s="422"/>
      <c r="Z362" s="422"/>
    </row>
    <row r="363" spans="1:26" hidden="1" x14ac:dyDescent="0.35">
      <c r="A363" s="478">
        <v>45915</v>
      </c>
      <c r="B363" s="506">
        <v>-138</v>
      </c>
      <c r="C363" s="479" t="s">
        <v>568</v>
      </c>
      <c r="D363" s="479" t="s">
        <v>569</v>
      </c>
      <c r="E363" s="479" t="s">
        <v>630</v>
      </c>
      <c r="F363" s="479" t="s">
        <v>567</v>
      </c>
      <c r="G363" s="475" t="b">
        <f>IF(A363="","",IF(Daten!$AE$4=0,TRUE,MONTH(A363)=Daten!$AE$4))</f>
        <v>1</v>
      </c>
      <c r="H363" s="480" t="s">
        <v>459</v>
      </c>
      <c r="I363" s="475" t="s">
        <v>71</v>
      </c>
      <c r="J363" s="475"/>
      <c r="K363" s="479" t="s">
        <v>628</v>
      </c>
      <c r="L363" s="485"/>
      <c r="M363" s="423"/>
      <c r="N363" s="423"/>
      <c r="O363" s="423"/>
      <c r="P363" s="423"/>
      <c r="Q363" s="423"/>
      <c r="R363" s="423"/>
      <c r="S363" s="423"/>
      <c r="T363" s="423">
        <v>-138</v>
      </c>
      <c r="U363" s="423"/>
      <c r="V363" s="423"/>
      <c r="W363" s="423"/>
      <c r="X363" s="423"/>
      <c r="Y363" s="423"/>
      <c r="Z363" s="423"/>
    </row>
    <row r="364" spans="1:26" hidden="1" x14ac:dyDescent="0.35">
      <c r="A364" s="476">
        <v>45915</v>
      </c>
      <c r="B364" s="505">
        <v>-365.24</v>
      </c>
      <c r="C364" s="477" t="s">
        <v>634</v>
      </c>
      <c r="D364" s="477" t="s">
        <v>577</v>
      </c>
      <c r="E364" s="477" t="s">
        <v>673</v>
      </c>
      <c r="F364" s="477" t="s">
        <v>567</v>
      </c>
      <c r="G364" s="474" t="b">
        <f>IF(A364="","",IF(Daten!$AE$4=0,TRUE,MONTH(A364)=Daten!$AE$4))</f>
        <v>1</v>
      </c>
      <c r="H364" s="480" t="s">
        <v>445</v>
      </c>
      <c r="I364" s="474" t="s">
        <v>802</v>
      </c>
      <c r="J364" s="474"/>
      <c r="K364" s="477" t="s">
        <v>628</v>
      </c>
      <c r="L364" s="484"/>
      <c r="M364" s="422"/>
      <c r="N364" s="422"/>
      <c r="O364" s="422"/>
      <c r="P364" s="422"/>
      <c r="Q364" s="422"/>
      <c r="R364" s="422"/>
      <c r="S364" s="422"/>
      <c r="T364" s="422">
        <v>-365.24</v>
      </c>
      <c r="U364" s="422"/>
      <c r="V364" s="422"/>
      <c r="W364" s="422"/>
      <c r="X364" s="422"/>
      <c r="Y364" s="422"/>
      <c r="Z364" s="422"/>
    </row>
    <row r="365" spans="1:26" hidden="1" x14ac:dyDescent="0.35">
      <c r="A365" s="478">
        <v>45915</v>
      </c>
      <c r="B365" s="506">
        <v>-59.94</v>
      </c>
      <c r="C365" s="479" t="s">
        <v>570</v>
      </c>
      <c r="D365" s="479" t="s">
        <v>571</v>
      </c>
      <c r="E365" s="479" t="s">
        <v>674</v>
      </c>
      <c r="F365" s="479" t="s">
        <v>567</v>
      </c>
      <c r="G365" s="475" t="b">
        <f>IF(A365="","",IF(Daten!$AE$4=0,TRUE,MONTH(A365)=Daten!$AE$4))</f>
        <v>1</v>
      </c>
      <c r="H365" s="480" t="s">
        <v>389</v>
      </c>
      <c r="I365" s="475" t="s">
        <v>71</v>
      </c>
      <c r="J365" s="475"/>
      <c r="K365" s="479" t="s">
        <v>628</v>
      </c>
      <c r="L365" s="485"/>
      <c r="M365" s="423"/>
      <c r="N365" s="423"/>
      <c r="O365" s="423"/>
      <c r="P365" s="423"/>
      <c r="Q365" s="423"/>
      <c r="R365" s="423"/>
      <c r="S365" s="423"/>
      <c r="T365" s="423">
        <v>-59.94</v>
      </c>
      <c r="U365" s="423"/>
      <c r="V365" s="423"/>
      <c r="W365" s="423"/>
      <c r="X365" s="423"/>
      <c r="Y365" s="423"/>
      <c r="Z365" s="423"/>
    </row>
    <row r="366" spans="1:26" hidden="1" x14ac:dyDescent="0.35">
      <c r="A366" s="476">
        <v>45915</v>
      </c>
      <c r="B366" s="505">
        <v>15</v>
      </c>
      <c r="C366" s="477" t="s">
        <v>591</v>
      </c>
      <c r="D366" s="477" t="s">
        <v>592</v>
      </c>
      <c r="E366" s="477" t="s">
        <v>385</v>
      </c>
      <c r="F366" s="477" t="s">
        <v>590</v>
      </c>
      <c r="G366" s="474" t="b">
        <f>IF(A366="","",IF(Daten!$AE$4=0,TRUE,MONTH(A366)=Daten!$AE$4))</f>
        <v>1</v>
      </c>
      <c r="H366" s="480" t="s">
        <v>415</v>
      </c>
      <c r="I366" s="474" t="s">
        <v>71</v>
      </c>
      <c r="J366" s="474"/>
      <c r="K366" s="477" t="s">
        <v>628</v>
      </c>
      <c r="L366" s="484"/>
      <c r="M366" s="422"/>
      <c r="N366" s="422"/>
      <c r="O366" s="422"/>
      <c r="P366" s="422"/>
      <c r="Q366" s="422"/>
      <c r="R366" s="422"/>
      <c r="S366" s="422">
        <v>15</v>
      </c>
      <c r="T366" s="422"/>
      <c r="U366" s="422"/>
      <c r="V366" s="422"/>
      <c r="W366" s="422"/>
      <c r="X366" s="422"/>
      <c r="Y366" s="422"/>
      <c r="Z366" s="422"/>
    </row>
    <row r="367" spans="1:26" hidden="1" x14ac:dyDescent="0.35">
      <c r="A367" s="478">
        <v>45915</v>
      </c>
      <c r="B367" s="506">
        <v>15</v>
      </c>
      <c r="C367" s="479" t="s">
        <v>591</v>
      </c>
      <c r="D367" s="479" t="s">
        <v>592</v>
      </c>
      <c r="E367" s="479" t="s">
        <v>306</v>
      </c>
      <c r="F367" s="479" t="s">
        <v>590</v>
      </c>
      <c r="G367" s="475" t="b">
        <f>IF(A367="","",IF(Daten!$AE$4=0,TRUE,MONTH(A367)=Daten!$AE$4))</f>
        <v>1</v>
      </c>
      <c r="H367" s="480" t="s">
        <v>306</v>
      </c>
      <c r="I367" s="475" t="s">
        <v>71</v>
      </c>
      <c r="J367" s="475"/>
      <c r="K367" s="479" t="s">
        <v>628</v>
      </c>
      <c r="L367" s="485"/>
      <c r="M367" s="423">
        <v>15</v>
      </c>
      <c r="N367" s="423"/>
      <c r="O367" s="423"/>
      <c r="P367" s="423"/>
      <c r="Q367" s="423"/>
      <c r="R367" s="423"/>
      <c r="S367" s="423"/>
      <c r="T367" s="423"/>
      <c r="U367" s="423"/>
      <c r="V367" s="423"/>
      <c r="W367" s="423"/>
      <c r="X367" s="423"/>
      <c r="Y367" s="423"/>
      <c r="Z367" s="423"/>
    </row>
    <row r="368" spans="1:26" hidden="1" x14ac:dyDescent="0.35">
      <c r="A368" s="476">
        <v>45918</v>
      </c>
      <c r="B368" s="505">
        <v>15</v>
      </c>
      <c r="C368" s="477" t="s">
        <v>562</v>
      </c>
      <c r="D368" s="477" t="s">
        <v>563</v>
      </c>
      <c r="E368" s="477" t="s">
        <v>627</v>
      </c>
      <c r="F368" s="477" t="s">
        <v>561</v>
      </c>
      <c r="G368" s="474" t="b">
        <f>IF(A368="","",IF(Daten!$AE$4=0,TRUE,MONTH(A368)=Daten!$AE$4))</f>
        <v>1</v>
      </c>
      <c r="H368" s="480" t="s">
        <v>415</v>
      </c>
      <c r="I368" s="474" t="s">
        <v>71</v>
      </c>
      <c r="J368" s="474"/>
      <c r="K368" s="477" t="s">
        <v>628</v>
      </c>
      <c r="L368" s="484"/>
      <c r="M368" s="422"/>
      <c r="N368" s="422"/>
      <c r="O368" s="422"/>
      <c r="P368" s="422"/>
      <c r="Q368" s="422"/>
      <c r="R368" s="422"/>
      <c r="S368" s="422">
        <v>15</v>
      </c>
      <c r="T368" s="422"/>
      <c r="U368" s="422"/>
      <c r="V368" s="422"/>
      <c r="W368" s="422"/>
      <c r="X368" s="422"/>
      <c r="Y368" s="422"/>
      <c r="Z368" s="422"/>
    </row>
    <row r="369" spans="1:26" hidden="1" x14ac:dyDescent="0.35">
      <c r="A369" s="478">
        <v>45925</v>
      </c>
      <c r="B369" s="506">
        <v>15</v>
      </c>
      <c r="C369" s="479" t="s">
        <v>594</v>
      </c>
      <c r="D369" s="479" t="s">
        <v>595</v>
      </c>
      <c r="E369" s="479" t="s">
        <v>657</v>
      </c>
      <c r="F369" s="479" t="s">
        <v>561</v>
      </c>
      <c r="G369" s="475" t="b">
        <f>IF(A369="","",IF(Daten!$AE$4=0,TRUE,MONTH(A369)=Daten!$AE$4))</f>
        <v>1</v>
      </c>
      <c r="H369" s="480" t="s">
        <v>415</v>
      </c>
      <c r="I369" s="475" t="s">
        <v>71</v>
      </c>
      <c r="J369" s="475"/>
      <c r="K369" s="479" t="s">
        <v>628</v>
      </c>
      <c r="L369" s="485"/>
      <c r="M369" s="423"/>
      <c r="N369" s="423"/>
      <c r="O369" s="423"/>
      <c r="P369" s="423"/>
      <c r="Q369" s="423"/>
      <c r="R369" s="423"/>
      <c r="S369" s="423">
        <v>15</v>
      </c>
      <c r="T369" s="423"/>
      <c r="U369" s="423"/>
      <c r="V369" s="423"/>
      <c r="W369" s="423"/>
      <c r="X369" s="423"/>
      <c r="Y369" s="423"/>
      <c r="Z369" s="423"/>
    </row>
    <row r="370" spans="1:26" hidden="1" x14ac:dyDescent="0.35">
      <c r="A370" s="476">
        <v>45926</v>
      </c>
      <c r="B370" s="505">
        <v>7.5</v>
      </c>
      <c r="C370" s="477" t="s">
        <v>600</v>
      </c>
      <c r="D370" s="477" t="s">
        <v>601</v>
      </c>
      <c r="E370" s="477" t="s">
        <v>656</v>
      </c>
      <c r="F370" s="477" t="s">
        <v>561</v>
      </c>
      <c r="G370" s="474" t="b">
        <f>IF(A370="","",IF(Daten!$AE$4=0,TRUE,MONTH(A370)=Daten!$AE$4))</f>
        <v>1</v>
      </c>
      <c r="H370" s="480" t="s">
        <v>306</v>
      </c>
      <c r="I370" s="474" t="s">
        <v>70</v>
      </c>
      <c r="J370" s="474"/>
      <c r="K370" s="477" t="s">
        <v>628</v>
      </c>
      <c r="L370" s="484"/>
      <c r="M370" s="422">
        <v>7.5</v>
      </c>
      <c r="N370" s="422"/>
      <c r="O370" s="422"/>
      <c r="P370" s="422"/>
      <c r="Q370" s="422"/>
      <c r="R370" s="422"/>
      <c r="S370" s="422"/>
      <c r="T370" s="422"/>
      <c r="U370" s="422"/>
      <c r="V370" s="422"/>
      <c r="W370" s="422"/>
      <c r="X370" s="422"/>
      <c r="Y370" s="422"/>
      <c r="Z370" s="422"/>
    </row>
    <row r="371" spans="1:26" hidden="1" x14ac:dyDescent="0.35">
      <c r="A371" s="478">
        <v>45926</v>
      </c>
      <c r="B371" s="506">
        <v>-6</v>
      </c>
      <c r="C371" s="479"/>
      <c r="D371" s="479">
        <v>0</v>
      </c>
      <c r="E371" s="479" t="s">
        <v>669</v>
      </c>
      <c r="F371" s="479" t="s">
        <v>604</v>
      </c>
      <c r="G371" s="475" t="b">
        <f>IF(A371="","",IF(Daten!$AE$4=0,TRUE,MONTH(A371)=Daten!$AE$4))</f>
        <v>1</v>
      </c>
      <c r="H371" s="480" t="s">
        <v>440</v>
      </c>
      <c r="I371" s="475" t="s">
        <v>799</v>
      </c>
      <c r="J371" s="475"/>
      <c r="K371" s="479" t="s">
        <v>628</v>
      </c>
      <c r="L371" s="485"/>
      <c r="M371" s="423"/>
      <c r="N371" s="423"/>
      <c r="O371" s="423"/>
      <c r="P371" s="423"/>
      <c r="Q371" s="423"/>
      <c r="R371" s="423"/>
      <c r="S371" s="423"/>
      <c r="T371" s="423">
        <v>-6</v>
      </c>
      <c r="U371" s="423"/>
      <c r="V371" s="423"/>
      <c r="W371" s="423"/>
      <c r="X371" s="423"/>
      <c r="Y371" s="423"/>
      <c r="Z371" s="423"/>
    </row>
    <row r="372" spans="1:26" hidden="1" x14ac:dyDescent="0.35">
      <c r="A372" s="476">
        <v>45926</v>
      </c>
      <c r="B372" s="505">
        <v>-6</v>
      </c>
      <c r="C372" s="477"/>
      <c r="D372" s="477">
        <v>0</v>
      </c>
      <c r="E372" s="477" t="s">
        <v>670</v>
      </c>
      <c r="F372" s="477" t="s">
        <v>604</v>
      </c>
      <c r="G372" s="474" t="b">
        <f>IF(A372="","",IF(Daten!$AE$4=0,TRUE,MONTH(A372)=Daten!$AE$4))</f>
        <v>1</v>
      </c>
      <c r="H372" s="480" t="s">
        <v>440</v>
      </c>
      <c r="I372" s="474" t="s">
        <v>799</v>
      </c>
      <c r="J372" s="474"/>
      <c r="K372" s="477" t="s">
        <v>628</v>
      </c>
      <c r="L372" s="484"/>
      <c r="M372" s="422"/>
      <c r="N372" s="422"/>
      <c r="O372" s="422"/>
      <c r="P372" s="422"/>
      <c r="Q372" s="422"/>
      <c r="R372" s="422"/>
      <c r="S372" s="422"/>
      <c r="T372" s="422">
        <v>-6</v>
      </c>
      <c r="U372" s="422"/>
      <c r="V372" s="422"/>
      <c r="W372" s="422"/>
      <c r="X372" s="422"/>
      <c r="Y372" s="422"/>
      <c r="Z372" s="422"/>
    </row>
    <row r="373" spans="1:26" ht="29" x14ac:dyDescent="0.35">
      <c r="A373" s="478">
        <v>45929</v>
      </c>
      <c r="B373" s="506">
        <v>120</v>
      </c>
      <c r="C373" s="479" t="s">
        <v>583</v>
      </c>
      <c r="D373" s="479" t="s">
        <v>584</v>
      </c>
      <c r="E373" s="479" t="s">
        <v>667</v>
      </c>
      <c r="F373" s="479" t="s">
        <v>572</v>
      </c>
      <c r="G373" s="475" t="b">
        <f>IF(A373="","",IF(Daten!$AE$4=0,TRUE,MONTH(A373)=Daten!$AE$4))</f>
        <v>1</v>
      </c>
      <c r="H373" s="426" t="s">
        <v>821</v>
      </c>
      <c r="I373" s="475" t="s">
        <v>71</v>
      </c>
      <c r="J373" s="475"/>
      <c r="K373" s="479" t="s">
        <v>628</v>
      </c>
      <c r="L373" s="485" t="s">
        <v>820</v>
      </c>
      <c r="M373" s="423"/>
      <c r="N373" s="423"/>
      <c r="O373" s="423"/>
      <c r="P373" s="423"/>
      <c r="Q373" s="423"/>
      <c r="R373" s="423"/>
      <c r="S373" s="423"/>
      <c r="T373" s="423"/>
      <c r="U373" s="423"/>
      <c r="V373" s="423"/>
      <c r="W373" s="423"/>
      <c r="X373" s="423"/>
      <c r="Y373" s="423"/>
      <c r="Z373" s="423"/>
    </row>
    <row r="374" spans="1:26" ht="29" x14ac:dyDescent="0.35">
      <c r="A374" s="476">
        <v>45929</v>
      </c>
      <c r="B374" s="505">
        <v>40</v>
      </c>
      <c r="C374" s="477" t="s">
        <v>588</v>
      </c>
      <c r="D374" s="477" t="s">
        <v>589</v>
      </c>
      <c r="E374" s="477" t="s">
        <v>668</v>
      </c>
      <c r="F374" s="477" t="s">
        <v>561</v>
      </c>
      <c r="G374" s="474" t="b">
        <f>IF(A374="","",IF(Daten!$AE$4=0,TRUE,MONTH(A374)=Daten!$AE$4))</f>
        <v>1</v>
      </c>
      <c r="H374" s="426" t="s">
        <v>821</v>
      </c>
      <c r="I374" s="474" t="s">
        <v>71</v>
      </c>
      <c r="J374" s="474"/>
      <c r="K374" s="477" t="s">
        <v>628</v>
      </c>
      <c r="L374" s="484" t="s">
        <v>820</v>
      </c>
      <c r="M374" s="422"/>
      <c r="N374" s="422"/>
      <c r="O374" s="422"/>
      <c r="P374" s="422"/>
      <c r="Q374" s="422"/>
      <c r="R374" s="422"/>
      <c r="S374" s="422"/>
      <c r="T374" s="422"/>
      <c r="U374" s="422"/>
      <c r="V374" s="422"/>
      <c r="W374" s="422"/>
      <c r="X374" s="422"/>
      <c r="Y374" s="422"/>
      <c r="Z374" s="422"/>
    </row>
    <row r="375" spans="1:26" hidden="1" x14ac:dyDescent="0.35">
      <c r="A375" s="478">
        <v>45929</v>
      </c>
      <c r="B375" s="506">
        <v>7.5</v>
      </c>
      <c r="C375" s="479" t="s">
        <v>594</v>
      </c>
      <c r="D375" s="479" t="s">
        <v>595</v>
      </c>
      <c r="E375" s="479" t="s">
        <v>655</v>
      </c>
      <c r="F375" s="479" t="s">
        <v>561</v>
      </c>
      <c r="G375" s="475" t="b">
        <f>IF(A375="","",IF(Daten!$AE$4=0,TRUE,MONTH(A375)=Daten!$AE$4))</f>
        <v>1</v>
      </c>
      <c r="H375" s="480" t="s">
        <v>306</v>
      </c>
      <c r="I375" s="475" t="s">
        <v>70</v>
      </c>
      <c r="J375" s="475"/>
      <c r="K375" s="479" t="s">
        <v>628</v>
      </c>
      <c r="L375" s="485"/>
      <c r="M375" s="423">
        <v>7.5</v>
      </c>
      <c r="N375" s="423"/>
      <c r="O375" s="423"/>
      <c r="P375" s="423"/>
      <c r="Q375" s="423"/>
      <c r="R375" s="423"/>
      <c r="S375" s="423"/>
      <c r="T375" s="423"/>
      <c r="U375" s="423"/>
      <c r="V375" s="423"/>
      <c r="W375" s="423"/>
      <c r="X375" s="423"/>
      <c r="Y375" s="423"/>
      <c r="Z375" s="423"/>
    </row>
    <row r="376" spans="1:26" hidden="1" x14ac:dyDescent="0.35">
      <c r="A376" s="476">
        <v>45929</v>
      </c>
      <c r="B376" s="505">
        <v>15</v>
      </c>
      <c r="C376" s="477" t="s">
        <v>588</v>
      </c>
      <c r="D376" s="477" t="s">
        <v>589</v>
      </c>
      <c r="E376" s="477" t="s">
        <v>306</v>
      </c>
      <c r="F376" s="477" t="s">
        <v>561</v>
      </c>
      <c r="G376" s="474" t="b">
        <f>IF(A376="","",IF(Daten!$AE$4=0,TRUE,MONTH(A376)=Daten!$AE$4))</f>
        <v>1</v>
      </c>
      <c r="H376" s="480" t="s">
        <v>306</v>
      </c>
      <c r="I376" s="474" t="s">
        <v>70</v>
      </c>
      <c r="J376" s="474"/>
      <c r="K376" s="477" t="s">
        <v>628</v>
      </c>
      <c r="L376" s="484"/>
      <c r="M376" s="422">
        <v>15</v>
      </c>
      <c r="N376" s="422"/>
      <c r="O376" s="422"/>
      <c r="P376" s="422"/>
      <c r="Q376" s="422"/>
      <c r="R376" s="422"/>
      <c r="S376" s="422"/>
      <c r="T376" s="422"/>
      <c r="U376" s="422"/>
      <c r="V376" s="422"/>
      <c r="W376" s="422"/>
      <c r="X376" s="422"/>
      <c r="Y376" s="422"/>
      <c r="Z376" s="422"/>
    </row>
    <row r="377" spans="1:26" hidden="1" x14ac:dyDescent="0.35">
      <c r="A377" s="478">
        <v>45930</v>
      </c>
      <c r="B377" s="506">
        <v>60</v>
      </c>
      <c r="C377" s="479" t="s">
        <v>591</v>
      </c>
      <c r="D377" s="479" t="s">
        <v>592</v>
      </c>
      <c r="E377" s="479" t="s">
        <v>666</v>
      </c>
      <c r="F377" s="479" t="s">
        <v>590</v>
      </c>
      <c r="G377" s="475" t="b">
        <f>IF(A377="","",IF(Daten!$AE$4=0,TRUE,MONTH(A377)=Daten!$AE$4))</f>
        <v>1</v>
      </c>
      <c r="H377" s="480" t="s">
        <v>425</v>
      </c>
      <c r="I377" s="475" t="s">
        <v>71</v>
      </c>
      <c r="J377" s="475"/>
      <c r="K377" s="479" t="s">
        <v>628</v>
      </c>
      <c r="L377" s="485"/>
      <c r="M377" s="423"/>
      <c r="N377" s="423"/>
      <c r="O377" s="423"/>
      <c r="P377" s="423"/>
      <c r="Q377" s="423"/>
      <c r="R377" s="423"/>
      <c r="S377" s="423">
        <v>60</v>
      </c>
      <c r="T377" s="423"/>
      <c r="U377" s="423"/>
      <c r="V377" s="423"/>
      <c r="W377" s="423"/>
      <c r="X377" s="423"/>
      <c r="Y377" s="423"/>
      <c r="Z377" s="423"/>
    </row>
    <row r="378" spans="1:26" hidden="1" x14ac:dyDescent="0.35">
      <c r="A378" s="476">
        <v>45931</v>
      </c>
      <c r="B378" s="505">
        <v>15</v>
      </c>
      <c r="C378" s="477" t="s">
        <v>581</v>
      </c>
      <c r="D378" s="477" t="s">
        <v>582</v>
      </c>
      <c r="E378" s="477" t="s">
        <v>650</v>
      </c>
      <c r="F378" s="477" t="s">
        <v>561</v>
      </c>
      <c r="G378" s="474" t="b">
        <f>IF(A378="","",IF(Daten!$AE$4=0,TRUE,MONTH(A378)=Daten!$AE$4))</f>
        <v>1</v>
      </c>
      <c r="H378" s="480" t="s">
        <v>415</v>
      </c>
      <c r="I378" s="474" t="s">
        <v>70</v>
      </c>
      <c r="J378" s="474"/>
      <c r="K378" s="477" t="s">
        <v>628</v>
      </c>
      <c r="L378" s="484"/>
      <c r="M378" s="422"/>
      <c r="N378" s="422"/>
      <c r="O378" s="422"/>
      <c r="P378" s="422"/>
      <c r="Q378" s="422"/>
      <c r="R378" s="422"/>
      <c r="S378" s="422">
        <v>15</v>
      </c>
      <c r="T378" s="422"/>
      <c r="U378" s="422"/>
      <c r="V378" s="422"/>
      <c r="W378" s="422"/>
      <c r="X378" s="422"/>
      <c r="Y378" s="422"/>
      <c r="Z378" s="422"/>
    </row>
    <row r="379" spans="1:26" hidden="1" x14ac:dyDescent="0.35">
      <c r="A379" s="478">
        <v>45931</v>
      </c>
      <c r="B379" s="506">
        <v>7.5</v>
      </c>
      <c r="C379" s="479" t="s">
        <v>56</v>
      </c>
      <c r="D379" s="479" t="s">
        <v>593</v>
      </c>
      <c r="E379" s="479" t="s">
        <v>386</v>
      </c>
      <c r="F379" s="479" t="s">
        <v>561</v>
      </c>
      <c r="G379" s="475" t="b">
        <f>IF(A379="","",IF(Daten!$AE$4=0,TRUE,MONTH(A379)=Daten!$AE$4))</f>
        <v>1</v>
      </c>
      <c r="H379" s="480" t="s">
        <v>306</v>
      </c>
      <c r="I379" s="475" t="s">
        <v>70</v>
      </c>
      <c r="J379" s="475"/>
      <c r="K379" s="479" t="s">
        <v>628</v>
      </c>
      <c r="L379" s="485"/>
      <c r="M379" s="423">
        <v>7.5</v>
      </c>
      <c r="N379" s="423"/>
      <c r="O379" s="423"/>
      <c r="P379" s="423"/>
      <c r="Q379" s="423"/>
      <c r="R379" s="423"/>
      <c r="S379" s="423"/>
      <c r="T379" s="423"/>
      <c r="U379" s="423"/>
      <c r="V379" s="423"/>
      <c r="W379" s="423"/>
      <c r="X379" s="423"/>
      <c r="Y379" s="423"/>
      <c r="Z379" s="423"/>
    </row>
    <row r="380" spans="1:26" hidden="1" x14ac:dyDescent="0.35">
      <c r="A380" s="476">
        <v>45931</v>
      </c>
      <c r="B380" s="505">
        <v>15</v>
      </c>
      <c r="C380" s="477" t="s">
        <v>56</v>
      </c>
      <c r="D380" s="477" t="s">
        <v>593</v>
      </c>
      <c r="E380" s="477" t="s">
        <v>648</v>
      </c>
      <c r="F380" s="477" t="s">
        <v>561</v>
      </c>
      <c r="G380" s="474" t="b">
        <f>IF(A380="","",IF(Daten!$AE$4=0,TRUE,MONTH(A380)=Daten!$AE$4))</f>
        <v>1</v>
      </c>
      <c r="H380" s="480" t="s">
        <v>415</v>
      </c>
      <c r="I380" s="474" t="s">
        <v>70</v>
      </c>
      <c r="J380" s="474"/>
      <c r="K380" s="477" t="s">
        <v>628</v>
      </c>
      <c r="L380" s="484"/>
      <c r="M380" s="422"/>
      <c r="N380" s="422"/>
      <c r="O380" s="422"/>
      <c r="P380" s="422"/>
      <c r="Q380" s="422"/>
      <c r="R380" s="422"/>
      <c r="S380" s="422">
        <v>15</v>
      </c>
      <c r="T380" s="422"/>
      <c r="U380" s="422"/>
      <c r="V380" s="422"/>
      <c r="W380" s="422"/>
      <c r="X380" s="422"/>
      <c r="Y380" s="422"/>
      <c r="Z380" s="422"/>
    </row>
    <row r="381" spans="1:26" hidden="1" x14ac:dyDescent="0.35">
      <c r="A381" s="478">
        <v>45931</v>
      </c>
      <c r="B381" s="506">
        <v>15</v>
      </c>
      <c r="C381" s="479" t="s">
        <v>586</v>
      </c>
      <c r="D381" s="479" t="s">
        <v>587</v>
      </c>
      <c r="E381" s="479" t="s">
        <v>647</v>
      </c>
      <c r="F381" s="479" t="s">
        <v>561</v>
      </c>
      <c r="G381" s="475" t="b">
        <f>IF(A381="","",IF(Daten!$AE$4=0,TRUE,MONTH(A381)=Daten!$AE$4))</f>
        <v>1</v>
      </c>
      <c r="H381" s="480" t="s">
        <v>306</v>
      </c>
      <c r="I381" s="475" t="s">
        <v>70</v>
      </c>
      <c r="J381" s="475"/>
      <c r="K381" s="479" t="s">
        <v>628</v>
      </c>
      <c r="L381" s="485"/>
      <c r="M381" s="423">
        <v>15</v>
      </c>
      <c r="N381" s="423"/>
      <c r="O381" s="423"/>
      <c r="P381" s="423"/>
      <c r="Q381" s="423"/>
      <c r="R381" s="423"/>
      <c r="S381" s="423"/>
      <c r="T381" s="423"/>
      <c r="U381" s="423"/>
      <c r="V381" s="423"/>
      <c r="W381" s="423"/>
      <c r="X381" s="423"/>
      <c r="Y381" s="423"/>
      <c r="Z381" s="423"/>
    </row>
    <row r="382" spans="1:26" hidden="1" x14ac:dyDescent="0.35">
      <c r="A382" s="476">
        <v>45931</v>
      </c>
      <c r="B382" s="505">
        <v>15</v>
      </c>
      <c r="C382" s="477" t="s">
        <v>596</v>
      </c>
      <c r="D382" s="477" t="s">
        <v>597</v>
      </c>
      <c r="E382" s="477" t="s">
        <v>651</v>
      </c>
      <c r="F382" s="477" t="s">
        <v>561</v>
      </c>
      <c r="G382" s="474" t="b">
        <f>IF(A382="","",IF(Daten!$AE$4=0,TRUE,MONTH(A382)=Daten!$AE$4))</f>
        <v>1</v>
      </c>
      <c r="H382" s="480" t="s">
        <v>415</v>
      </c>
      <c r="I382" s="474" t="s">
        <v>70</v>
      </c>
      <c r="J382" s="474"/>
      <c r="K382" s="477" t="s">
        <v>628</v>
      </c>
      <c r="L382" s="484"/>
      <c r="M382" s="422"/>
      <c r="N382" s="422"/>
      <c r="O382" s="422"/>
      <c r="P382" s="422"/>
      <c r="Q382" s="422"/>
      <c r="R382" s="422"/>
      <c r="S382" s="422">
        <v>15</v>
      </c>
      <c r="T382" s="422"/>
      <c r="U382" s="422"/>
      <c r="V382" s="422"/>
      <c r="W382" s="422"/>
      <c r="X382" s="422"/>
      <c r="Y382" s="422"/>
      <c r="Z382" s="422"/>
    </row>
    <row r="383" spans="1:26" hidden="1" x14ac:dyDescent="0.35">
      <c r="A383" s="478">
        <v>45931</v>
      </c>
      <c r="B383" s="506">
        <v>15</v>
      </c>
      <c r="C383" s="479" t="s">
        <v>596</v>
      </c>
      <c r="D383" s="479" t="s">
        <v>597</v>
      </c>
      <c r="E383" s="479" t="s">
        <v>653</v>
      </c>
      <c r="F383" s="479" t="s">
        <v>561</v>
      </c>
      <c r="G383" s="475" t="b">
        <f>IF(A383="","",IF(Daten!$AE$4=0,TRUE,MONTH(A383)=Daten!$AE$4))</f>
        <v>1</v>
      </c>
      <c r="H383" s="480" t="s">
        <v>306</v>
      </c>
      <c r="I383" s="475" t="s">
        <v>70</v>
      </c>
      <c r="J383" s="475"/>
      <c r="K383" s="479" t="s">
        <v>628</v>
      </c>
      <c r="L383" s="485"/>
      <c r="M383" s="423">
        <v>15</v>
      </c>
      <c r="N383" s="423"/>
      <c r="O383" s="423"/>
      <c r="P383" s="423"/>
      <c r="Q383" s="423"/>
      <c r="R383" s="423"/>
      <c r="S383" s="423"/>
      <c r="T383" s="423"/>
      <c r="U383" s="423"/>
      <c r="V383" s="423"/>
      <c r="W383" s="423"/>
      <c r="X383" s="423"/>
      <c r="Y383" s="423"/>
      <c r="Z383" s="423"/>
    </row>
    <row r="384" spans="1:26" hidden="1" x14ac:dyDescent="0.35">
      <c r="A384" s="476">
        <v>45931</v>
      </c>
      <c r="B384" s="505">
        <v>15</v>
      </c>
      <c r="C384" s="477" t="s">
        <v>598</v>
      </c>
      <c r="D384" s="477" t="s">
        <v>599</v>
      </c>
      <c r="E384" s="477" t="s">
        <v>652</v>
      </c>
      <c r="F384" s="477" t="s">
        <v>561</v>
      </c>
      <c r="G384" s="474" t="b">
        <f>IF(A384="","",IF(Daten!$AE$4=0,TRUE,MONTH(A384)=Daten!$AE$4))</f>
        <v>1</v>
      </c>
      <c r="H384" s="480" t="s">
        <v>306</v>
      </c>
      <c r="I384" s="474" t="s">
        <v>70</v>
      </c>
      <c r="J384" s="474"/>
      <c r="K384" s="477" t="s">
        <v>628</v>
      </c>
      <c r="L384" s="484"/>
      <c r="M384" s="422">
        <v>15</v>
      </c>
      <c r="N384" s="422"/>
      <c r="O384" s="422"/>
      <c r="P384" s="422"/>
      <c r="Q384" s="422"/>
      <c r="R384" s="422"/>
      <c r="S384" s="422"/>
      <c r="T384" s="422"/>
      <c r="U384" s="422"/>
      <c r="V384" s="422"/>
      <c r="W384" s="422"/>
      <c r="X384" s="422"/>
      <c r="Y384" s="422"/>
      <c r="Z384" s="422"/>
    </row>
    <row r="385" spans="1:26" ht="29" hidden="1" x14ac:dyDescent="0.35">
      <c r="A385" s="478">
        <v>45931</v>
      </c>
      <c r="B385" s="506">
        <v>0</v>
      </c>
      <c r="C385" s="479"/>
      <c r="D385" s="479">
        <v>3529000972</v>
      </c>
      <c r="E385" s="479" t="s">
        <v>665</v>
      </c>
      <c r="F385" s="479" t="s">
        <v>382</v>
      </c>
      <c r="G385" s="475" t="b">
        <f>IF(A385="","",IF(Daten!$AE$4=0,TRUE,MONTH(A385)=Daten!$AE$4))</f>
        <v>1</v>
      </c>
      <c r="H385" s="480" t="s">
        <v>452</v>
      </c>
      <c r="I385" s="475" t="s">
        <v>70</v>
      </c>
      <c r="J385" s="475"/>
      <c r="K385" s="479" t="s">
        <v>628</v>
      </c>
      <c r="L385" s="485" t="s">
        <v>767</v>
      </c>
      <c r="M385" s="423"/>
      <c r="N385" s="423"/>
      <c r="O385" s="423"/>
      <c r="P385" s="423"/>
      <c r="Q385" s="423"/>
      <c r="R385" s="423"/>
      <c r="S385" s="423"/>
      <c r="T385" s="423"/>
      <c r="U385" s="423"/>
      <c r="V385" s="423"/>
      <c r="W385" s="423"/>
      <c r="X385" s="423"/>
      <c r="Y385" s="423"/>
      <c r="Z385" s="423"/>
    </row>
    <row r="386" spans="1:26" hidden="1" x14ac:dyDescent="0.35">
      <c r="A386" s="476">
        <v>45931</v>
      </c>
      <c r="B386" s="505">
        <v>-5.6</v>
      </c>
      <c r="C386" s="477"/>
      <c r="D386" s="477">
        <v>0</v>
      </c>
      <c r="E386" s="477" t="s">
        <v>654</v>
      </c>
      <c r="F386" s="477" t="s">
        <v>381</v>
      </c>
      <c r="G386" s="474" t="b">
        <f>IF(A386="","",IF(Daten!$AE$4=0,TRUE,MONTH(A386)=Daten!$AE$4))</f>
        <v>1</v>
      </c>
      <c r="H386" s="480" t="s">
        <v>452</v>
      </c>
      <c r="I386" s="474" t="s">
        <v>70</v>
      </c>
      <c r="J386" s="474"/>
      <c r="K386" s="477" t="s">
        <v>628</v>
      </c>
      <c r="L386" s="484"/>
      <c r="M386" s="422"/>
      <c r="N386" s="422"/>
      <c r="O386" s="422"/>
      <c r="P386" s="422"/>
      <c r="Q386" s="422"/>
      <c r="R386" s="422"/>
      <c r="S386" s="422"/>
      <c r="T386" s="422"/>
      <c r="U386" s="422"/>
      <c r="V386" s="422"/>
      <c r="W386" s="422"/>
      <c r="X386" s="422"/>
      <c r="Y386" s="422">
        <v>-5.6</v>
      </c>
      <c r="Z386" s="422"/>
    </row>
    <row r="387" spans="1:26" hidden="1" x14ac:dyDescent="0.35">
      <c r="A387" s="478">
        <v>45932</v>
      </c>
      <c r="B387" s="506">
        <v>15</v>
      </c>
      <c r="C387" s="479" t="s">
        <v>51</v>
      </c>
      <c r="D387" s="479" t="s">
        <v>580</v>
      </c>
      <c r="E387" s="479" t="s">
        <v>384</v>
      </c>
      <c r="F387" s="479" t="s">
        <v>561</v>
      </c>
      <c r="G387" s="475" t="b">
        <f>IF(A387="","",IF(Daten!$AE$4=0,TRUE,MONTH(A387)=Daten!$AE$4))</f>
        <v>1</v>
      </c>
      <c r="H387" s="480" t="s">
        <v>415</v>
      </c>
      <c r="I387" s="475" t="s">
        <v>70</v>
      </c>
      <c r="J387" s="475"/>
      <c r="K387" s="479" t="s">
        <v>628</v>
      </c>
      <c r="L387" s="485"/>
      <c r="M387" s="423"/>
      <c r="N387" s="423"/>
      <c r="O387" s="423"/>
      <c r="P387" s="423"/>
      <c r="Q387" s="423"/>
      <c r="R387" s="423"/>
      <c r="S387" s="423">
        <v>15</v>
      </c>
      <c r="T387" s="423"/>
      <c r="U387" s="423"/>
      <c r="V387" s="423"/>
      <c r="W387" s="423"/>
      <c r="X387" s="423"/>
      <c r="Y387" s="423"/>
      <c r="Z387" s="423"/>
    </row>
    <row r="388" spans="1:26" hidden="1" x14ac:dyDescent="0.35">
      <c r="A388" s="476">
        <v>45932</v>
      </c>
      <c r="B388" s="505">
        <v>7.5</v>
      </c>
      <c r="C388" s="477" t="s">
        <v>583</v>
      </c>
      <c r="D388" s="477" t="s">
        <v>584</v>
      </c>
      <c r="E388" s="477" t="s">
        <v>642</v>
      </c>
      <c r="F388" s="477" t="s">
        <v>561</v>
      </c>
      <c r="G388" s="474" t="b">
        <f>IF(A388="","",IF(Daten!$AE$4=0,TRUE,MONTH(A388)=Daten!$AE$4))</f>
        <v>1</v>
      </c>
      <c r="H388" s="480" t="s">
        <v>306</v>
      </c>
      <c r="I388" s="474" t="s">
        <v>70</v>
      </c>
      <c r="J388" s="474"/>
      <c r="K388" s="477" t="s">
        <v>628</v>
      </c>
      <c r="L388" s="484"/>
      <c r="M388" s="422">
        <v>7.5</v>
      </c>
      <c r="N388" s="422"/>
      <c r="O388" s="422"/>
      <c r="P388" s="422"/>
      <c r="Q388" s="422"/>
      <c r="R388" s="422"/>
      <c r="S388" s="422"/>
      <c r="T388" s="422"/>
      <c r="U388" s="422"/>
      <c r="V388" s="422"/>
      <c r="W388" s="422"/>
      <c r="X388" s="422"/>
      <c r="Y388" s="422"/>
      <c r="Z388" s="422"/>
    </row>
    <row r="389" spans="1:26" hidden="1" x14ac:dyDescent="0.35">
      <c r="A389" s="478">
        <v>45932</v>
      </c>
      <c r="B389" s="506">
        <v>15</v>
      </c>
      <c r="C389" s="479" t="s">
        <v>583</v>
      </c>
      <c r="D389" s="479" t="s">
        <v>584</v>
      </c>
      <c r="E389" s="479" t="s">
        <v>640</v>
      </c>
      <c r="F389" s="479" t="s">
        <v>561</v>
      </c>
      <c r="G389" s="475" t="b">
        <f>IF(A389="","",IF(Daten!$AE$4=0,TRUE,MONTH(A389)=Daten!$AE$4))</f>
        <v>1</v>
      </c>
      <c r="H389" s="480" t="s">
        <v>415</v>
      </c>
      <c r="I389" s="475" t="s">
        <v>70</v>
      </c>
      <c r="J389" s="475"/>
      <c r="K389" s="479" t="s">
        <v>628</v>
      </c>
      <c r="L389" s="485"/>
      <c r="M389" s="423"/>
      <c r="N389" s="423"/>
      <c r="O389" s="423"/>
      <c r="P389" s="423"/>
      <c r="Q389" s="423"/>
      <c r="R389" s="423"/>
      <c r="S389" s="423">
        <v>15</v>
      </c>
      <c r="T389" s="423"/>
      <c r="U389" s="423"/>
      <c r="V389" s="423"/>
      <c r="W389" s="423"/>
      <c r="X389" s="423"/>
      <c r="Y389" s="423"/>
      <c r="Z389" s="423"/>
    </row>
    <row r="390" spans="1:26" hidden="1" x14ac:dyDescent="0.35">
      <c r="A390" s="476">
        <v>45932</v>
      </c>
      <c r="B390" s="505">
        <v>15</v>
      </c>
      <c r="C390" s="477" t="s">
        <v>573</v>
      </c>
      <c r="D390" s="477" t="s">
        <v>574</v>
      </c>
      <c r="E390" s="477" t="s">
        <v>641</v>
      </c>
      <c r="F390" s="477" t="s">
        <v>561</v>
      </c>
      <c r="G390" s="474" t="b">
        <f>IF(A390="","",IF(Daten!$AE$4=0,TRUE,MONTH(A390)=Daten!$AE$4))</f>
        <v>1</v>
      </c>
      <c r="H390" s="480" t="s">
        <v>415</v>
      </c>
      <c r="I390" s="474" t="s">
        <v>70</v>
      </c>
      <c r="J390" s="474"/>
      <c r="K390" s="477" t="s">
        <v>628</v>
      </c>
      <c r="L390" s="484"/>
      <c r="M390" s="422"/>
      <c r="N390" s="422"/>
      <c r="O390" s="422"/>
      <c r="P390" s="422"/>
      <c r="Q390" s="422"/>
      <c r="R390" s="422"/>
      <c r="S390" s="422">
        <v>15</v>
      </c>
      <c r="T390" s="422"/>
      <c r="U390" s="422"/>
      <c r="V390" s="422"/>
      <c r="W390" s="422"/>
      <c r="X390" s="422"/>
      <c r="Y390" s="422"/>
      <c r="Z390" s="422"/>
    </row>
    <row r="391" spans="1:26" hidden="1" x14ac:dyDescent="0.35">
      <c r="A391" s="478">
        <v>45932</v>
      </c>
      <c r="B391" s="506">
        <v>15</v>
      </c>
      <c r="C391" s="479" t="s">
        <v>575</v>
      </c>
      <c r="D391" s="479" t="s">
        <v>576</v>
      </c>
      <c r="E391" s="479" t="s">
        <v>646</v>
      </c>
      <c r="F391" s="479" t="s">
        <v>561</v>
      </c>
      <c r="G391" s="475" t="b">
        <f>IF(A391="","",IF(Daten!$AE$4=0,TRUE,MONTH(A391)=Daten!$AE$4))</f>
        <v>1</v>
      </c>
      <c r="H391" s="480" t="s">
        <v>306</v>
      </c>
      <c r="I391" s="475" t="s">
        <v>70</v>
      </c>
      <c r="J391" s="475"/>
      <c r="K391" s="479" t="s">
        <v>628</v>
      </c>
      <c r="L391" s="485"/>
      <c r="M391" s="423">
        <v>15</v>
      </c>
      <c r="N391" s="423"/>
      <c r="O391" s="423"/>
      <c r="P391" s="423"/>
      <c r="Q391" s="423"/>
      <c r="R391" s="423"/>
      <c r="S391" s="423"/>
      <c r="T391" s="423"/>
      <c r="U391" s="423"/>
      <c r="V391" s="423"/>
      <c r="W391" s="423"/>
      <c r="X391" s="423"/>
      <c r="Y391" s="423"/>
      <c r="Z391" s="423"/>
    </row>
    <row r="392" spans="1:26" hidden="1" x14ac:dyDescent="0.35">
      <c r="A392" s="476">
        <v>45932</v>
      </c>
      <c r="B392" s="505">
        <v>15</v>
      </c>
      <c r="C392" s="477" t="s">
        <v>66</v>
      </c>
      <c r="D392" s="477" t="s">
        <v>585</v>
      </c>
      <c r="E392" s="477" t="s">
        <v>644</v>
      </c>
      <c r="F392" s="477" t="s">
        <v>561</v>
      </c>
      <c r="G392" s="474" t="b">
        <f>IF(A392="","",IF(Daten!$AE$4=0,TRUE,MONTH(A392)=Daten!$AE$4))</f>
        <v>1</v>
      </c>
      <c r="H392" s="480" t="s">
        <v>415</v>
      </c>
      <c r="I392" s="474" t="s">
        <v>70</v>
      </c>
      <c r="J392" s="474"/>
      <c r="K392" s="477" t="s">
        <v>628</v>
      </c>
      <c r="L392" s="484"/>
      <c r="M392" s="422"/>
      <c r="N392" s="422"/>
      <c r="O392" s="422"/>
      <c r="P392" s="422"/>
      <c r="Q392" s="422"/>
      <c r="R392" s="422"/>
      <c r="S392" s="422">
        <v>15</v>
      </c>
      <c r="T392" s="422"/>
      <c r="U392" s="422"/>
      <c r="V392" s="422"/>
      <c r="W392" s="422"/>
      <c r="X392" s="422"/>
      <c r="Y392" s="422"/>
      <c r="Z392" s="422"/>
    </row>
    <row r="393" spans="1:26" hidden="1" x14ac:dyDescent="0.35">
      <c r="A393" s="478">
        <v>45932</v>
      </c>
      <c r="B393" s="506">
        <v>15</v>
      </c>
      <c r="C393" s="479" t="s">
        <v>586</v>
      </c>
      <c r="D393" s="479" t="s">
        <v>587</v>
      </c>
      <c r="E393" s="479" t="s">
        <v>645</v>
      </c>
      <c r="F393" s="479" t="s">
        <v>561</v>
      </c>
      <c r="G393" s="475" t="b">
        <f>IF(A393="","",IF(Daten!$AE$4=0,TRUE,MONTH(A393)=Daten!$AE$4))</f>
        <v>1</v>
      </c>
      <c r="H393" s="480" t="s">
        <v>415</v>
      </c>
      <c r="I393" s="475" t="s">
        <v>70</v>
      </c>
      <c r="J393" s="475"/>
      <c r="K393" s="479" t="s">
        <v>628</v>
      </c>
      <c r="L393" s="485"/>
      <c r="M393" s="423"/>
      <c r="N393" s="423"/>
      <c r="O393" s="423"/>
      <c r="P393" s="423"/>
      <c r="Q393" s="423"/>
      <c r="R393" s="423"/>
      <c r="S393" s="423">
        <v>15</v>
      </c>
      <c r="T393" s="423"/>
      <c r="U393" s="423"/>
      <c r="V393" s="423"/>
      <c r="W393" s="423"/>
      <c r="X393" s="423"/>
      <c r="Y393" s="423"/>
      <c r="Z393" s="423"/>
    </row>
    <row r="394" spans="1:26" hidden="1" x14ac:dyDescent="0.35">
      <c r="A394" s="476">
        <v>45932</v>
      </c>
      <c r="B394" s="505">
        <v>7.5</v>
      </c>
      <c r="C394" s="477" t="s">
        <v>66</v>
      </c>
      <c r="D394" s="477" t="s">
        <v>585</v>
      </c>
      <c r="E394" s="477" t="s">
        <v>643</v>
      </c>
      <c r="F394" s="477" t="s">
        <v>561</v>
      </c>
      <c r="G394" s="474" t="b">
        <f>IF(A394="","",IF(Daten!$AE$4=0,TRUE,MONTH(A394)=Daten!$AE$4))</f>
        <v>1</v>
      </c>
      <c r="H394" s="480" t="s">
        <v>306</v>
      </c>
      <c r="I394" s="474" t="s">
        <v>70</v>
      </c>
      <c r="J394" s="474"/>
      <c r="K394" s="477" t="s">
        <v>628</v>
      </c>
      <c r="L394" s="484"/>
      <c r="M394" s="422">
        <v>7.5</v>
      </c>
      <c r="N394" s="422"/>
      <c r="O394" s="422"/>
      <c r="P394" s="422"/>
      <c r="Q394" s="422"/>
      <c r="R394" s="422"/>
      <c r="S394" s="422"/>
      <c r="T394" s="422"/>
      <c r="U394" s="422"/>
      <c r="V394" s="422"/>
      <c r="W394" s="422"/>
      <c r="X394" s="422"/>
      <c r="Y394" s="422"/>
      <c r="Z394" s="422"/>
    </row>
    <row r="395" spans="1:26" hidden="1" x14ac:dyDescent="0.35">
      <c r="A395" s="478">
        <v>45932</v>
      </c>
      <c r="B395" s="506">
        <v>15</v>
      </c>
      <c r="C395" s="479" t="s">
        <v>588</v>
      </c>
      <c r="D395" s="479" t="s">
        <v>589</v>
      </c>
      <c r="E395" s="479" t="s">
        <v>385</v>
      </c>
      <c r="F395" s="479" t="s">
        <v>561</v>
      </c>
      <c r="G395" s="475" t="b">
        <f>IF(A395="","",IF(Daten!$AE$4=0,TRUE,MONTH(A395)=Daten!$AE$4))</f>
        <v>1</v>
      </c>
      <c r="H395" s="480" t="s">
        <v>415</v>
      </c>
      <c r="I395" s="475" t="s">
        <v>70</v>
      </c>
      <c r="J395" s="475"/>
      <c r="K395" s="479" t="s">
        <v>628</v>
      </c>
      <c r="L395" s="485"/>
      <c r="M395" s="423"/>
      <c r="N395" s="423"/>
      <c r="O395" s="423"/>
      <c r="P395" s="423"/>
      <c r="Q395" s="423"/>
      <c r="R395" s="423"/>
      <c r="S395" s="423">
        <v>15</v>
      </c>
      <c r="T395" s="423"/>
      <c r="U395" s="423"/>
      <c r="V395" s="423"/>
      <c r="W395" s="423"/>
      <c r="X395" s="423"/>
      <c r="Y395" s="423"/>
      <c r="Z395" s="423"/>
    </row>
    <row r="396" spans="1:26" hidden="1" x14ac:dyDescent="0.35">
      <c r="A396" s="476">
        <v>45936</v>
      </c>
      <c r="B396" s="505">
        <v>15</v>
      </c>
      <c r="C396" s="477" t="s">
        <v>575</v>
      </c>
      <c r="D396" s="477" t="s">
        <v>576</v>
      </c>
      <c r="E396" s="477" t="s">
        <v>633</v>
      </c>
      <c r="F396" s="477" t="s">
        <v>561</v>
      </c>
      <c r="G396" s="474" t="b">
        <f>IF(A396="","",IF(Daten!$AE$4=0,TRUE,MONTH(A396)=Daten!$AE$4))</f>
        <v>1</v>
      </c>
      <c r="H396" s="480" t="s">
        <v>415</v>
      </c>
      <c r="I396" s="474" t="s">
        <v>70</v>
      </c>
      <c r="J396" s="474"/>
      <c r="K396" s="477" t="s">
        <v>628</v>
      </c>
      <c r="L396" s="484"/>
      <c r="M396" s="422"/>
      <c r="N396" s="422"/>
      <c r="O396" s="422"/>
      <c r="P396" s="422"/>
      <c r="Q396" s="422"/>
      <c r="R396" s="422"/>
      <c r="S396" s="422">
        <v>15</v>
      </c>
      <c r="T396" s="422"/>
      <c r="U396" s="422"/>
      <c r="V396" s="422"/>
      <c r="W396" s="422"/>
      <c r="X396" s="422"/>
      <c r="Y396" s="422"/>
      <c r="Z396" s="422"/>
    </row>
    <row r="397" spans="1:26" hidden="1" x14ac:dyDescent="0.35">
      <c r="A397" s="478">
        <v>45936</v>
      </c>
      <c r="B397" s="506">
        <v>15</v>
      </c>
      <c r="C397" s="479" t="s">
        <v>581</v>
      </c>
      <c r="D397" s="479" t="s">
        <v>582</v>
      </c>
      <c r="E397" s="479" t="s">
        <v>638</v>
      </c>
      <c r="F397" s="479" t="s">
        <v>561</v>
      </c>
      <c r="G397" s="475" t="b">
        <f>IF(A397="","",IF(Daten!$AE$4=0,TRUE,MONTH(A397)=Daten!$AE$4))</f>
        <v>1</v>
      </c>
      <c r="H397" s="480" t="s">
        <v>306</v>
      </c>
      <c r="I397" s="475" t="s">
        <v>70</v>
      </c>
      <c r="J397" s="475"/>
      <c r="K397" s="479" t="s">
        <v>628</v>
      </c>
      <c r="L397" s="485"/>
      <c r="M397" s="423">
        <v>15</v>
      </c>
      <c r="N397" s="423"/>
      <c r="O397" s="423"/>
      <c r="P397" s="423"/>
      <c r="Q397" s="423"/>
      <c r="R397" s="423"/>
      <c r="S397" s="423"/>
      <c r="T397" s="423"/>
      <c r="U397" s="423"/>
      <c r="V397" s="423"/>
      <c r="W397" s="423"/>
      <c r="X397" s="423"/>
      <c r="Y397" s="423"/>
      <c r="Z397" s="423"/>
    </row>
    <row r="398" spans="1:26" hidden="1" x14ac:dyDescent="0.35">
      <c r="A398" s="476">
        <v>45936</v>
      </c>
      <c r="B398" s="505">
        <v>-471</v>
      </c>
      <c r="C398" s="477" t="s">
        <v>578</v>
      </c>
      <c r="D398" s="477" t="s">
        <v>579</v>
      </c>
      <c r="E398" s="477" t="s">
        <v>664</v>
      </c>
      <c r="F398" s="477" t="s">
        <v>567</v>
      </c>
      <c r="G398" s="474" t="b">
        <f>IF(A398="","",IF(Daten!$AE$4=0,TRUE,MONTH(A398)=Daten!$AE$4))</f>
        <v>1</v>
      </c>
      <c r="H398" s="480" t="s">
        <v>451</v>
      </c>
      <c r="I398" s="474" t="s">
        <v>70</v>
      </c>
      <c r="J398" s="474"/>
      <c r="K398" s="477" t="s">
        <v>628</v>
      </c>
      <c r="L398" s="484"/>
      <c r="M398" s="422"/>
      <c r="N398" s="422"/>
      <c r="O398" s="422"/>
      <c r="P398" s="422"/>
      <c r="Q398" s="422"/>
      <c r="R398" s="422"/>
      <c r="S398" s="422"/>
      <c r="T398" s="422">
        <v>-471</v>
      </c>
      <c r="U398" s="422"/>
      <c r="V398" s="422"/>
      <c r="W398" s="422"/>
      <c r="X398" s="422"/>
      <c r="Y398" s="422"/>
      <c r="Z398" s="422"/>
    </row>
    <row r="399" spans="1:26" hidden="1" x14ac:dyDescent="0.35">
      <c r="A399" s="478">
        <v>45936</v>
      </c>
      <c r="B399" s="506">
        <v>7.5</v>
      </c>
      <c r="C399" s="479" t="s">
        <v>51</v>
      </c>
      <c r="D399" s="479" t="s">
        <v>580</v>
      </c>
      <c r="E399" s="479" t="s">
        <v>637</v>
      </c>
      <c r="F399" s="479" t="s">
        <v>561</v>
      </c>
      <c r="G399" s="475" t="b">
        <f>IF(A399="","",IF(Daten!$AE$4=0,TRUE,MONTH(A399)=Daten!$AE$4))</f>
        <v>1</v>
      </c>
      <c r="H399" s="480" t="s">
        <v>306</v>
      </c>
      <c r="I399" s="475" t="s">
        <v>70</v>
      </c>
      <c r="J399" s="475"/>
      <c r="K399" s="479" t="s">
        <v>628</v>
      </c>
      <c r="L399" s="485"/>
      <c r="M399" s="423">
        <v>7.5</v>
      </c>
      <c r="N399" s="423"/>
      <c r="O399" s="423"/>
      <c r="P399" s="423"/>
      <c r="Q399" s="423"/>
      <c r="R399" s="423"/>
      <c r="S399" s="423"/>
      <c r="T399" s="423"/>
      <c r="U399" s="423"/>
      <c r="V399" s="423"/>
      <c r="W399" s="423"/>
      <c r="X399" s="423"/>
      <c r="Y399" s="423"/>
      <c r="Z399" s="423"/>
    </row>
    <row r="400" spans="1:26" hidden="1" x14ac:dyDescent="0.35">
      <c r="A400" s="476">
        <v>45943</v>
      </c>
      <c r="B400" s="505">
        <v>15</v>
      </c>
      <c r="C400" s="477" t="s">
        <v>591</v>
      </c>
      <c r="D400" s="477" t="s">
        <v>592</v>
      </c>
      <c r="E400" s="477" t="s">
        <v>385</v>
      </c>
      <c r="F400" s="477" t="s">
        <v>572</v>
      </c>
      <c r="G400" s="474" t="b">
        <f>IF(A400="","",IF(Daten!$AE$4=0,TRUE,MONTH(A400)=Daten!$AE$4))</f>
        <v>1</v>
      </c>
      <c r="H400" s="480" t="s">
        <v>415</v>
      </c>
      <c r="I400" s="474" t="s">
        <v>70</v>
      </c>
      <c r="J400" s="474"/>
      <c r="K400" s="477" t="s">
        <v>628</v>
      </c>
      <c r="L400" s="484"/>
      <c r="M400" s="422"/>
      <c r="N400" s="422"/>
      <c r="O400" s="422"/>
      <c r="P400" s="422"/>
      <c r="Q400" s="422"/>
      <c r="R400" s="422"/>
      <c r="S400" s="422">
        <v>15</v>
      </c>
      <c r="T400" s="422"/>
      <c r="U400" s="422"/>
      <c r="V400" s="422"/>
      <c r="W400" s="422"/>
      <c r="X400" s="422"/>
      <c r="Y400" s="422"/>
      <c r="Z400" s="422"/>
    </row>
    <row r="401" spans="1:26" hidden="1" x14ac:dyDescent="0.35">
      <c r="A401" s="478">
        <v>45943</v>
      </c>
      <c r="B401" s="506">
        <v>15</v>
      </c>
      <c r="C401" s="479" t="s">
        <v>591</v>
      </c>
      <c r="D401" s="479" t="s">
        <v>592</v>
      </c>
      <c r="E401" s="479" t="s">
        <v>306</v>
      </c>
      <c r="F401" s="479" t="s">
        <v>590</v>
      </c>
      <c r="G401" s="475" t="b">
        <f>IF(A401="","",IF(Daten!$AE$4=0,TRUE,MONTH(A401)=Daten!$AE$4))</f>
        <v>1</v>
      </c>
      <c r="H401" s="480" t="s">
        <v>306</v>
      </c>
      <c r="I401" s="475" t="s">
        <v>70</v>
      </c>
      <c r="J401" s="475"/>
      <c r="K401" s="479" t="s">
        <v>628</v>
      </c>
      <c r="L401" s="485"/>
      <c r="M401" s="423">
        <v>15</v>
      </c>
      <c r="N401" s="423"/>
      <c r="O401" s="423"/>
      <c r="P401" s="423"/>
      <c r="Q401" s="423"/>
      <c r="R401" s="423"/>
      <c r="S401" s="423"/>
      <c r="T401" s="423"/>
      <c r="U401" s="423"/>
      <c r="V401" s="423"/>
      <c r="W401" s="423"/>
      <c r="X401" s="423"/>
      <c r="Y401" s="423"/>
      <c r="Z401" s="423"/>
    </row>
    <row r="402" spans="1:26" ht="29" x14ac:dyDescent="0.35">
      <c r="A402" s="476">
        <v>45945</v>
      </c>
      <c r="B402" s="505">
        <v>33</v>
      </c>
      <c r="C402" s="477" t="s">
        <v>575</v>
      </c>
      <c r="D402" s="477" t="s">
        <v>576</v>
      </c>
      <c r="E402" s="477" t="s">
        <v>662</v>
      </c>
      <c r="F402" s="477" t="s">
        <v>572</v>
      </c>
      <c r="G402" s="474" t="b">
        <f>IF(A402="","",IF(Daten!$AE$4=0,TRUE,MONTH(A402)=Daten!$AE$4))</f>
        <v>1</v>
      </c>
      <c r="H402" s="426" t="s">
        <v>821</v>
      </c>
      <c r="I402" s="474" t="s">
        <v>70</v>
      </c>
      <c r="J402" s="474"/>
      <c r="K402" s="477" t="s">
        <v>628</v>
      </c>
      <c r="L402" s="484" t="s">
        <v>820</v>
      </c>
      <c r="M402" s="422"/>
      <c r="N402" s="422"/>
      <c r="O402" s="422"/>
      <c r="P402" s="422"/>
      <c r="Q402" s="422"/>
      <c r="R402" s="422"/>
      <c r="S402" s="422"/>
      <c r="T402" s="422"/>
      <c r="U402" s="422"/>
      <c r="V402" s="422"/>
      <c r="W402" s="422"/>
      <c r="X402" s="422"/>
      <c r="Y402" s="422"/>
      <c r="Z402" s="422"/>
    </row>
    <row r="403" spans="1:26" hidden="1" x14ac:dyDescent="0.35">
      <c r="A403" s="478">
        <v>45945</v>
      </c>
      <c r="B403" s="506">
        <v>-80.11</v>
      </c>
      <c r="C403" s="479" t="s">
        <v>602</v>
      </c>
      <c r="D403" s="479" t="s">
        <v>603</v>
      </c>
      <c r="E403" s="479" t="s">
        <v>663</v>
      </c>
      <c r="F403" s="479" t="s">
        <v>567</v>
      </c>
      <c r="G403" s="475" t="b">
        <f>IF(A403="","",IF(Daten!$AE$4=0,TRUE,MONTH(A403)=Daten!$AE$4))</f>
        <v>1</v>
      </c>
      <c r="H403" s="480" t="s">
        <v>390</v>
      </c>
      <c r="I403" s="475" t="s">
        <v>70</v>
      </c>
      <c r="J403" s="475"/>
      <c r="K403" s="479" t="s">
        <v>628</v>
      </c>
      <c r="L403" s="485"/>
      <c r="M403" s="423"/>
      <c r="N403" s="423"/>
      <c r="O403" s="423"/>
      <c r="P403" s="423"/>
      <c r="Q403" s="423"/>
      <c r="R403" s="423"/>
      <c r="S403" s="423"/>
      <c r="T403" s="423">
        <v>-80.11</v>
      </c>
      <c r="U403" s="423"/>
      <c r="V403" s="423"/>
      <c r="W403" s="423"/>
      <c r="X403" s="423"/>
      <c r="Y403" s="423"/>
      <c r="Z403" s="423"/>
    </row>
    <row r="404" spans="1:26" hidden="1" x14ac:dyDescent="0.35">
      <c r="A404" s="476">
        <v>45945</v>
      </c>
      <c r="B404" s="505">
        <v>-138</v>
      </c>
      <c r="C404" s="477" t="s">
        <v>568</v>
      </c>
      <c r="D404" s="477" t="s">
        <v>569</v>
      </c>
      <c r="E404" s="477" t="s">
        <v>630</v>
      </c>
      <c r="F404" s="477" t="s">
        <v>567</v>
      </c>
      <c r="G404" s="474" t="b">
        <f>IF(A404="","",IF(Daten!$AE$4=0,TRUE,MONTH(A404)=Daten!$AE$4))</f>
        <v>1</v>
      </c>
      <c r="H404" s="480" t="s">
        <v>459</v>
      </c>
      <c r="I404" s="474" t="s">
        <v>70</v>
      </c>
      <c r="J404" s="474"/>
      <c r="K404" s="477" t="s">
        <v>628</v>
      </c>
      <c r="L404" s="484"/>
      <c r="M404" s="422"/>
      <c r="N404" s="422"/>
      <c r="O404" s="422"/>
      <c r="P404" s="422"/>
      <c r="Q404" s="422"/>
      <c r="R404" s="422"/>
      <c r="S404" s="422"/>
      <c r="T404" s="422">
        <v>-138</v>
      </c>
      <c r="U404" s="422"/>
      <c r="V404" s="422"/>
      <c r="W404" s="422"/>
      <c r="X404" s="422"/>
      <c r="Y404" s="422"/>
      <c r="Z404" s="422"/>
    </row>
    <row r="405" spans="1:26" ht="29" x14ac:dyDescent="0.35">
      <c r="A405" s="478">
        <v>45946</v>
      </c>
      <c r="B405" s="506">
        <v>120</v>
      </c>
      <c r="C405" s="479" t="s">
        <v>586</v>
      </c>
      <c r="D405" s="479" t="s">
        <v>587</v>
      </c>
      <c r="E405" s="479" t="s">
        <v>660</v>
      </c>
      <c r="F405" s="479" t="s">
        <v>572</v>
      </c>
      <c r="G405" s="475" t="b">
        <f>IF(A405="","",IF(Daten!$AE$4=0,TRUE,MONTH(A405)=Daten!$AE$4))</f>
        <v>1</v>
      </c>
      <c r="H405" s="426" t="s">
        <v>821</v>
      </c>
      <c r="I405" s="475" t="s">
        <v>70</v>
      </c>
      <c r="J405" s="475"/>
      <c r="K405" s="479" t="s">
        <v>628</v>
      </c>
      <c r="L405" s="485" t="s">
        <v>820</v>
      </c>
      <c r="M405" s="423"/>
      <c r="N405" s="423"/>
      <c r="O405" s="423"/>
      <c r="P405" s="423"/>
      <c r="Q405" s="423"/>
      <c r="R405" s="423"/>
      <c r="S405" s="423"/>
      <c r="T405" s="423"/>
      <c r="U405" s="423"/>
      <c r="V405" s="423"/>
      <c r="W405" s="423"/>
      <c r="X405" s="423"/>
      <c r="Y405" s="423"/>
      <c r="Z405" s="423"/>
    </row>
    <row r="406" spans="1:26" hidden="1" x14ac:dyDescent="0.35">
      <c r="A406" s="476">
        <v>45946</v>
      </c>
      <c r="B406" s="505">
        <v>-59.94</v>
      </c>
      <c r="C406" s="477" t="s">
        <v>570</v>
      </c>
      <c r="D406" s="477" t="s">
        <v>571</v>
      </c>
      <c r="E406" s="477" t="s">
        <v>661</v>
      </c>
      <c r="F406" s="477" t="s">
        <v>567</v>
      </c>
      <c r="G406" s="474" t="b">
        <f>IF(A406="","",IF(Daten!$AE$4=0,TRUE,MONTH(A406)=Daten!$AE$4))</f>
        <v>1</v>
      </c>
      <c r="H406" s="480" t="s">
        <v>389</v>
      </c>
      <c r="I406" s="474" t="s">
        <v>70</v>
      </c>
      <c r="J406" s="474"/>
      <c r="K406" s="477" t="s">
        <v>628</v>
      </c>
      <c r="L406" s="484"/>
      <c r="M406" s="422"/>
      <c r="N406" s="422"/>
      <c r="O406" s="422"/>
      <c r="P406" s="422"/>
      <c r="Q406" s="422"/>
      <c r="R406" s="422"/>
      <c r="S406" s="422"/>
      <c r="T406" s="422">
        <v>-59.94</v>
      </c>
      <c r="U406" s="422"/>
      <c r="V406" s="422"/>
      <c r="W406" s="422"/>
      <c r="X406" s="422"/>
      <c r="Y406" s="422"/>
      <c r="Z406" s="422"/>
    </row>
    <row r="407" spans="1:26" hidden="1" x14ac:dyDescent="0.35">
      <c r="A407" s="478">
        <v>45950</v>
      </c>
      <c r="B407" s="506">
        <v>15</v>
      </c>
      <c r="C407" s="479" t="s">
        <v>562</v>
      </c>
      <c r="D407" s="479" t="s">
        <v>563</v>
      </c>
      <c r="E407" s="479" t="s">
        <v>627</v>
      </c>
      <c r="F407" s="479" t="s">
        <v>561</v>
      </c>
      <c r="G407" s="475" t="b">
        <f>IF(A407="","",IF(Daten!$AE$4=0,TRUE,MONTH(A407)=Daten!$AE$4))</f>
        <v>1</v>
      </c>
      <c r="H407" s="480" t="s">
        <v>415</v>
      </c>
      <c r="I407" s="475" t="s">
        <v>70</v>
      </c>
      <c r="J407" s="475"/>
      <c r="K407" s="479" t="s">
        <v>628</v>
      </c>
      <c r="L407" s="485"/>
      <c r="M407" s="423"/>
      <c r="N407" s="423"/>
      <c r="O407" s="423"/>
      <c r="P407" s="423"/>
      <c r="Q407" s="423"/>
      <c r="R407" s="423"/>
      <c r="S407" s="423">
        <v>15</v>
      </c>
      <c r="T407" s="423"/>
      <c r="U407" s="423"/>
      <c r="V407" s="423"/>
      <c r="W407" s="423"/>
      <c r="X407" s="423"/>
      <c r="Y407" s="423"/>
      <c r="Z407" s="423"/>
    </row>
    <row r="408" spans="1:26" hidden="1" x14ac:dyDescent="0.35">
      <c r="A408" s="476">
        <v>45957</v>
      </c>
      <c r="B408" s="505">
        <v>7.5</v>
      </c>
      <c r="C408" s="477" t="s">
        <v>600</v>
      </c>
      <c r="D408" s="477" t="s">
        <v>601</v>
      </c>
      <c r="E408" s="477" t="s">
        <v>656</v>
      </c>
      <c r="F408" s="477" t="s">
        <v>561</v>
      </c>
      <c r="G408" s="474" t="b">
        <f>IF(A408="","",IF(Daten!$AE$4=0,TRUE,MONTH(A408)=Daten!$AE$4))</f>
        <v>1</v>
      </c>
      <c r="H408" s="480" t="s">
        <v>306</v>
      </c>
      <c r="I408" s="474" t="s">
        <v>69</v>
      </c>
      <c r="J408" s="474"/>
      <c r="K408" s="477" t="s">
        <v>628</v>
      </c>
      <c r="L408" s="484"/>
      <c r="M408" s="422">
        <v>7.5</v>
      </c>
      <c r="N408" s="422"/>
      <c r="O408" s="422"/>
      <c r="P408" s="422"/>
      <c r="Q408" s="422"/>
      <c r="R408" s="422"/>
      <c r="S408" s="422"/>
      <c r="T408" s="422"/>
      <c r="U408" s="422"/>
      <c r="V408" s="422"/>
      <c r="W408" s="422"/>
      <c r="X408" s="422"/>
      <c r="Y408" s="422"/>
      <c r="Z408" s="422"/>
    </row>
    <row r="409" spans="1:26" hidden="1" x14ac:dyDescent="0.35">
      <c r="A409" s="478">
        <v>45957</v>
      </c>
      <c r="B409" s="506">
        <v>15</v>
      </c>
      <c r="C409" s="479" t="s">
        <v>594</v>
      </c>
      <c r="D409" s="479" t="s">
        <v>595</v>
      </c>
      <c r="E409" s="479" t="s">
        <v>657</v>
      </c>
      <c r="F409" s="479" t="s">
        <v>561</v>
      </c>
      <c r="G409" s="475" t="b">
        <f>IF(A409="","",IF(Daten!$AE$4=0,TRUE,MONTH(A409)=Daten!$AE$4))</f>
        <v>1</v>
      </c>
      <c r="H409" s="480" t="s">
        <v>415</v>
      </c>
      <c r="I409" s="475" t="s">
        <v>70</v>
      </c>
      <c r="J409" s="475"/>
      <c r="K409" s="479" t="s">
        <v>628</v>
      </c>
      <c r="L409" s="485"/>
      <c r="M409" s="423"/>
      <c r="N409" s="423"/>
      <c r="O409" s="423"/>
      <c r="P409" s="423"/>
      <c r="Q409" s="423"/>
      <c r="R409" s="423"/>
      <c r="S409" s="423">
        <v>15</v>
      </c>
      <c r="T409" s="423"/>
      <c r="U409" s="423"/>
      <c r="V409" s="423"/>
      <c r="W409" s="423"/>
      <c r="X409" s="423"/>
      <c r="Y409" s="423"/>
      <c r="Z409" s="423"/>
    </row>
    <row r="410" spans="1:26" hidden="1" x14ac:dyDescent="0.35">
      <c r="A410" s="476">
        <v>45957</v>
      </c>
      <c r="B410" s="505">
        <v>7.5</v>
      </c>
      <c r="C410" s="477" t="s">
        <v>594</v>
      </c>
      <c r="D410" s="477" t="s">
        <v>595</v>
      </c>
      <c r="E410" s="477" t="s">
        <v>655</v>
      </c>
      <c r="F410" s="477" t="s">
        <v>561</v>
      </c>
      <c r="G410" s="474" t="b">
        <f>IF(A410="","",IF(Daten!$AE$4=0,TRUE,MONTH(A410)=Daten!$AE$4))</f>
        <v>1</v>
      </c>
      <c r="H410" s="480" t="s">
        <v>306</v>
      </c>
      <c r="I410" s="474" t="s">
        <v>69</v>
      </c>
      <c r="J410" s="474"/>
      <c r="K410" s="477" t="s">
        <v>628</v>
      </c>
      <c r="L410" s="484"/>
      <c r="M410" s="422">
        <v>7.5</v>
      </c>
      <c r="N410" s="422"/>
      <c r="O410" s="422"/>
      <c r="P410" s="422"/>
      <c r="Q410" s="422"/>
      <c r="R410" s="422"/>
      <c r="S410" s="422"/>
      <c r="T410" s="422"/>
      <c r="U410" s="422"/>
      <c r="V410" s="422"/>
      <c r="W410" s="422"/>
      <c r="X410" s="422"/>
      <c r="Y410" s="422"/>
      <c r="Z410" s="422"/>
    </row>
    <row r="411" spans="1:26" hidden="1" x14ac:dyDescent="0.35">
      <c r="A411" s="478">
        <v>45959</v>
      </c>
      <c r="B411" s="506">
        <v>15</v>
      </c>
      <c r="C411" s="479" t="s">
        <v>588</v>
      </c>
      <c r="D411" s="479" t="s">
        <v>589</v>
      </c>
      <c r="E411" s="479" t="s">
        <v>306</v>
      </c>
      <c r="F411" s="479" t="s">
        <v>561</v>
      </c>
      <c r="G411" s="475" t="b">
        <f>IF(A411="","",IF(Daten!$AE$4=0,TRUE,MONTH(A411)=Daten!$AE$4))</f>
        <v>1</v>
      </c>
      <c r="H411" s="480" t="s">
        <v>306</v>
      </c>
      <c r="I411" s="475" t="s">
        <v>69</v>
      </c>
      <c r="J411" s="475"/>
      <c r="K411" s="479" t="s">
        <v>628</v>
      </c>
      <c r="L411" s="485"/>
      <c r="M411" s="423">
        <v>15</v>
      </c>
      <c r="N411" s="423"/>
      <c r="O411" s="423"/>
      <c r="P411" s="423"/>
      <c r="Q411" s="423"/>
      <c r="R411" s="423"/>
      <c r="S411" s="423"/>
      <c r="T411" s="423"/>
      <c r="U411" s="423"/>
      <c r="V411" s="423"/>
      <c r="W411" s="423"/>
      <c r="X411" s="423"/>
      <c r="Y411" s="423"/>
      <c r="Z411" s="423"/>
    </row>
    <row r="412" spans="1:26" hidden="1" x14ac:dyDescent="0.35">
      <c r="A412" s="476">
        <v>45964</v>
      </c>
      <c r="B412" s="505">
        <v>15</v>
      </c>
      <c r="C412" s="477" t="s">
        <v>575</v>
      </c>
      <c r="D412" s="477" t="s">
        <v>576</v>
      </c>
      <c r="E412" s="477" t="s">
        <v>646</v>
      </c>
      <c r="F412" s="477" t="s">
        <v>561</v>
      </c>
      <c r="G412" s="474" t="b">
        <f>IF(A412="","",IF(Daten!$AE$4=0,TRUE,MONTH(A412)=Daten!$AE$4))</f>
        <v>1</v>
      </c>
      <c r="H412" s="480" t="s">
        <v>306</v>
      </c>
      <c r="I412" s="474" t="s">
        <v>69</v>
      </c>
      <c r="J412" s="474"/>
      <c r="K412" s="477" t="s">
        <v>628</v>
      </c>
      <c r="L412" s="484"/>
      <c r="M412" s="422">
        <v>15</v>
      </c>
      <c r="N412" s="422"/>
      <c r="O412" s="422"/>
      <c r="P412" s="422"/>
      <c r="Q412" s="422"/>
      <c r="R412" s="422"/>
      <c r="S412" s="422"/>
      <c r="T412" s="422"/>
      <c r="U412" s="422"/>
      <c r="V412" s="422"/>
      <c r="W412" s="422"/>
      <c r="X412" s="422"/>
      <c r="Y412" s="422"/>
      <c r="Z412" s="422"/>
    </row>
    <row r="413" spans="1:26" hidden="1" x14ac:dyDescent="0.35">
      <c r="A413" s="478">
        <v>45964</v>
      </c>
      <c r="B413" s="506">
        <v>15</v>
      </c>
      <c r="C413" s="479" t="s">
        <v>51</v>
      </c>
      <c r="D413" s="479" t="s">
        <v>580</v>
      </c>
      <c r="E413" s="479" t="s">
        <v>384</v>
      </c>
      <c r="F413" s="479" t="s">
        <v>561</v>
      </c>
      <c r="G413" s="475" t="b">
        <f>IF(A413="","",IF(Daten!$AE$4=0,TRUE,MONTH(A413)=Daten!$AE$4))</f>
        <v>1</v>
      </c>
      <c r="H413" s="480" t="s">
        <v>415</v>
      </c>
      <c r="I413" s="475" t="s">
        <v>69</v>
      </c>
      <c r="J413" s="475"/>
      <c r="K413" s="479" t="s">
        <v>628</v>
      </c>
      <c r="L413" s="485"/>
      <c r="M413" s="423"/>
      <c r="N413" s="423"/>
      <c r="O413" s="423"/>
      <c r="P413" s="423"/>
      <c r="Q413" s="423"/>
      <c r="R413" s="423"/>
      <c r="S413" s="423">
        <v>15</v>
      </c>
      <c r="T413" s="423"/>
      <c r="U413" s="423"/>
      <c r="V413" s="423"/>
      <c r="W413" s="423"/>
      <c r="X413" s="423"/>
      <c r="Y413" s="423"/>
      <c r="Z413" s="423"/>
    </row>
    <row r="414" spans="1:26" hidden="1" x14ac:dyDescent="0.35">
      <c r="A414" s="476">
        <v>45964</v>
      </c>
      <c r="B414" s="505">
        <v>7.5</v>
      </c>
      <c r="C414" s="477" t="s">
        <v>51</v>
      </c>
      <c r="D414" s="477" t="s">
        <v>580</v>
      </c>
      <c r="E414" s="477" t="s">
        <v>637</v>
      </c>
      <c r="F414" s="477" t="s">
        <v>561</v>
      </c>
      <c r="G414" s="474" t="b">
        <f>IF(A414="","",IF(Daten!$AE$4=0,TRUE,MONTH(A414)=Daten!$AE$4))</f>
        <v>1</v>
      </c>
      <c r="H414" s="480" t="s">
        <v>306</v>
      </c>
      <c r="I414" s="474" t="s">
        <v>69</v>
      </c>
      <c r="J414" s="474"/>
      <c r="K414" s="477" t="s">
        <v>628</v>
      </c>
      <c r="L414" s="484"/>
      <c r="M414" s="422">
        <v>7.5</v>
      </c>
      <c r="N414" s="422"/>
      <c r="O414" s="422"/>
      <c r="P414" s="422"/>
      <c r="Q414" s="422"/>
      <c r="R414" s="422"/>
      <c r="S414" s="422"/>
      <c r="T414" s="422"/>
      <c r="U414" s="422"/>
      <c r="V414" s="422"/>
      <c r="W414" s="422"/>
      <c r="X414" s="422"/>
      <c r="Y414" s="422"/>
      <c r="Z414" s="422"/>
    </row>
    <row r="415" spans="1:26" hidden="1" x14ac:dyDescent="0.35">
      <c r="A415" s="478">
        <v>45964</v>
      </c>
      <c r="B415" s="506">
        <v>15</v>
      </c>
      <c r="C415" s="479" t="s">
        <v>581</v>
      </c>
      <c r="D415" s="479" t="s">
        <v>582</v>
      </c>
      <c r="E415" s="479" t="s">
        <v>650</v>
      </c>
      <c r="F415" s="479" t="s">
        <v>561</v>
      </c>
      <c r="G415" s="475" t="b">
        <f>IF(A415="","",IF(Daten!$AE$4=0,TRUE,MONTH(A415)=Daten!$AE$4))</f>
        <v>1</v>
      </c>
      <c r="H415" s="480" t="s">
        <v>415</v>
      </c>
      <c r="I415" s="475" t="s">
        <v>69</v>
      </c>
      <c r="J415" s="475"/>
      <c r="K415" s="479" t="s">
        <v>628</v>
      </c>
      <c r="L415" s="485"/>
      <c r="M415" s="423"/>
      <c r="N415" s="423"/>
      <c r="O415" s="423"/>
      <c r="P415" s="423"/>
      <c r="Q415" s="423"/>
      <c r="R415" s="423"/>
      <c r="S415" s="423">
        <v>15</v>
      </c>
      <c r="T415" s="423"/>
      <c r="U415" s="423"/>
      <c r="V415" s="423"/>
      <c r="W415" s="423"/>
      <c r="X415" s="423"/>
      <c r="Y415" s="423"/>
      <c r="Z415" s="423"/>
    </row>
    <row r="416" spans="1:26" hidden="1" x14ac:dyDescent="0.35">
      <c r="A416" s="476">
        <v>45964</v>
      </c>
      <c r="B416" s="505">
        <v>15</v>
      </c>
      <c r="C416" s="477" t="s">
        <v>581</v>
      </c>
      <c r="D416" s="477" t="s">
        <v>582</v>
      </c>
      <c r="E416" s="477" t="s">
        <v>638</v>
      </c>
      <c r="F416" s="477" t="s">
        <v>561</v>
      </c>
      <c r="G416" s="474" t="b">
        <f>IF(A416="","",IF(Daten!$AE$4=0,TRUE,MONTH(A416)=Daten!$AE$4))</f>
        <v>1</v>
      </c>
      <c r="H416" s="480" t="s">
        <v>306</v>
      </c>
      <c r="I416" s="474" t="s">
        <v>69</v>
      </c>
      <c r="J416" s="474"/>
      <c r="K416" s="477" t="s">
        <v>628</v>
      </c>
      <c r="L416" s="484"/>
      <c r="M416" s="422">
        <v>15</v>
      </c>
      <c r="N416" s="422"/>
      <c r="O416" s="422"/>
      <c r="P416" s="422"/>
      <c r="Q416" s="422"/>
      <c r="R416" s="422"/>
      <c r="S416" s="422"/>
      <c r="T416" s="422"/>
      <c r="U416" s="422"/>
      <c r="V416" s="422"/>
      <c r="W416" s="422"/>
      <c r="X416" s="422"/>
      <c r="Y416" s="422"/>
      <c r="Z416" s="422"/>
    </row>
    <row r="417" spans="1:26" hidden="1" x14ac:dyDescent="0.35">
      <c r="A417" s="478">
        <v>45964</v>
      </c>
      <c r="B417" s="506">
        <v>7.5</v>
      </c>
      <c r="C417" s="479" t="s">
        <v>56</v>
      </c>
      <c r="D417" s="479" t="s">
        <v>593</v>
      </c>
      <c r="E417" s="479" t="s">
        <v>386</v>
      </c>
      <c r="F417" s="479" t="s">
        <v>561</v>
      </c>
      <c r="G417" s="475" t="b">
        <f>IF(A417="","",IF(Daten!$AE$4=0,TRUE,MONTH(A417)=Daten!$AE$4))</f>
        <v>1</v>
      </c>
      <c r="H417" s="480" t="s">
        <v>306</v>
      </c>
      <c r="I417" s="475" t="s">
        <v>69</v>
      </c>
      <c r="J417" s="475"/>
      <c r="K417" s="479" t="s">
        <v>628</v>
      </c>
      <c r="L417" s="485"/>
      <c r="M417" s="423">
        <v>7.5</v>
      </c>
      <c r="N417" s="423"/>
      <c r="O417" s="423"/>
      <c r="P417" s="423"/>
      <c r="Q417" s="423"/>
      <c r="R417" s="423"/>
      <c r="S417" s="423"/>
      <c r="T417" s="423"/>
      <c r="U417" s="423"/>
      <c r="V417" s="423"/>
      <c r="W417" s="423"/>
      <c r="X417" s="423"/>
      <c r="Y417" s="423"/>
      <c r="Z417" s="423"/>
    </row>
    <row r="418" spans="1:26" hidden="1" x14ac:dyDescent="0.35">
      <c r="A418" s="476">
        <v>45964</v>
      </c>
      <c r="B418" s="505">
        <v>15</v>
      </c>
      <c r="C418" s="477" t="s">
        <v>586</v>
      </c>
      <c r="D418" s="477" t="s">
        <v>587</v>
      </c>
      <c r="E418" s="477" t="s">
        <v>645</v>
      </c>
      <c r="F418" s="477" t="s">
        <v>561</v>
      </c>
      <c r="G418" s="474" t="b">
        <f>IF(A418="","",IF(Daten!$AE$4=0,TRUE,MONTH(A418)=Daten!$AE$4))</f>
        <v>1</v>
      </c>
      <c r="H418" s="480" t="s">
        <v>415</v>
      </c>
      <c r="I418" s="474" t="s">
        <v>69</v>
      </c>
      <c r="J418" s="474"/>
      <c r="K418" s="477" t="s">
        <v>628</v>
      </c>
      <c r="L418" s="484"/>
      <c r="M418" s="422"/>
      <c r="N418" s="422"/>
      <c r="O418" s="422"/>
      <c r="P418" s="422"/>
      <c r="Q418" s="422"/>
      <c r="R418" s="422"/>
      <c r="S418" s="422">
        <v>15</v>
      </c>
      <c r="T418" s="422"/>
      <c r="U418" s="422"/>
      <c r="V418" s="422"/>
      <c r="W418" s="422"/>
      <c r="X418" s="422"/>
      <c r="Y418" s="422"/>
      <c r="Z418" s="422"/>
    </row>
    <row r="419" spans="1:26" hidden="1" x14ac:dyDescent="0.35">
      <c r="A419" s="478">
        <v>45964</v>
      </c>
      <c r="B419" s="506">
        <v>15</v>
      </c>
      <c r="C419" s="479" t="s">
        <v>586</v>
      </c>
      <c r="D419" s="479" t="s">
        <v>587</v>
      </c>
      <c r="E419" s="479" t="s">
        <v>647</v>
      </c>
      <c r="F419" s="479" t="s">
        <v>561</v>
      </c>
      <c r="G419" s="475" t="b">
        <f>IF(A419="","",IF(Daten!$AE$4=0,TRUE,MONTH(A419)=Daten!$AE$4))</f>
        <v>1</v>
      </c>
      <c r="H419" s="480" t="s">
        <v>306</v>
      </c>
      <c r="I419" s="475" t="s">
        <v>69</v>
      </c>
      <c r="J419" s="475"/>
      <c r="K419" s="479" t="s">
        <v>628</v>
      </c>
      <c r="L419" s="485"/>
      <c r="M419" s="423">
        <v>15</v>
      </c>
      <c r="N419" s="423"/>
      <c r="O419" s="423"/>
      <c r="P419" s="423"/>
      <c r="Q419" s="423"/>
      <c r="R419" s="423"/>
      <c r="S419" s="423"/>
      <c r="T419" s="423"/>
      <c r="U419" s="423"/>
      <c r="V419" s="423"/>
      <c r="W419" s="423"/>
      <c r="X419" s="423"/>
      <c r="Y419" s="423"/>
      <c r="Z419" s="423"/>
    </row>
    <row r="420" spans="1:26" hidden="1" x14ac:dyDescent="0.35">
      <c r="A420" s="476">
        <v>45964</v>
      </c>
      <c r="B420" s="505">
        <v>15</v>
      </c>
      <c r="C420" s="477" t="s">
        <v>56</v>
      </c>
      <c r="D420" s="477" t="s">
        <v>593</v>
      </c>
      <c r="E420" s="477" t="s">
        <v>648</v>
      </c>
      <c r="F420" s="477" t="s">
        <v>561</v>
      </c>
      <c r="G420" s="474" t="b">
        <f>IF(A420="","",IF(Daten!$AE$4=0,TRUE,MONTH(A420)=Daten!$AE$4))</f>
        <v>1</v>
      </c>
      <c r="H420" s="480" t="s">
        <v>415</v>
      </c>
      <c r="I420" s="474" t="s">
        <v>69</v>
      </c>
      <c r="J420" s="474"/>
      <c r="K420" s="477" t="s">
        <v>628</v>
      </c>
      <c r="L420" s="484"/>
      <c r="M420" s="422"/>
      <c r="N420" s="422"/>
      <c r="O420" s="422"/>
      <c r="P420" s="422"/>
      <c r="Q420" s="422"/>
      <c r="R420" s="422"/>
      <c r="S420" s="422">
        <v>15</v>
      </c>
      <c r="T420" s="422"/>
      <c r="U420" s="422"/>
      <c r="V420" s="422"/>
      <c r="W420" s="422"/>
      <c r="X420" s="422"/>
      <c r="Y420" s="422"/>
      <c r="Z420" s="422"/>
    </row>
    <row r="421" spans="1:26" hidden="1" x14ac:dyDescent="0.35">
      <c r="A421" s="478">
        <v>45964</v>
      </c>
      <c r="B421" s="506">
        <v>7.5</v>
      </c>
      <c r="C421" s="479" t="s">
        <v>66</v>
      </c>
      <c r="D421" s="479" t="s">
        <v>585</v>
      </c>
      <c r="E421" s="479" t="s">
        <v>643</v>
      </c>
      <c r="F421" s="479" t="s">
        <v>561</v>
      </c>
      <c r="G421" s="475" t="b">
        <f>IF(A421="","",IF(Daten!$AE$4=0,TRUE,MONTH(A421)=Daten!$AE$4))</f>
        <v>1</v>
      </c>
      <c r="H421" s="480" t="s">
        <v>306</v>
      </c>
      <c r="I421" s="475" t="s">
        <v>69</v>
      </c>
      <c r="J421" s="475"/>
      <c r="K421" s="479" t="s">
        <v>628</v>
      </c>
      <c r="L421" s="485"/>
      <c r="M421" s="423">
        <v>7.5</v>
      </c>
      <c r="N421" s="423"/>
      <c r="O421" s="423"/>
      <c r="P421" s="423"/>
      <c r="Q421" s="423"/>
      <c r="R421" s="423"/>
      <c r="S421" s="423"/>
      <c r="T421" s="423"/>
      <c r="U421" s="423"/>
      <c r="V421" s="423"/>
      <c r="W421" s="423"/>
      <c r="X421" s="423"/>
      <c r="Y421" s="423"/>
      <c r="Z421" s="423"/>
    </row>
    <row r="422" spans="1:26" hidden="1" x14ac:dyDescent="0.35">
      <c r="A422" s="476">
        <v>45964</v>
      </c>
      <c r="B422" s="505">
        <v>15</v>
      </c>
      <c r="C422" s="477" t="s">
        <v>588</v>
      </c>
      <c r="D422" s="477" t="s">
        <v>589</v>
      </c>
      <c r="E422" s="477" t="s">
        <v>385</v>
      </c>
      <c r="F422" s="477" t="s">
        <v>561</v>
      </c>
      <c r="G422" s="474" t="b">
        <f>IF(A422="","",IF(Daten!$AE$4=0,TRUE,MONTH(A422)=Daten!$AE$4))</f>
        <v>1</v>
      </c>
      <c r="H422" s="480" t="s">
        <v>415</v>
      </c>
      <c r="I422" s="474" t="s">
        <v>69</v>
      </c>
      <c r="J422" s="474"/>
      <c r="K422" s="477" t="s">
        <v>628</v>
      </c>
      <c r="L422" s="484"/>
      <c r="M422" s="422"/>
      <c r="N422" s="422"/>
      <c r="O422" s="422"/>
      <c r="P422" s="422"/>
      <c r="Q422" s="422"/>
      <c r="R422" s="422"/>
      <c r="S422" s="422">
        <v>15</v>
      </c>
      <c r="T422" s="422"/>
      <c r="U422" s="422"/>
      <c r="V422" s="422"/>
      <c r="W422" s="422"/>
      <c r="X422" s="422"/>
      <c r="Y422" s="422"/>
      <c r="Z422" s="422"/>
    </row>
    <row r="423" spans="1:26" hidden="1" x14ac:dyDescent="0.35">
      <c r="A423" s="478">
        <v>45964</v>
      </c>
      <c r="B423" s="506">
        <v>15</v>
      </c>
      <c r="C423" s="479" t="s">
        <v>66</v>
      </c>
      <c r="D423" s="479" t="s">
        <v>585</v>
      </c>
      <c r="E423" s="479" t="s">
        <v>644</v>
      </c>
      <c r="F423" s="479" t="s">
        <v>561</v>
      </c>
      <c r="G423" s="475" t="b">
        <f>IF(A423="","",IF(Daten!$AE$4=0,TRUE,MONTH(A423)=Daten!$AE$4))</f>
        <v>1</v>
      </c>
      <c r="H423" s="480" t="s">
        <v>415</v>
      </c>
      <c r="I423" s="475" t="s">
        <v>69</v>
      </c>
      <c r="J423" s="475"/>
      <c r="K423" s="479" t="s">
        <v>628</v>
      </c>
      <c r="L423" s="485"/>
      <c r="M423" s="423"/>
      <c r="N423" s="423"/>
      <c r="O423" s="423"/>
      <c r="P423" s="423"/>
      <c r="Q423" s="423"/>
      <c r="R423" s="423"/>
      <c r="S423" s="423">
        <v>15</v>
      </c>
      <c r="T423" s="423"/>
      <c r="U423" s="423"/>
      <c r="V423" s="423"/>
      <c r="W423" s="423"/>
      <c r="X423" s="423"/>
      <c r="Y423" s="423"/>
      <c r="Z423" s="423"/>
    </row>
    <row r="424" spans="1:26" hidden="1" x14ac:dyDescent="0.35">
      <c r="A424" s="476">
        <v>45964</v>
      </c>
      <c r="B424" s="505">
        <v>15</v>
      </c>
      <c r="C424" s="477" t="s">
        <v>596</v>
      </c>
      <c r="D424" s="477" t="s">
        <v>597</v>
      </c>
      <c r="E424" s="477" t="s">
        <v>651</v>
      </c>
      <c r="F424" s="477" t="s">
        <v>561</v>
      </c>
      <c r="G424" s="474" t="b">
        <f>IF(A424="","",IF(Daten!$AE$4=0,TRUE,MONTH(A424)=Daten!$AE$4))</f>
        <v>1</v>
      </c>
      <c r="H424" s="480" t="s">
        <v>415</v>
      </c>
      <c r="I424" s="474" t="s">
        <v>69</v>
      </c>
      <c r="J424" s="474"/>
      <c r="K424" s="477" t="s">
        <v>628</v>
      </c>
      <c r="L424" s="484"/>
      <c r="M424" s="422"/>
      <c r="N424" s="422"/>
      <c r="O424" s="422"/>
      <c r="P424" s="422"/>
      <c r="Q424" s="422"/>
      <c r="R424" s="422"/>
      <c r="S424" s="422">
        <v>15</v>
      </c>
      <c r="T424" s="422"/>
      <c r="U424" s="422"/>
      <c r="V424" s="422"/>
      <c r="W424" s="422"/>
      <c r="X424" s="422"/>
      <c r="Y424" s="422"/>
      <c r="Z424" s="422"/>
    </row>
    <row r="425" spans="1:26" hidden="1" x14ac:dyDescent="0.35">
      <c r="A425" s="478">
        <v>45964</v>
      </c>
      <c r="B425" s="506">
        <v>15</v>
      </c>
      <c r="C425" s="479" t="s">
        <v>598</v>
      </c>
      <c r="D425" s="479" t="s">
        <v>599</v>
      </c>
      <c r="E425" s="479" t="s">
        <v>652</v>
      </c>
      <c r="F425" s="479" t="s">
        <v>561</v>
      </c>
      <c r="G425" s="475" t="b">
        <f>IF(A425="","",IF(Daten!$AE$4=0,TRUE,MONTH(A425)=Daten!$AE$4))</f>
        <v>1</v>
      </c>
      <c r="H425" s="480" t="s">
        <v>306</v>
      </c>
      <c r="I425" s="475" t="s">
        <v>69</v>
      </c>
      <c r="J425" s="475"/>
      <c r="K425" s="479" t="s">
        <v>628</v>
      </c>
      <c r="L425" s="485"/>
      <c r="M425" s="423">
        <v>15</v>
      </c>
      <c r="N425" s="423"/>
      <c r="O425" s="423"/>
      <c r="P425" s="423"/>
      <c r="Q425" s="423"/>
      <c r="R425" s="423"/>
      <c r="S425" s="423"/>
      <c r="T425" s="423"/>
      <c r="U425" s="423"/>
      <c r="V425" s="423"/>
      <c r="W425" s="423"/>
      <c r="X425" s="423"/>
      <c r="Y425" s="423"/>
      <c r="Z425" s="423"/>
    </row>
    <row r="426" spans="1:26" hidden="1" x14ac:dyDescent="0.35">
      <c r="A426" s="476">
        <v>45964</v>
      </c>
      <c r="B426" s="505">
        <v>15</v>
      </c>
      <c r="C426" s="477" t="s">
        <v>596</v>
      </c>
      <c r="D426" s="477" t="s">
        <v>597</v>
      </c>
      <c r="E426" s="477" t="s">
        <v>653</v>
      </c>
      <c r="F426" s="477" t="s">
        <v>561</v>
      </c>
      <c r="G426" s="474" t="b">
        <f>IF(A426="","",IF(Daten!$AE$4=0,TRUE,MONTH(A426)=Daten!$AE$4))</f>
        <v>1</v>
      </c>
      <c r="H426" s="480" t="s">
        <v>306</v>
      </c>
      <c r="I426" s="474" t="s">
        <v>69</v>
      </c>
      <c r="J426" s="474"/>
      <c r="K426" s="477" t="s">
        <v>628</v>
      </c>
      <c r="L426" s="484"/>
      <c r="M426" s="422">
        <v>15</v>
      </c>
      <c r="N426" s="422"/>
      <c r="O426" s="422"/>
      <c r="P426" s="422"/>
      <c r="Q426" s="422"/>
      <c r="R426" s="422"/>
      <c r="S426" s="422"/>
      <c r="T426" s="422"/>
      <c r="U426" s="422"/>
      <c r="V426" s="422"/>
      <c r="W426" s="422"/>
      <c r="X426" s="422"/>
      <c r="Y426" s="422"/>
      <c r="Z426" s="422"/>
    </row>
    <row r="427" spans="1:26" hidden="1" x14ac:dyDescent="0.35">
      <c r="A427" s="478">
        <v>45964</v>
      </c>
      <c r="B427" s="506">
        <v>15</v>
      </c>
      <c r="C427" s="479" t="s">
        <v>591</v>
      </c>
      <c r="D427" s="479" t="s">
        <v>592</v>
      </c>
      <c r="E427" s="479" t="s">
        <v>385</v>
      </c>
      <c r="F427" s="479" t="s">
        <v>590</v>
      </c>
      <c r="G427" s="475" t="b">
        <f>IF(A427="","",IF(Daten!$AE$4=0,TRUE,MONTH(A427)=Daten!$AE$4))</f>
        <v>1</v>
      </c>
      <c r="H427" s="480" t="s">
        <v>415</v>
      </c>
      <c r="I427" s="475" t="s">
        <v>69</v>
      </c>
      <c r="J427" s="475"/>
      <c r="K427" s="479" t="s">
        <v>628</v>
      </c>
      <c r="L427" s="485"/>
      <c r="M427" s="423"/>
      <c r="N427" s="423"/>
      <c r="O427" s="423"/>
      <c r="P427" s="423"/>
      <c r="Q427" s="423"/>
      <c r="R427" s="423"/>
      <c r="S427" s="423">
        <v>15</v>
      </c>
      <c r="T427" s="423"/>
      <c r="U427" s="423"/>
      <c r="V427" s="423"/>
      <c r="W427" s="423"/>
      <c r="X427" s="423"/>
      <c r="Y427" s="423"/>
      <c r="Z427" s="423"/>
    </row>
    <row r="428" spans="1:26" hidden="1" x14ac:dyDescent="0.35">
      <c r="A428" s="476">
        <v>45964</v>
      </c>
      <c r="B428" s="505">
        <v>15</v>
      </c>
      <c r="C428" s="477" t="s">
        <v>591</v>
      </c>
      <c r="D428" s="477" t="s">
        <v>592</v>
      </c>
      <c r="E428" s="477" t="s">
        <v>306</v>
      </c>
      <c r="F428" s="477" t="s">
        <v>590</v>
      </c>
      <c r="G428" s="474" t="b">
        <f>IF(A428="","",IF(Daten!$AE$4=0,TRUE,MONTH(A428)=Daten!$AE$4))</f>
        <v>1</v>
      </c>
      <c r="H428" s="480" t="s">
        <v>306</v>
      </c>
      <c r="I428" s="474" t="s">
        <v>69</v>
      </c>
      <c r="J428" s="474"/>
      <c r="K428" s="477" t="s">
        <v>628</v>
      </c>
      <c r="L428" s="484"/>
      <c r="M428" s="422">
        <v>15</v>
      </c>
      <c r="N428" s="422"/>
      <c r="O428" s="422"/>
      <c r="P428" s="422"/>
      <c r="Q428" s="422"/>
      <c r="R428" s="422"/>
      <c r="S428" s="422"/>
      <c r="T428" s="422"/>
      <c r="U428" s="422"/>
      <c r="V428" s="422"/>
      <c r="W428" s="422"/>
      <c r="X428" s="422"/>
      <c r="Y428" s="422"/>
      <c r="Z428" s="422"/>
    </row>
    <row r="429" spans="1:26" hidden="1" x14ac:dyDescent="0.35">
      <c r="A429" s="478">
        <v>45964</v>
      </c>
      <c r="B429" s="506">
        <v>-4.7</v>
      </c>
      <c r="C429" s="479"/>
      <c r="D429" s="479">
        <v>0</v>
      </c>
      <c r="E429" s="479" t="s">
        <v>654</v>
      </c>
      <c r="F429" s="479" t="s">
        <v>381</v>
      </c>
      <c r="G429" s="475" t="b">
        <f>IF(A429="","",IF(Daten!$AE$4=0,TRUE,MONTH(A429)=Daten!$AE$4))</f>
        <v>1</v>
      </c>
      <c r="H429" s="480" t="s">
        <v>452</v>
      </c>
      <c r="I429" s="475" t="s">
        <v>69</v>
      </c>
      <c r="J429" s="475"/>
      <c r="K429" s="479" t="s">
        <v>628</v>
      </c>
      <c r="L429" s="485"/>
      <c r="M429" s="423"/>
      <c r="N429" s="423"/>
      <c r="O429" s="423"/>
      <c r="P429" s="423"/>
      <c r="Q429" s="423"/>
      <c r="R429" s="423"/>
      <c r="S429" s="423"/>
      <c r="T429" s="423"/>
      <c r="U429" s="423"/>
      <c r="V429" s="423"/>
      <c r="W429" s="423"/>
      <c r="X429" s="423"/>
      <c r="Y429" s="423">
        <v>-4.7</v>
      </c>
      <c r="Z429" s="423"/>
    </row>
    <row r="430" spans="1:26" hidden="1" x14ac:dyDescent="0.35">
      <c r="A430" s="476">
        <v>45965</v>
      </c>
      <c r="B430" s="505">
        <v>7.5</v>
      </c>
      <c r="C430" s="477" t="s">
        <v>583</v>
      </c>
      <c r="D430" s="477" t="s">
        <v>584</v>
      </c>
      <c r="E430" s="477" t="s">
        <v>642</v>
      </c>
      <c r="F430" s="477" t="s">
        <v>561</v>
      </c>
      <c r="G430" s="474" t="b">
        <f>IF(A430="","",IF(Daten!$AE$4=0,TRUE,MONTH(A430)=Daten!$AE$4))</f>
        <v>1</v>
      </c>
      <c r="H430" s="480" t="s">
        <v>306</v>
      </c>
      <c r="I430" s="474" t="s">
        <v>69</v>
      </c>
      <c r="J430" s="474"/>
      <c r="K430" s="477" t="s">
        <v>628</v>
      </c>
      <c r="L430" s="484"/>
      <c r="M430" s="422">
        <v>7.5</v>
      </c>
      <c r="N430" s="422"/>
      <c r="O430" s="422"/>
      <c r="P430" s="422"/>
      <c r="Q430" s="422"/>
      <c r="R430" s="422"/>
      <c r="S430" s="422"/>
      <c r="T430" s="422"/>
      <c r="U430" s="422"/>
      <c r="V430" s="422"/>
      <c r="W430" s="422"/>
      <c r="X430" s="422"/>
      <c r="Y430" s="422"/>
      <c r="Z430" s="422"/>
    </row>
    <row r="431" spans="1:26" hidden="1" x14ac:dyDescent="0.35">
      <c r="A431" s="478">
        <v>45965</v>
      </c>
      <c r="B431" s="506">
        <v>15</v>
      </c>
      <c r="C431" s="479" t="s">
        <v>583</v>
      </c>
      <c r="D431" s="479" t="s">
        <v>584</v>
      </c>
      <c r="E431" s="479" t="s">
        <v>640</v>
      </c>
      <c r="F431" s="479" t="s">
        <v>561</v>
      </c>
      <c r="G431" s="475" t="b">
        <f>IF(A431="","",IF(Daten!$AE$4=0,TRUE,MONTH(A431)=Daten!$AE$4))</f>
        <v>1</v>
      </c>
      <c r="H431" s="480" t="s">
        <v>415</v>
      </c>
      <c r="I431" s="475" t="s">
        <v>69</v>
      </c>
      <c r="J431" s="475"/>
      <c r="K431" s="479" t="s">
        <v>628</v>
      </c>
      <c r="L431" s="485"/>
      <c r="M431" s="423"/>
      <c r="N431" s="423"/>
      <c r="O431" s="423"/>
      <c r="P431" s="423"/>
      <c r="Q431" s="423"/>
      <c r="R431" s="423"/>
      <c r="S431" s="423">
        <v>15</v>
      </c>
      <c r="T431" s="423"/>
      <c r="U431" s="423"/>
      <c r="V431" s="423"/>
      <c r="W431" s="423"/>
      <c r="X431" s="423"/>
      <c r="Y431" s="423"/>
      <c r="Z431" s="423"/>
    </row>
    <row r="432" spans="1:26" hidden="1" x14ac:dyDescent="0.35">
      <c r="A432" s="476">
        <v>45965</v>
      </c>
      <c r="B432" s="505">
        <v>15</v>
      </c>
      <c r="C432" s="477" t="s">
        <v>573</v>
      </c>
      <c r="D432" s="477" t="s">
        <v>574</v>
      </c>
      <c r="E432" s="477" t="s">
        <v>641</v>
      </c>
      <c r="F432" s="477" t="s">
        <v>561</v>
      </c>
      <c r="G432" s="474" t="b">
        <f>IF(A432="","",IF(Daten!$AE$4=0,TRUE,MONTH(A432)=Daten!$AE$4))</f>
        <v>1</v>
      </c>
      <c r="H432" s="480" t="s">
        <v>415</v>
      </c>
      <c r="I432" s="474" t="s">
        <v>69</v>
      </c>
      <c r="J432" s="474"/>
      <c r="K432" s="477" t="s">
        <v>628</v>
      </c>
      <c r="L432" s="484"/>
      <c r="M432" s="422"/>
      <c r="N432" s="422"/>
      <c r="O432" s="422"/>
      <c r="P432" s="422"/>
      <c r="Q432" s="422"/>
      <c r="R432" s="422"/>
      <c r="S432" s="422">
        <v>15</v>
      </c>
      <c r="T432" s="422"/>
      <c r="U432" s="422"/>
      <c r="V432" s="422"/>
      <c r="W432" s="422"/>
      <c r="X432" s="422"/>
      <c r="Y432" s="422"/>
      <c r="Z432" s="422"/>
    </row>
    <row r="433" spans="1:26" hidden="1" x14ac:dyDescent="0.35">
      <c r="A433" s="478">
        <v>45966</v>
      </c>
      <c r="B433" s="506">
        <v>15</v>
      </c>
      <c r="C433" s="479" t="s">
        <v>575</v>
      </c>
      <c r="D433" s="479" t="s">
        <v>576</v>
      </c>
      <c r="E433" s="479" t="s">
        <v>633</v>
      </c>
      <c r="F433" s="479" t="s">
        <v>561</v>
      </c>
      <c r="G433" s="475" t="b">
        <f>IF(A433="","",IF(Daten!$AE$4=0,TRUE,MONTH(A433)=Daten!$AE$4))</f>
        <v>1</v>
      </c>
      <c r="H433" s="480" t="s">
        <v>415</v>
      </c>
      <c r="I433" s="475" t="s">
        <v>69</v>
      </c>
      <c r="J433" s="475"/>
      <c r="K433" s="479" t="s">
        <v>628</v>
      </c>
      <c r="L433" s="485"/>
      <c r="M433" s="423"/>
      <c r="N433" s="423"/>
      <c r="O433" s="423"/>
      <c r="P433" s="423"/>
      <c r="Q433" s="423"/>
      <c r="R433" s="423"/>
      <c r="S433" s="423">
        <v>15</v>
      </c>
      <c r="T433" s="423"/>
      <c r="U433" s="423"/>
      <c r="V433" s="423"/>
      <c r="W433" s="423"/>
      <c r="X433" s="423"/>
      <c r="Y433" s="423"/>
      <c r="Z433" s="423"/>
    </row>
    <row r="434" spans="1:26" hidden="1" x14ac:dyDescent="0.35">
      <c r="A434" s="476">
        <v>45975</v>
      </c>
      <c r="B434" s="505">
        <v>-59.94</v>
      </c>
      <c r="C434" s="477" t="s">
        <v>570</v>
      </c>
      <c r="D434" s="477" t="s">
        <v>571</v>
      </c>
      <c r="E434" s="477" t="s">
        <v>659</v>
      </c>
      <c r="F434" s="477" t="s">
        <v>567</v>
      </c>
      <c r="G434" s="474" t="b">
        <f>IF(A434="","",IF(Daten!$AE$4=0,TRUE,MONTH(A434)=Daten!$AE$4))</f>
        <v>1</v>
      </c>
      <c r="H434" s="480" t="s">
        <v>389</v>
      </c>
      <c r="I434" s="474" t="s">
        <v>69</v>
      </c>
      <c r="J434" s="474"/>
      <c r="K434" s="477" t="s">
        <v>628</v>
      </c>
      <c r="L434" s="484"/>
      <c r="M434" s="422"/>
      <c r="N434" s="422"/>
      <c r="O434" s="422"/>
      <c r="P434" s="422"/>
      <c r="Q434" s="422"/>
      <c r="R434" s="422"/>
      <c r="S434" s="422"/>
      <c r="T434" s="422">
        <v>-59.94</v>
      </c>
      <c r="U434" s="422"/>
      <c r="V434" s="422"/>
      <c r="W434" s="422"/>
      <c r="X434" s="422"/>
      <c r="Y434" s="422"/>
      <c r="Z434" s="422"/>
    </row>
    <row r="435" spans="1:26" hidden="1" x14ac:dyDescent="0.35">
      <c r="A435" s="478">
        <v>45978</v>
      </c>
      <c r="B435" s="506">
        <v>-138</v>
      </c>
      <c r="C435" s="479" t="s">
        <v>568</v>
      </c>
      <c r="D435" s="479" t="s">
        <v>569</v>
      </c>
      <c r="E435" s="479" t="s">
        <v>630</v>
      </c>
      <c r="F435" s="479" t="s">
        <v>567</v>
      </c>
      <c r="G435" s="475" t="b">
        <f>IF(A435="","",IF(Daten!$AE$4=0,TRUE,MONTH(A435)=Daten!$AE$4))</f>
        <v>1</v>
      </c>
      <c r="H435" s="480" t="s">
        <v>459</v>
      </c>
      <c r="I435" s="475" t="s">
        <v>69</v>
      </c>
      <c r="J435" s="475"/>
      <c r="K435" s="479" t="s">
        <v>628</v>
      </c>
      <c r="L435" s="485"/>
      <c r="M435" s="423"/>
      <c r="N435" s="423"/>
      <c r="O435" s="423"/>
      <c r="P435" s="423"/>
      <c r="Q435" s="423"/>
      <c r="R435" s="423"/>
      <c r="S435" s="423"/>
      <c r="T435" s="423">
        <v>-138</v>
      </c>
      <c r="U435" s="423"/>
      <c r="V435" s="423"/>
      <c r="W435" s="423"/>
      <c r="X435" s="423"/>
      <c r="Y435" s="423"/>
      <c r="Z435" s="423"/>
    </row>
    <row r="436" spans="1:26" hidden="1" x14ac:dyDescent="0.35">
      <c r="A436" s="476">
        <v>45979</v>
      </c>
      <c r="B436" s="505">
        <v>15</v>
      </c>
      <c r="C436" s="477" t="s">
        <v>562</v>
      </c>
      <c r="D436" s="477" t="s">
        <v>563</v>
      </c>
      <c r="E436" s="477" t="s">
        <v>627</v>
      </c>
      <c r="F436" s="477" t="s">
        <v>561</v>
      </c>
      <c r="G436" s="474" t="b">
        <f>IF(A436="","",IF(Daten!$AE$4=0,TRUE,MONTH(A436)=Daten!$AE$4))</f>
        <v>1</v>
      </c>
      <c r="H436" s="480" t="s">
        <v>415</v>
      </c>
      <c r="I436" s="474" t="s">
        <v>69</v>
      </c>
      <c r="J436" s="474"/>
      <c r="K436" s="477" t="s">
        <v>628</v>
      </c>
      <c r="L436" s="484"/>
      <c r="M436" s="422"/>
      <c r="N436" s="422"/>
      <c r="O436" s="422"/>
      <c r="P436" s="422"/>
      <c r="Q436" s="422"/>
      <c r="R436" s="422"/>
      <c r="S436" s="422">
        <v>15</v>
      </c>
      <c r="T436" s="422"/>
      <c r="U436" s="422"/>
      <c r="V436" s="422"/>
      <c r="W436" s="422"/>
      <c r="X436" s="422"/>
      <c r="Y436" s="422"/>
      <c r="Z436" s="422"/>
    </row>
    <row r="437" spans="1:26" hidden="1" x14ac:dyDescent="0.35">
      <c r="A437" s="478">
        <v>45981</v>
      </c>
      <c r="B437" s="506">
        <v>-969.43</v>
      </c>
      <c r="C437" s="479" t="s">
        <v>578</v>
      </c>
      <c r="D437" s="479" t="s">
        <v>579</v>
      </c>
      <c r="E437" s="479" t="s">
        <v>658</v>
      </c>
      <c r="F437" s="479" t="s">
        <v>567</v>
      </c>
      <c r="G437" s="475" t="b">
        <f>IF(A437="","",IF(Daten!$AE$4=0,TRUE,MONTH(A437)=Daten!$AE$4))</f>
        <v>1</v>
      </c>
      <c r="H437" s="480" t="s">
        <v>451</v>
      </c>
      <c r="I437" s="475" t="s">
        <v>69</v>
      </c>
      <c r="J437" s="475"/>
      <c r="K437" s="479" t="s">
        <v>628</v>
      </c>
      <c r="L437" s="485"/>
      <c r="M437" s="423"/>
      <c r="N437" s="423"/>
      <c r="O437" s="423"/>
      <c r="P437" s="423"/>
      <c r="Q437" s="423"/>
      <c r="R437" s="423"/>
      <c r="S437" s="423"/>
      <c r="T437" s="423">
        <v>-969.43</v>
      </c>
      <c r="U437" s="423"/>
      <c r="V437" s="423"/>
      <c r="W437" s="423"/>
      <c r="X437" s="423"/>
      <c r="Y437" s="423"/>
      <c r="Z437" s="423"/>
    </row>
    <row r="438" spans="1:26" hidden="1" x14ac:dyDescent="0.35">
      <c r="A438" s="476">
        <v>45986</v>
      </c>
      <c r="B438" s="505">
        <v>15</v>
      </c>
      <c r="C438" s="477" t="s">
        <v>594</v>
      </c>
      <c r="D438" s="477" t="s">
        <v>595</v>
      </c>
      <c r="E438" s="477" t="s">
        <v>657</v>
      </c>
      <c r="F438" s="477" t="s">
        <v>561</v>
      </c>
      <c r="G438" s="474" t="b">
        <f>IF(A438="","",IF(Daten!$AE$4=0,TRUE,MONTH(A438)=Daten!$AE$4))</f>
        <v>1</v>
      </c>
      <c r="H438" s="480" t="s">
        <v>415</v>
      </c>
      <c r="I438" s="474" t="s">
        <v>69</v>
      </c>
      <c r="J438" s="474"/>
      <c r="K438" s="477" t="s">
        <v>628</v>
      </c>
      <c r="L438" s="484"/>
      <c r="M438" s="422"/>
      <c r="N438" s="422"/>
      <c r="O438" s="422"/>
      <c r="P438" s="422"/>
      <c r="Q438" s="422"/>
      <c r="R438" s="422"/>
      <c r="S438" s="422">
        <v>15</v>
      </c>
      <c r="T438" s="422"/>
      <c r="U438" s="422"/>
      <c r="V438" s="422"/>
      <c r="W438" s="422"/>
      <c r="X438" s="422"/>
      <c r="Y438" s="422"/>
      <c r="Z438" s="422"/>
    </row>
    <row r="439" spans="1:26" hidden="1" x14ac:dyDescent="0.35">
      <c r="A439" s="478">
        <v>45987</v>
      </c>
      <c r="B439" s="506">
        <v>7.5</v>
      </c>
      <c r="C439" s="479" t="s">
        <v>600</v>
      </c>
      <c r="D439" s="479" t="s">
        <v>601</v>
      </c>
      <c r="E439" s="479" t="s">
        <v>656</v>
      </c>
      <c r="F439" s="479" t="s">
        <v>561</v>
      </c>
      <c r="G439" s="475" t="b">
        <f>IF(A439="","",IF(Daten!$AE$4=0,TRUE,MONTH(A439)=Daten!$AE$4))</f>
        <v>1</v>
      </c>
      <c r="H439" s="480" t="s">
        <v>306</v>
      </c>
      <c r="I439" s="475" t="s">
        <v>68</v>
      </c>
      <c r="J439" s="475"/>
      <c r="K439" s="479" t="s">
        <v>628</v>
      </c>
      <c r="L439" s="485"/>
      <c r="M439" s="423">
        <v>7.5</v>
      </c>
      <c r="N439" s="423"/>
      <c r="O439" s="423"/>
      <c r="P439" s="423"/>
      <c r="Q439" s="423"/>
      <c r="R439" s="423"/>
      <c r="S439" s="423"/>
      <c r="T439" s="423"/>
      <c r="U439" s="423"/>
      <c r="V439" s="423"/>
      <c r="W439" s="423"/>
      <c r="X439" s="423"/>
      <c r="Y439" s="423"/>
      <c r="Z439" s="423"/>
    </row>
    <row r="440" spans="1:26" hidden="1" x14ac:dyDescent="0.35">
      <c r="A440" s="476">
        <v>45988</v>
      </c>
      <c r="B440" s="505">
        <v>7.5</v>
      </c>
      <c r="C440" s="477" t="s">
        <v>594</v>
      </c>
      <c r="D440" s="477" t="s">
        <v>595</v>
      </c>
      <c r="E440" s="477" t="s">
        <v>655</v>
      </c>
      <c r="F440" s="477" t="s">
        <v>561</v>
      </c>
      <c r="G440" s="474" t="b">
        <f>IF(A440="","",IF(Daten!$AE$4=0,TRUE,MONTH(A440)=Daten!$AE$4))</f>
        <v>1</v>
      </c>
      <c r="H440" s="480" t="s">
        <v>306</v>
      </c>
      <c r="I440" s="474" t="s">
        <v>68</v>
      </c>
      <c r="J440" s="474"/>
      <c r="K440" s="477" t="s">
        <v>628</v>
      </c>
      <c r="L440" s="484"/>
      <c r="M440" s="422">
        <v>7.5</v>
      </c>
      <c r="N440" s="422"/>
      <c r="O440" s="422"/>
      <c r="P440" s="422"/>
      <c r="Q440" s="422"/>
      <c r="R440" s="422"/>
      <c r="S440" s="422"/>
      <c r="T440" s="422"/>
      <c r="U440" s="422"/>
      <c r="V440" s="422"/>
      <c r="W440" s="422"/>
      <c r="X440" s="422"/>
      <c r="Y440" s="422"/>
      <c r="Z440" s="422"/>
    </row>
    <row r="441" spans="1:26" hidden="1" x14ac:dyDescent="0.35">
      <c r="A441" s="478">
        <v>45992</v>
      </c>
      <c r="B441" s="506">
        <v>15</v>
      </c>
      <c r="C441" s="479" t="s">
        <v>575</v>
      </c>
      <c r="D441" s="479" t="s">
        <v>576</v>
      </c>
      <c r="E441" s="479" t="s">
        <v>646</v>
      </c>
      <c r="F441" s="479" t="s">
        <v>561</v>
      </c>
      <c r="G441" s="475" t="b">
        <f>IF(A441="","",IF(Daten!$AE$4=0,TRUE,MONTH(A441)=Daten!$AE$4))</f>
        <v>1</v>
      </c>
      <c r="H441" s="480" t="s">
        <v>306</v>
      </c>
      <c r="I441" s="475" t="s">
        <v>68</v>
      </c>
      <c r="J441" s="475"/>
      <c r="K441" s="479" t="s">
        <v>628</v>
      </c>
      <c r="L441" s="485"/>
      <c r="M441" s="423">
        <v>15</v>
      </c>
      <c r="N441" s="423"/>
      <c r="O441" s="423"/>
      <c r="P441" s="423"/>
      <c r="Q441" s="423"/>
      <c r="R441" s="423"/>
      <c r="S441" s="423"/>
      <c r="T441" s="423"/>
      <c r="U441" s="423"/>
      <c r="V441" s="423"/>
      <c r="W441" s="423"/>
      <c r="X441" s="423"/>
      <c r="Y441" s="423"/>
      <c r="Z441" s="423"/>
    </row>
    <row r="442" spans="1:26" hidden="1" x14ac:dyDescent="0.35">
      <c r="A442" s="476">
        <v>45992</v>
      </c>
      <c r="B442" s="505">
        <v>15</v>
      </c>
      <c r="C442" s="477" t="s">
        <v>591</v>
      </c>
      <c r="D442" s="477" t="s">
        <v>592</v>
      </c>
      <c r="E442" s="477" t="s">
        <v>306</v>
      </c>
      <c r="F442" s="477" t="s">
        <v>590</v>
      </c>
      <c r="G442" s="474" t="b">
        <f>IF(A442="","",IF(Daten!$AE$4=0,TRUE,MONTH(A442)=Daten!$AE$4))</f>
        <v>1</v>
      </c>
      <c r="H442" s="480" t="s">
        <v>306</v>
      </c>
      <c r="I442" s="474" t="s">
        <v>68</v>
      </c>
      <c r="J442" s="474"/>
      <c r="K442" s="477" t="s">
        <v>628</v>
      </c>
      <c r="L442" s="484"/>
      <c r="M442" s="422">
        <v>15</v>
      </c>
      <c r="N442" s="422"/>
      <c r="O442" s="422"/>
      <c r="P442" s="422"/>
      <c r="Q442" s="422"/>
      <c r="R442" s="422"/>
      <c r="S442" s="422"/>
      <c r="T442" s="422"/>
      <c r="U442" s="422"/>
      <c r="V442" s="422"/>
      <c r="W442" s="422"/>
      <c r="X442" s="422"/>
      <c r="Y442" s="422"/>
      <c r="Z442" s="422"/>
    </row>
    <row r="443" spans="1:26" hidden="1" x14ac:dyDescent="0.35">
      <c r="A443" s="478">
        <v>45992</v>
      </c>
      <c r="B443" s="506">
        <v>15</v>
      </c>
      <c r="C443" s="479" t="s">
        <v>591</v>
      </c>
      <c r="D443" s="479" t="s">
        <v>592</v>
      </c>
      <c r="E443" s="479" t="s">
        <v>385</v>
      </c>
      <c r="F443" s="479" t="s">
        <v>590</v>
      </c>
      <c r="G443" s="475" t="b">
        <f>IF(A443="","",IF(Daten!$AE$4=0,TRUE,MONTH(A443)=Daten!$AE$4))</f>
        <v>1</v>
      </c>
      <c r="H443" s="480" t="s">
        <v>415</v>
      </c>
      <c r="I443" s="475" t="s">
        <v>68</v>
      </c>
      <c r="J443" s="475"/>
      <c r="K443" s="479" t="s">
        <v>628</v>
      </c>
      <c r="L443" s="485"/>
      <c r="M443" s="423"/>
      <c r="N443" s="423"/>
      <c r="O443" s="423"/>
      <c r="P443" s="423"/>
      <c r="Q443" s="423"/>
      <c r="R443" s="423"/>
      <c r="S443" s="423">
        <v>15</v>
      </c>
      <c r="T443" s="423"/>
      <c r="U443" s="423"/>
      <c r="V443" s="423"/>
      <c r="W443" s="423"/>
      <c r="X443" s="423"/>
      <c r="Y443" s="423"/>
      <c r="Z443" s="423"/>
    </row>
    <row r="444" spans="1:26" hidden="1" x14ac:dyDescent="0.35">
      <c r="A444" s="476">
        <v>45992</v>
      </c>
      <c r="B444" s="505">
        <v>15</v>
      </c>
      <c r="C444" s="477" t="s">
        <v>586</v>
      </c>
      <c r="D444" s="477" t="s">
        <v>587</v>
      </c>
      <c r="E444" s="477" t="s">
        <v>647</v>
      </c>
      <c r="F444" s="477" t="s">
        <v>561</v>
      </c>
      <c r="G444" s="474" t="b">
        <f>IF(A444="","",IF(Daten!$AE$4=0,TRUE,MONTH(A444)=Daten!$AE$4))</f>
        <v>1</v>
      </c>
      <c r="H444" s="480" t="s">
        <v>306</v>
      </c>
      <c r="I444" s="474" t="s">
        <v>68</v>
      </c>
      <c r="J444" s="474"/>
      <c r="K444" s="477" t="s">
        <v>628</v>
      </c>
      <c r="L444" s="484"/>
      <c r="M444" s="422">
        <v>15</v>
      </c>
      <c r="N444" s="422"/>
      <c r="O444" s="422"/>
      <c r="P444" s="422"/>
      <c r="Q444" s="422"/>
      <c r="R444" s="422"/>
      <c r="S444" s="422"/>
      <c r="T444" s="422"/>
      <c r="U444" s="422"/>
      <c r="V444" s="422"/>
      <c r="W444" s="422"/>
      <c r="X444" s="422"/>
      <c r="Y444" s="422"/>
      <c r="Z444" s="422"/>
    </row>
    <row r="445" spans="1:26" hidden="1" x14ac:dyDescent="0.35">
      <c r="A445" s="478">
        <v>45992</v>
      </c>
      <c r="B445" s="506">
        <v>7.5</v>
      </c>
      <c r="C445" s="479" t="s">
        <v>56</v>
      </c>
      <c r="D445" s="479" t="s">
        <v>593</v>
      </c>
      <c r="E445" s="479" t="s">
        <v>386</v>
      </c>
      <c r="F445" s="479" t="s">
        <v>561</v>
      </c>
      <c r="G445" s="475" t="b">
        <f>IF(A445="","",IF(Daten!$AE$4=0,TRUE,MONTH(A445)=Daten!$AE$4))</f>
        <v>1</v>
      </c>
      <c r="H445" s="480" t="s">
        <v>306</v>
      </c>
      <c r="I445" s="475" t="s">
        <v>68</v>
      </c>
      <c r="J445" s="475"/>
      <c r="K445" s="479" t="s">
        <v>628</v>
      </c>
      <c r="L445" s="485"/>
      <c r="M445" s="423">
        <v>7.5</v>
      </c>
      <c r="N445" s="423"/>
      <c r="O445" s="423"/>
      <c r="P445" s="423"/>
      <c r="Q445" s="423"/>
      <c r="R445" s="423"/>
      <c r="S445" s="423"/>
      <c r="T445" s="423"/>
      <c r="U445" s="423"/>
      <c r="V445" s="423"/>
      <c r="W445" s="423"/>
      <c r="X445" s="423"/>
      <c r="Y445" s="423"/>
      <c r="Z445" s="423"/>
    </row>
    <row r="446" spans="1:26" hidden="1" x14ac:dyDescent="0.35">
      <c r="A446" s="476">
        <v>45992</v>
      </c>
      <c r="B446" s="505">
        <v>15</v>
      </c>
      <c r="C446" s="477" t="s">
        <v>588</v>
      </c>
      <c r="D446" s="477" t="s">
        <v>589</v>
      </c>
      <c r="E446" s="477" t="s">
        <v>306</v>
      </c>
      <c r="F446" s="477" t="s">
        <v>561</v>
      </c>
      <c r="G446" s="474" t="b">
        <f>IF(A446="","",IF(Daten!$AE$4=0,TRUE,MONTH(A446)=Daten!$AE$4))</f>
        <v>1</v>
      </c>
      <c r="H446" s="480" t="s">
        <v>306</v>
      </c>
      <c r="I446" s="474" t="s">
        <v>68</v>
      </c>
      <c r="J446" s="474"/>
      <c r="K446" s="477" t="s">
        <v>628</v>
      </c>
      <c r="L446" s="484"/>
      <c r="M446" s="422">
        <v>15</v>
      </c>
      <c r="N446" s="422"/>
      <c r="O446" s="422"/>
      <c r="P446" s="422"/>
      <c r="Q446" s="422"/>
      <c r="R446" s="422"/>
      <c r="S446" s="422"/>
      <c r="T446" s="422"/>
      <c r="U446" s="422"/>
      <c r="V446" s="422"/>
      <c r="W446" s="422"/>
      <c r="X446" s="422"/>
      <c r="Y446" s="422"/>
      <c r="Z446" s="422"/>
    </row>
    <row r="447" spans="1:26" hidden="1" x14ac:dyDescent="0.35">
      <c r="A447" s="478">
        <v>45992</v>
      </c>
      <c r="B447" s="506">
        <v>15</v>
      </c>
      <c r="C447" s="479" t="s">
        <v>56</v>
      </c>
      <c r="D447" s="479" t="s">
        <v>593</v>
      </c>
      <c r="E447" s="479" t="s">
        <v>648</v>
      </c>
      <c r="F447" s="479" t="s">
        <v>561</v>
      </c>
      <c r="G447" s="475" t="b">
        <f>IF(A447="","",IF(Daten!$AE$4=0,TRUE,MONTH(A447)=Daten!$AE$4))</f>
        <v>1</v>
      </c>
      <c r="H447" s="480" t="s">
        <v>415</v>
      </c>
      <c r="I447" s="475" t="s">
        <v>68</v>
      </c>
      <c r="J447" s="475"/>
      <c r="K447" s="479" t="s">
        <v>628</v>
      </c>
      <c r="L447" s="485"/>
      <c r="M447" s="423"/>
      <c r="N447" s="423"/>
      <c r="O447" s="423"/>
      <c r="P447" s="423"/>
      <c r="Q447" s="423"/>
      <c r="R447" s="423"/>
      <c r="S447" s="423">
        <v>15</v>
      </c>
      <c r="T447" s="423"/>
      <c r="U447" s="423"/>
      <c r="V447" s="423"/>
      <c r="W447" s="423"/>
      <c r="X447" s="423"/>
      <c r="Y447" s="423"/>
      <c r="Z447" s="423"/>
    </row>
    <row r="448" spans="1:26" hidden="1" x14ac:dyDescent="0.35">
      <c r="A448" s="476">
        <v>45992</v>
      </c>
      <c r="B448" s="505">
        <v>120</v>
      </c>
      <c r="C448" s="477" t="s">
        <v>594</v>
      </c>
      <c r="D448" s="477" t="s">
        <v>595</v>
      </c>
      <c r="E448" s="477" t="s">
        <v>649</v>
      </c>
      <c r="F448" s="477" t="s">
        <v>561</v>
      </c>
      <c r="G448" s="474" t="b">
        <f>IF(A448="","",IF(Daten!$AE$4=0,TRUE,MONTH(A448)=Daten!$AE$4))</f>
        <v>1</v>
      </c>
      <c r="H448" s="480" t="s">
        <v>425</v>
      </c>
      <c r="I448" s="474" t="s">
        <v>68</v>
      </c>
      <c r="J448" s="474"/>
      <c r="K448" s="477" t="s">
        <v>628</v>
      </c>
      <c r="L448" s="484"/>
      <c r="M448" s="422"/>
      <c r="N448" s="422"/>
      <c r="O448" s="422"/>
      <c r="P448" s="422"/>
      <c r="Q448" s="422"/>
      <c r="R448" s="422"/>
      <c r="S448" s="422">
        <v>120</v>
      </c>
      <c r="T448" s="422"/>
      <c r="U448" s="422"/>
      <c r="V448" s="422"/>
      <c r="W448" s="422"/>
      <c r="X448" s="422"/>
      <c r="Y448" s="422"/>
      <c r="Z448" s="422"/>
    </row>
    <row r="449" spans="1:26" hidden="1" x14ac:dyDescent="0.35">
      <c r="A449" s="478">
        <v>45992</v>
      </c>
      <c r="B449" s="506">
        <v>15</v>
      </c>
      <c r="C449" s="479" t="s">
        <v>581</v>
      </c>
      <c r="D449" s="479" t="s">
        <v>582</v>
      </c>
      <c r="E449" s="479" t="s">
        <v>650</v>
      </c>
      <c r="F449" s="479" t="s">
        <v>561</v>
      </c>
      <c r="G449" s="475" t="b">
        <f>IF(A449="","",IF(Daten!$AE$4=0,TRUE,MONTH(A449)=Daten!$AE$4))</f>
        <v>1</v>
      </c>
      <c r="H449" s="480" t="s">
        <v>415</v>
      </c>
      <c r="I449" s="475" t="s">
        <v>68</v>
      </c>
      <c r="J449" s="475"/>
      <c r="K449" s="479" t="s">
        <v>628</v>
      </c>
      <c r="L449" s="485"/>
      <c r="M449" s="423"/>
      <c r="N449" s="423"/>
      <c r="O449" s="423"/>
      <c r="P449" s="423"/>
      <c r="Q449" s="423"/>
      <c r="R449" s="423"/>
      <c r="S449" s="423">
        <v>15</v>
      </c>
      <c r="T449" s="423"/>
      <c r="U449" s="423"/>
      <c r="V449" s="423"/>
      <c r="W449" s="423"/>
      <c r="X449" s="423"/>
      <c r="Y449" s="423"/>
      <c r="Z449" s="423"/>
    </row>
    <row r="450" spans="1:26" hidden="1" x14ac:dyDescent="0.35">
      <c r="A450" s="476">
        <v>45992</v>
      </c>
      <c r="B450" s="505">
        <v>15</v>
      </c>
      <c r="C450" s="477" t="s">
        <v>596</v>
      </c>
      <c r="D450" s="477" t="s">
        <v>597</v>
      </c>
      <c r="E450" s="477" t="s">
        <v>651</v>
      </c>
      <c r="F450" s="477" t="s">
        <v>561</v>
      </c>
      <c r="G450" s="474" t="b">
        <f>IF(A450="","",IF(Daten!$AE$4=0,TRUE,MONTH(A450)=Daten!$AE$4))</f>
        <v>1</v>
      </c>
      <c r="H450" s="480" t="s">
        <v>415</v>
      </c>
      <c r="I450" s="474" t="s">
        <v>68</v>
      </c>
      <c r="J450" s="474"/>
      <c r="K450" s="477" t="s">
        <v>628</v>
      </c>
      <c r="L450" s="484"/>
      <c r="M450" s="422"/>
      <c r="N450" s="422"/>
      <c r="O450" s="422"/>
      <c r="P450" s="422"/>
      <c r="Q450" s="422"/>
      <c r="R450" s="422"/>
      <c r="S450" s="422">
        <v>15</v>
      </c>
      <c r="T450" s="422"/>
      <c r="U450" s="422"/>
      <c r="V450" s="422"/>
      <c r="W450" s="422"/>
      <c r="X450" s="422"/>
      <c r="Y450" s="422"/>
      <c r="Z450" s="422"/>
    </row>
    <row r="451" spans="1:26" hidden="1" x14ac:dyDescent="0.35">
      <c r="A451" s="478">
        <v>45992</v>
      </c>
      <c r="B451" s="506">
        <v>15</v>
      </c>
      <c r="C451" s="479" t="s">
        <v>598</v>
      </c>
      <c r="D451" s="479" t="s">
        <v>599</v>
      </c>
      <c r="E451" s="479" t="s">
        <v>652</v>
      </c>
      <c r="F451" s="479" t="s">
        <v>561</v>
      </c>
      <c r="G451" s="475" t="b">
        <f>IF(A451="","",IF(Daten!$AE$4=0,TRUE,MONTH(A451)=Daten!$AE$4))</f>
        <v>1</v>
      </c>
      <c r="H451" s="480" t="s">
        <v>306</v>
      </c>
      <c r="I451" s="475" t="s">
        <v>68</v>
      </c>
      <c r="J451" s="475"/>
      <c r="K451" s="479" t="s">
        <v>628</v>
      </c>
      <c r="L451" s="485"/>
      <c r="M451" s="423">
        <v>15</v>
      </c>
      <c r="N451" s="423"/>
      <c r="O451" s="423"/>
      <c r="P451" s="423"/>
      <c r="Q451" s="423"/>
      <c r="R451" s="423"/>
      <c r="S451" s="423"/>
      <c r="T451" s="423"/>
      <c r="U451" s="423"/>
      <c r="V451" s="423"/>
      <c r="W451" s="423"/>
      <c r="X451" s="423"/>
      <c r="Y451" s="423"/>
      <c r="Z451" s="423"/>
    </row>
    <row r="452" spans="1:26" hidden="1" x14ac:dyDescent="0.35">
      <c r="A452" s="476">
        <v>45992</v>
      </c>
      <c r="B452" s="505">
        <v>15</v>
      </c>
      <c r="C452" s="477" t="s">
        <v>596</v>
      </c>
      <c r="D452" s="477" t="s">
        <v>597</v>
      </c>
      <c r="E452" s="477" t="s">
        <v>653</v>
      </c>
      <c r="F452" s="477" t="s">
        <v>561</v>
      </c>
      <c r="G452" s="474" t="b">
        <f>IF(A452="","",IF(Daten!$AE$4=0,TRUE,MONTH(A452)=Daten!$AE$4))</f>
        <v>1</v>
      </c>
      <c r="H452" s="480" t="s">
        <v>306</v>
      </c>
      <c r="I452" s="474" t="s">
        <v>68</v>
      </c>
      <c r="J452" s="474"/>
      <c r="K452" s="477" t="s">
        <v>628</v>
      </c>
      <c r="L452" s="484"/>
      <c r="M452" s="422">
        <v>15</v>
      </c>
      <c r="N452" s="422"/>
      <c r="O452" s="422"/>
      <c r="P452" s="422"/>
      <c r="Q452" s="422"/>
      <c r="R452" s="422"/>
      <c r="S452" s="422"/>
      <c r="T452" s="422"/>
      <c r="U452" s="422"/>
      <c r="V452" s="422"/>
      <c r="W452" s="422"/>
      <c r="X452" s="422"/>
      <c r="Y452" s="422"/>
      <c r="Z452" s="422"/>
    </row>
    <row r="453" spans="1:26" hidden="1" x14ac:dyDescent="0.35">
      <c r="A453" s="478">
        <v>45992</v>
      </c>
      <c r="B453" s="506">
        <v>-4.3</v>
      </c>
      <c r="C453" s="479"/>
      <c r="D453" s="479">
        <v>0</v>
      </c>
      <c r="E453" s="479" t="s">
        <v>654</v>
      </c>
      <c r="F453" s="479" t="s">
        <v>381</v>
      </c>
      <c r="G453" s="475" t="b">
        <f>IF(A453="","",IF(Daten!$AE$4=0,TRUE,MONTH(A453)=Daten!$AE$4))</f>
        <v>1</v>
      </c>
      <c r="H453" s="480" t="s">
        <v>452</v>
      </c>
      <c r="I453" s="475" t="s">
        <v>68</v>
      </c>
      <c r="J453" s="475"/>
      <c r="K453" s="479" t="s">
        <v>628</v>
      </c>
      <c r="L453" s="485"/>
      <c r="M453" s="423"/>
      <c r="N453" s="423"/>
      <c r="O453" s="423"/>
      <c r="P453" s="423"/>
      <c r="Q453" s="423"/>
      <c r="R453" s="423"/>
      <c r="S453" s="423"/>
      <c r="T453" s="423"/>
      <c r="U453" s="423"/>
      <c r="V453" s="423"/>
      <c r="W453" s="423"/>
      <c r="X453" s="423"/>
      <c r="Y453" s="423">
        <v>-4.3</v>
      </c>
      <c r="Z453" s="423"/>
    </row>
    <row r="454" spans="1:26" hidden="1" x14ac:dyDescent="0.35">
      <c r="A454" s="476">
        <v>45993</v>
      </c>
      <c r="B454" s="505">
        <v>60</v>
      </c>
      <c r="C454" s="477" t="s">
        <v>573</v>
      </c>
      <c r="D454" s="477" t="s">
        <v>574</v>
      </c>
      <c r="E454" s="477" t="s">
        <v>639</v>
      </c>
      <c r="F454" s="477" t="s">
        <v>561</v>
      </c>
      <c r="G454" s="474" t="b">
        <f>IF(A454="","",IF(Daten!$AE$4=0,TRUE,MONTH(A454)=Daten!$AE$4))</f>
        <v>1</v>
      </c>
      <c r="H454" s="480" t="s">
        <v>425</v>
      </c>
      <c r="I454" s="474" t="s">
        <v>68</v>
      </c>
      <c r="J454" s="474"/>
      <c r="K454" s="477" t="s">
        <v>628</v>
      </c>
      <c r="L454" s="484"/>
      <c r="M454" s="422"/>
      <c r="N454" s="422"/>
      <c r="O454" s="422"/>
      <c r="P454" s="422"/>
      <c r="Q454" s="422"/>
      <c r="R454" s="422"/>
      <c r="S454" s="422">
        <v>60</v>
      </c>
      <c r="T454" s="422"/>
      <c r="U454" s="422"/>
      <c r="V454" s="422"/>
      <c r="W454" s="422"/>
      <c r="X454" s="422"/>
      <c r="Y454" s="422"/>
      <c r="Z454" s="422"/>
    </row>
    <row r="455" spans="1:26" hidden="1" x14ac:dyDescent="0.35">
      <c r="A455" s="478">
        <v>45993</v>
      </c>
      <c r="B455" s="506">
        <v>15</v>
      </c>
      <c r="C455" s="479" t="s">
        <v>583</v>
      </c>
      <c r="D455" s="479" t="s">
        <v>584</v>
      </c>
      <c r="E455" s="479" t="s">
        <v>640</v>
      </c>
      <c r="F455" s="479" t="s">
        <v>561</v>
      </c>
      <c r="G455" s="475" t="b">
        <f>IF(A455="","",IF(Daten!$AE$4=0,TRUE,MONTH(A455)=Daten!$AE$4))</f>
        <v>1</v>
      </c>
      <c r="H455" s="480" t="s">
        <v>415</v>
      </c>
      <c r="I455" s="475" t="s">
        <v>68</v>
      </c>
      <c r="J455" s="475"/>
      <c r="K455" s="479" t="s">
        <v>628</v>
      </c>
      <c r="L455" s="485"/>
      <c r="M455" s="423"/>
      <c r="N455" s="423"/>
      <c r="O455" s="423"/>
      <c r="P455" s="423"/>
      <c r="Q455" s="423"/>
      <c r="R455" s="423"/>
      <c r="S455" s="423">
        <v>15</v>
      </c>
      <c r="T455" s="423"/>
      <c r="U455" s="423"/>
      <c r="V455" s="423"/>
      <c r="W455" s="423"/>
      <c r="X455" s="423"/>
      <c r="Y455" s="423"/>
      <c r="Z455" s="423"/>
    </row>
    <row r="456" spans="1:26" hidden="1" x14ac:dyDescent="0.35">
      <c r="A456" s="476">
        <v>45993</v>
      </c>
      <c r="B456" s="505">
        <v>15</v>
      </c>
      <c r="C456" s="477" t="s">
        <v>573</v>
      </c>
      <c r="D456" s="477" t="s">
        <v>574</v>
      </c>
      <c r="E456" s="477" t="s">
        <v>641</v>
      </c>
      <c r="F456" s="477" t="s">
        <v>561</v>
      </c>
      <c r="G456" s="474" t="b">
        <f>IF(A456="","",IF(Daten!$AE$4=0,TRUE,MONTH(A456)=Daten!$AE$4))</f>
        <v>1</v>
      </c>
      <c r="H456" s="480" t="s">
        <v>415</v>
      </c>
      <c r="I456" s="474" t="s">
        <v>68</v>
      </c>
      <c r="J456" s="474"/>
      <c r="K456" s="477" t="s">
        <v>628</v>
      </c>
      <c r="L456" s="484"/>
      <c r="M456" s="422"/>
      <c r="N456" s="422"/>
      <c r="O456" s="422"/>
      <c r="P456" s="422"/>
      <c r="Q456" s="422"/>
      <c r="R456" s="422"/>
      <c r="S456" s="422">
        <v>15</v>
      </c>
      <c r="T456" s="422"/>
      <c r="U456" s="422"/>
      <c r="V456" s="422"/>
      <c r="W456" s="422"/>
      <c r="X456" s="422"/>
      <c r="Y456" s="422"/>
      <c r="Z456" s="422"/>
    </row>
    <row r="457" spans="1:26" hidden="1" x14ac:dyDescent="0.35">
      <c r="A457" s="478">
        <v>45993</v>
      </c>
      <c r="B457" s="506">
        <v>7.5</v>
      </c>
      <c r="C457" s="479" t="s">
        <v>583</v>
      </c>
      <c r="D457" s="479" t="s">
        <v>584</v>
      </c>
      <c r="E457" s="479" t="s">
        <v>642</v>
      </c>
      <c r="F457" s="479" t="s">
        <v>561</v>
      </c>
      <c r="G457" s="475" t="b">
        <f>IF(A457="","",IF(Daten!$AE$4=0,TRUE,MONTH(A457)=Daten!$AE$4))</f>
        <v>1</v>
      </c>
      <c r="H457" s="480" t="s">
        <v>306</v>
      </c>
      <c r="I457" s="475" t="s">
        <v>68</v>
      </c>
      <c r="J457" s="475"/>
      <c r="K457" s="479" t="s">
        <v>628</v>
      </c>
      <c r="L457" s="485"/>
      <c r="M457" s="423">
        <v>7.5</v>
      </c>
      <c r="N457" s="423"/>
      <c r="O457" s="423"/>
      <c r="P457" s="423"/>
      <c r="Q457" s="423"/>
      <c r="R457" s="423"/>
      <c r="S457" s="423"/>
      <c r="T457" s="423"/>
      <c r="U457" s="423"/>
      <c r="V457" s="423"/>
      <c r="W457" s="423"/>
      <c r="X457" s="423"/>
      <c r="Y457" s="423"/>
      <c r="Z457" s="423"/>
    </row>
    <row r="458" spans="1:26" hidden="1" x14ac:dyDescent="0.35">
      <c r="A458" s="476">
        <v>45993</v>
      </c>
      <c r="B458" s="505">
        <v>15</v>
      </c>
      <c r="C458" s="477" t="s">
        <v>51</v>
      </c>
      <c r="D458" s="477" t="s">
        <v>580</v>
      </c>
      <c r="E458" s="477" t="s">
        <v>384</v>
      </c>
      <c r="F458" s="477" t="s">
        <v>561</v>
      </c>
      <c r="G458" s="474" t="b">
        <f>IF(A458="","",IF(Daten!$AE$4=0,TRUE,MONTH(A458)=Daten!$AE$4))</f>
        <v>1</v>
      </c>
      <c r="H458" s="480" t="s">
        <v>415</v>
      </c>
      <c r="I458" s="474" t="s">
        <v>68</v>
      </c>
      <c r="J458" s="474"/>
      <c r="K458" s="477" t="s">
        <v>628</v>
      </c>
      <c r="L458" s="484"/>
      <c r="M458" s="422"/>
      <c r="N458" s="422"/>
      <c r="O458" s="422"/>
      <c r="P458" s="422"/>
      <c r="Q458" s="422"/>
      <c r="R458" s="422"/>
      <c r="S458" s="422">
        <v>15</v>
      </c>
      <c r="T458" s="422"/>
      <c r="U458" s="422"/>
      <c r="V458" s="422"/>
      <c r="W458" s="422"/>
      <c r="X458" s="422"/>
      <c r="Y458" s="422"/>
      <c r="Z458" s="422"/>
    </row>
    <row r="459" spans="1:26" hidden="1" x14ac:dyDescent="0.35">
      <c r="A459" s="478">
        <v>45993</v>
      </c>
      <c r="B459" s="506">
        <v>7.5</v>
      </c>
      <c r="C459" s="479" t="s">
        <v>66</v>
      </c>
      <c r="D459" s="479" t="s">
        <v>585</v>
      </c>
      <c r="E459" s="479" t="s">
        <v>643</v>
      </c>
      <c r="F459" s="479" t="s">
        <v>561</v>
      </c>
      <c r="G459" s="475" t="b">
        <f>IF(A459="","",IF(Daten!$AE$4=0,TRUE,MONTH(A459)=Daten!$AE$4))</f>
        <v>1</v>
      </c>
      <c r="H459" s="480" t="s">
        <v>306</v>
      </c>
      <c r="I459" s="475" t="s">
        <v>68</v>
      </c>
      <c r="J459" s="475"/>
      <c r="K459" s="479" t="s">
        <v>628</v>
      </c>
      <c r="L459" s="485"/>
      <c r="M459" s="423">
        <v>7.5</v>
      </c>
      <c r="N459" s="423"/>
      <c r="O459" s="423"/>
      <c r="P459" s="423"/>
      <c r="Q459" s="423"/>
      <c r="R459" s="423"/>
      <c r="S459" s="423"/>
      <c r="T459" s="423"/>
      <c r="U459" s="423"/>
      <c r="V459" s="423"/>
      <c r="W459" s="423"/>
      <c r="X459" s="423"/>
      <c r="Y459" s="423"/>
      <c r="Z459" s="423"/>
    </row>
    <row r="460" spans="1:26" hidden="1" x14ac:dyDescent="0.35">
      <c r="A460" s="476">
        <v>45993</v>
      </c>
      <c r="B460" s="505">
        <v>15</v>
      </c>
      <c r="C460" s="477" t="s">
        <v>66</v>
      </c>
      <c r="D460" s="477" t="s">
        <v>585</v>
      </c>
      <c r="E460" s="477" t="s">
        <v>644</v>
      </c>
      <c r="F460" s="477" t="s">
        <v>561</v>
      </c>
      <c r="G460" s="474" t="b">
        <f>IF(A460="","",IF(Daten!$AE$4=0,TRUE,MONTH(A460)=Daten!$AE$4))</f>
        <v>1</v>
      </c>
      <c r="H460" s="480" t="s">
        <v>415</v>
      </c>
      <c r="I460" s="474" t="s">
        <v>68</v>
      </c>
      <c r="J460" s="474"/>
      <c r="K460" s="477" t="s">
        <v>628</v>
      </c>
      <c r="L460" s="484"/>
      <c r="M460" s="422"/>
      <c r="N460" s="422"/>
      <c r="O460" s="422"/>
      <c r="P460" s="422"/>
      <c r="Q460" s="422"/>
      <c r="R460" s="422"/>
      <c r="S460" s="422">
        <v>15</v>
      </c>
      <c r="T460" s="422"/>
      <c r="U460" s="422"/>
      <c r="V460" s="422"/>
      <c r="W460" s="422"/>
      <c r="X460" s="422"/>
      <c r="Y460" s="422"/>
      <c r="Z460" s="422"/>
    </row>
    <row r="461" spans="1:26" hidden="1" x14ac:dyDescent="0.35">
      <c r="A461" s="478">
        <v>45993</v>
      </c>
      <c r="B461" s="506">
        <v>15</v>
      </c>
      <c r="C461" s="479" t="s">
        <v>586</v>
      </c>
      <c r="D461" s="479" t="s">
        <v>587</v>
      </c>
      <c r="E461" s="479" t="s">
        <v>645</v>
      </c>
      <c r="F461" s="479" t="s">
        <v>561</v>
      </c>
      <c r="G461" s="475" t="b">
        <f>IF(A461="","",IF(Daten!$AE$4=0,TRUE,MONTH(A461)=Daten!$AE$4))</f>
        <v>1</v>
      </c>
      <c r="H461" s="480" t="s">
        <v>415</v>
      </c>
      <c r="I461" s="475" t="s">
        <v>68</v>
      </c>
      <c r="J461" s="475"/>
      <c r="K461" s="479" t="s">
        <v>628</v>
      </c>
      <c r="L461" s="485"/>
      <c r="M461" s="423"/>
      <c r="N461" s="423"/>
      <c r="O461" s="423"/>
      <c r="P461" s="423"/>
      <c r="Q461" s="423"/>
      <c r="R461" s="423"/>
      <c r="S461" s="423">
        <v>15</v>
      </c>
      <c r="T461" s="423"/>
      <c r="U461" s="423"/>
      <c r="V461" s="423"/>
      <c r="W461" s="423"/>
      <c r="X461" s="423"/>
      <c r="Y461" s="423"/>
      <c r="Z461" s="423"/>
    </row>
    <row r="462" spans="1:26" hidden="1" x14ac:dyDescent="0.35">
      <c r="A462" s="476">
        <v>45993</v>
      </c>
      <c r="B462" s="505">
        <v>15</v>
      </c>
      <c r="C462" s="477" t="s">
        <v>588</v>
      </c>
      <c r="D462" s="477" t="s">
        <v>589</v>
      </c>
      <c r="E462" s="477" t="s">
        <v>385</v>
      </c>
      <c r="F462" s="477" t="s">
        <v>561</v>
      </c>
      <c r="G462" s="474" t="b">
        <f>IF(A462="","",IF(Daten!$AE$4=0,TRUE,MONTH(A462)=Daten!$AE$4))</f>
        <v>1</v>
      </c>
      <c r="H462" s="480" t="s">
        <v>415</v>
      </c>
      <c r="I462" s="474" t="s">
        <v>68</v>
      </c>
      <c r="J462" s="474"/>
      <c r="K462" s="477" t="s">
        <v>628</v>
      </c>
      <c r="L462" s="484"/>
      <c r="M462" s="422"/>
      <c r="N462" s="422"/>
      <c r="O462" s="422"/>
      <c r="P462" s="422"/>
      <c r="Q462" s="422"/>
      <c r="R462" s="422"/>
      <c r="S462" s="422">
        <v>15</v>
      </c>
      <c r="T462" s="422"/>
      <c r="U462" s="422"/>
      <c r="V462" s="422"/>
      <c r="W462" s="422"/>
      <c r="X462" s="422"/>
      <c r="Y462" s="422"/>
      <c r="Z462" s="422"/>
    </row>
    <row r="463" spans="1:26" hidden="1" x14ac:dyDescent="0.35">
      <c r="A463" s="478">
        <v>45994</v>
      </c>
      <c r="B463" s="506">
        <v>7.5</v>
      </c>
      <c r="C463" s="479" t="s">
        <v>51</v>
      </c>
      <c r="D463" s="479" t="s">
        <v>580</v>
      </c>
      <c r="E463" s="479" t="s">
        <v>637</v>
      </c>
      <c r="F463" s="479" t="s">
        <v>561</v>
      </c>
      <c r="G463" s="475" t="b">
        <f>IF(A463="","",IF(Daten!$AE$4=0,TRUE,MONTH(A463)=Daten!$AE$4))</f>
        <v>1</v>
      </c>
      <c r="H463" s="480" t="s">
        <v>306</v>
      </c>
      <c r="I463" s="475" t="s">
        <v>68</v>
      </c>
      <c r="J463" s="475"/>
      <c r="K463" s="479" t="s">
        <v>628</v>
      </c>
      <c r="L463" s="485"/>
      <c r="M463" s="423">
        <v>7.5</v>
      </c>
      <c r="N463" s="423"/>
      <c r="O463" s="423"/>
      <c r="P463" s="423"/>
      <c r="Q463" s="423"/>
      <c r="R463" s="423"/>
      <c r="S463" s="423"/>
      <c r="T463" s="423"/>
      <c r="U463" s="423"/>
      <c r="V463" s="423"/>
      <c r="W463" s="423"/>
      <c r="X463" s="423"/>
      <c r="Y463" s="423"/>
      <c r="Z463" s="423"/>
    </row>
    <row r="464" spans="1:26" hidden="1" x14ac:dyDescent="0.35">
      <c r="A464" s="476">
        <v>45994</v>
      </c>
      <c r="B464" s="505">
        <v>15</v>
      </c>
      <c r="C464" s="477" t="s">
        <v>581</v>
      </c>
      <c r="D464" s="477" t="s">
        <v>582</v>
      </c>
      <c r="E464" s="477" t="s">
        <v>638</v>
      </c>
      <c r="F464" s="477" t="s">
        <v>561</v>
      </c>
      <c r="G464" s="474" t="b">
        <f>IF(A464="","",IF(Daten!$AE$4=0,TRUE,MONTH(A464)=Daten!$AE$4))</f>
        <v>1</v>
      </c>
      <c r="H464" s="480" t="s">
        <v>306</v>
      </c>
      <c r="I464" s="474" t="s">
        <v>68</v>
      </c>
      <c r="J464" s="474"/>
      <c r="K464" s="477" t="s">
        <v>628</v>
      </c>
      <c r="L464" s="484"/>
      <c r="M464" s="422">
        <v>15</v>
      </c>
      <c r="N464" s="422"/>
      <c r="O464" s="422"/>
      <c r="P464" s="422"/>
      <c r="Q464" s="422"/>
      <c r="R464" s="422"/>
      <c r="S464" s="422"/>
      <c r="T464" s="422"/>
      <c r="U464" s="422"/>
      <c r="V464" s="422"/>
      <c r="W464" s="422"/>
      <c r="X464" s="422"/>
      <c r="Y464" s="422"/>
      <c r="Z464" s="422"/>
    </row>
    <row r="465" spans="1:26" hidden="1" x14ac:dyDescent="0.35">
      <c r="A465" s="478">
        <v>45996</v>
      </c>
      <c r="B465" s="506">
        <v>15</v>
      </c>
      <c r="C465" s="479" t="s">
        <v>575</v>
      </c>
      <c r="D465" s="479" t="s">
        <v>576</v>
      </c>
      <c r="E465" s="479" t="s">
        <v>633</v>
      </c>
      <c r="F465" s="479" t="s">
        <v>561</v>
      </c>
      <c r="G465" s="475" t="b">
        <f>IF(A465="","",IF(Daten!$AE$4=0,TRUE,MONTH(A465)=Daten!$AE$4))</f>
        <v>1</v>
      </c>
      <c r="H465" s="480" t="s">
        <v>415</v>
      </c>
      <c r="I465" s="475" t="s">
        <v>68</v>
      </c>
      <c r="J465" s="475"/>
      <c r="K465" s="479" t="s">
        <v>628</v>
      </c>
      <c r="L465" s="485"/>
      <c r="M465" s="423"/>
      <c r="N465" s="423"/>
      <c r="O465" s="423"/>
      <c r="P465" s="423"/>
      <c r="Q465" s="423"/>
      <c r="R465" s="423"/>
      <c r="S465" s="423">
        <v>15</v>
      </c>
      <c r="T465" s="423"/>
      <c r="U465" s="423"/>
      <c r="V465" s="423"/>
      <c r="W465" s="423"/>
      <c r="X465" s="423"/>
      <c r="Y465" s="423"/>
      <c r="Z465" s="423"/>
    </row>
    <row r="466" spans="1:26" hidden="1" x14ac:dyDescent="0.35">
      <c r="A466" s="476">
        <v>45996</v>
      </c>
      <c r="B466" s="505">
        <v>-506.41</v>
      </c>
      <c r="C466" s="477" t="s">
        <v>634</v>
      </c>
      <c r="D466" s="477" t="s">
        <v>577</v>
      </c>
      <c r="E466" s="477" t="s">
        <v>635</v>
      </c>
      <c r="F466" s="477" t="s">
        <v>567</v>
      </c>
      <c r="G466" s="474" t="b">
        <f>IF(A466="","",IF(Daten!$AE$4=0,TRUE,MONTH(A466)=Daten!$AE$4))</f>
        <v>1</v>
      </c>
      <c r="H466" s="480" t="s">
        <v>445</v>
      </c>
      <c r="I466" s="474" t="s">
        <v>803</v>
      </c>
      <c r="J466" s="474"/>
      <c r="K466" s="477" t="s">
        <v>628</v>
      </c>
      <c r="L466" s="484"/>
      <c r="M466" s="422"/>
      <c r="N466" s="422"/>
      <c r="O466" s="422"/>
      <c r="P466" s="422"/>
      <c r="Q466" s="422"/>
      <c r="R466" s="422"/>
      <c r="S466" s="422"/>
      <c r="T466" s="422">
        <v>-506.41</v>
      </c>
      <c r="U466" s="422"/>
      <c r="V466" s="422"/>
      <c r="W466" s="422"/>
      <c r="X466" s="422"/>
      <c r="Y466" s="422"/>
      <c r="Z466" s="422"/>
    </row>
    <row r="467" spans="1:26" hidden="1" x14ac:dyDescent="0.35">
      <c r="A467" s="478">
        <v>45996</v>
      </c>
      <c r="B467" s="506">
        <v>-477</v>
      </c>
      <c r="C467" s="479" t="s">
        <v>578</v>
      </c>
      <c r="D467" s="479" t="s">
        <v>579</v>
      </c>
      <c r="E467" s="479" t="s">
        <v>636</v>
      </c>
      <c r="F467" s="479" t="s">
        <v>567</v>
      </c>
      <c r="G467" s="475" t="b">
        <f>IF(A467="","",IF(Daten!$AE$4=0,TRUE,MONTH(A467)=Daten!$AE$4))</f>
        <v>1</v>
      </c>
      <c r="H467" s="480" t="s">
        <v>451</v>
      </c>
      <c r="I467" s="475" t="s">
        <v>68</v>
      </c>
      <c r="J467" s="475"/>
      <c r="K467" s="479" t="s">
        <v>628</v>
      </c>
      <c r="L467" s="485"/>
      <c r="M467" s="423"/>
      <c r="N467" s="423"/>
      <c r="O467" s="423"/>
      <c r="P467" s="423"/>
      <c r="Q467" s="423"/>
      <c r="R467" s="423"/>
      <c r="S467" s="423"/>
      <c r="T467" s="423">
        <v>-477</v>
      </c>
      <c r="U467" s="423"/>
      <c r="V467" s="423"/>
      <c r="W467" s="423"/>
      <c r="X467" s="423"/>
      <c r="Y467" s="423"/>
      <c r="Z467" s="423"/>
    </row>
    <row r="468" spans="1:26" hidden="1" x14ac:dyDescent="0.35">
      <c r="A468" s="476">
        <v>46002</v>
      </c>
      <c r="B468" s="505">
        <v>270.52999999999997</v>
      </c>
      <c r="C468" s="477" t="s">
        <v>573</v>
      </c>
      <c r="D468" s="477" t="s">
        <v>574</v>
      </c>
      <c r="E468" s="477" t="s">
        <v>632</v>
      </c>
      <c r="F468" s="477" t="s">
        <v>572</v>
      </c>
      <c r="G468" s="474" t="b">
        <f>IF(A468="","",IF(Daten!$AE$4=0,TRUE,MONTH(A468)=Daten!$AE$4))</f>
        <v>1</v>
      </c>
      <c r="H468" s="480" t="s">
        <v>299</v>
      </c>
      <c r="I468" s="474" t="s">
        <v>799</v>
      </c>
      <c r="J468" s="474"/>
      <c r="K468" s="477" t="s">
        <v>628</v>
      </c>
      <c r="L468" s="484"/>
      <c r="M468" s="422"/>
      <c r="N468" s="422"/>
      <c r="O468" s="422"/>
      <c r="P468" s="422"/>
      <c r="Q468" s="422"/>
      <c r="R468" s="422"/>
      <c r="S468" s="422">
        <v>270.52999999999997</v>
      </c>
      <c r="T468" s="422"/>
      <c r="U468" s="422"/>
      <c r="V468" s="422"/>
      <c r="W468" s="422"/>
      <c r="X468" s="422"/>
      <c r="Y468" s="422"/>
      <c r="Z468" s="422"/>
    </row>
    <row r="469" spans="1:26" hidden="1" x14ac:dyDescent="0.35">
      <c r="A469" s="478">
        <v>46003</v>
      </c>
      <c r="B469" s="506">
        <v>-59.94</v>
      </c>
      <c r="C469" s="479" t="s">
        <v>570</v>
      </c>
      <c r="D469" s="479" t="s">
        <v>571</v>
      </c>
      <c r="E469" s="479" t="s">
        <v>631</v>
      </c>
      <c r="F469" s="479" t="s">
        <v>567</v>
      </c>
      <c r="G469" s="475" t="b">
        <f>IF(A469="","",IF(Daten!$AE$4=0,TRUE,MONTH(A469)=Daten!$AE$4))</f>
        <v>1</v>
      </c>
      <c r="H469" s="480" t="s">
        <v>389</v>
      </c>
      <c r="I469" s="475" t="s">
        <v>68</v>
      </c>
      <c r="J469" s="475"/>
      <c r="K469" s="479" t="s">
        <v>628</v>
      </c>
      <c r="L469" s="485"/>
      <c r="M469" s="423"/>
      <c r="N469" s="423"/>
      <c r="O469" s="423"/>
      <c r="P469" s="423"/>
      <c r="Q469" s="423"/>
      <c r="R469" s="423"/>
      <c r="S469" s="423"/>
      <c r="T469" s="423">
        <v>-59.94</v>
      </c>
      <c r="U469" s="423"/>
      <c r="V469" s="423"/>
      <c r="W469" s="423"/>
      <c r="X469" s="423"/>
      <c r="Y469" s="423"/>
      <c r="Z469" s="423"/>
    </row>
    <row r="470" spans="1:26" hidden="1" x14ac:dyDescent="0.35">
      <c r="A470" s="476">
        <v>46006</v>
      </c>
      <c r="B470" s="505">
        <v>-176.42</v>
      </c>
      <c r="C470" s="477" t="s">
        <v>565</v>
      </c>
      <c r="D470" s="477" t="s">
        <v>566</v>
      </c>
      <c r="E470" s="477" t="s">
        <v>629</v>
      </c>
      <c r="F470" s="477" t="s">
        <v>564</v>
      </c>
      <c r="G470" s="474" t="b">
        <f>IF(A470="","",IF(Daten!$AE$4=0,TRUE,MONTH(A470)=Daten!$AE$4))</f>
        <v>1</v>
      </c>
      <c r="H470" s="480" t="s">
        <v>436</v>
      </c>
      <c r="I470" s="474" t="s">
        <v>799</v>
      </c>
      <c r="J470" s="474"/>
      <c r="K470" s="477" t="s">
        <v>628</v>
      </c>
      <c r="L470" s="484"/>
      <c r="M470" s="422"/>
      <c r="N470" s="422"/>
      <c r="O470" s="422"/>
      <c r="P470" s="422"/>
      <c r="Q470" s="422"/>
      <c r="R470" s="422"/>
      <c r="S470" s="422"/>
      <c r="T470" s="422">
        <v>-176.42</v>
      </c>
      <c r="U470" s="422"/>
      <c r="V470" s="422"/>
      <c r="W470" s="422"/>
      <c r="X470" s="422"/>
      <c r="Y470" s="422"/>
      <c r="Z470" s="422"/>
    </row>
    <row r="471" spans="1:26" hidden="1" x14ac:dyDescent="0.35">
      <c r="A471" s="478">
        <v>46006</v>
      </c>
      <c r="B471" s="506">
        <v>-138</v>
      </c>
      <c r="C471" s="479" t="s">
        <v>568</v>
      </c>
      <c r="D471" s="479" t="s">
        <v>569</v>
      </c>
      <c r="E471" s="479" t="s">
        <v>630</v>
      </c>
      <c r="F471" s="479" t="s">
        <v>567</v>
      </c>
      <c r="G471" s="475" t="b">
        <f>IF(A471="","",IF(Daten!$AE$4=0,TRUE,MONTH(A471)=Daten!$AE$4))</f>
        <v>1</v>
      </c>
      <c r="H471" s="480" t="s">
        <v>459</v>
      </c>
      <c r="I471" s="475" t="s">
        <v>68</v>
      </c>
      <c r="J471" s="475"/>
      <c r="K471" s="479" t="s">
        <v>628</v>
      </c>
      <c r="L471" s="485"/>
      <c r="M471" s="423"/>
      <c r="N471" s="423"/>
      <c r="O471" s="423"/>
      <c r="P471" s="423"/>
      <c r="Q471" s="423"/>
      <c r="R471" s="423"/>
      <c r="S471" s="423"/>
      <c r="T471" s="423">
        <v>-138</v>
      </c>
      <c r="U471" s="423"/>
      <c r="V471" s="423"/>
      <c r="W471" s="423"/>
      <c r="X471" s="423"/>
      <c r="Y471" s="423"/>
      <c r="Z471" s="423"/>
    </row>
    <row r="472" spans="1:26" hidden="1" x14ac:dyDescent="0.35">
      <c r="A472" s="476">
        <v>46009</v>
      </c>
      <c r="B472" s="505">
        <v>15</v>
      </c>
      <c r="C472" s="477" t="s">
        <v>562</v>
      </c>
      <c r="D472" s="477" t="s">
        <v>563</v>
      </c>
      <c r="E472" s="477" t="s">
        <v>627</v>
      </c>
      <c r="F472" s="477" t="s">
        <v>561</v>
      </c>
      <c r="G472" s="474" t="b">
        <f>IF(A472="","",IF(Daten!$AE$4=0,TRUE,MONTH(A472)=Daten!$AE$4))</f>
        <v>1</v>
      </c>
      <c r="H472" s="480" t="s">
        <v>415</v>
      </c>
      <c r="I472" s="474" t="s">
        <v>68</v>
      </c>
      <c r="J472" s="474"/>
      <c r="K472" s="477" t="s">
        <v>628</v>
      </c>
      <c r="L472" s="484"/>
      <c r="M472" s="422"/>
      <c r="N472" s="422"/>
      <c r="O472" s="422"/>
      <c r="P472" s="422"/>
      <c r="Q472" s="422"/>
      <c r="R472" s="422"/>
      <c r="S472" s="422">
        <v>15</v>
      </c>
      <c r="T472" s="422"/>
      <c r="U472" s="422"/>
      <c r="V472" s="422"/>
      <c r="W472" s="422"/>
      <c r="X472" s="422"/>
      <c r="Y472" s="422"/>
      <c r="Z472" s="422"/>
    </row>
  </sheetData>
  <sheetProtection selectLockedCells="1"/>
  <autoFilter ref="A27:Z472" xr:uid="{2989E6A1-D645-4B25-8A09-02B4C7F71BF5}">
    <filterColumn colId="7">
      <filters>
        <filter val="Bitte Auswahl treffen!"/>
      </filters>
    </filterColumn>
  </autoFilter>
  <sortState xmlns:xlrd2="http://schemas.microsoft.com/office/spreadsheetml/2017/richdata2" ref="A28:Z472">
    <sortCondition ref="A28:A472"/>
  </sortState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7</xdr:col>
                <xdr:colOff>0</xdr:colOff>
                <xdr:row>16</xdr:row>
                <xdr:rowOff>152400</xdr:rowOff>
              </from>
              <to>
                <xdr:col>7</xdr:col>
                <xdr:colOff>1543050</xdr:colOff>
                <xdr:row>18</xdr:row>
                <xdr:rowOff>88900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62" r:id="rId6" name="lst_ImportReport">
          <controlPr defaultSize="0" autoLine="0" autoPict="0" r:id="rId7">
            <anchor>
              <from>
                <xdr:col>5</xdr:col>
                <xdr:colOff>1492250</xdr:colOff>
                <xdr:row>8</xdr:row>
                <xdr:rowOff>44450</xdr:rowOff>
              </from>
              <to>
                <xdr:col>6</xdr:col>
                <xdr:colOff>1384300</xdr:colOff>
                <xdr:row>14</xdr:row>
                <xdr:rowOff>114300</xdr:rowOff>
              </to>
            </anchor>
          </controlPr>
        </control>
      </mc:Choice>
      <mc:Fallback>
        <control shapeId="19462" r:id="rId6" name="lst_ImportReport"/>
      </mc:Fallback>
    </mc:AlternateContent>
    <mc:AlternateContent xmlns:mc="http://schemas.openxmlformats.org/markup-compatibility/2006">
      <mc:Choice Requires="x14">
        <control shapeId="19457" r:id="rId8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13</xdr:row>
                <xdr:rowOff>120650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9" name="Group Box 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10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8</xdr:row>
                <xdr:rowOff>12700</xdr:rowOff>
              </from>
              <to>
                <xdr:col>5</xdr:col>
                <xdr:colOff>1409700</xdr:colOff>
                <xdr:row>10</xdr:row>
                <xdr:rowOff>31750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9">
        <x14:dataValidation type="list" errorStyle="warning" allowBlank="1" showInputMessage="1" xr:uid="{2A1B3DC4-183A-4709-9C5E-DA240980CF4E}">
          <x14:formula1>
            <xm:f>Daten!$AF$4:$AF$12</xm:f>
          </x14:formula1>
          <xm:sqref>H86</xm:sqref>
        </x14:dataValidation>
        <x14:dataValidation type="list" errorStyle="warning" allowBlank="1" showInputMessage="1" xr:uid="{C3C13F28-BF98-4362-8CFF-C6EAC768995A}">
          <x14:formula1>
            <xm:f>Daten!$AF$4:$AF$12</xm:f>
          </x14:formula1>
          <xm:sqref>H91</xm:sqref>
        </x14:dataValidation>
        <x14:dataValidation type="list" errorStyle="warning" allowBlank="1" showInputMessage="1" xr:uid="{41A1503E-94D4-47E7-AC7D-EBB8A5925211}">
          <x14:formula1>
            <xm:f>Daten!$AF$4:$AF$12</xm:f>
          </x14:formula1>
          <xm:sqref>H129</xm:sqref>
        </x14:dataValidation>
        <x14:dataValidation type="list" errorStyle="warning" allowBlank="1" showInputMessage="1" xr:uid="{68CF4E2D-A155-4DAF-8E9A-920980953209}">
          <x14:formula1>
            <xm:f>Daten!$AF$4:$AF$12</xm:f>
          </x14:formula1>
          <xm:sqref>H138</xm:sqref>
        </x14:dataValidation>
        <x14:dataValidation type="list" errorStyle="warning" allowBlank="1" showInputMessage="1" xr:uid="{E6C6D093-7F77-4627-A80A-0318DA924271}">
          <x14:formula1>
            <xm:f>Daten!$AF$4:$AF$12</xm:f>
          </x14:formula1>
          <xm:sqref>H144</xm:sqref>
        </x14:dataValidation>
        <x14:dataValidation type="list" errorStyle="warning" allowBlank="1" showInputMessage="1" xr:uid="{1AB2C443-3328-4788-9C1B-C286FBA4E5F7}">
          <x14:formula1>
            <xm:f>Daten!$AF$4:$AF$12</xm:f>
          </x14:formula1>
          <xm:sqref>H147</xm:sqref>
        </x14:dataValidation>
        <x14:dataValidation type="list" errorStyle="warning" allowBlank="1" showInputMessage="1" xr:uid="{9548994A-C407-4EB5-8A49-415CF7C9D3E5}">
          <x14:formula1>
            <xm:f>Daten!$AF$4:$AF$12</xm:f>
          </x14:formula1>
          <xm:sqref>H246</xm:sqref>
        </x14:dataValidation>
        <x14:dataValidation type="list" errorStyle="warning" allowBlank="1" showInputMessage="1" xr:uid="{D5290356-FF39-4507-9E4D-7E9D48A7125F}">
          <x14:formula1>
            <xm:f>Daten!$AF$4:$AF$12</xm:f>
          </x14:formula1>
          <xm:sqref>H252</xm:sqref>
        </x14:dataValidation>
        <x14:dataValidation type="list" errorStyle="warning" allowBlank="1" showInputMessage="1" xr:uid="{41AD6924-1FA1-4F68-8171-E3D8B6EE7674}">
          <x14:formula1>
            <xm:f>Daten!$AF$4:$AF$12</xm:f>
          </x14:formula1>
          <xm:sqref>H255</xm:sqref>
        </x14:dataValidation>
        <x14:dataValidation type="list" errorStyle="warning" allowBlank="1" showInputMessage="1" xr:uid="{5F48F0CA-77D8-42A3-961B-0F0776A62C52}">
          <x14:formula1>
            <xm:f>Daten!$AF$4:$AF$12</xm:f>
          </x14:formula1>
          <xm:sqref>H276</xm:sqref>
        </x14:dataValidation>
        <x14:dataValidation type="list" errorStyle="warning" allowBlank="1" showInputMessage="1" xr:uid="{E176911D-F296-4ACF-B067-B41837BD05F7}">
          <x14:formula1>
            <xm:f>Daten!$AG$4:$AG$18</xm:f>
          </x14:formula1>
          <xm:sqref>H288</xm:sqref>
        </x14:dataValidation>
        <x14:dataValidation type="list" errorStyle="warning" allowBlank="1" showInputMessage="1" xr:uid="{C8200AEA-3367-4420-B0A2-C45ACBC4CC56}">
          <x14:formula1>
            <xm:f>Daten!$AF$4:$AF$12</xm:f>
          </x14:formula1>
          <xm:sqref>H355</xm:sqref>
        </x14:dataValidation>
        <x14:dataValidation type="list" errorStyle="warning" allowBlank="1" showInputMessage="1" xr:uid="{80FFF92D-C315-49D2-91C9-A39BB6C3432C}">
          <x14:formula1>
            <xm:f>Daten!$AF$4:$AF$12</xm:f>
          </x14:formula1>
          <xm:sqref>H359</xm:sqref>
        </x14:dataValidation>
        <x14:dataValidation type="list" errorStyle="warning" allowBlank="1" showInputMessage="1" xr:uid="{C530A0A4-E120-4B95-90C2-054A40D13BA1}">
          <x14:formula1>
            <xm:f>Daten!$AG$4:$AG$18</xm:f>
          </x14:formula1>
          <xm:sqref>H360</xm:sqref>
        </x14:dataValidation>
        <x14:dataValidation type="list" errorStyle="warning" allowBlank="1" showInputMessage="1" xr:uid="{CBB1305A-9D13-45AB-8266-E90C1E8083AB}">
          <x14:formula1>
            <xm:f>Daten!$AF$4:$AF$12</xm:f>
          </x14:formula1>
          <xm:sqref>H361</xm:sqref>
        </x14:dataValidation>
        <x14:dataValidation type="list" errorStyle="warning" allowBlank="1" showInputMessage="1" xr:uid="{9F0FC56A-6E17-47D2-A8BA-92075A8B6C45}">
          <x14:formula1>
            <xm:f>Daten!$AF$4:$AF$12</xm:f>
          </x14:formula1>
          <xm:sqref>H373</xm:sqref>
        </x14:dataValidation>
        <x14:dataValidation type="list" errorStyle="warning" allowBlank="1" showInputMessage="1" xr:uid="{252DDA03-6F54-4F07-9A8D-76C37E4016B7}">
          <x14:formula1>
            <xm:f>Daten!$AF$4:$AF$12</xm:f>
          </x14:formula1>
          <xm:sqref>H374</xm:sqref>
        </x14:dataValidation>
        <x14:dataValidation type="list" errorStyle="warning" allowBlank="1" showInputMessage="1" xr:uid="{63E4EC07-DA5C-4784-A51D-31B4B983EB00}">
          <x14:formula1>
            <xm:f>Daten!$AF$4:$AF$12</xm:f>
          </x14:formula1>
          <xm:sqref>H402</xm:sqref>
        </x14:dataValidation>
        <x14:dataValidation type="list" errorStyle="warning" allowBlank="1" showInputMessage="1" xr:uid="{7F13AC4E-BC3C-4360-99B0-9811A5C0A880}">
          <x14:formula1>
            <xm:f>Daten!$AF$4:$AF$12</xm:f>
          </x14:formula1>
          <xm:sqref>H405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60" zoomScaleNormal="60" workbookViewId="0">
      <selection activeCell="C24" sqref="C24:F24"/>
    </sheetView>
  </sheetViews>
  <sheetFormatPr baseColWidth="10" defaultColWidth="11.453125" defaultRowHeight="14.5" x14ac:dyDescent="0.35"/>
  <cols>
    <col min="1" max="1" width="4" style="462" customWidth="1"/>
    <col min="2" max="2" width="11.26953125" style="457" customWidth="1"/>
    <col min="3" max="3" width="28.7265625" style="462" customWidth="1"/>
    <col min="4" max="4" width="20.453125" style="462" customWidth="1"/>
    <col min="5" max="5" width="12.26953125" style="462" customWidth="1"/>
    <col min="6" max="6" width="16" style="336" customWidth="1"/>
    <col min="7" max="7" width="18" style="462" customWidth="1"/>
    <col min="8" max="8" width="11.453125" style="462" customWidth="1"/>
    <col min="9" max="9" width="12.7265625" style="462" customWidth="1"/>
    <col min="10" max="10" width="13.54296875" style="462" customWidth="1"/>
    <col min="11" max="11" width="12.453125" style="462" customWidth="1"/>
    <col min="12" max="12" width="18.453125" style="462" customWidth="1"/>
    <col min="13" max="13" width="19.7265625" style="462" customWidth="1"/>
    <col min="14" max="14" width="23.1796875" style="462" customWidth="1"/>
    <col min="15" max="15" width="15.26953125" style="462" customWidth="1"/>
    <col min="16" max="16" width="13.7265625" style="462" customWidth="1"/>
    <col min="17" max="17" width="16.54296875" style="462" customWidth="1"/>
    <col min="18" max="18" width="14.1796875" style="462" customWidth="1"/>
    <col min="19" max="19" width="25.26953125" style="462" customWidth="1"/>
    <col min="20" max="20" width="20.7265625" style="462" customWidth="1"/>
    <col min="21" max="16384" width="11.453125" style="462"/>
  </cols>
  <sheetData>
    <row r="1" spans="1:13" ht="15" thickBot="1" x14ac:dyDescent="0.4">
      <c r="F1" s="462"/>
    </row>
    <row r="2" spans="1:13" ht="21.75" customHeight="1" x14ac:dyDescent="0.35">
      <c r="B2" s="544" t="s">
        <v>475</v>
      </c>
      <c r="C2" s="545"/>
      <c r="D2" s="57">
        <v>0</v>
      </c>
      <c r="F2" s="462"/>
    </row>
    <row r="3" spans="1:13" ht="21.75" customHeight="1" thickBot="1" x14ac:dyDescent="0.4">
      <c r="B3" s="546" t="s">
        <v>476</v>
      </c>
      <c r="C3" s="547"/>
      <c r="D3" s="56" t="s">
        <v>477</v>
      </c>
      <c r="F3" s="462"/>
    </row>
    <row r="4" spans="1:13" x14ac:dyDescent="0.35">
      <c r="F4" s="462"/>
    </row>
    <row r="5" spans="1:13" ht="50.25" customHeight="1" x14ac:dyDescent="0.35">
      <c r="B5" s="548" t="s">
        <v>86</v>
      </c>
      <c r="C5" s="548"/>
      <c r="D5" s="548"/>
      <c r="F5" s="462"/>
      <c r="M5" s="55" t="str">
        <f>C24</f>
        <v>xxx  2024</v>
      </c>
    </row>
    <row r="6" spans="1:13" ht="10.5" customHeight="1" x14ac:dyDescent="0.35">
      <c r="F6" s="462"/>
    </row>
    <row r="7" spans="1:13" x14ac:dyDescent="0.35">
      <c r="A7" s="549" t="s">
        <v>24</v>
      </c>
      <c r="B7" s="12" t="s">
        <v>40</v>
      </c>
      <c r="C7" s="327"/>
      <c r="D7" s="328" t="str">
        <f>IF(SUM(G27:G1048576)=0,"",SUM(G27:G1048576))</f>
        <v/>
      </c>
      <c r="F7" s="462"/>
    </row>
    <row r="8" spans="1:13" x14ac:dyDescent="0.35">
      <c r="A8" s="549"/>
      <c r="B8" s="13" t="s">
        <v>39</v>
      </c>
      <c r="C8" s="329"/>
      <c r="D8" s="330" t="str">
        <f>IF(SUM(H27:H1048576)=0,"",SUM(H27:H1048576))</f>
        <v/>
      </c>
      <c r="F8" s="462"/>
      <c r="I8" s="325"/>
    </row>
    <row r="9" spans="1:13" x14ac:dyDescent="0.35">
      <c r="A9" s="549"/>
      <c r="B9" s="12" t="s">
        <v>38</v>
      </c>
      <c r="C9" s="327"/>
      <c r="D9" s="328" t="str">
        <f>IF(SUM(I27:I1048576)=0,"",SUM(I27:I1048576))</f>
        <v/>
      </c>
      <c r="F9" s="462"/>
      <c r="I9" s="325"/>
    </row>
    <row r="10" spans="1:13" x14ac:dyDescent="0.35">
      <c r="A10" s="549"/>
      <c r="B10" s="13" t="s">
        <v>37</v>
      </c>
      <c r="C10" s="329"/>
      <c r="D10" s="330" t="str">
        <f>IF(SUM(J27:J1048576)=0,"",SUM(J27:J1048576))</f>
        <v/>
      </c>
      <c r="F10" s="462"/>
    </row>
    <row r="11" spans="1:13" x14ac:dyDescent="0.35">
      <c r="A11" s="549"/>
      <c r="B11" s="12" t="s">
        <v>36</v>
      </c>
      <c r="C11" s="327"/>
      <c r="D11" s="328" t="str">
        <f>IF(SUM(K27:K1048576)=0,"",SUM(K27:K1048576))</f>
        <v/>
      </c>
      <c r="F11" s="462"/>
      <c r="I11" s="325"/>
    </row>
    <row r="12" spans="1:13" x14ac:dyDescent="0.35">
      <c r="A12" s="549"/>
      <c r="B12" s="13" t="s">
        <v>32</v>
      </c>
      <c r="C12" s="329"/>
      <c r="D12" s="330" t="str">
        <f>IF(SUM(L27:L1048576)=0,"",SUM(L27:L1048576))</f>
        <v/>
      </c>
      <c r="F12" s="462"/>
      <c r="I12" s="325"/>
    </row>
    <row r="13" spans="1:13" ht="15" thickBot="1" x14ac:dyDescent="0.4">
      <c r="A13" s="549"/>
      <c r="B13" s="12" t="s">
        <v>35</v>
      </c>
      <c r="C13" s="327"/>
      <c r="D13" s="328" t="str">
        <f>IF(SUM(N27:N1048576)=0,"",SUM(N27:N1048576))</f>
        <v/>
      </c>
      <c r="F13" s="462"/>
      <c r="I13" s="325"/>
    </row>
    <row r="14" spans="1:13" ht="19" thickTop="1" x14ac:dyDescent="0.35">
      <c r="A14" s="549"/>
      <c r="B14" s="11" t="s">
        <v>28</v>
      </c>
      <c r="C14" s="331"/>
      <c r="D14" s="332">
        <f>SUM(D7:D13)</f>
        <v>0</v>
      </c>
      <c r="F14" s="462"/>
    </row>
    <row r="15" spans="1:13" ht="15" thickBot="1" x14ac:dyDescent="0.4">
      <c r="A15" s="459"/>
      <c r="B15" s="13" t="s">
        <v>27</v>
      </c>
      <c r="C15" s="329"/>
      <c r="D15" s="330" t="str">
        <f>IF(SUM(N27:N1048576)=0,"",SUM(N27:N1048576))</f>
        <v/>
      </c>
      <c r="F15" s="462"/>
    </row>
    <row r="16" spans="1:13" x14ac:dyDescent="0.35">
      <c r="A16" s="550" t="s">
        <v>23</v>
      </c>
      <c r="B16" s="10" t="s">
        <v>34</v>
      </c>
      <c r="C16" s="9"/>
      <c r="D16" s="8" t="str">
        <f>IF(SUM(O27:O1048576)=0,"",SUM(O27:O1048576))</f>
        <v/>
      </c>
      <c r="F16" s="462"/>
    </row>
    <row r="17" spans="1:20" x14ac:dyDescent="0.35">
      <c r="A17" s="551"/>
      <c r="B17" s="5" t="s">
        <v>33</v>
      </c>
      <c r="C17" s="4"/>
      <c r="D17" s="3" t="str">
        <f>IF(SUM(P27:P1048576)=0,"",SUM(P27:P1048576))</f>
        <v/>
      </c>
      <c r="F17" s="462"/>
    </row>
    <row r="18" spans="1:20" x14ac:dyDescent="0.35">
      <c r="A18" s="551"/>
      <c r="B18" s="1" t="s">
        <v>32</v>
      </c>
      <c r="C18" s="7"/>
      <c r="D18" s="6" t="str">
        <f>IF(SUM(Q27:Q1048576)=0,"",SUM(Q27:Q1048576))</f>
        <v/>
      </c>
      <c r="F18" s="462"/>
    </row>
    <row r="19" spans="1:20" x14ac:dyDescent="0.35">
      <c r="A19" s="551"/>
      <c r="B19" s="5" t="s">
        <v>31</v>
      </c>
      <c r="C19" s="4"/>
      <c r="D19" s="3" t="str">
        <f>IF(SUM(R27:R1048576)=0,"",SUM(R27:R1048576))</f>
        <v/>
      </c>
      <c r="F19" s="462"/>
    </row>
    <row r="20" spans="1:20" x14ac:dyDescent="0.35">
      <c r="A20" s="551"/>
      <c r="B20" s="1" t="s">
        <v>30</v>
      </c>
      <c r="C20" s="7"/>
      <c r="D20" s="6" t="str">
        <f>IF(SUM(S27:S1048576)=0,"",SUM(S27:S1048576))</f>
        <v/>
      </c>
      <c r="F20" s="462"/>
    </row>
    <row r="21" spans="1:20" x14ac:dyDescent="0.35">
      <c r="A21" s="551"/>
      <c r="B21" s="5" t="s">
        <v>29</v>
      </c>
      <c r="C21" s="4"/>
      <c r="D21" s="3" t="str">
        <f>IF(SUM(T27:T1048576)=0,"",SUM(T27:T1048576))</f>
        <v/>
      </c>
      <c r="F21" s="462"/>
    </row>
    <row r="22" spans="1:20" ht="18.5" x14ac:dyDescent="0.35">
      <c r="A22" s="551"/>
      <c r="B22" s="2" t="s">
        <v>28</v>
      </c>
      <c r="C22" s="333"/>
      <c r="D22" s="334">
        <f>SUM(D16:D21)</f>
        <v>0</v>
      </c>
      <c r="F22" s="462"/>
    </row>
    <row r="23" spans="1:20" x14ac:dyDescent="0.35">
      <c r="F23" s="462"/>
    </row>
    <row r="24" spans="1:20" ht="26" x14ac:dyDescent="0.35">
      <c r="B24" s="458" t="s">
        <v>85</v>
      </c>
      <c r="C24" s="552" t="s">
        <v>478</v>
      </c>
      <c r="D24" s="525"/>
      <c r="E24" s="525"/>
      <c r="F24" s="553"/>
      <c r="G24" s="554" t="str">
        <f>B5</f>
        <v>Vereinskasse</v>
      </c>
      <c r="H24" s="555"/>
      <c r="I24" s="555"/>
      <c r="J24" s="555"/>
      <c r="K24" s="555"/>
      <c r="L24" s="555"/>
      <c r="M24" s="555"/>
      <c r="N24" s="555"/>
      <c r="O24" s="555"/>
      <c r="P24" s="555"/>
      <c r="Q24" s="555"/>
      <c r="R24" s="555"/>
      <c r="S24" s="555"/>
      <c r="T24" s="555"/>
    </row>
    <row r="25" spans="1:20" s="326" customFormat="1" ht="21" x14ac:dyDescent="0.35">
      <c r="B25" s="217"/>
      <c r="C25" s="335"/>
      <c r="D25" s="335"/>
      <c r="E25" s="335"/>
      <c r="F25" s="335"/>
      <c r="G25" s="556" t="s">
        <v>24</v>
      </c>
      <c r="H25" s="557"/>
      <c r="I25" s="557"/>
      <c r="J25" s="557"/>
      <c r="K25" s="557"/>
      <c r="L25" s="557"/>
      <c r="M25" s="557"/>
      <c r="N25" s="558"/>
      <c r="O25" s="559" t="s">
        <v>23</v>
      </c>
      <c r="P25" s="560"/>
      <c r="Q25" s="560"/>
      <c r="R25" s="560"/>
      <c r="S25" s="560"/>
      <c r="T25" s="560"/>
    </row>
    <row r="26" spans="1:20" ht="31.5" customHeight="1" x14ac:dyDescent="0.35">
      <c r="B26" s="319" t="s">
        <v>21</v>
      </c>
      <c r="C26" s="320" t="s">
        <v>84</v>
      </c>
      <c r="D26" s="320" t="s">
        <v>19</v>
      </c>
      <c r="E26" s="320" t="s">
        <v>18</v>
      </c>
      <c r="F26" s="320" t="s">
        <v>549</v>
      </c>
      <c r="G26" s="321" t="s">
        <v>17</v>
      </c>
      <c r="H26" s="321" t="s">
        <v>16</v>
      </c>
      <c r="I26" s="321" t="s">
        <v>15</v>
      </c>
      <c r="J26" s="321" t="s">
        <v>14</v>
      </c>
      <c r="K26" s="321" t="s">
        <v>13</v>
      </c>
      <c r="L26" s="321" t="s">
        <v>12</v>
      </c>
      <c r="M26" s="321" t="s">
        <v>11</v>
      </c>
      <c r="N26" s="321" t="s">
        <v>83</v>
      </c>
      <c r="O26" s="322" t="s">
        <v>10</v>
      </c>
      <c r="P26" s="322" t="s">
        <v>9</v>
      </c>
      <c r="Q26" s="322" t="s">
        <v>8</v>
      </c>
      <c r="R26" s="322" t="s">
        <v>7</v>
      </c>
      <c r="S26" s="322" t="s">
        <v>6</v>
      </c>
      <c r="T26" s="323" t="s">
        <v>5</v>
      </c>
    </row>
    <row r="27" spans="1:20" x14ac:dyDescent="0.35">
      <c r="F27" s="469"/>
    </row>
    <row r="28" spans="1:20" x14ac:dyDescent="0.35">
      <c r="F28" s="469"/>
    </row>
    <row r="29" spans="1:20" x14ac:dyDescent="0.35">
      <c r="F29" s="469"/>
    </row>
    <row r="30" spans="1:20" x14ac:dyDescent="0.35">
      <c r="F30" s="469"/>
    </row>
    <row r="31" spans="1:20" x14ac:dyDescent="0.35">
      <c r="F31" s="469"/>
    </row>
    <row r="32" spans="1:20" x14ac:dyDescent="0.35">
      <c r="F32" s="469"/>
    </row>
    <row r="33" spans="6:6" x14ac:dyDescent="0.35">
      <c r="F33" s="469"/>
    </row>
    <row r="34" spans="6:6" x14ac:dyDescent="0.35">
      <c r="F34" s="469"/>
    </row>
    <row r="35" spans="6:6" x14ac:dyDescent="0.35">
      <c r="F35" s="469"/>
    </row>
    <row r="36" spans="6:6" x14ac:dyDescent="0.35">
      <c r="F36" s="469"/>
    </row>
    <row r="37" spans="6:6" x14ac:dyDescent="0.35">
      <c r="F37" s="469"/>
    </row>
    <row r="38" spans="6:6" x14ac:dyDescent="0.35">
      <c r="F38" s="469"/>
    </row>
    <row r="39" spans="6:6" x14ac:dyDescent="0.35">
      <c r="F39" s="469"/>
    </row>
    <row r="40" spans="6:6" x14ac:dyDescent="0.35">
      <c r="F40" s="469"/>
    </row>
    <row r="41" spans="6:6" x14ac:dyDescent="0.35">
      <c r="F41" s="469"/>
    </row>
    <row r="42" spans="6:6" x14ac:dyDescent="0.35">
      <c r="F42" s="469"/>
    </row>
    <row r="43" spans="6:6" x14ac:dyDescent="0.35">
      <c r="F43" s="469"/>
    </row>
    <row r="44" spans="6:6" x14ac:dyDescent="0.35">
      <c r="F44" s="469"/>
    </row>
    <row r="45" spans="6:6" x14ac:dyDescent="0.35">
      <c r="F45" s="469"/>
    </row>
    <row r="46" spans="6:6" x14ac:dyDescent="0.35">
      <c r="F46" s="469"/>
    </row>
    <row r="47" spans="6:6" x14ac:dyDescent="0.35">
      <c r="F47" s="469"/>
    </row>
    <row r="48" spans="6:6" x14ac:dyDescent="0.35">
      <c r="F48" s="469"/>
    </row>
    <row r="49" spans="6:6" x14ac:dyDescent="0.35">
      <c r="F49" s="469"/>
    </row>
    <row r="50" spans="6:6" x14ac:dyDescent="0.35">
      <c r="F50" s="469"/>
    </row>
    <row r="51" spans="6:6" x14ac:dyDescent="0.35">
      <c r="F51" s="469"/>
    </row>
    <row r="52" spans="6:6" x14ac:dyDescent="0.35">
      <c r="F52" s="469"/>
    </row>
    <row r="53" spans="6:6" x14ac:dyDescent="0.35">
      <c r="F53" s="469"/>
    </row>
    <row r="54" spans="6:6" x14ac:dyDescent="0.35">
      <c r="F54" s="469"/>
    </row>
    <row r="55" spans="6:6" x14ac:dyDescent="0.35">
      <c r="F55" s="469"/>
    </row>
    <row r="56" spans="6:6" x14ac:dyDescent="0.35">
      <c r="F56" s="469"/>
    </row>
    <row r="57" spans="6:6" x14ac:dyDescent="0.35">
      <c r="F57" s="469"/>
    </row>
    <row r="58" spans="6:6" x14ac:dyDescent="0.35">
      <c r="F58" s="469"/>
    </row>
    <row r="59" spans="6:6" x14ac:dyDescent="0.35">
      <c r="F59" s="469"/>
    </row>
    <row r="60" spans="6:6" x14ac:dyDescent="0.35">
      <c r="F60" s="469"/>
    </row>
    <row r="61" spans="6:6" x14ac:dyDescent="0.35">
      <c r="F61" s="469"/>
    </row>
    <row r="62" spans="6:6" x14ac:dyDescent="0.35">
      <c r="F62" s="469"/>
    </row>
    <row r="63" spans="6:6" x14ac:dyDescent="0.35">
      <c r="F63" s="469"/>
    </row>
    <row r="64" spans="6:6" x14ac:dyDescent="0.35">
      <c r="F64" s="469"/>
    </row>
    <row r="65" spans="6:6" x14ac:dyDescent="0.35">
      <c r="F65" s="469"/>
    </row>
    <row r="66" spans="6:6" x14ac:dyDescent="0.35">
      <c r="F66" s="469"/>
    </row>
    <row r="67" spans="6:6" x14ac:dyDescent="0.35">
      <c r="F67" s="469"/>
    </row>
    <row r="68" spans="6:6" x14ac:dyDescent="0.35">
      <c r="F68" s="469"/>
    </row>
    <row r="69" spans="6:6" x14ac:dyDescent="0.35">
      <c r="F69" s="469"/>
    </row>
    <row r="70" spans="6:6" x14ac:dyDescent="0.35">
      <c r="F70" s="469"/>
    </row>
    <row r="71" spans="6:6" x14ac:dyDescent="0.35">
      <c r="F71" s="469"/>
    </row>
    <row r="72" spans="6:6" x14ac:dyDescent="0.35">
      <c r="F72" s="469"/>
    </row>
    <row r="73" spans="6:6" x14ac:dyDescent="0.35">
      <c r="F73" s="469"/>
    </row>
    <row r="74" spans="6:6" x14ac:dyDescent="0.35">
      <c r="F74" s="469"/>
    </row>
    <row r="75" spans="6:6" x14ac:dyDescent="0.35">
      <c r="F75" s="469"/>
    </row>
    <row r="76" spans="6:6" x14ac:dyDescent="0.35">
      <c r="F76" s="469"/>
    </row>
    <row r="77" spans="6:6" x14ac:dyDescent="0.35">
      <c r="F77" s="469"/>
    </row>
    <row r="78" spans="6:6" x14ac:dyDescent="0.35">
      <c r="F78" s="469"/>
    </row>
    <row r="79" spans="6:6" x14ac:dyDescent="0.35">
      <c r="F79" s="469"/>
    </row>
    <row r="80" spans="6:6" x14ac:dyDescent="0.35">
      <c r="F80" s="469"/>
    </row>
    <row r="81" spans="6:6" x14ac:dyDescent="0.35">
      <c r="F81" s="469"/>
    </row>
    <row r="82" spans="6:6" x14ac:dyDescent="0.35">
      <c r="F82" s="469"/>
    </row>
    <row r="83" spans="6:6" x14ac:dyDescent="0.35">
      <c r="F83" s="469"/>
    </row>
    <row r="84" spans="6:6" x14ac:dyDescent="0.35">
      <c r="F84" s="469"/>
    </row>
    <row r="85" spans="6:6" x14ac:dyDescent="0.35">
      <c r="F85" s="469"/>
    </row>
    <row r="86" spans="6:6" x14ac:dyDescent="0.35">
      <c r="F86" s="469"/>
    </row>
    <row r="87" spans="6:6" x14ac:dyDescent="0.35">
      <c r="F87" s="469"/>
    </row>
    <row r="88" spans="6:6" x14ac:dyDescent="0.35">
      <c r="F88" s="469"/>
    </row>
    <row r="89" spans="6:6" x14ac:dyDescent="0.35">
      <c r="F89" s="469"/>
    </row>
    <row r="90" spans="6:6" x14ac:dyDescent="0.35">
      <c r="F90" s="469"/>
    </row>
    <row r="91" spans="6:6" x14ac:dyDescent="0.35">
      <c r="F91" s="469"/>
    </row>
    <row r="92" spans="6:6" x14ac:dyDescent="0.35">
      <c r="F92" s="469"/>
    </row>
    <row r="93" spans="6:6" x14ac:dyDescent="0.35">
      <c r="F93" s="469"/>
    </row>
    <row r="94" spans="6:6" x14ac:dyDescent="0.35">
      <c r="F94" s="469"/>
    </row>
    <row r="95" spans="6:6" x14ac:dyDescent="0.35">
      <c r="F95" s="469"/>
    </row>
    <row r="96" spans="6:6" x14ac:dyDescent="0.35">
      <c r="F96" s="469"/>
    </row>
    <row r="97" spans="6:6" x14ac:dyDescent="0.35">
      <c r="F97" s="469"/>
    </row>
    <row r="98" spans="6:6" x14ac:dyDescent="0.35">
      <c r="F98" s="469"/>
    </row>
    <row r="99" spans="6:6" x14ac:dyDescent="0.35">
      <c r="F99" s="469"/>
    </row>
    <row r="100" spans="6:6" x14ac:dyDescent="0.35">
      <c r="F100" s="469"/>
    </row>
    <row r="101" spans="6:6" x14ac:dyDescent="0.35">
      <c r="F101" s="469"/>
    </row>
    <row r="102" spans="6:6" x14ac:dyDescent="0.35">
      <c r="F102" s="469"/>
    </row>
    <row r="103" spans="6:6" x14ac:dyDescent="0.35">
      <c r="F103" s="469"/>
    </row>
    <row r="104" spans="6:6" x14ac:dyDescent="0.35">
      <c r="F104" s="469"/>
    </row>
    <row r="105" spans="6:6" x14ac:dyDescent="0.35">
      <c r="F105" s="469"/>
    </row>
    <row r="106" spans="6:6" x14ac:dyDescent="0.35">
      <c r="F106" s="469"/>
    </row>
    <row r="107" spans="6:6" x14ac:dyDescent="0.35">
      <c r="F107" s="469"/>
    </row>
    <row r="108" spans="6:6" x14ac:dyDescent="0.35">
      <c r="F108" s="469"/>
    </row>
    <row r="109" spans="6:6" x14ac:dyDescent="0.35">
      <c r="F109" s="469"/>
    </row>
    <row r="110" spans="6:6" x14ac:dyDescent="0.35">
      <c r="F110" s="469"/>
    </row>
    <row r="111" spans="6:6" x14ac:dyDescent="0.35">
      <c r="F111" s="469"/>
    </row>
    <row r="112" spans="6:6" x14ac:dyDescent="0.35">
      <c r="F112" s="469"/>
    </row>
    <row r="113" spans="6:6" x14ac:dyDescent="0.35">
      <c r="F113" s="469"/>
    </row>
    <row r="114" spans="6:6" x14ac:dyDescent="0.35">
      <c r="F114" s="469"/>
    </row>
    <row r="115" spans="6:6" x14ac:dyDescent="0.35">
      <c r="F115" s="469"/>
    </row>
    <row r="116" spans="6:6" x14ac:dyDescent="0.35">
      <c r="F116" s="469"/>
    </row>
    <row r="117" spans="6:6" x14ac:dyDescent="0.35">
      <c r="F117" s="469"/>
    </row>
    <row r="118" spans="6:6" x14ac:dyDescent="0.35">
      <c r="F118" s="469"/>
    </row>
    <row r="119" spans="6:6" x14ac:dyDescent="0.35">
      <c r="F119" s="469"/>
    </row>
    <row r="120" spans="6:6" x14ac:dyDescent="0.35">
      <c r="F120" s="469"/>
    </row>
    <row r="121" spans="6:6" x14ac:dyDescent="0.35">
      <c r="F121" s="469"/>
    </row>
    <row r="122" spans="6:6" x14ac:dyDescent="0.35">
      <c r="F122" s="469"/>
    </row>
    <row r="123" spans="6:6" x14ac:dyDescent="0.35">
      <c r="F123" s="469"/>
    </row>
    <row r="124" spans="6:6" x14ac:dyDescent="0.35">
      <c r="F124" s="469"/>
    </row>
    <row r="125" spans="6:6" x14ac:dyDescent="0.35">
      <c r="F125" s="469"/>
    </row>
    <row r="126" spans="6:6" x14ac:dyDescent="0.35">
      <c r="F126" s="469"/>
    </row>
    <row r="127" spans="6:6" x14ac:dyDescent="0.35">
      <c r="F127" s="469"/>
    </row>
    <row r="128" spans="6:6" x14ac:dyDescent="0.35">
      <c r="F128" s="469"/>
    </row>
    <row r="129" spans="6:6" x14ac:dyDescent="0.35">
      <c r="F129" s="469"/>
    </row>
    <row r="130" spans="6:6" x14ac:dyDescent="0.35">
      <c r="F130" s="469"/>
    </row>
    <row r="131" spans="6:6" x14ac:dyDescent="0.35">
      <c r="F131" s="469"/>
    </row>
    <row r="132" spans="6:6" x14ac:dyDescent="0.35">
      <c r="F132" s="469"/>
    </row>
    <row r="133" spans="6:6" x14ac:dyDescent="0.35">
      <c r="F133" s="469"/>
    </row>
    <row r="134" spans="6:6" x14ac:dyDescent="0.35">
      <c r="F134" s="469"/>
    </row>
    <row r="135" spans="6:6" x14ac:dyDescent="0.35">
      <c r="F135" s="469"/>
    </row>
    <row r="136" spans="6:6" x14ac:dyDescent="0.35">
      <c r="F136" s="469"/>
    </row>
    <row r="137" spans="6:6" x14ac:dyDescent="0.35">
      <c r="F137" s="469"/>
    </row>
    <row r="138" spans="6:6" x14ac:dyDescent="0.35">
      <c r="F138" s="469"/>
    </row>
    <row r="139" spans="6:6" x14ac:dyDescent="0.35">
      <c r="F139" s="469"/>
    </row>
    <row r="140" spans="6:6" x14ac:dyDescent="0.35">
      <c r="F140" s="469"/>
    </row>
    <row r="141" spans="6:6" x14ac:dyDescent="0.35">
      <c r="F141" s="469"/>
    </row>
    <row r="142" spans="6:6" x14ac:dyDescent="0.35">
      <c r="F142" s="469"/>
    </row>
    <row r="143" spans="6:6" x14ac:dyDescent="0.35">
      <c r="F143" s="469"/>
    </row>
    <row r="144" spans="6:6" x14ac:dyDescent="0.35">
      <c r="F144" s="469"/>
    </row>
    <row r="145" spans="6:6" x14ac:dyDescent="0.35">
      <c r="F145" s="469"/>
    </row>
    <row r="146" spans="6:6" x14ac:dyDescent="0.35">
      <c r="F146" s="469"/>
    </row>
    <row r="147" spans="6:6" x14ac:dyDescent="0.35">
      <c r="F147" s="469"/>
    </row>
    <row r="148" spans="6:6" x14ac:dyDescent="0.35">
      <c r="F148" s="469"/>
    </row>
    <row r="149" spans="6:6" x14ac:dyDescent="0.35">
      <c r="F149" s="469"/>
    </row>
    <row r="150" spans="6:6" x14ac:dyDescent="0.35">
      <c r="F150" s="469"/>
    </row>
    <row r="151" spans="6:6" x14ac:dyDescent="0.35">
      <c r="F151" s="469"/>
    </row>
    <row r="152" spans="6:6" x14ac:dyDescent="0.35">
      <c r="F152" s="469"/>
    </row>
    <row r="153" spans="6:6" x14ac:dyDescent="0.35">
      <c r="F153" s="469"/>
    </row>
    <row r="154" spans="6:6" x14ac:dyDescent="0.35">
      <c r="F154" s="469"/>
    </row>
    <row r="155" spans="6:6" x14ac:dyDescent="0.35">
      <c r="F155" s="469"/>
    </row>
    <row r="156" spans="6:6" x14ac:dyDescent="0.35">
      <c r="F156" s="469"/>
    </row>
    <row r="157" spans="6:6" x14ac:dyDescent="0.35">
      <c r="F157" s="469"/>
    </row>
    <row r="158" spans="6:6" x14ac:dyDescent="0.35">
      <c r="F158" s="469"/>
    </row>
    <row r="159" spans="6:6" x14ac:dyDescent="0.35">
      <c r="F159" s="469"/>
    </row>
    <row r="160" spans="6:6" x14ac:dyDescent="0.35">
      <c r="F160" s="469"/>
    </row>
    <row r="161" spans="6:6" x14ac:dyDescent="0.35">
      <c r="F161" s="469"/>
    </row>
    <row r="162" spans="6:6" x14ac:dyDescent="0.35">
      <c r="F162" s="469"/>
    </row>
    <row r="163" spans="6:6" x14ac:dyDescent="0.35">
      <c r="F163" s="469"/>
    </row>
    <row r="164" spans="6:6" x14ac:dyDescent="0.35">
      <c r="F164" s="469"/>
    </row>
    <row r="165" spans="6:6" x14ac:dyDescent="0.35">
      <c r="F165" s="469"/>
    </row>
    <row r="166" spans="6:6" x14ac:dyDescent="0.35">
      <c r="F166" s="469"/>
    </row>
    <row r="167" spans="6:6" x14ac:dyDescent="0.35">
      <c r="F167" s="469"/>
    </row>
    <row r="168" spans="6:6" x14ac:dyDescent="0.35">
      <c r="F168" s="469"/>
    </row>
    <row r="169" spans="6:6" x14ac:dyDescent="0.35">
      <c r="F169" s="469"/>
    </row>
    <row r="170" spans="6:6" x14ac:dyDescent="0.35">
      <c r="F170" s="469"/>
    </row>
    <row r="171" spans="6:6" x14ac:dyDescent="0.35">
      <c r="F171" s="469"/>
    </row>
    <row r="172" spans="6:6" x14ac:dyDescent="0.35">
      <c r="F172" s="469"/>
    </row>
    <row r="173" spans="6:6" x14ac:dyDescent="0.35">
      <c r="F173" s="469"/>
    </row>
    <row r="174" spans="6:6" x14ac:dyDescent="0.35">
      <c r="F174" s="469"/>
    </row>
    <row r="175" spans="6:6" x14ac:dyDescent="0.35">
      <c r="F175" s="469"/>
    </row>
    <row r="176" spans="6:6" x14ac:dyDescent="0.35">
      <c r="F176" s="469"/>
    </row>
    <row r="177" spans="6:6" x14ac:dyDescent="0.35">
      <c r="F177" s="469"/>
    </row>
    <row r="178" spans="6:6" x14ac:dyDescent="0.35">
      <c r="F178" s="469"/>
    </row>
    <row r="179" spans="6:6" x14ac:dyDescent="0.35">
      <c r="F179" s="469"/>
    </row>
    <row r="180" spans="6:6" x14ac:dyDescent="0.35">
      <c r="F180" s="469"/>
    </row>
    <row r="181" spans="6:6" x14ac:dyDescent="0.35">
      <c r="F181" s="469"/>
    </row>
    <row r="182" spans="6:6" x14ac:dyDescent="0.35">
      <c r="F182" s="469"/>
    </row>
    <row r="183" spans="6:6" x14ac:dyDescent="0.35">
      <c r="F183" s="469"/>
    </row>
    <row r="184" spans="6:6" x14ac:dyDescent="0.35">
      <c r="F184" s="469"/>
    </row>
    <row r="185" spans="6:6" x14ac:dyDescent="0.35">
      <c r="F185" s="469"/>
    </row>
    <row r="186" spans="6:6" x14ac:dyDescent="0.35">
      <c r="F186" s="469"/>
    </row>
    <row r="187" spans="6:6" x14ac:dyDescent="0.35">
      <c r="F187" s="469"/>
    </row>
    <row r="188" spans="6:6" x14ac:dyDescent="0.35">
      <c r="F188" s="469"/>
    </row>
    <row r="189" spans="6:6" x14ac:dyDescent="0.35">
      <c r="F189" s="469"/>
    </row>
    <row r="190" spans="6:6" x14ac:dyDescent="0.35">
      <c r="F190" s="469"/>
    </row>
    <row r="191" spans="6:6" x14ac:dyDescent="0.35">
      <c r="F191" s="469"/>
    </row>
    <row r="192" spans="6:6" x14ac:dyDescent="0.35">
      <c r="F192" s="469"/>
    </row>
    <row r="193" spans="6:6" x14ac:dyDescent="0.35">
      <c r="F193" s="469"/>
    </row>
    <row r="194" spans="6:6" x14ac:dyDescent="0.35">
      <c r="F194" s="469"/>
    </row>
    <row r="195" spans="6:6" x14ac:dyDescent="0.35">
      <c r="F195" s="469"/>
    </row>
    <row r="196" spans="6:6" x14ac:dyDescent="0.35">
      <c r="F196" s="469"/>
    </row>
    <row r="197" spans="6:6" x14ac:dyDescent="0.35">
      <c r="F197" s="469"/>
    </row>
    <row r="198" spans="6:6" x14ac:dyDescent="0.35">
      <c r="F198" s="469"/>
    </row>
    <row r="199" spans="6:6" x14ac:dyDescent="0.35">
      <c r="F199" s="469"/>
    </row>
    <row r="200" spans="6:6" x14ac:dyDescent="0.35">
      <c r="F200" s="469"/>
    </row>
    <row r="201" spans="6:6" x14ac:dyDescent="0.35">
      <c r="F201" s="469"/>
    </row>
    <row r="202" spans="6:6" x14ac:dyDescent="0.35">
      <c r="F202" s="469"/>
    </row>
    <row r="203" spans="6:6" x14ac:dyDescent="0.35">
      <c r="F203" s="469"/>
    </row>
    <row r="204" spans="6:6" x14ac:dyDescent="0.35">
      <c r="F204" s="469"/>
    </row>
    <row r="205" spans="6:6" x14ac:dyDescent="0.35">
      <c r="F205" s="469"/>
    </row>
    <row r="206" spans="6:6" x14ac:dyDescent="0.35">
      <c r="F206" s="469"/>
    </row>
    <row r="207" spans="6:6" x14ac:dyDescent="0.35">
      <c r="F207" s="469"/>
    </row>
    <row r="208" spans="6:6" x14ac:dyDescent="0.35">
      <c r="F208" s="469"/>
    </row>
    <row r="209" spans="6:6" x14ac:dyDescent="0.35">
      <c r="F209" s="469"/>
    </row>
    <row r="210" spans="6:6" x14ac:dyDescent="0.35">
      <c r="F210" s="469"/>
    </row>
    <row r="211" spans="6:6" x14ac:dyDescent="0.35">
      <c r="F211" s="469"/>
    </row>
    <row r="212" spans="6:6" x14ac:dyDescent="0.35">
      <c r="F212" s="469"/>
    </row>
    <row r="213" spans="6:6" x14ac:dyDescent="0.35">
      <c r="F213" s="469"/>
    </row>
    <row r="214" spans="6:6" x14ac:dyDescent="0.35">
      <c r="F214" s="469"/>
    </row>
    <row r="215" spans="6:6" x14ac:dyDescent="0.35">
      <c r="F215" s="469"/>
    </row>
    <row r="216" spans="6:6" x14ac:dyDescent="0.35">
      <c r="F216" s="469"/>
    </row>
    <row r="217" spans="6:6" x14ac:dyDescent="0.35">
      <c r="F217" s="469"/>
    </row>
    <row r="218" spans="6:6" x14ac:dyDescent="0.35">
      <c r="F218" s="469"/>
    </row>
    <row r="219" spans="6:6" x14ac:dyDescent="0.35">
      <c r="F219" s="469"/>
    </row>
    <row r="220" spans="6:6" x14ac:dyDescent="0.35">
      <c r="F220" s="469"/>
    </row>
    <row r="221" spans="6:6" x14ac:dyDescent="0.35">
      <c r="F221" s="469"/>
    </row>
    <row r="222" spans="6:6" x14ac:dyDescent="0.35">
      <c r="F222" s="469"/>
    </row>
    <row r="223" spans="6:6" x14ac:dyDescent="0.35">
      <c r="F223" s="469"/>
    </row>
    <row r="224" spans="6:6" x14ac:dyDescent="0.35">
      <c r="F224" s="469"/>
    </row>
    <row r="225" spans="6:6" x14ac:dyDescent="0.35">
      <c r="F225" s="469"/>
    </row>
    <row r="226" spans="6:6" x14ac:dyDescent="0.35">
      <c r="F226" s="469"/>
    </row>
    <row r="227" spans="6:6" x14ac:dyDescent="0.35">
      <c r="F227" s="469"/>
    </row>
    <row r="228" spans="6:6" x14ac:dyDescent="0.35">
      <c r="F228" s="469"/>
    </row>
    <row r="229" spans="6:6" x14ac:dyDescent="0.35">
      <c r="F229" s="469"/>
    </row>
    <row r="230" spans="6:6" x14ac:dyDescent="0.35">
      <c r="F230" s="469"/>
    </row>
    <row r="231" spans="6:6" x14ac:dyDescent="0.35">
      <c r="F231" s="469"/>
    </row>
    <row r="232" spans="6:6" x14ac:dyDescent="0.35">
      <c r="F232" s="469"/>
    </row>
    <row r="233" spans="6:6" x14ac:dyDescent="0.35">
      <c r="F233" s="469"/>
    </row>
    <row r="234" spans="6:6" x14ac:dyDescent="0.35">
      <c r="F234" s="469"/>
    </row>
    <row r="235" spans="6:6" x14ac:dyDescent="0.35">
      <c r="F235" s="469"/>
    </row>
    <row r="236" spans="6:6" x14ac:dyDescent="0.35">
      <c r="F236" s="469"/>
    </row>
    <row r="237" spans="6:6" x14ac:dyDescent="0.35">
      <c r="F237" s="469"/>
    </row>
    <row r="238" spans="6:6" x14ac:dyDescent="0.35">
      <c r="F238" s="469"/>
    </row>
    <row r="239" spans="6:6" x14ac:dyDescent="0.35">
      <c r="F239" s="469"/>
    </row>
    <row r="240" spans="6:6" x14ac:dyDescent="0.35">
      <c r="F240" s="469"/>
    </row>
    <row r="241" spans="6:6" x14ac:dyDescent="0.35">
      <c r="F241" s="469"/>
    </row>
    <row r="242" spans="6:6" x14ac:dyDescent="0.35">
      <c r="F242" s="469"/>
    </row>
    <row r="243" spans="6:6" x14ac:dyDescent="0.35">
      <c r="F243" s="469"/>
    </row>
    <row r="244" spans="6:6" x14ac:dyDescent="0.35">
      <c r="F244" s="469"/>
    </row>
    <row r="245" spans="6:6" x14ac:dyDescent="0.35">
      <c r="F245" s="469"/>
    </row>
    <row r="246" spans="6:6" x14ac:dyDescent="0.35">
      <c r="F246" s="469"/>
    </row>
    <row r="247" spans="6:6" x14ac:dyDescent="0.35">
      <c r="F247" s="469"/>
    </row>
    <row r="248" spans="6:6" x14ac:dyDescent="0.35">
      <c r="F248" s="469"/>
    </row>
    <row r="249" spans="6:6" x14ac:dyDescent="0.35">
      <c r="F249" s="469"/>
    </row>
    <row r="250" spans="6:6" x14ac:dyDescent="0.35">
      <c r="F250" s="469"/>
    </row>
    <row r="251" spans="6:6" x14ac:dyDescent="0.35">
      <c r="F251" s="469"/>
    </row>
    <row r="252" spans="6:6" x14ac:dyDescent="0.35">
      <c r="F252" s="469"/>
    </row>
    <row r="253" spans="6:6" x14ac:dyDescent="0.35">
      <c r="F253" s="469"/>
    </row>
    <row r="254" spans="6:6" x14ac:dyDescent="0.35">
      <c r="F254" s="469"/>
    </row>
    <row r="255" spans="6:6" x14ac:dyDescent="0.35">
      <c r="F255" s="469"/>
    </row>
    <row r="256" spans="6:6" x14ac:dyDescent="0.35">
      <c r="F256" s="469"/>
    </row>
    <row r="257" spans="6:6" x14ac:dyDescent="0.35">
      <c r="F257" s="469"/>
    </row>
    <row r="258" spans="6:6" x14ac:dyDescent="0.35">
      <c r="F258" s="469"/>
    </row>
    <row r="259" spans="6:6" x14ac:dyDescent="0.35">
      <c r="F259" s="469"/>
    </row>
    <row r="260" spans="6:6" x14ac:dyDescent="0.35">
      <c r="F260" s="469"/>
    </row>
    <row r="261" spans="6:6" x14ac:dyDescent="0.35">
      <c r="F261" s="469"/>
    </row>
    <row r="262" spans="6:6" x14ac:dyDescent="0.35">
      <c r="F262" s="469"/>
    </row>
    <row r="263" spans="6:6" x14ac:dyDescent="0.35">
      <c r="F263" s="469"/>
    </row>
    <row r="264" spans="6:6" x14ac:dyDescent="0.35">
      <c r="F264" s="469"/>
    </row>
    <row r="265" spans="6:6" x14ac:dyDescent="0.35">
      <c r="F265" s="469"/>
    </row>
    <row r="266" spans="6:6" x14ac:dyDescent="0.35">
      <c r="F266" s="469"/>
    </row>
    <row r="267" spans="6:6" x14ac:dyDescent="0.35">
      <c r="F267" s="469"/>
    </row>
    <row r="268" spans="6:6" x14ac:dyDescent="0.35">
      <c r="F268" s="469"/>
    </row>
    <row r="269" spans="6:6" x14ac:dyDescent="0.35">
      <c r="F269" s="469"/>
    </row>
    <row r="270" spans="6:6" x14ac:dyDescent="0.35">
      <c r="F270" s="469"/>
    </row>
    <row r="271" spans="6:6" x14ac:dyDescent="0.35">
      <c r="F271" s="469"/>
    </row>
    <row r="272" spans="6:6" x14ac:dyDescent="0.35">
      <c r="F272" s="469"/>
    </row>
    <row r="273" spans="6:6" x14ac:dyDescent="0.35">
      <c r="F273" s="469"/>
    </row>
    <row r="274" spans="6:6" x14ac:dyDescent="0.35">
      <c r="F274" s="469"/>
    </row>
    <row r="275" spans="6:6" x14ac:dyDescent="0.35">
      <c r="F275" s="469"/>
    </row>
    <row r="276" spans="6:6" x14ac:dyDescent="0.35">
      <c r="F276" s="469"/>
    </row>
    <row r="277" spans="6:6" x14ac:dyDescent="0.35">
      <c r="F277" s="469"/>
    </row>
    <row r="278" spans="6:6" x14ac:dyDescent="0.35">
      <c r="F278" s="469"/>
    </row>
    <row r="279" spans="6:6" x14ac:dyDescent="0.35">
      <c r="F279" s="469"/>
    </row>
    <row r="280" spans="6:6" x14ac:dyDescent="0.35">
      <c r="F280" s="469"/>
    </row>
    <row r="281" spans="6:6" x14ac:dyDescent="0.35">
      <c r="F281" s="469"/>
    </row>
    <row r="282" spans="6:6" x14ac:dyDescent="0.35">
      <c r="F282" s="469"/>
    </row>
    <row r="283" spans="6:6" x14ac:dyDescent="0.35">
      <c r="F283" s="469"/>
    </row>
    <row r="284" spans="6:6" x14ac:dyDescent="0.35">
      <c r="F284" s="469"/>
    </row>
    <row r="285" spans="6:6" x14ac:dyDescent="0.35">
      <c r="F285" s="469"/>
    </row>
    <row r="286" spans="6:6" x14ac:dyDescent="0.35">
      <c r="F286" s="469"/>
    </row>
    <row r="287" spans="6:6" x14ac:dyDescent="0.35">
      <c r="F287" s="469"/>
    </row>
    <row r="288" spans="6:6" x14ac:dyDescent="0.35">
      <c r="F288" s="469"/>
    </row>
    <row r="289" spans="6:6" x14ac:dyDescent="0.35">
      <c r="F289" s="469"/>
    </row>
    <row r="290" spans="6:6" x14ac:dyDescent="0.35">
      <c r="F290" s="469"/>
    </row>
    <row r="291" spans="6:6" x14ac:dyDescent="0.35">
      <c r="F291" s="469"/>
    </row>
    <row r="292" spans="6:6" x14ac:dyDescent="0.35">
      <c r="F292" s="469"/>
    </row>
    <row r="293" spans="6:6" x14ac:dyDescent="0.35">
      <c r="F293" s="469"/>
    </row>
    <row r="294" spans="6:6" x14ac:dyDescent="0.35">
      <c r="F294" s="469"/>
    </row>
    <row r="295" spans="6:6" x14ac:dyDescent="0.35">
      <c r="F295" s="469"/>
    </row>
    <row r="296" spans="6:6" x14ac:dyDescent="0.35">
      <c r="F296" s="469"/>
    </row>
    <row r="297" spans="6:6" x14ac:dyDescent="0.35">
      <c r="F297" s="469"/>
    </row>
    <row r="298" spans="6:6" x14ac:dyDescent="0.35">
      <c r="F298" s="469"/>
    </row>
    <row r="299" spans="6:6" x14ac:dyDescent="0.35">
      <c r="F299" s="469"/>
    </row>
    <row r="300" spans="6:6" x14ac:dyDescent="0.35">
      <c r="F300" s="469"/>
    </row>
    <row r="301" spans="6:6" x14ac:dyDescent="0.35">
      <c r="F301" s="469"/>
    </row>
    <row r="302" spans="6:6" x14ac:dyDescent="0.35">
      <c r="F302" s="469"/>
    </row>
    <row r="303" spans="6:6" x14ac:dyDescent="0.35">
      <c r="F303" s="469"/>
    </row>
    <row r="304" spans="6:6" x14ac:dyDescent="0.35">
      <c r="F304" s="469"/>
    </row>
    <row r="305" spans="6:6" x14ac:dyDescent="0.35">
      <c r="F305" s="469"/>
    </row>
    <row r="306" spans="6:6" x14ac:dyDescent="0.35">
      <c r="F306" s="469"/>
    </row>
    <row r="307" spans="6:6" x14ac:dyDescent="0.35">
      <c r="F307" s="469"/>
    </row>
    <row r="308" spans="6:6" x14ac:dyDescent="0.35">
      <c r="F308" s="469"/>
    </row>
    <row r="309" spans="6:6" x14ac:dyDescent="0.35">
      <c r="F309" s="469"/>
    </row>
    <row r="310" spans="6:6" x14ac:dyDescent="0.35">
      <c r="F310" s="469"/>
    </row>
    <row r="311" spans="6:6" x14ac:dyDescent="0.35">
      <c r="F311" s="469"/>
    </row>
    <row r="312" spans="6:6" x14ac:dyDescent="0.35">
      <c r="F312" s="469"/>
    </row>
    <row r="313" spans="6:6" x14ac:dyDescent="0.35">
      <c r="F313" s="469"/>
    </row>
    <row r="314" spans="6:6" x14ac:dyDescent="0.35">
      <c r="F314" s="469"/>
    </row>
    <row r="315" spans="6:6" x14ac:dyDescent="0.35">
      <c r="F315" s="469"/>
    </row>
    <row r="316" spans="6:6" x14ac:dyDescent="0.35">
      <c r="F316" s="469"/>
    </row>
    <row r="317" spans="6:6" x14ac:dyDescent="0.35">
      <c r="F317" s="469"/>
    </row>
    <row r="318" spans="6:6" x14ac:dyDescent="0.35">
      <c r="F318" s="469"/>
    </row>
    <row r="319" spans="6:6" x14ac:dyDescent="0.35">
      <c r="F319" s="469"/>
    </row>
    <row r="320" spans="6:6" x14ac:dyDescent="0.35">
      <c r="F320" s="469"/>
    </row>
    <row r="321" spans="6:6" x14ac:dyDescent="0.35">
      <c r="F321" s="469"/>
    </row>
    <row r="322" spans="6:6" x14ac:dyDescent="0.35">
      <c r="F322" s="469"/>
    </row>
    <row r="323" spans="6:6" x14ac:dyDescent="0.35">
      <c r="F323" s="469"/>
    </row>
    <row r="324" spans="6:6" x14ac:dyDescent="0.35">
      <c r="F324" s="469"/>
    </row>
    <row r="325" spans="6:6" x14ac:dyDescent="0.35">
      <c r="F325" s="469"/>
    </row>
    <row r="326" spans="6:6" x14ac:dyDescent="0.35">
      <c r="F326" s="469"/>
    </row>
    <row r="327" spans="6:6" x14ac:dyDescent="0.35">
      <c r="F327" s="469"/>
    </row>
    <row r="328" spans="6:6" x14ac:dyDescent="0.35">
      <c r="F328" s="469"/>
    </row>
    <row r="329" spans="6:6" x14ac:dyDescent="0.35">
      <c r="F329" s="469"/>
    </row>
    <row r="330" spans="6:6" x14ac:dyDescent="0.35">
      <c r="F330" s="469"/>
    </row>
    <row r="331" spans="6:6" x14ac:dyDescent="0.35">
      <c r="F331" s="469"/>
    </row>
    <row r="332" spans="6:6" x14ac:dyDescent="0.35">
      <c r="F332" s="469"/>
    </row>
    <row r="333" spans="6:6" x14ac:dyDescent="0.35">
      <c r="F333" s="469"/>
    </row>
    <row r="334" spans="6:6" x14ac:dyDescent="0.35">
      <c r="F334" s="469"/>
    </row>
    <row r="335" spans="6:6" x14ac:dyDescent="0.35">
      <c r="F335" s="469"/>
    </row>
    <row r="336" spans="6:6" x14ac:dyDescent="0.35">
      <c r="F336" s="469"/>
    </row>
    <row r="337" spans="6:6" x14ac:dyDescent="0.35">
      <c r="F337" s="469"/>
    </row>
    <row r="338" spans="6:6" x14ac:dyDescent="0.35">
      <c r="F338" s="469"/>
    </row>
    <row r="339" spans="6:6" x14ac:dyDescent="0.35">
      <c r="F339" s="469"/>
    </row>
    <row r="340" spans="6:6" x14ac:dyDescent="0.35">
      <c r="F340" s="469"/>
    </row>
    <row r="341" spans="6:6" x14ac:dyDescent="0.35">
      <c r="F341" s="469"/>
    </row>
    <row r="342" spans="6:6" x14ac:dyDescent="0.35">
      <c r="F342" s="469"/>
    </row>
    <row r="343" spans="6:6" x14ac:dyDescent="0.35">
      <c r="F343" s="469"/>
    </row>
    <row r="344" spans="6:6" x14ac:dyDescent="0.35">
      <c r="F344" s="469"/>
    </row>
    <row r="345" spans="6:6" x14ac:dyDescent="0.35">
      <c r="F345" s="469"/>
    </row>
    <row r="346" spans="6:6" x14ac:dyDescent="0.35">
      <c r="F346" s="469"/>
    </row>
    <row r="347" spans="6:6" x14ac:dyDescent="0.35">
      <c r="F347" s="469"/>
    </row>
    <row r="348" spans="6:6" x14ac:dyDescent="0.35">
      <c r="F348" s="469"/>
    </row>
    <row r="349" spans="6:6" x14ac:dyDescent="0.35">
      <c r="F349" s="469"/>
    </row>
    <row r="350" spans="6:6" x14ac:dyDescent="0.35">
      <c r="F350" s="469"/>
    </row>
    <row r="351" spans="6:6" x14ac:dyDescent="0.35">
      <c r="F351" s="469"/>
    </row>
    <row r="352" spans="6:6" x14ac:dyDescent="0.35">
      <c r="F352" s="469"/>
    </row>
    <row r="353" spans="6:6" x14ac:dyDescent="0.35">
      <c r="F353" s="469"/>
    </row>
    <row r="354" spans="6:6" x14ac:dyDescent="0.35">
      <c r="F354" s="469"/>
    </row>
    <row r="355" spans="6:6" x14ac:dyDescent="0.35">
      <c r="F355" s="469"/>
    </row>
    <row r="356" spans="6:6" x14ac:dyDescent="0.35">
      <c r="F356" s="469"/>
    </row>
    <row r="357" spans="6:6" x14ac:dyDescent="0.35">
      <c r="F357" s="469"/>
    </row>
    <row r="358" spans="6:6" x14ac:dyDescent="0.35">
      <c r="F358" s="469"/>
    </row>
    <row r="359" spans="6:6" x14ac:dyDescent="0.35">
      <c r="F359" s="469"/>
    </row>
    <row r="360" spans="6:6" x14ac:dyDescent="0.35">
      <c r="F360" s="469"/>
    </row>
    <row r="361" spans="6:6" x14ac:dyDescent="0.35">
      <c r="F361" s="469"/>
    </row>
    <row r="362" spans="6:6" x14ac:dyDescent="0.35">
      <c r="F362" s="469"/>
    </row>
    <row r="363" spans="6:6" x14ac:dyDescent="0.35">
      <c r="F363" s="469"/>
    </row>
    <row r="364" spans="6:6" x14ac:dyDescent="0.35">
      <c r="F364" s="469"/>
    </row>
    <row r="365" spans="6:6" x14ac:dyDescent="0.35">
      <c r="F365" s="469"/>
    </row>
    <row r="366" spans="6:6" x14ac:dyDescent="0.35">
      <c r="F366" s="469"/>
    </row>
    <row r="367" spans="6:6" x14ac:dyDescent="0.35">
      <c r="F367" s="469"/>
    </row>
    <row r="368" spans="6:6" x14ac:dyDescent="0.35">
      <c r="F368" s="469"/>
    </row>
    <row r="369" spans="6:6" x14ac:dyDescent="0.35">
      <c r="F369" s="469"/>
    </row>
    <row r="370" spans="6:6" x14ac:dyDescent="0.35">
      <c r="F370" s="469"/>
    </row>
    <row r="371" spans="6:6" x14ac:dyDescent="0.35">
      <c r="F371" s="469"/>
    </row>
    <row r="372" spans="6:6" x14ac:dyDescent="0.35">
      <c r="F372" s="469"/>
    </row>
    <row r="373" spans="6:6" x14ac:dyDescent="0.35">
      <c r="F373" s="469"/>
    </row>
    <row r="374" spans="6:6" x14ac:dyDescent="0.35">
      <c r="F374" s="469"/>
    </row>
    <row r="375" spans="6:6" x14ac:dyDescent="0.35">
      <c r="F375" s="469"/>
    </row>
    <row r="376" spans="6:6" x14ac:dyDescent="0.35">
      <c r="F376" s="469"/>
    </row>
    <row r="377" spans="6:6" x14ac:dyDescent="0.35">
      <c r="F377" s="469"/>
    </row>
    <row r="378" spans="6:6" x14ac:dyDescent="0.35">
      <c r="F378" s="469"/>
    </row>
    <row r="379" spans="6:6" x14ac:dyDescent="0.35">
      <c r="F379" s="469"/>
    </row>
    <row r="380" spans="6:6" x14ac:dyDescent="0.35">
      <c r="F380" s="469"/>
    </row>
    <row r="381" spans="6:6" x14ac:dyDescent="0.35">
      <c r="F381" s="469"/>
    </row>
    <row r="382" spans="6:6" x14ac:dyDescent="0.35">
      <c r="F382" s="469"/>
    </row>
    <row r="383" spans="6:6" x14ac:dyDescent="0.35">
      <c r="F383" s="469"/>
    </row>
    <row r="384" spans="6:6" x14ac:dyDescent="0.35">
      <c r="F384" s="469"/>
    </row>
    <row r="385" spans="6:6" x14ac:dyDescent="0.35">
      <c r="F385" s="469"/>
    </row>
    <row r="386" spans="6:6" x14ac:dyDescent="0.35">
      <c r="F386" s="469"/>
    </row>
    <row r="387" spans="6:6" x14ac:dyDescent="0.35">
      <c r="F387" s="469"/>
    </row>
    <row r="388" spans="6:6" x14ac:dyDescent="0.35">
      <c r="F388" s="469"/>
    </row>
    <row r="389" spans="6:6" x14ac:dyDescent="0.35">
      <c r="F389" s="469"/>
    </row>
    <row r="390" spans="6:6" x14ac:dyDescent="0.35">
      <c r="F390" s="469"/>
    </row>
    <row r="391" spans="6:6" x14ac:dyDescent="0.35">
      <c r="F391" s="469"/>
    </row>
    <row r="392" spans="6:6" x14ac:dyDescent="0.35">
      <c r="F392" s="469"/>
    </row>
    <row r="393" spans="6:6" x14ac:dyDescent="0.35">
      <c r="F393" s="469"/>
    </row>
    <row r="394" spans="6:6" x14ac:dyDescent="0.35">
      <c r="F394" s="469"/>
    </row>
    <row r="395" spans="6:6" x14ac:dyDescent="0.35">
      <c r="F395" s="469"/>
    </row>
    <row r="396" spans="6:6" x14ac:dyDescent="0.35">
      <c r="F396" s="469"/>
    </row>
    <row r="397" spans="6:6" x14ac:dyDescent="0.35">
      <c r="F397" s="469"/>
    </row>
    <row r="398" spans="6:6" x14ac:dyDescent="0.35">
      <c r="F398" s="469"/>
    </row>
    <row r="399" spans="6:6" x14ac:dyDescent="0.35">
      <c r="F399" s="469"/>
    </row>
    <row r="400" spans="6:6" x14ac:dyDescent="0.35">
      <c r="F400" s="469"/>
    </row>
    <row r="401" spans="6:6" x14ac:dyDescent="0.35">
      <c r="F401" s="469"/>
    </row>
    <row r="402" spans="6:6" x14ac:dyDescent="0.35">
      <c r="F402" s="469"/>
    </row>
    <row r="403" spans="6:6" x14ac:dyDescent="0.35">
      <c r="F403" s="469"/>
    </row>
    <row r="404" spans="6:6" x14ac:dyDescent="0.35">
      <c r="F404" s="469"/>
    </row>
    <row r="405" spans="6:6" x14ac:dyDescent="0.35">
      <c r="F405" s="469"/>
    </row>
    <row r="406" spans="6:6" x14ac:dyDescent="0.35">
      <c r="F406" s="469"/>
    </row>
    <row r="407" spans="6:6" x14ac:dyDescent="0.35">
      <c r="F407" s="469"/>
    </row>
    <row r="408" spans="6:6" x14ac:dyDescent="0.35">
      <c r="F408" s="469"/>
    </row>
    <row r="409" spans="6:6" x14ac:dyDescent="0.35">
      <c r="F409" s="469"/>
    </row>
    <row r="410" spans="6:6" x14ac:dyDescent="0.35">
      <c r="F410" s="469"/>
    </row>
    <row r="411" spans="6:6" x14ac:dyDescent="0.35">
      <c r="F411" s="469"/>
    </row>
    <row r="412" spans="6:6" x14ac:dyDescent="0.35">
      <c r="F412" s="469"/>
    </row>
    <row r="413" spans="6:6" x14ac:dyDescent="0.35">
      <c r="F413" s="469"/>
    </row>
    <row r="414" spans="6:6" x14ac:dyDescent="0.35">
      <c r="F414" s="469"/>
    </row>
    <row r="415" spans="6:6" x14ac:dyDescent="0.35">
      <c r="F415" s="469"/>
    </row>
    <row r="416" spans="6:6" x14ac:dyDescent="0.35">
      <c r="F416" s="469"/>
    </row>
    <row r="417" spans="6:6" x14ac:dyDescent="0.35">
      <c r="F417" s="469"/>
    </row>
    <row r="418" spans="6:6" x14ac:dyDescent="0.35">
      <c r="F418" s="469"/>
    </row>
    <row r="419" spans="6:6" x14ac:dyDescent="0.35">
      <c r="F419" s="469"/>
    </row>
    <row r="420" spans="6:6" x14ac:dyDescent="0.35">
      <c r="F420" s="469"/>
    </row>
    <row r="421" spans="6:6" x14ac:dyDescent="0.35">
      <c r="F421" s="469"/>
    </row>
    <row r="422" spans="6:6" x14ac:dyDescent="0.35">
      <c r="F422" s="469"/>
    </row>
    <row r="423" spans="6:6" x14ac:dyDescent="0.35">
      <c r="F423" s="469"/>
    </row>
    <row r="424" spans="6:6" x14ac:dyDescent="0.35">
      <c r="F424" s="469"/>
    </row>
    <row r="425" spans="6:6" x14ac:dyDescent="0.35">
      <c r="F425" s="469"/>
    </row>
    <row r="426" spans="6:6" x14ac:dyDescent="0.35">
      <c r="F426" s="469"/>
    </row>
    <row r="427" spans="6:6" x14ac:dyDescent="0.35">
      <c r="F427" s="469"/>
    </row>
    <row r="428" spans="6:6" x14ac:dyDescent="0.35">
      <c r="F428" s="469"/>
    </row>
    <row r="429" spans="6:6" x14ac:dyDescent="0.35">
      <c r="F429" s="469"/>
    </row>
    <row r="430" spans="6:6" x14ac:dyDescent="0.35">
      <c r="F430" s="469"/>
    </row>
    <row r="431" spans="6:6" x14ac:dyDescent="0.35">
      <c r="F431" s="469"/>
    </row>
    <row r="432" spans="6:6" x14ac:dyDescent="0.35">
      <c r="F432" s="469"/>
    </row>
    <row r="433" spans="6:6" x14ac:dyDescent="0.35">
      <c r="F433" s="469"/>
    </row>
    <row r="434" spans="6:6" x14ac:dyDescent="0.35">
      <c r="F434" s="469"/>
    </row>
    <row r="435" spans="6:6" x14ac:dyDescent="0.35">
      <c r="F435" s="469"/>
    </row>
    <row r="436" spans="6:6" x14ac:dyDescent="0.35">
      <c r="F436" s="469"/>
    </row>
    <row r="437" spans="6:6" x14ac:dyDescent="0.35">
      <c r="F437" s="469"/>
    </row>
    <row r="438" spans="6:6" x14ac:dyDescent="0.35">
      <c r="F438" s="469"/>
    </row>
    <row r="439" spans="6:6" x14ac:dyDescent="0.35">
      <c r="F439" s="469"/>
    </row>
    <row r="440" spans="6:6" x14ac:dyDescent="0.35">
      <c r="F440" s="469"/>
    </row>
    <row r="441" spans="6:6" x14ac:dyDescent="0.35">
      <c r="F441" s="469"/>
    </row>
    <row r="442" spans="6:6" x14ac:dyDescent="0.35">
      <c r="F442" s="469"/>
    </row>
    <row r="443" spans="6:6" x14ac:dyDescent="0.35">
      <c r="F443" s="469"/>
    </row>
    <row r="444" spans="6:6" x14ac:dyDescent="0.35">
      <c r="F444" s="469"/>
    </row>
    <row r="445" spans="6:6" x14ac:dyDescent="0.35">
      <c r="F445" s="469"/>
    </row>
    <row r="446" spans="6:6" x14ac:dyDescent="0.35">
      <c r="F446" s="469"/>
    </row>
    <row r="447" spans="6:6" x14ac:dyDescent="0.35">
      <c r="F447" s="469"/>
    </row>
    <row r="448" spans="6:6" x14ac:dyDescent="0.35">
      <c r="F448" s="469"/>
    </row>
    <row r="449" spans="6:6" x14ac:dyDescent="0.35">
      <c r="F449" s="469"/>
    </row>
    <row r="450" spans="6:6" x14ac:dyDescent="0.35">
      <c r="F450" s="469"/>
    </row>
    <row r="451" spans="6:6" x14ac:dyDescent="0.35">
      <c r="F451" s="469"/>
    </row>
    <row r="452" spans="6:6" x14ac:dyDescent="0.35">
      <c r="F452" s="469"/>
    </row>
    <row r="453" spans="6:6" x14ac:dyDescent="0.35">
      <c r="F453" s="469"/>
    </row>
    <row r="454" spans="6:6" x14ac:dyDescent="0.35">
      <c r="F454" s="469"/>
    </row>
    <row r="455" spans="6:6" x14ac:dyDescent="0.35">
      <c r="F455" s="469"/>
    </row>
    <row r="456" spans="6:6" x14ac:dyDescent="0.35">
      <c r="F456" s="469"/>
    </row>
    <row r="457" spans="6:6" x14ac:dyDescent="0.35">
      <c r="F457" s="469"/>
    </row>
    <row r="458" spans="6:6" x14ac:dyDescent="0.35">
      <c r="F458" s="469"/>
    </row>
    <row r="459" spans="6:6" x14ac:dyDescent="0.35">
      <c r="F459" s="469"/>
    </row>
    <row r="460" spans="6:6" x14ac:dyDescent="0.35">
      <c r="F460" s="469"/>
    </row>
    <row r="461" spans="6:6" x14ac:dyDescent="0.35">
      <c r="F461" s="469"/>
    </row>
    <row r="462" spans="6:6" x14ac:dyDescent="0.35">
      <c r="F462" s="469"/>
    </row>
    <row r="463" spans="6:6" x14ac:dyDescent="0.35">
      <c r="F463" s="469"/>
    </row>
    <row r="464" spans="6:6" x14ac:dyDescent="0.35">
      <c r="F464" s="469"/>
    </row>
    <row r="465" spans="6:6" x14ac:dyDescent="0.35">
      <c r="F465" s="469"/>
    </row>
    <row r="466" spans="6:6" x14ac:dyDescent="0.35">
      <c r="F466" s="469"/>
    </row>
    <row r="467" spans="6:6" x14ac:dyDescent="0.35">
      <c r="F467" s="469"/>
    </row>
    <row r="468" spans="6:6" x14ac:dyDescent="0.35">
      <c r="F468" s="469"/>
    </row>
    <row r="469" spans="6:6" x14ac:dyDescent="0.35">
      <c r="F469" s="469"/>
    </row>
    <row r="470" spans="6:6" x14ac:dyDescent="0.35">
      <c r="F470" s="469"/>
    </row>
    <row r="471" spans="6:6" x14ac:dyDescent="0.35">
      <c r="F471" s="469"/>
    </row>
    <row r="472" spans="6:6" x14ac:dyDescent="0.35">
      <c r="F472" s="469"/>
    </row>
    <row r="473" spans="6:6" x14ac:dyDescent="0.35">
      <c r="F473" s="469"/>
    </row>
    <row r="474" spans="6:6" x14ac:dyDescent="0.35">
      <c r="F474" s="469"/>
    </row>
    <row r="475" spans="6:6" x14ac:dyDescent="0.35">
      <c r="F475" s="469"/>
    </row>
    <row r="476" spans="6:6" x14ac:dyDescent="0.35">
      <c r="F476" s="469"/>
    </row>
    <row r="477" spans="6:6" x14ac:dyDescent="0.35">
      <c r="F477" s="469"/>
    </row>
    <row r="478" spans="6:6" x14ac:dyDescent="0.35">
      <c r="F478" s="469"/>
    </row>
    <row r="479" spans="6:6" x14ac:dyDescent="0.35">
      <c r="F479" s="469"/>
    </row>
    <row r="480" spans="6:6" x14ac:dyDescent="0.35">
      <c r="F480" s="469"/>
    </row>
    <row r="481" spans="6:6" x14ac:dyDescent="0.35">
      <c r="F481" s="469"/>
    </row>
    <row r="482" spans="6:6" x14ac:dyDescent="0.35">
      <c r="F482" s="469"/>
    </row>
    <row r="483" spans="6:6" x14ac:dyDescent="0.35">
      <c r="F483" s="469"/>
    </row>
    <row r="484" spans="6:6" x14ac:dyDescent="0.35">
      <c r="F484" s="469"/>
    </row>
    <row r="485" spans="6:6" x14ac:dyDescent="0.35">
      <c r="F485" s="469"/>
    </row>
    <row r="486" spans="6:6" x14ac:dyDescent="0.35">
      <c r="F486" s="469"/>
    </row>
    <row r="487" spans="6:6" x14ac:dyDescent="0.35">
      <c r="F487" s="469"/>
    </row>
    <row r="488" spans="6:6" x14ac:dyDescent="0.35">
      <c r="F488" s="469"/>
    </row>
    <row r="489" spans="6:6" x14ac:dyDescent="0.35">
      <c r="F489" s="469"/>
    </row>
    <row r="490" spans="6:6" x14ac:dyDescent="0.35">
      <c r="F490" s="469"/>
    </row>
    <row r="491" spans="6:6" x14ac:dyDescent="0.35">
      <c r="F491" s="469"/>
    </row>
    <row r="492" spans="6:6" x14ac:dyDescent="0.35">
      <c r="F492" s="469"/>
    </row>
    <row r="493" spans="6:6" x14ac:dyDescent="0.35">
      <c r="F493" s="469"/>
    </row>
    <row r="494" spans="6:6" x14ac:dyDescent="0.35">
      <c r="F494" s="469"/>
    </row>
    <row r="495" spans="6:6" x14ac:dyDescent="0.35">
      <c r="F495" s="469"/>
    </row>
    <row r="496" spans="6:6" x14ac:dyDescent="0.35">
      <c r="F496" s="469"/>
    </row>
    <row r="497" spans="6:6" x14ac:dyDescent="0.35">
      <c r="F497" s="469"/>
    </row>
    <row r="498" spans="6:6" x14ac:dyDescent="0.35">
      <c r="F498" s="469"/>
    </row>
    <row r="499" spans="6:6" x14ac:dyDescent="0.35">
      <c r="F499" s="469"/>
    </row>
    <row r="500" spans="6:6" x14ac:dyDescent="0.35">
      <c r="F500" s="469"/>
    </row>
    <row r="501" spans="6:6" x14ac:dyDescent="0.35">
      <c r="F501" s="469"/>
    </row>
    <row r="502" spans="6:6" x14ac:dyDescent="0.35">
      <c r="F502" s="469"/>
    </row>
    <row r="503" spans="6:6" x14ac:dyDescent="0.35">
      <c r="F503" s="469"/>
    </row>
    <row r="504" spans="6:6" x14ac:dyDescent="0.35">
      <c r="F504" s="469"/>
    </row>
    <row r="505" spans="6:6" x14ac:dyDescent="0.35">
      <c r="F505" s="469"/>
    </row>
    <row r="506" spans="6:6" x14ac:dyDescent="0.35">
      <c r="F506" s="469"/>
    </row>
    <row r="507" spans="6:6" x14ac:dyDescent="0.35">
      <c r="F507" s="469"/>
    </row>
    <row r="508" spans="6:6" x14ac:dyDescent="0.35">
      <c r="F508" s="469"/>
    </row>
    <row r="509" spans="6:6" x14ac:dyDescent="0.35">
      <c r="F509" s="469"/>
    </row>
    <row r="510" spans="6:6" x14ac:dyDescent="0.35">
      <c r="F510" s="469"/>
    </row>
    <row r="511" spans="6:6" x14ac:dyDescent="0.35">
      <c r="F511" s="469"/>
    </row>
    <row r="512" spans="6:6" x14ac:dyDescent="0.35">
      <c r="F512" s="469"/>
    </row>
    <row r="513" spans="6:6" x14ac:dyDescent="0.35">
      <c r="F513" s="469"/>
    </row>
    <row r="514" spans="6:6" x14ac:dyDescent="0.35">
      <c r="F514" s="469"/>
    </row>
    <row r="515" spans="6:6" x14ac:dyDescent="0.35">
      <c r="F515" s="469"/>
    </row>
    <row r="516" spans="6:6" x14ac:dyDescent="0.35">
      <c r="F516" s="469"/>
    </row>
    <row r="517" spans="6:6" x14ac:dyDescent="0.35">
      <c r="F517" s="469"/>
    </row>
    <row r="518" spans="6:6" x14ac:dyDescent="0.35">
      <c r="F518" s="469"/>
    </row>
    <row r="519" spans="6:6" x14ac:dyDescent="0.35">
      <c r="F519" s="469"/>
    </row>
    <row r="520" spans="6:6" x14ac:dyDescent="0.35">
      <c r="F520" s="469"/>
    </row>
    <row r="521" spans="6:6" x14ac:dyDescent="0.35">
      <c r="F521" s="469"/>
    </row>
    <row r="522" spans="6:6" x14ac:dyDescent="0.35">
      <c r="F522" s="469"/>
    </row>
    <row r="523" spans="6:6" x14ac:dyDescent="0.35">
      <c r="F523" s="469"/>
    </row>
    <row r="524" spans="6:6" x14ac:dyDescent="0.35">
      <c r="F524" s="469"/>
    </row>
    <row r="525" spans="6:6" x14ac:dyDescent="0.35">
      <c r="F525" s="469"/>
    </row>
    <row r="526" spans="6:6" x14ac:dyDescent="0.35">
      <c r="F526" s="469"/>
    </row>
    <row r="527" spans="6:6" x14ac:dyDescent="0.35">
      <c r="F527" s="469"/>
    </row>
    <row r="528" spans="6:6" x14ac:dyDescent="0.35">
      <c r="F528" s="469"/>
    </row>
    <row r="529" spans="6:6" x14ac:dyDescent="0.35">
      <c r="F529" s="469"/>
    </row>
    <row r="530" spans="6:6" x14ac:dyDescent="0.35">
      <c r="F530" s="469"/>
    </row>
    <row r="531" spans="6:6" x14ac:dyDescent="0.35">
      <c r="F531" s="469"/>
    </row>
    <row r="532" spans="6:6" x14ac:dyDescent="0.35">
      <c r="F532" s="469"/>
    </row>
    <row r="533" spans="6:6" x14ac:dyDescent="0.35">
      <c r="F533" s="469"/>
    </row>
    <row r="534" spans="6:6" x14ac:dyDescent="0.35">
      <c r="F534" s="469"/>
    </row>
    <row r="535" spans="6:6" x14ac:dyDescent="0.35">
      <c r="F535" s="469"/>
    </row>
    <row r="536" spans="6:6" x14ac:dyDescent="0.35">
      <c r="F536" s="469"/>
    </row>
    <row r="537" spans="6:6" x14ac:dyDescent="0.35">
      <c r="F537" s="469"/>
    </row>
    <row r="538" spans="6:6" x14ac:dyDescent="0.35">
      <c r="F538" s="469"/>
    </row>
    <row r="539" spans="6:6" x14ac:dyDescent="0.35">
      <c r="F539" s="469"/>
    </row>
    <row r="540" spans="6:6" x14ac:dyDescent="0.35">
      <c r="F540" s="469"/>
    </row>
    <row r="541" spans="6:6" x14ac:dyDescent="0.35">
      <c r="F541" s="469"/>
    </row>
    <row r="542" spans="6:6" x14ac:dyDescent="0.35">
      <c r="F542" s="469"/>
    </row>
    <row r="543" spans="6:6" x14ac:dyDescent="0.35">
      <c r="F543" s="469"/>
    </row>
    <row r="544" spans="6:6" x14ac:dyDescent="0.35">
      <c r="F544" s="469"/>
    </row>
    <row r="545" spans="6:6" x14ac:dyDescent="0.35">
      <c r="F545" s="469"/>
    </row>
    <row r="546" spans="6:6" x14ac:dyDescent="0.35">
      <c r="F546" s="469"/>
    </row>
    <row r="547" spans="6:6" x14ac:dyDescent="0.35">
      <c r="F547" s="469"/>
    </row>
    <row r="548" spans="6:6" x14ac:dyDescent="0.35">
      <c r="F548" s="469"/>
    </row>
    <row r="549" spans="6:6" x14ac:dyDescent="0.35">
      <c r="F549" s="469"/>
    </row>
    <row r="550" spans="6:6" x14ac:dyDescent="0.35">
      <c r="F550" s="469"/>
    </row>
    <row r="551" spans="6:6" x14ac:dyDescent="0.35">
      <c r="F551" s="469"/>
    </row>
    <row r="552" spans="6:6" x14ac:dyDescent="0.35">
      <c r="F552" s="469"/>
    </row>
    <row r="553" spans="6:6" x14ac:dyDescent="0.35">
      <c r="F553" s="469"/>
    </row>
    <row r="554" spans="6:6" x14ac:dyDescent="0.35">
      <c r="F554" s="469"/>
    </row>
    <row r="555" spans="6:6" x14ac:dyDescent="0.35">
      <c r="F555" s="469"/>
    </row>
    <row r="556" spans="6:6" x14ac:dyDescent="0.35">
      <c r="F556" s="469"/>
    </row>
    <row r="557" spans="6:6" x14ac:dyDescent="0.35">
      <c r="F557" s="469"/>
    </row>
    <row r="558" spans="6:6" x14ac:dyDescent="0.35">
      <c r="F558" s="469"/>
    </row>
    <row r="559" spans="6:6" x14ac:dyDescent="0.35">
      <c r="F559" s="469"/>
    </row>
    <row r="560" spans="6:6" x14ac:dyDescent="0.35">
      <c r="F560" s="469"/>
    </row>
    <row r="561" spans="6:6" x14ac:dyDescent="0.35">
      <c r="F561" s="469"/>
    </row>
    <row r="562" spans="6:6" x14ac:dyDescent="0.35">
      <c r="F562" s="469"/>
    </row>
    <row r="563" spans="6:6" x14ac:dyDescent="0.35">
      <c r="F563" s="469"/>
    </row>
    <row r="564" spans="6:6" x14ac:dyDescent="0.35">
      <c r="F564" s="469"/>
    </row>
    <row r="565" spans="6:6" x14ac:dyDescent="0.35">
      <c r="F565" s="469"/>
    </row>
    <row r="566" spans="6:6" x14ac:dyDescent="0.35">
      <c r="F566" s="469"/>
    </row>
    <row r="567" spans="6:6" x14ac:dyDescent="0.35">
      <c r="F567" s="469"/>
    </row>
    <row r="568" spans="6:6" x14ac:dyDescent="0.35">
      <c r="F568" s="469"/>
    </row>
    <row r="569" spans="6:6" x14ac:dyDescent="0.35">
      <c r="F569" s="469"/>
    </row>
    <row r="570" spans="6:6" x14ac:dyDescent="0.35">
      <c r="F570" s="469"/>
    </row>
    <row r="571" spans="6:6" x14ac:dyDescent="0.35">
      <c r="F571" s="469"/>
    </row>
    <row r="572" spans="6:6" x14ac:dyDescent="0.35">
      <c r="F572" s="469"/>
    </row>
    <row r="573" spans="6:6" x14ac:dyDescent="0.35">
      <c r="F573" s="469"/>
    </row>
    <row r="574" spans="6:6" x14ac:dyDescent="0.35">
      <c r="F574" s="469"/>
    </row>
    <row r="575" spans="6:6" x14ac:dyDescent="0.35">
      <c r="F575" s="469"/>
    </row>
    <row r="576" spans="6:6" x14ac:dyDescent="0.35">
      <c r="F576" s="469"/>
    </row>
    <row r="577" spans="6:6" x14ac:dyDescent="0.35">
      <c r="F577" s="469"/>
    </row>
    <row r="578" spans="6:6" x14ac:dyDescent="0.35">
      <c r="F578" s="469"/>
    </row>
    <row r="579" spans="6:6" x14ac:dyDescent="0.35">
      <c r="F579" s="469"/>
    </row>
    <row r="580" spans="6:6" x14ac:dyDescent="0.35">
      <c r="F580" s="469"/>
    </row>
    <row r="581" spans="6:6" x14ac:dyDescent="0.35">
      <c r="F581" s="469"/>
    </row>
    <row r="582" spans="6:6" x14ac:dyDescent="0.35">
      <c r="F582" s="469"/>
    </row>
    <row r="583" spans="6:6" x14ac:dyDescent="0.35">
      <c r="F583" s="469"/>
    </row>
    <row r="584" spans="6:6" x14ac:dyDescent="0.35">
      <c r="F584" s="469"/>
    </row>
    <row r="585" spans="6:6" x14ac:dyDescent="0.35">
      <c r="F585" s="469"/>
    </row>
    <row r="586" spans="6:6" x14ac:dyDescent="0.35">
      <c r="F586" s="469"/>
    </row>
    <row r="587" spans="6:6" x14ac:dyDescent="0.35">
      <c r="F587" s="469"/>
    </row>
    <row r="588" spans="6:6" x14ac:dyDescent="0.35">
      <c r="F588" s="469"/>
    </row>
    <row r="589" spans="6:6" x14ac:dyDescent="0.35">
      <c r="F589" s="469"/>
    </row>
    <row r="590" spans="6:6" x14ac:dyDescent="0.35">
      <c r="F590" s="469"/>
    </row>
    <row r="591" spans="6:6" x14ac:dyDescent="0.35">
      <c r="F591" s="469"/>
    </row>
    <row r="592" spans="6:6" x14ac:dyDescent="0.35">
      <c r="F592" s="469"/>
    </row>
    <row r="593" spans="6:6" x14ac:dyDescent="0.35">
      <c r="F593" s="469"/>
    </row>
    <row r="594" spans="6:6" x14ac:dyDescent="0.35">
      <c r="F594" s="469"/>
    </row>
    <row r="595" spans="6:6" x14ac:dyDescent="0.35">
      <c r="F595" s="469"/>
    </row>
    <row r="596" spans="6:6" x14ac:dyDescent="0.35">
      <c r="F596" s="469"/>
    </row>
    <row r="597" spans="6:6" x14ac:dyDescent="0.35">
      <c r="F597" s="469"/>
    </row>
    <row r="598" spans="6:6" x14ac:dyDescent="0.35">
      <c r="F598" s="469"/>
    </row>
    <row r="599" spans="6:6" x14ac:dyDescent="0.35">
      <c r="F599" s="469"/>
    </row>
    <row r="600" spans="6:6" x14ac:dyDescent="0.35">
      <c r="F600" s="469"/>
    </row>
    <row r="601" spans="6:6" x14ac:dyDescent="0.35">
      <c r="F601" s="469"/>
    </row>
    <row r="602" spans="6:6" x14ac:dyDescent="0.35">
      <c r="F602" s="469"/>
    </row>
    <row r="603" spans="6:6" x14ac:dyDescent="0.35">
      <c r="F603" s="469"/>
    </row>
    <row r="604" spans="6:6" x14ac:dyDescent="0.35">
      <c r="F604" s="469"/>
    </row>
    <row r="605" spans="6:6" x14ac:dyDescent="0.35">
      <c r="F605" s="469"/>
    </row>
    <row r="606" spans="6:6" x14ac:dyDescent="0.35">
      <c r="F606" s="469"/>
    </row>
    <row r="607" spans="6:6" x14ac:dyDescent="0.35">
      <c r="F607" s="469"/>
    </row>
    <row r="608" spans="6:6" x14ac:dyDescent="0.35">
      <c r="F608" s="469"/>
    </row>
    <row r="609" spans="6:6" x14ac:dyDescent="0.35">
      <c r="F609" s="469"/>
    </row>
    <row r="610" spans="6:6" x14ac:dyDescent="0.35">
      <c r="F610" s="469"/>
    </row>
    <row r="611" spans="6:6" x14ac:dyDescent="0.35">
      <c r="F611" s="469"/>
    </row>
    <row r="612" spans="6:6" x14ac:dyDescent="0.35">
      <c r="F612" s="469"/>
    </row>
    <row r="613" spans="6:6" x14ac:dyDescent="0.35">
      <c r="F613" s="469"/>
    </row>
    <row r="614" spans="6:6" x14ac:dyDescent="0.35">
      <c r="F614" s="469"/>
    </row>
    <row r="615" spans="6:6" x14ac:dyDescent="0.35">
      <c r="F615" s="469"/>
    </row>
    <row r="616" spans="6:6" x14ac:dyDescent="0.35">
      <c r="F616" s="469"/>
    </row>
    <row r="617" spans="6:6" x14ac:dyDescent="0.35">
      <c r="F617" s="469"/>
    </row>
    <row r="618" spans="6:6" x14ac:dyDescent="0.35">
      <c r="F618" s="469"/>
    </row>
    <row r="619" spans="6:6" x14ac:dyDescent="0.35">
      <c r="F619" s="469"/>
    </row>
    <row r="620" spans="6:6" x14ac:dyDescent="0.35">
      <c r="F620" s="469"/>
    </row>
    <row r="621" spans="6:6" x14ac:dyDescent="0.35">
      <c r="F621" s="469"/>
    </row>
    <row r="622" spans="6:6" x14ac:dyDescent="0.35">
      <c r="F622" s="469"/>
    </row>
    <row r="623" spans="6:6" x14ac:dyDescent="0.35">
      <c r="F623" s="469"/>
    </row>
    <row r="624" spans="6:6" x14ac:dyDescent="0.35">
      <c r="F624" s="469"/>
    </row>
    <row r="625" spans="6:6" x14ac:dyDescent="0.35">
      <c r="F625" s="469"/>
    </row>
    <row r="626" spans="6:6" x14ac:dyDescent="0.35">
      <c r="F626" s="469"/>
    </row>
    <row r="627" spans="6:6" x14ac:dyDescent="0.35">
      <c r="F627" s="469"/>
    </row>
    <row r="628" spans="6:6" x14ac:dyDescent="0.35">
      <c r="F628" s="469"/>
    </row>
    <row r="629" spans="6:6" x14ac:dyDescent="0.35">
      <c r="F629" s="469"/>
    </row>
    <row r="630" spans="6:6" x14ac:dyDescent="0.35">
      <c r="F630" s="469"/>
    </row>
    <row r="631" spans="6:6" x14ac:dyDescent="0.35">
      <c r="F631" s="469"/>
    </row>
    <row r="632" spans="6:6" x14ac:dyDescent="0.35">
      <c r="F632" s="469"/>
    </row>
    <row r="633" spans="6:6" x14ac:dyDescent="0.35">
      <c r="F633" s="469"/>
    </row>
    <row r="634" spans="6:6" x14ac:dyDescent="0.35">
      <c r="F634" s="469"/>
    </row>
    <row r="635" spans="6:6" x14ac:dyDescent="0.35">
      <c r="F635" s="469"/>
    </row>
    <row r="636" spans="6:6" x14ac:dyDescent="0.35">
      <c r="F636" s="469"/>
    </row>
    <row r="637" spans="6:6" x14ac:dyDescent="0.35">
      <c r="F637" s="469"/>
    </row>
    <row r="638" spans="6:6" x14ac:dyDescent="0.35">
      <c r="F638" s="469"/>
    </row>
    <row r="639" spans="6:6" x14ac:dyDescent="0.35">
      <c r="F639" s="469"/>
    </row>
    <row r="640" spans="6:6" x14ac:dyDescent="0.35">
      <c r="F640" s="469"/>
    </row>
    <row r="641" spans="6:6" x14ac:dyDescent="0.35">
      <c r="F641" s="469"/>
    </row>
    <row r="642" spans="6:6" x14ac:dyDescent="0.35">
      <c r="F642" s="469"/>
    </row>
    <row r="643" spans="6:6" x14ac:dyDescent="0.35">
      <c r="F643" s="469"/>
    </row>
    <row r="644" spans="6:6" x14ac:dyDescent="0.35">
      <c r="F644" s="469"/>
    </row>
    <row r="645" spans="6:6" x14ac:dyDescent="0.35">
      <c r="F645" s="469"/>
    </row>
    <row r="646" spans="6:6" x14ac:dyDescent="0.35">
      <c r="F646" s="469"/>
    </row>
    <row r="647" spans="6:6" x14ac:dyDescent="0.35">
      <c r="F647" s="469"/>
    </row>
    <row r="648" spans="6:6" x14ac:dyDescent="0.35">
      <c r="F648" s="469"/>
    </row>
    <row r="649" spans="6:6" x14ac:dyDescent="0.35">
      <c r="F649" s="469"/>
    </row>
    <row r="650" spans="6:6" x14ac:dyDescent="0.35">
      <c r="F650" s="469"/>
    </row>
    <row r="651" spans="6:6" x14ac:dyDescent="0.35">
      <c r="F651" s="469"/>
    </row>
    <row r="652" spans="6:6" x14ac:dyDescent="0.35">
      <c r="F652" s="469"/>
    </row>
    <row r="653" spans="6:6" x14ac:dyDescent="0.35">
      <c r="F653" s="469"/>
    </row>
    <row r="654" spans="6:6" x14ac:dyDescent="0.35">
      <c r="F654" s="469"/>
    </row>
    <row r="655" spans="6:6" x14ac:dyDescent="0.35">
      <c r="F655" s="469"/>
    </row>
    <row r="656" spans="6:6" x14ac:dyDescent="0.35">
      <c r="F656" s="469"/>
    </row>
    <row r="657" spans="6:6" x14ac:dyDescent="0.35">
      <c r="F657" s="469"/>
    </row>
    <row r="658" spans="6:6" x14ac:dyDescent="0.35">
      <c r="F658" s="469"/>
    </row>
    <row r="659" spans="6:6" x14ac:dyDescent="0.35">
      <c r="F659" s="469"/>
    </row>
    <row r="660" spans="6:6" x14ac:dyDescent="0.35">
      <c r="F660" s="469"/>
    </row>
    <row r="661" spans="6:6" x14ac:dyDescent="0.35">
      <c r="F661" s="469"/>
    </row>
    <row r="662" spans="6:6" x14ac:dyDescent="0.35">
      <c r="F662" s="469"/>
    </row>
    <row r="663" spans="6:6" x14ac:dyDescent="0.35">
      <c r="F663" s="469"/>
    </row>
    <row r="664" spans="6:6" x14ac:dyDescent="0.35">
      <c r="F664" s="469"/>
    </row>
    <row r="665" spans="6:6" x14ac:dyDescent="0.35">
      <c r="F665" s="469"/>
    </row>
    <row r="666" spans="6:6" x14ac:dyDescent="0.35">
      <c r="F666" s="469"/>
    </row>
    <row r="667" spans="6:6" x14ac:dyDescent="0.35">
      <c r="F667" s="469"/>
    </row>
    <row r="668" spans="6:6" x14ac:dyDescent="0.35">
      <c r="F668" s="469"/>
    </row>
    <row r="669" spans="6:6" x14ac:dyDescent="0.35">
      <c r="F669" s="469"/>
    </row>
    <row r="670" spans="6:6" x14ac:dyDescent="0.35">
      <c r="F670" s="469"/>
    </row>
    <row r="671" spans="6:6" x14ac:dyDescent="0.35">
      <c r="F671" s="469"/>
    </row>
    <row r="672" spans="6:6" x14ac:dyDescent="0.35">
      <c r="F672" s="469"/>
    </row>
    <row r="673" spans="6:6" x14ac:dyDescent="0.35">
      <c r="F673" s="469"/>
    </row>
    <row r="674" spans="6:6" x14ac:dyDescent="0.35">
      <c r="F674" s="469"/>
    </row>
    <row r="675" spans="6:6" x14ac:dyDescent="0.35">
      <c r="F675" s="469"/>
    </row>
    <row r="676" spans="6:6" x14ac:dyDescent="0.35">
      <c r="F676" s="469"/>
    </row>
    <row r="677" spans="6:6" x14ac:dyDescent="0.35">
      <c r="F677" s="469"/>
    </row>
    <row r="678" spans="6:6" x14ac:dyDescent="0.35">
      <c r="F678" s="469"/>
    </row>
    <row r="679" spans="6:6" x14ac:dyDescent="0.35">
      <c r="F679" s="469"/>
    </row>
    <row r="680" spans="6:6" x14ac:dyDescent="0.35">
      <c r="F680" s="469"/>
    </row>
    <row r="681" spans="6:6" x14ac:dyDescent="0.35">
      <c r="F681" s="469"/>
    </row>
    <row r="682" spans="6:6" x14ac:dyDescent="0.35">
      <c r="F682" s="469"/>
    </row>
    <row r="683" spans="6:6" x14ac:dyDescent="0.35">
      <c r="F683" s="469"/>
    </row>
    <row r="684" spans="6:6" x14ac:dyDescent="0.35">
      <c r="F684" s="469"/>
    </row>
    <row r="685" spans="6:6" x14ac:dyDescent="0.35">
      <c r="F685" s="469"/>
    </row>
    <row r="686" spans="6:6" x14ac:dyDescent="0.35">
      <c r="F686" s="469"/>
    </row>
    <row r="687" spans="6:6" x14ac:dyDescent="0.35">
      <c r="F687" s="469"/>
    </row>
    <row r="688" spans="6:6" x14ac:dyDescent="0.35">
      <c r="F688" s="469"/>
    </row>
    <row r="689" spans="6:6" x14ac:dyDescent="0.35">
      <c r="F689" s="469"/>
    </row>
    <row r="690" spans="6:6" x14ac:dyDescent="0.35">
      <c r="F690" s="469"/>
    </row>
    <row r="691" spans="6:6" x14ac:dyDescent="0.35">
      <c r="F691" s="469"/>
    </row>
    <row r="692" spans="6:6" x14ac:dyDescent="0.35">
      <c r="F692" s="469"/>
    </row>
    <row r="693" spans="6:6" x14ac:dyDescent="0.35">
      <c r="F693" s="469"/>
    </row>
    <row r="694" spans="6:6" x14ac:dyDescent="0.35">
      <c r="F694" s="469"/>
    </row>
    <row r="695" spans="6:6" x14ac:dyDescent="0.35">
      <c r="F695" s="469"/>
    </row>
    <row r="696" spans="6:6" x14ac:dyDescent="0.35">
      <c r="F696" s="469"/>
    </row>
    <row r="697" spans="6:6" x14ac:dyDescent="0.35">
      <c r="F697" s="469"/>
    </row>
    <row r="698" spans="6:6" x14ac:dyDescent="0.35">
      <c r="F698" s="469"/>
    </row>
    <row r="699" spans="6:6" x14ac:dyDescent="0.35">
      <c r="F699" s="469"/>
    </row>
    <row r="700" spans="6:6" x14ac:dyDescent="0.35">
      <c r="F700" s="469"/>
    </row>
    <row r="701" spans="6:6" x14ac:dyDescent="0.35">
      <c r="F701" s="469"/>
    </row>
    <row r="702" spans="6:6" x14ac:dyDescent="0.35">
      <c r="F702" s="469"/>
    </row>
    <row r="703" spans="6:6" x14ac:dyDescent="0.35">
      <c r="F703" s="469"/>
    </row>
    <row r="704" spans="6:6" x14ac:dyDescent="0.35">
      <c r="F704" s="469"/>
    </row>
    <row r="705" spans="6:6" x14ac:dyDescent="0.35">
      <c r="F705" s="469"/>
    </row>
    <row r="706" spans="6:6" x14ac:dyDescent="0.35">
      <c r="F706" s="469"/>
    </row>
    <row r="707" spans="6:6" x14ac:dyDescent="0.35">
      <c r="F707" s="469"/>
    </row>
    <row r="708" spans="6:6" x14ac:dyDescent="0.35">
      <c r="F708" s="469"/>
    </row>
    <row r="709" spans="6:6" x14ac:dyDescent="0.35">
      <c r="F709" s="469"/>
    </row>
    <row r="710" spans="6:6" x14ac:dyDescent="0.35">
      <c r="F710" s="469"/>
    </row>
    <row r="711" spans="6:6" x14ac:dyDescent="0.35">
      <c r="F711" s="469"/>
    </row>
    <row r="712" spans="6:6" x14ac:dyDescent="0.35">
      <c r="F712" s="469"/>
    </row>
    <row r="713" spans="6:6" x14ac:dyDescent="0.35">
      <c r="F713" s="469"/>
    </row>
    <row r="714" spans="6:6" x14ac:dyDescent="0.35">
      <c r="F714" s="469"/>
    </row>
    <row r="715" spans="6:6" x14ac:dyDescent="0.35">
      <c r="F715" s="469"/>
    </row>
    <row r="716" spans="6:6" x14ac:dyDescent="0.35">
      <c r="F716" s="469"/>
    </row>
    <row r="717" spans="6:6" x14ac:dyDescent="0.35">
      <c r="F717" s="469"/>
    </row>
    <row r="718" spans="6:6" x14ac:dyDescent="0.35">
      <c r="F718" s="469"/>
    </row>
    <row r="719" spans="6:6" x14ac:dyDescent="0.35">
      <c r="F719" s="469"/>
    </row>
    <row r="720" spans="6:6" x14ac:dyDescent="0.35">
      <c r="F720" s="469"/>
    </row>
    <row r="721" spans="6:6" x14ac:dyDescent="0.35">
      <c r="F721" s="469"/>
    </row>
    <row r="722" spans="6:6" x14ac:dyDescent="0.35">
      <c r="F722" s="469"/>
    </row>
    <row r="723" spans="6:6" x14ac:dyDescent="0.35">
      <c r="F723" s="469"/>
    </row>
    <row r="724" spans="6:6" x14ac:dyDescent="0.35">
      <c r="F724" s="469"/>
    </row>
    <row r="725" spans="6:6" x14ac:dyDescent="0.35">
      <c r="F725" s="469"/>
    </row>
    <row r="726" spans="6:6" x14ac:dyDescent="0.35">
      <c r="F726" s="469"/>
    </row>
    <row r="727" spans="6:6" x14ac:dyDescent="0.35">
      <c r="F727" s="469"/>
    </row>
    <row r="728" spans="6:6" x14ac:dyDescent="0.35">
      <c r="F728" s="469"/>
    </row>
    <row r="729" spans="6:6" x14ac:dyDescent="0.35">
      <c r="F729" s="469"/>
    </row>
    <row r="730" spans="6:6" x14ac:dyDescent="0.35">
      <c r="F730" s="469"/>
    </row>
    <row r="731" spans="6:6" x14ac:dyDescent="0.35">
      <c r="F731" s="469"/>
    </row>
    <row r="732" spans="6:6" x14ac:dyDescent="0.35">
      <c r="F732" s="469"/>
    </row>
    <row r="733" spans="6:6" x14ac:dyDescent="0.35">
      <c r="F733" s="469"/>
    </row>
    <row r="734" spans="6:6" x14ac:dyDescent="0.35">
      <c r="F734" s="469"/>
    </row>
    <row r="735" spans="6:6" x14ac:dyDescent="0.35">
      <c r="F735" s="469"/>
    </row>
    <row r="736" spans="6:6" x14ac:dyDescent="0.35">
      <c r="F736" s="469"/>
    </row>
    <row r="737" spans="6:6" x14ac:dyDescent="0.35">
      <c r="F737" s="469"/>
    </row>
    <row r="738" spans="6:6" x14ac:dyDescent="0.35">
      <c r="F738" s="469"/>
    </row>
    <row r="739" spans="6:6" x14ac:dyDescent="0.35">
      <c r="F739" s="469"/>
    </row>
    <row r="740" spans="6:6" x14ac:dyDescent="0.35">
      <c r="F740" s="469"/>
    </row>
    <row r="741" spans="6:6" x14ac:dyDescent="0.35">
      <c r="F741" s="469"/>
    </row>
    <row r="742" spans="6:6" x14ac:dyDescent="0.35">
      <c r="F742" s="469"/>
    </row>
    <row r="743" spans="6:6" x14ac:dyDescent="0.35">
      <c r="F743" s="469"/>
    </row>
    <row r="744" spans="6:6" x14ac:dyDescent="0.35">
      <c r="F744" s="469"/>
    </row>
    <row r="745" spans="6:6" x14ac:dyDescent="0.35">
      <c r="F745" s="469"/>
    </row>
    <row r="746" spans="6:6" x14ac:dyDescent="0.35">
      <c r="F746" s="469"/>
    </row>
    <row r="747" spans="6:6" x14ac:dyDescent="0.35">
      <c r="F747" s="469"/>
    </row>
    <row r="748" spans="6:6" x14ac:dyDescent="0.35">
      <c r="F748" s="469"/>
    </row>
    <row r="749" spans="6:6" x14ac:dyDescent="0.35">
      <c r="F749" s="469"/>
    </row>
    <row r="750" spans="6:6" x14ac:dyDescent="0.35">
      <c r="F750" s="469"/>
    </row>
    <row r="751" spans="6:6" x14ac:dyDescent="0.35">
      <c r="F751" s="469"/>
    </row>
    <row r="752" spans="6:6" x14ac:dyDescent="0.35">
      <c r="F752" s="469"/>
    </row>
    <row r="753" spans="6:6" x14ac:dyDescent="0.35">
      <c r="F753" s="469"/>
    </row>
    <row r="754" spans="6:6" x14ac:dyDescent="0.35">
      <c r="F754" s="469"/>
    </row>
    <row r="755" spans="6:6" x14ac:dyDescent="0.35">
      <c r="F755" s="469"/>
    </row>
    <row r="756" spans="6:6" x14ac:dyDescent="0.35">
      <c r="F756" s="469"/>
    </row>
    <row r="757" spans="6:6" x14ac:dyDescent="0.35">
      <c r="F757" s="469"/>
    </row>
    <row r="758" spans="6:6" x14ac:dyDescent="0.35">
      <c r="F758" s="469"/>
    </row>
    <row r="759" spans="6:6" x14ac:dyDescent="0.35">
      <c r="F759" s="469"/>
    </row>
    <row r="760" spans="6:6" x14ac:dyDescent="0.35">
      <c r="F760" s="469"/>
    </row>
    <row r="761" spans="6:6" x14ac:dyDescent="0.35">
      <c r="F761" s="469"/>
    </row>
    <row r="762" spans="6:6" x14ac:dyDescent="0.35">
      <c r="F762" s="469"/>
    </row>
    <row r="763" spans="6:6" x14ac:dyDescent="0.35">
      <c r="F763" s="469"/>
    </row>
    <row r="764" spans="6:6" x14ac:dyDescent="0.35">
      <c r="F764" s="469"/>
    </row>
    <row r="765" spans="6:6" x14ac:dyDescent="0.35">
      <c r="F765" s="469"/>
    </row>
    <row r="766" spans="6:6" x14ac:dyDescent="0.35">
      <c r="F766" s="469"/>
    </row>
    <row r="767" spans="6:6" x14ac:dyDescent="0.35">
      <c r="F767" s="469"/>
    </row>
    <row r="768" spans="6:6" x14ac:dyDescent="0.35">
      <c r="F768" s="469"/>
    </row>
    <row r="769" spans="6:6" x14ac:dyDescent="0.35">
      <c r="F769" s="469"/>
    </row>
    <row r="770" spans="6:6" x14ac:dyDescent="0.35">
      <c r="F770" s="469"/>
    </row>
    <row r="771" spans="6:6" x14ac:dyDescent="0.35">
      <c r="F771" s="469"/>
    </row>
    <row r="772" spans="6:6" x14ac:dyDescent="0.35">
      <c r="F772" s="469"/>
    </row>
    <row r="773" spans="6:6" x14ac:dyDescent="0.35">
      <c r="F773" s="469"/>
    </row>
    <row r="774" spans="6:6" x14ac:dyDescent="0.35">
      <c r="F774" s="469"/>
    </row>
    <row r="775" spans="6:6" x14ac:dyDescent="0.35">
      <c r="F775" s="469"/>
    </row>
    <row r="776" spans="6:6" x14ac:dyDescent="0.35">
      <c r="F776" s="469"/>
    </row>
    <row r="777" spans="6:6" x14ac:dyDescent="0.35">
      <c r="F777" s="469"/>
    </row>
    <row r="778" spans="6:6" x14ac:dyDescent="0.35">
      <c r="F778" s="469"/>
    </row>
    <row r="779" spans="6:6" x14ac:dyDescent="0.35">
      <c r="F779" s="469"/>
    </row>
    <row r="780" spans="6:6" x14ac:dyDescent="0.35">
      <c r="F780" s="469"/>
    </row>
    <row r="781" spans="6:6" x14ac:dyDescent="0.35">
      <c r="F781" s="469"/>
    </row>
    <row r="782" spans="6:6" x14ac:dyDescent="0.35">
      <c r="F782" s="469"/>
    </row>
    <row r="783" spans="6:6" x14ac:dyDescent="0.35">
      <c r="F783" s="469"/>
    </row>
    <row r="784" spans="6:6" x14ac:dyDescent="0.35">
      <c r="F784" s="469"/>
    </row>
    <row r="785" spans="6:6" x14ac:dyDescent="0.35">
      <c r="F785" s="469"/>
    </row>
    <row r="786" spans="6:6" x14ac:dyDescent="0.35">
      <c r="F786" s="469"/>
    </row>
    <row r="787" spans="6:6" x14ac:dyDescent="0.35">
      <c r="F787" s="469"/>
    </row>
    <row r="788" spans="6:6" x14ac:dyDescent="0.35">
      <c r="F788" s="469"/>
    </row>
    <row r="789" spans="6:6" x14ac:dyDescent="0.35">
      <c r="F789" s="469"/>
    </row>
    <row r="790" spans="6:6" x14ac:dyDescent="0.35">
      <c r="F790" s="469"/>
    </row>
    <row r="791" spans="6:6" x14ac:dyDescent="0.35">
      <c r="F791" s="469"/>
    </row>
    <row r="792" spans="6:6" x14ac:dyDescent="0.35">
      <c r="F792" s="469"/>
    </row>
    <row r="793" spans="6:6" x14ac:dyDescent="0.35">
      <c r="F793" s="469"/>
    </row>
    <row r="794" spans="6:6" x14ac:dyDescent="0.35">
      <c r="F794" s="469"/>
    </row>
    <row r="795" spans="6:6" x14ac:dyDescent="0.35">
      <c r="F795" s="469"/>
    </row>
    <row r="796" spans="6:6" x14ac:dyDescent="0.35">
      <c r="F796" s="469"/>
    </row>
    <row r="797" spans="6:6" x14ac:dyDescent="0.35">
      <c r="F797" s="469"/>
    </row>
    <row r="798" spans="6:6" x14ac:dyDescent="0.35">
      <c r="F798" s="469"/>
    </row>
    <row r="799" spans="6:6" x14ac:dyDescent="0.35">
      <c r="F799" s="469"/>
    </row>
    <row r="800" spans="6:6" x14ac:dyDescent="0.35">
      <c r="F800" s="469"/>
    </row>
    <row r="801" spans="6:6" x14ac:dyDescent="0.35">
      <c r="F801" s="469"/>
    </row>
    <row r="802" spans="6:6" x14ac:dyDescent="0.35">
      <c r="F802" s="469"/>
    </row>
    <row r="803" spans="6:6" x14ac:dyDescent="0.35">
      <c r="F803" s="469"/>
    </row>
    <row r="804" spans="6:6" x14ac:dyDescent="0.35">
      <c r="F804" s="469"/>
    </row>
    <row r="805" spans="6:6" x14ac:dyDescent="0.35">
      <c r="F805" s="469"/>
    </row>
    <row r="806" spans="6:6" x14ac:dyDescent="0.35">
      <c r="F806" s="469"/>
    </row>
    <row r="807" spans="6:6" x14ac:dyDescent="0.35">
      <c r="F807" s="469"/>
    </row>
    <row r="808" spans="6:6" x14ac:dyDescent="0.35">
      <c r="F808" s="469"/>
    </row>
    <row r="809" spans="6:6" x14ac:dyDescent="0.35">
      <c r="F809" s="469"/>
    </row>
    <row r="810" spans="6:6" x14ac:dyDescent="0.35">
      <c r="F810" s="469"/>
    </row>
    <row r="811" spans="6:6" x14ac:dyDescent="0.35">
      <c r="F811" s="469"/>
    </row>
    <row r="812" spans="6:6" x14ac:dyDescent="0.35">
      <c r="F812" s="469"/>
    </row>
    <row r="813" spans="6:6" x14ac:dyDescent="0.35">
      <c r="F813" s="469"/>
    </row>
    <row r="814" spans="6:6" x14ac:dyDescent="0.35">
      <c r="F814" s="469"/>
    </row>
    <row r="815" spans="6:6" x14ac:dyDescent="0.35">
      <c r="F815" s="469"/>
    </row>
    <row r="816" spans="6:6" x14ac:dyDescent="0.35">
      <c r="F816" s="469"/>
    </row>
    <row r="817" spans="6:6" x14ac:dyDescent="0.35">
      <c r="F817" s="469"/>
    </row>
    <row r="818" spans="6:6" x14ac:dyDescent="0.35">
      <c r="F818" s="469"/>
    </row>
    <row r="819" spans="6:6" x14ac:dyDescent="0.35">
      <c r="F819" s="469"/>
    </row>
    <row r="820" spans="6:6" x14ac:dyDescent="0.35">
      <c r="F820" s="469"/>
    </row>
    <row r="821" spans="6:6" x14ac:dyDescent="0.35">
      <c r="F821" s="469"/>
    </row>
    <row r="822" spans="6:6" x14ac:dyDescent="0.35">
      <c r="F822" s="469"/>
    </row>
    <row r="823" spans="6:6" x14ac:dyDescent="0.35">
      <c r="F823" s="469"/>
    </row>
    <row r="824" spans="6:6" x14ac:dyDescent="0.35">
      <c r="F824" s="469"/>
    </row>
    <row r="825" spans="6:6" x14ac:dyDescent="0.35">
      <c r="F825" s="469"/>
    </row>
    <row r="826" spans="6:6" x14ac:dyDescent="0.35">
      <c r="F826" s="469"/>
    </row>
    <row r="827" spans="6:6" x14ac:dyDescent="0.35">
      <c r="F827" s="469"/>
    </row>
    <row r="828" spans="6:6" x14ac:dyDescent="0.35">
      <c r="F828" s="469"/>
    </row>
    <row r="829" spans="6:6" x14ac:dyDescent="0.35">
      <c r="F829" s="469"/>
    </row>
    <row r="830" spans="6:6" x14ac:dyDescent="0.35">
      <c r="F830" s="469"/>
    </row>
    <row r="831" spans="6:6" x14ac:dyDescent="0.35">
      <c r="F831" s="469"/>
    </row>
    <row r="832" spans="6:6" x14ac:dyDescent="0.35">
      <c r="F832" s="469"/>
    </row>
    <row r="833" spans="6:6" x14ac:dyDescent="0.35">
      <c r="F833" s="469"/>
    </row>
    <row r="834" spans="6:6" x14ac:dyDescent="0.35">
      <c r="F834" s="469"/>
    </row>
    <row r="835" spans="6:6" x14ac:dyDescent="0.35">
      <c r="F835" s="469"/>
    </row>
    <row r="836" spans="6:6" x14ac:dyDescent="0.35">
      <c r="F836" s="469"/>
    </row>
    <row r="837" spans="6:6" x14ac:dyDescent="0.35">
      <c r="F837" s="469"/>
    </row>
    <row r="838" spans="6:6" x14ac:dyDescent="0.35">
      <c r="F838" s="469"/>
    </row>
    <row r="839" spans="6:6" x14ac:dyDescent="0.35">
      <c r="F839" s="469"/>
    </row>
    <row r="840" spans="6:6" x14ac:dyDescent="0.35">
      <c r="F840" s="469"/>
    </row>
    <row r="841" spans="6:6" x14ac:dyDescent="0.35">
      <c r="F841" s="469"/>
    </row>
    <row r="842" spans="6:6" x14ac:dyDescent="0.35">
      <c r="F842" s="469"/>
    </row>
    <row r="843" spans="6:6" x14ac:dyDescent="0.35">
      <c r="F843" s="469"/>
    </row>
    <row r="844" spans="6:6" x14ac:dyDescent="0.35">
      <c r="F844" s="469"/>
    </row>
    <row r="845" spans="6:6" x14ac:dyDescent="0.35">
      <c r="F845" s="469"/>
    </row>
    <row r="846" spans="6:6" x14ac:dyDescent="0.35">
      <c r="F846" s="469"/>
    </row>
    <row r="847" spans="6:6" x14ac:dyDescent="0.35">
      <c r="F847" s="469"/>
    </row>
    <row r="848" spans="6:6" x14ac:dyDescent="0.35">
      <c r="F848" s="469"/>
    </row>
    <row r="849" spans="6:6" x14ac:dyDescent="0.35">
      <c r="F849" s="469"/>
    </row>
    <row r="850" spans="6:6" x14ac:dyDescent="0.35">
      <c r="F850" s="469"/>
    </row>
    <row r="851" spans="6:6" x14ac:dyDescent="0.35">
      <c r="F851" s="469"/>
    </row>
    <row r="852" spans="6:6" x14ac:dyDescent="0.35">
      <c r="F852" s="469"/>
    </row>
    <row r="853" spans="6:6" x14ac:dyDescent="0.35">
      <c r="F853" s="469"/>
    </row>
    <row r="854" spans="6:6" x14ac:dyDescent="0.35">
      <c r="F854" s="469"/>
    </row>
    <row r="855" spans="6:6" x14ac:dyDescent="0.35">
      <c r="F855" s="469"/>
    </row>
    <row r="856" spans="6:6" x14ac:dyDescent="0.35">
      <c r="F856" s="469"/>
    </row>
    <row r="857" spans="6:6" x14ac:dyDescent="0.35">
      <c r="F857" s="469"/>
    </row>
    <row r="858" spans="6:6" x14ac:dyDescent="0.35">
      <c r="F858" s="469"/>
    </row>
    <row r="859" spans="6:6" x14ac:dyDescent="0.35">
      <c r="F859" s="469"/>
    </row>
    <row r="860" spans="6:6" x14ac:dyDescent="0.35">
      <c r="F860" s="469"/>
    </row>
    <row r="861" spans="6:6" x14ac:dyDescent="0.35">
      <c r="F861" s="469"/>
    </row>
    <row r="862" spans="6:6" x14ac:dyDescent="0.35">
      <c r="F862" s="469"/>
    </row>
    <row r="863" spans="6:6" x14ac:dyDescent="0.35">
      <c r="F863" s="469"/>
    </row>
    <row r="864" spans="6:6" x14ac:dyDescent="0.35">
      <c r="F864" s="469"/>
    </row>
    <row r="865" spans="6:6" x14ac:dyDescent="0.35">
      <c r="F865" s="469"/>
    </row>
    <row r="866" spans="6:6" x14ac:dyDescent="0.35">
      <c r="F866" s="469"/>
    </row>
    <row r="867" spans="6:6" x14ac:dyDescent="0.35">
      <c r="F867" s="469"/>
    </row>
    <row r="868" spans="6:6" x14ac:dyDescent="0.35">
      <c r="F868" s="469"/>
    </row>
    <row r="869" spans="6:6" x14ac:dyDescent="0.35">
      <c r="F869" s="469"/>
    </row>
    <row r="870" spans="6:6" x14ac:dyDescent="0.35">
      <c r="F870" s="469"/>
    </row>
    <row r="871" spans="6:6" x14ac:dyDescent="0.35">
      <c r="F871" s="469"/>
    </row>
    <row r="872" spans="6:6" x14ac:dyDescent="0.35">
      <c r="F872" s="469"/>
    </row>
    <row r="873" spans="6:6" x14ac:dyDescent="0.35">
      <c r="F873" s="469"/>
    </row>
    <row r="874" spans="6:6" x14ac:dyDescent="0.35">
      <c r="F874" s="469"/>
    </row>
    <row r="875" spans="6:6" x14ac:dyDescent="0.35">
      <c r="F875" s="469"/>
    </row>
    <row r="876" spans="6:6" x14ac:dyDescent="0.35">
      <c r="F876" s="469"/>
    </row>
    <row r="877" spans="6:6" x14ac:dyDescent="0.35">
      <c r="F877" s="469"/>
    </row>
    <row r="878" spans="6:6" x14ac:dyDescent="0.35">
      <c r="F878" s="469"/>
    </row>
    <row r="879" spans="6:6" x14ac:dyDescent="0.35">
      <c r="F879" s="469"/>
    </row>
    <row r="880" spans="6:6" x14ac:dyDescent="0.35">
      <c r="F880" s="469"/>
    </row>
    <row r="881" spans="6:6" x14ac:dyDescent="0.35">
      <c r="F881" s="469"/>
    </row>
    <row r="882" spans="6:6" x14ac:dyDescent="0.35">
      <c r="F882" s="469"/>
    </row>
    <row r="883" spans="6:6" x14ac:dyDescent="0.35">
      <c r="F883" s="469"/>
    </row>
    <row r="884" spans="6:6" x14ac:dyDescent="0.35">
      <c r="F884" s="469"/>
    </row>
    <row r="885" spans="6:6" x14ac:dyDescent="0.35">
      <c r="F885" s="469"/>
    </row>
    <row r="886" spans="6:6" x14ac:dyDescent="0.35">
      <c r="F886" s="469"/>
    </row>
    <row r="887" spans="6:6" x14ac:dyDescent="0.35">
      <c r="F887" s="469"/>
    </row>
    <row r="888" spans="6:6" x14ac:dyDescent="0.35">
      <c r="F888" s="469"/>
    </row>
    <row r="889" spans="6:6" x14ac:dyDescent="0.35">
      <c r="F889" s="469"/>
    </row>
    <row r="890" spans="6:6" x14ac:dyDescent="0.35">
      <c r="F890" s="469"/>
    </row>
    <row r="891" spans="6:6" x14ac:dyDescent="0.35">
      <c r="F891" s="469"/>
    </row>
    <row r="892" spans="6:6" x14ac:dyDescent="0.35">
      <c r="F892" s="469"/>
    </row>
    <row r="893" spans="6:6" x14ac:dyDescent="0.35">
      <c r="F893" s="469"/>
    </row>
    <row r="894" spans="6:6" x14ac:dyDescent="0.35">
      <c r="F894" s="469"/>
    </row>
    <row r="895" spans="6:6" x14ac:dyDescent="0.35">
      <c r="F895" s="469"/>
    </row>
    <row r="896" spans="6:6" x14ac:dyDescent="0.35">
      <c r="F896" s="469"/>
    </row>
    <row r="897" spans="6:6" x14ac:dyDescent="0.35">
      <c r="F897" s="469"/>
    </row>
    <row r="898" spans="6:6" x14ac:dyDescent="0.35">
      <c r="F898" s="469"/>
    </row>
    <row r="899" spans="6:6" x14ac:dyDescent="0.35">
      <c r="F899" s="469"/>
    </row>
    <row r="900" spans="6:6" x14ac:dyDescent="0.35">
      <c r="F900" s="469"/>
    </row>
    <row r="901" spans="6:6" x14ac:dyDescent="0.35">
      <c r="F901" s="469"/>
    </row>
    <row r="902" spans="6:6" x14ac:dyDescent="0.35">
      <c r="F902" s="469"/>
    </row>
    <row r="903" spans="6:6" x14ac:dyDescent="0.35">
      <c r="F903" s="469"/>
    </row>
    <row r="904" spans="6:6" x14ac:dyDescent="0.35">
      <c r="F904" s="469"/>
    </row>
    <row r="905" spans="6:6" x14ac:dyDescent="0.35">
      <c r="F905" s="469"/>
    </row>
    <row r="906" spans="6:6" x14ac:dyDescent="0.35">
      <c r="F906" s="469"/>
    </row>
    <row r="907" spans="6:6" x14ac:dyDescent="0.35">
      <c r="F907" s="469"/>
    </row>
    <row r="908" spans="6:6" x14ac:dyDescent="0.35">
      <c r="F908" s="469"/>
    </row>
    <row r="909" spans="6:6" x14ac:dyDescent="0.35">
      <c r="F909" s="469"/>
    </row>
    <row r="910" spans="6:6" x14ac:dyDescent="0.35">
      <c r="F910" s="469"/>
    </row>
    <row r="911" spans="6:6" x14ac:dyDescent="0.35">
      <c r="F911" s="469"/>
    </row>
    <row r="912" spans="6:6" x14ac:dyDescent="0.35">
      <c r="F912" s="469"/>
    </row>
    <row r="913" spans="6:6" x14ac:dyDescent="0.35">
      <c r="F913" s="469"/>
    </row>
    <row r="914" spans="6:6" x14ac:dyDescent="0.35">
      <c r="F914" s="469"/>
    </row>
    <row r="915" spans="6:6" x14ac:dyDescent="0.35">
      <c r="F915" s="469"/>
    </row>
    <row r="916" spans="6:6" x14ac:dyDescent="0.35">
      <c r="F916" s="469"/>
    </row>
    <row r="917" spans="6:6" x14ac:dyDescent="0.35">
      <c r="F917" s="469"/>
    </row>
    <row r="918" spans="6:6" x14ac:dyDescent="0.35">
      <c r="F918" s="469"/>
    </row>
    <row r="919" spans="6:6" x14ac:dyDescent="0.35">
      <c r="F919" s="469"/>
    </row>
    <row r="920" spans="6:6" x14ac:dyDescent="0.35">
      <c r="F920" s="469"/>
    </row>
    <row r="921" spans="6:6" x14ac:dyDescent="0.35">
      <c r="F921" s="469"/>
    </row>
    <row r="922" spans="6:6" x14ac:dyDescent="0.35">
      <c r="F922" s="469"/>
    </row>
    <row r="923" spans="6:6" x14ac:dyDescent="0.35">
      <c r="F923" s="469"/>
    </row>
    <row r="924" spans="6:6" x14ac:dyDescent="0.35">
      <c r="F924" s="469"/>
    </row>
    <row r="925" spans="6:6" x14ac:dyDescent="0.35">
      <c r="F925" s="469"/>
    </row>
    <row r="926" spans="6:6" x14ac:dyDescent="0.35">
      <c r="F926" s="469"/>
    </row>
    <row r="927" spans="6:6" x14ac:dyDescent="0.35">
      <c r="F927" s="469"/>
    </row>
    <row r="928" spans="6:6" x14ac:dyDescent="0.35">
      <c r="F928" s="469"/>
    </row>
    <row r="929" spans="6:6" x14ac:dyDescent="0.35">
      <c r="F929" s="469"/>
    </row>
    <row r="930" spans="6:6" x14ac:dyDescent="0.35">
      <c r="F930" s="469"/>
    </row>
    <row r="931" spans="6:6" x14ac:dyDescent="0.35">
      <c r="F931" s="469"/>
    </row>
    <row r="932" spans="6:6" x14ac:dyDescent="0.35">
      <c r="F932" s="469"/>
    </row>
    <row r="933" spans="6:6" x14ac:dyDescent="0.35">
      <c r="F933" s="469"/>
    </row>
    <row r="934" spans="6:6" x14ac:dyDescent="0.35">
      <c r="F934" s="469"/>
    </row>
    <row r="935" spans="6:6" x14ac:dyDescent="0.35">
      <c r="F935" s="469"/>
    </row>
    <row r="936" spans="6:6" x14ac:dyDescent="0.35">
      <c r="F936" s="469"/>
    </row>
    <row r="937" spans="6:6" x14ac:dyDescent="0.35">
      <c r="F937" s="469"/>
    </row>
    <row r="938" spans="6:6" x14ac:dyDescent="0.35">
      <c r="F938" s="469"/>
    </row>
    <row r="939" spans="6:6" x14ac:dyDescent="0.35">
      <c r="F939" s="469"/>
    </row>
    <row r="940" spans="6:6" x14ac:dyDescent="0.35">
      <c r="F940" s="469"/>
    </row>
    <row r="941" spans="6:6" x14ac:dyDescent="0.35">
      <c r="F941" s="469"/>
    </row>
    <row r="942" spans="6:6" x14ac:dyDescent="0.35">
      <c r="F942" s="469"/>
    </row>
    <row r="943" spans="6:6" x14ac:dyDescent="0.35">
      <c r="F943" s="469"/>
    </row>
    <row r="944" spans="6:6" x14ac:dyDescent="0.35">
      <c r="F944" s="469"/>
    </row>
    <row r="945" spans="6:6" x14ac:dyDescent="0.35">
      <c r="F945" s="469"/>
    </row>
    <row r="946" spans="6:6" x14ac:dyDescent="0.35">
      <c r="F946" s="469"/>
    </row>
    <row r="947" spans="6:6" x14ac:dyDescent="0.35">
      <c r="F947" s="469"/>
    </row>
    <row r="948" spans="6:6" x14ac:dyDescent="0.35">
      <c r="F948" s="469"/>
    </row>
    <row r="949" spans="6:6" x14ac:dyDescent="0.35">
      <c r="F949" s="469"/>
    </row>
    <row r="950" spans="6:6" x14ac:dyDescent="0.35">
      <c r="F950" s="469"/>
    </row>
    <row r="951" spans="6:6" x14ac:dyDescent="0.35">
      <c r="F951" s="469"/>
    </row>
    <row r="952" spans="6:6" x14ac:dyDescent="0.35">
      <c r="F952" s="469"/>
    </row>
    <row r="953" spans="6:6" x14ac:dyDescent="0.35">
      <c r="F953" s="469"/>
    </row>
    <row r="954" spans="6:6" x14ac:dyDescent="0.35">
      <c r="F954" s="469"/>
    </row>
    <row r="955" spans="6:6" x14ac:dyDescent="0.35">
      <c r="F955" s="469"/>
    </row>
    <row r="956" spans="6:6" x14ac:dyDescent="0.35">
      <c r="F956" s="469"/>
    </row>
    <row r="957" spans="6:6" x14ac:dyDescent="0.35">
      <c r="F957" s="469"/>
    </row>
    <row r="958" spans="6:6" x14ac:dyDescent="0.35">
      <c r="F958" s="469"/>
    </row>
    <row r="959" spans="6:6" x14ac:dyDescent="0.35">
      <c r="F959" s="469"/>
    </row>
    <row r="960" spans="6:6" x14ac:dyDescent="0.35">
      <c r="F960" s="469"/>
    </row>
    <row r="961" spans="6:6" x14ac:dyDescent="0.35">
      <c r="F961" s="469"/>
    </row>
    <row r="962" spans="6:6" x14ac:dyDescent="0.35">
      <c r="F962" s="469"/>
    </row>
    <row r="963" spans="6:6" x14ac:dyDescent="0.35">
      <c r="F963" s="469"/>
    </row>
    <row r="964" spans="6:6" x14ac:dyDescent="0.35">
      <c r="F964" s="469"/>
    </row>
    <row r="965" spans="6:6" x14ac:dyDescent="0.35">
      <c r="F965" s="469"/>
    </row>
    <row r="966" spans="6:6" x14ac:dyDescent="0.35">
      <c r="F966" s="469"/>
    </row>
    <row r="967" spans="6:6" x14ac:dyDescent="0.35">
      <c r="F967" s="469"/>
    </row>
    <row r="968" spans="6:6" x14ac:dyDescent="0.35">
      <c r="F968" s="469"/>
    </row>
    <row r="969" spans="6:6" x14ac:dyDescent="0.35">
      <c r="F969" s="469"/>
    </row>
    <row r="970" spans="6:6" x14ac:dyDescent="0.35">
      <c r="F970" s="469"/>
    </row>
    <row r="971" spans="6:6" x14ac:dyDescent="0.35">
      <c r="F971" s="469"/>
    </row>
    <row r="972" spans="6:6" x14ac:dyDescent="0.35">
      <c r="F972" s="469"/>
    </row>
    <row r="973" spans="6:6" x14ac:dyDescent="0.35">
      <c r="F973" s="469"/>
    </row>
    <row r="974" spans="6:6" x14ac:dyDescent="0.35">
      <c r="F974" s="469"/>
    </row>
    <row r="975" spans="6:6" x14ac:dyDescent="0.35">
      <c r="F975" s="469"/>
    </row>
    <row r="976" spans="6:6" x14ac:dyDescent="0.35">
      <c r="F976" s="469"/>
    </row>
    <row r="977" spans="6:6" x14ac:dyDescent="0.35">
      <c r="F977" s="469"/>
    </row>
    <row r="978" spans="6:6" x14ac:dyDescent="0.35">
      <c r="F978" s="469"/>
    </row>
    <row r="979" spans="6:6" x14ac:dyDescent="0.35">
      <c r="F979" s="469"/>
    </row>
    <row r="980" spans="6:6" x14ac:dyDescent="0.35">
      <c r="F980" s="469"/>
    </row>
    <row r="981" spans="6:6" x14ac:dyDescent="0.35">
      <c r="F981" s="469"/>
    </row>
    <row r="982" spans="6:6" x14ac:dyDescent="0.35">
      <c r="F982" s="469"/>
    </row>
    <row r="983" spans="6:6" x14ac:dyDescent="0.35">
      <c r="F983" s="469"/>
    </row>
    <row r="984" spans="6:6" x14ac:dyDescent="0.35">
      <c r="F984" s="469"/>
    </row>
    <row r="985" spans="6:6" x14ac:dyDescent="0.35">
      <c r="F985" s="469"/>
    </row>
    <row r="986" spans="6:6" x14ac:dyDescent="0.35">
      <c r="F986" s="469"/>
    </row>
    <row r="987" spans="6:6" x14ac:dyDescent="0.35">
      <c r="F987" s="469"/>
    </row>
    <row r="988" spans="6:6" x14ac:dyDescent="0.35">
      <c r="F988" s="469"/>
    </row>
    <row r="989" spans="6:6" x14ac:dyDescent="0.35">
      <c r="F989" s="469"/>
    </row>
    <row r="990" spans="6:6" x14ac:dyDescent="0.35">
      <c r="F990" s="469"/>
    </row>
    <row r="991" spans="6:6" x14ac:dyDescent="0.35">
      <c r="F991" s="469"/>
    </row>
    <row r="992" spans="6:6" x14ac:dyDescent="0.35">
      <c r="F992" s="469"/>
    </row>
    <row r="993" spans="6:6" x14ac:dyDescent="0.35">
      <c r="F993" s="469"/>
    </row>
    <row r="994" spans="6:6" x14ac:dyDescent="0.35">
      <c r="F994" s="469"/>
    </row>
    <row r="995" spans="6:6" x14ac:dyDescent="0.35">
      <c r="F995" s="469"/>
    </row>
    <row r="996" spans="6:6" x14ac:dyDescent="0.35">
      <c r="F996" s="469"/>
    </row>
    <row r="997" spans="6:6" x14ac:dyDescent="0.35">
      <c r="F997" s="469"/>
    </row>
    <row r="998" spans="6:6" x14ac:dyDescent="0.35">
      <c r="F998" s="469"/>
    </row>
    <row r="999" spans="6:6" x14ac:dyDescent="0.35">
      <c r="F999" s="469"/>
    </row>
    <row r="1000" spans="6:6" x14ac:dyDescent="0.35">
      <c r="F1000" s="469"/>
    </row>
    <row r="1001" spans="6:6" x14ac:dyDescent="0.35">
      <c r="F1001" s="469"/>
    </row>
    <row r="1002" spans="6:6" x14ac:dyDescent="0.35">
      <c r="F1002" s="469"/>
    </row>
    <row r="1003" spans="6:6" x14ac:dyDescent="0.35">
      <c r="F1003" s="469"/>
    </row>
    <row r="1004" spans="6:6" x14ac:dyDescent="0.35">
      <c r="F1004" s="469"/>
    </row>
    <row r="1005" spans="6:6" x14ac:dyDescent="0.35">
      <c r="F1005" s="469"/>
    </row>
    <row r="1006" spans="6:6" x14ac:dyDescent="0.35">
      <c r="F1006" s="469"/>
    </row>
    <row r="1007" spans="6:6" x14ac:dyDescent="0.35">
      <c r="F1007" s="469"/>
    </row>
    <row r="1008" spans="6:6" x14ac:dyDescent="0.35">
      <c r="F1008" s="469"/>
    </row>
    <row r="1009" spans="6:6" x14ac:dyDescent="0.35">
      <c r="F1009" s="469"/>
    </row>
    <row r="1010" spans="6:6" x14ac:dyDescent="0.35">
      <c r="F1010" s="469"/>
    </row>
    <row r="1011" spans="6:6" x14ac:dyDescent="0.35">
      <c r="F1011" s="469"/>
    </row>
    <row r="1012" spans="6:6" x14ac:dyDescent="0.35">
      <c r="F1012" s="469"/>
    </row>
    <row r="1013" spans="6:6" x14ac:dyDescent="0.35">
      <c r="F1013" s="469"/>
    </row>
    <row r="1014" spans="6:6" x14ac:dyDescent="0.35">
      <c r="F1014" s="469"/>
    </row>
    <row r="1015" spans="6:6" x14ac:dyDescent="0.35">
      <c r="F1015" s="469"/>
    </row>
    <row r="1016" spans="6:6" x14ac:dyDescent="0.35">
      <c r="F1016" s="469"/>
    </row>
    <row r="1017" spans="6:6" x14ac:dyDescent="0.35">
      <c r="F1017" s="469"/>
    </row>
    <row r="1018" spans="6:6" x14ac:dyDescent="0.35">
      <c r="F1018" s="469"/>
    </row>
    <row r="1019" spans="6:6" x14ac:dyDescent="0.35">
      <c r="F1019" s="469"/>
    </row>
    <row r="1020" spans="6:6" x14ac:dyDescent="0.35">
      <c r="F1020" s="469"/>
    </row>
    <row r="1021" spans="6:6" x14ac:dyDescent="0.35">
      <c r="F1021" s="469"/>
    </row>
    <row r="1022" spans="6:6" x14ac:dyDescent="0.35">
      <c r="F1022" s="469"/>
    </row>
    <row r="1023" spans="6:6" x14ac:dyDescent="0.35">
      <c r="F1023" s="469"/>
    </row>
    <row r="1024" spans="6:6" x14ac:dyDescent="0.35">
      <c r="F1024" s="469"/>
    </row>
    <row r="1025" spans="6:6" x14ac:dyDescent="0.35">
      <c r="F1025" s="469"/>
    </row>
    <row r="1026" spans="6:6" x14ac:dyDescent="0.35">
      <c r="F1026" s="469"/>
    </row>
    <row r="1027" spans="6:6" x14ac:dyDescent="0.35">
      <c r="F1027" s="469"/>
    </row>
    <row r="1028" spans="6:6" x14ac:dyDescent="0.35">
      <c r="F1028" s="469"/>
    </row>
    <row r="1029" spans="6:6" x14ac:dyDescent="0.35">
      <c r="F1029" s="469"/>
    </row>
    <row r="1030" spans="6:6" x14ac:dyDescent="0.35">
      <c r="F1030" s="469"/>
    </row>
    <row r="1031" spans="6:6" x14ac:dyDescent="0.35">
      <c r="F1031" s="469"/>
    </row>
    <row r="1032" spans="6:6" x14ac:dyDescent="0.35">
      <c r="F1032" s="469"/>
    </row>
    <row r="1033" spans="6:6" x14ac:dyDescent="0.35">
      <c r="F1033" s="469"/>
    </row>
    <row r="1034" spans="6:6" x14ac:dyDescent="0.35">
      <c r="F1034" s="469"/>
    </row>
    <row r="1035" spans="6:6" x14ac:dyDescent="0.35">
      <c r="F1035" s="469"/>
    </row>
    <row r="1036" spans="6:6" x14ac:dyDescent="0.35">
      <c r="F1036" s="469"/>
    </row>
    <row r="1037" spans="6:6" x14ac:dyDescent="0.35">
      <c r="F1037" s="469"/>
    </row>
    <row r="1038" spans="6:6" x14ac:dyDescent="0.35">
      <c r="F1038" s="469"/>
    </row>
    <row r="1039" spans="6:6" x14ac:dyDescent="0.35">
      <c r="F1039" s="469"/>
    </row>
    <row r="1040" spans="6:6" x14ac:dyDescent="0.35">
      <c r="F1040" s="469"/>
    </row>
    <row r="1041" spans="6:6" x14ac:dyDescent="0.35">
      <c r="F1041" s="469"/>
    </row>
    <row r="1042" spans="6:6" x14ac:dyDescent="0.35">
      <c r="F1042" s="469"/>
    </row>
    <row r="1043" spans="6:6" x14ac:dyDescent="0.35">
      <c r="F1043" s="469"/>
    </row>
    <row r="1044" spans="6:6" x14ac:dyDescent="0.35">
      <c r="F1044" s="469"/>
    </row>
    <row r="1045" spans="6:6" x14ac:dyDescent="0.35">
      <c r="F1045" s="469"/>
    </row>
    <row r="1046" spans="6:6" x14ac:dyDescent="0.35">
      <c r="F1046" s="469"/>
    </row>
    <row r="1047" spans="6:6" x14ac:dyDescent="0.35">
      <c r="F1047" s="469"/>
    </row>
    <row r="1048" spans="6:6" x14ac:dyDescent="0.35">
      <c r="F1048" s="469"/>
    </row>
    <row r="1049" spans="6:6" x14ac:dyDescent="0.35">
      <c r="F1049" s="469"/>
    </row>
    <row r="1050" spans="6:6" x14ac:dyDescent="0.35">
      <c r="F1050" s="469"/>
    </row>
    <row r="1051" spans="6:6" x14ac:dyDescent="0.35">
      <c r="F1051" s="469"/>
    </row>
    <row r="1052" spans="6:6" x14ac:dyDescent="0.35">
      <c r="F1052" s="469"/>
    </row>
    <row r="1053" spans="6:6" x14ac:dyDescent="0.35">
      <c r="F1053" s="469"/>
    </row>
    <row r="1054" spans="6:6" x14ac:dyDescent="0.35">
      <c r="F1054" s="469"/>
    </row>
    <row r="1055" spans="6:6" x14ac:dyDescent="0.35">
      <c r="F1055" s="469"/>
    </row>
    <row r="1056" spans="6:6" x14ac:dyDescent="0.35">
      <c r="F1056" s="469"/>
    </row>
    <row r="1057" spans="6:6" x14ac:dyDescent="0.35">
      <c r="F1057" s="469"/>
    </row>
    <row r="1058" spans="6:6" x14ac:dyDescent="0.35">
      <c r="F1058" s="469"/>
    </row>
    <row r="1059" spans="6:6" x14ac:dyDescent="0.35">
      <c r="F1059" s="469"/>
    </row>
    <row r="1060" spans="6:6" x14ac:dyDescent="0.35">
      <c r="F1060" s="469"/>
    </row>
    <row r="1061" spans="6:6" x14ac:dyDescent="0.35">
      <c r="F1061" s="469"/>
    </row>
    <row r="1062" spans="6:6" x14ac:dyDescent="0.35">
      <c r="F1062" s="469"/>
    </row>
    <row r="1063" spans="6:6" x14ac:dyDescent="0.35">
      <c r="F1063" s="469"/>
    </row>
    <row r="1064" spans="6:6" x14ac:dyDescent="0.35">
      <c r="F1064" s="469"/>
    </row>
    <row r="1065" spans="6:6" x14ac:dyDescent="0.35">
      <c r="F1065" s="469"/>
    </row>
    <row r="1066" spans="6:6" x14ac:dyDescent="0.35">
      <c r="F1066" s="469"/>
    </row>
    <row r="1067" spans="6:6" x14ac:dyDescent="0.35">
      <c r="F1067" s="469"/>
    </row>
    <row r="1068" spans="6:6" x14ac:dyDescent="0.35">
      <c r="F1068" s="469"/>
    </row>
    <row r="1069" spans="6:6" x14ac:dyDescent="0.35">
      <c r="F1069" s="469"/>
    </row>
    <row r="1070" spans="6:6" x14ac:dyDescent="0.35">
      <c r="F1070" s="469"/>
    </row>
    <row r="1071" spans="6:6" x14ac:dyDescent="0.35">
      <c r="F1071" s="469"/>
    </row>
    <row r="1072" spans="6:6" x14ac:dyDescent="0.35">
      <c r="F1072" s="469"/>
    </row>
    <row r="1073" spans="6:6" x14ac:dyDescent="0.35">
      <c r="F1073" s="469"/>
    </row>
    <row r="1074" spans="6:6" x14ac:dyDescent="0.35">
      <c r="F1074" s="469"/>
    </row>
    <row r="1075" spans="6:6" x14ac:dyDescent="0.35">
      <c r="F1075" s="469"/>
    </row>
    <row r="1076" spans="6:6" x14ac:dyDescent="0.35">
      <c r="F1076" s="469"/>
    </row>
    <row r="1077" spans="6:6" x14ac:dyDescent="0.35">
      <c r="F1077" s="469"/>
    </row>
    <row r="1078" spans="6:6" x14ac:dyDescent="0.35">
      <c r="F1078" s="469"/>
    </row>
    <row r="1079" spans="6:6" x14ac:dyDescent="0.35">
      <c r="F1079" s="469"/>
    </row>
    <row r="1080" spans="6:6" x14ac:dyDescent="0.35">
      <c r="F1080" s="469"/>
    </row>
    <row r="1081" spans="6:6" x14ac:dyDescent="0.35">
      <c r="F1081" s="469"/>
    </row>
    <row r="1082" spans="6:6" x14ac:dyDescent="0.35">
      <c r="F1082" s="469"/>
    </row>
    <row r="1083" spans="6:6" x14ac:dyDescent="0.35">
      <c r="F1083" s="469"/>
    </row>
    <row r="1084" spans="6:6" x14ac:dyDescent="0.35">
      <c r="F1084" s="469"/>
    </row>
    <row r="1085" spans="6:6" x14ac:dyDescent="0.35">
      <c r="F1085" s="469"/>
    </row>
    <row r="1086" spans="6:6" x14ac:dyDescent="0.35">
      <c r="F1086" s="469"/>
    </row>
    <row r="1087" spans="6:6" x14ac:dyDescent="0.35">
      <c r="F1087" s="469"/>
    </row>
    <row r="1088" spans="6:6" x14ac:dyDescent="0.35">
      <c r="F1088" s="469"/>
    </row>
    <row r="1089" spans="6:6" x14ac:dyDescent="0.35">
      <c r="F1089" s="469"/>
    </row>
    <row r="1090" spans="6:6" x14ac:dyDescent="0.35">
      <c r="F1090" s="469"/>
    </row>
    <row r="1091" spans="6:6" x14ac:dyDescent="0.35">
      <c r="F1091" s="469"/>
    </row>
    <row r="1092" spans="6:6" x14ac:dyDescent="0.35">
      <c r="F1092" s="469"/>
    </row>
    <row r="1093" spans="6:6" x14ac:dyDescent="0.35">
      <c r="F1093" s="469"/>
    </row>
    <row r="1094" spans="6:6" x14ac:dyDescent="0.35">
      <c r="F1094" s="469"/>
    </row>
    <row r="1095" spans="6:6" x14ac:dyDescent="0.35">
      <c r="F1095" s="469"/>
    </row>
    <row r="1096" spans="6:6" x14ac:dyDescent="0.35">
      <c r="F1096" s="469"/>
    </row>
    <row r="1097" spans="6:6" x14ac:dyDescent="0.35">
      <c r="F1097" s="469"/>
    </row>
    <row r="1098" spans="6:6" x14ac:dyDescent="0.35">
      <c r="F1098" s="469"/>
    </row>
    <row r="1099" spans="6:6" x14ac:dyDescent="0.35">
      <c r="F1099" s="469"/>
    </row>
    <row r="1100" spans="6:6" x14ac:dyDescent="0.35">
      <c r="F1100" s="469"/>
    </row>
    <row r="1101" spans="6:6" x14ac:dyDescent="0.35">
      <c r="F1101" s="469"/>
    </row>
    <row r="1102" spans="6:6" x14ac:dyDescent="0.35">
      <c r="F1102" s="469"/>
    </row>
    <row r="1103" spans="6:6" x14ac:dyDescent="0.35">
      <c r="F1103" s="469"/>
    </row>
    <row r="1104" spans="6:6" x14ac:dyDescent="0.35">
      <c r="F1104" s="469"/>
    </row>
    <row r="1105" spans="6:6" x14ac:dyDescent="0.35">
      <c r="F1105" s="469"/>
    </row>
    <row r="1106" spans="6:6" x14ac:dyDescent="0.35">
      <c r="F1106" s="469"/>
    </row>
    <row r="1107" spans="6:6" x14ac:dyDescent="0.35">
      <c r="F1107" s="469"/>
    </row>
    <row r="1108" spans="6:6" x14ac:dyDescent="0.35">
      <c r="F1108" s="469"/>
    </row>
    <row r="1109" spans="6:6" x14ac:dyDescent="0.35">
      <c r="F1109" s="469"/>
    </row>
    <row r="1110" spans="6:6" x14ac:dyDescent="0.35">
      <c r="F1110" s="469"/>
    </row>
    <row r="1111" spans="6:6" x14ac:dyDescent="0.35">
      <c r="F1111" s="469"/>
    </row>
    <row r="1112" spans="6:6" x14ac:dyDescent="0.35">
      <c r="F1112" s="469"/>
    </row>
    <row r="1113" spans="6:6" x14ac:dyDescent="0.35">
      <c r="F1113" s="469"/>
    </row>
    <row r="1114" spans="6:6" x14ac:dyDescent="0.35">
      <c r="F1114" s="469"/>
    </row>
    <row r="1115" spans="6:6" x14ac:dyDescent="0.35">
      <c r="F1115" s="469"/>
    </row>
    <row r="1116" spans="6:6" x14ac:dyDescent="0.35">
      <c r="F1116" s="469"/>
    </row>
    <row r="1117" spans="6:6" x14ac:dyDescent="0.35">
      <c r="F1117" s="469"/>
    </row>
    <row r="1118" spans="6:6" x14ac:dyDescent="0.35">
      <c r="F1118" s="469"/>
    </row>
    <row r="1119" spans="6:6" x14ac:dyDescent="0.35">
      <c r="F1119" s="469"/>
    </row>
    <row r="1120" spans="6:6" x14ac:dyDescent="0.35">
      <c r="F1120" s="469"/>
    </row>
    <row r="1121" spans="6:6" x14ac:dyDescent="0.35">
      <c r="F1121" s="469"/>
    </row>
    <row r="1122" spans="6:6" x14ac:dyDescent="0.35">
      <c r="F1122" s="469"/>
    </row>
    <row r="1123" spans="6:6" x14ac:dyDescent="0.35">
      <c r="F1123" s="469"/>
    </row>
    <row r="1124" spans="6:6" x14ac:dyDescent="0.35">
      <c r="F1124" s="469"/>
    </row>
    <row r="1125" spans="6:6" x14ac:dyDescent="0.35">
      <c r="F1125" s="469"/>
    </row>
    <row r="1126" spans="6:6" x14ac:dyDescent="0.35">
      <c r="F1126" s="469"/>
    </row>
    <row r="1127" spans="6:6" x14ac:dyDescent="0.35">
      <c r="F1127" s="469"/>
    </row>
    <row r="1128" spans="6:6" x14ac:dyDescent="0.35">
      <c r="F1128" s="469"/>
    </row>
    <row r="1129" spans="6:6" x14ac:dyDescent="0.35">
      <c r="F1129" s="469"/>
    </row>
    <row r="1130" spans="6:6" x14ac:dyDescent="0.35">
      <c r="F1130" s="469"/>
    </row>
    <row r="1131" spans="6:6" x14ac:dyDescent="0.35">
      <c r="F1131" s="469"/>
    </row>
    <row r="1132" spans="6:6" x14ac:dyDescent="0.35">
      <c r="F1132" s="469"/>
    </row>
    <row r="1133" spans="6:6" x14ac:dyDescent="0.35">
      <c r="F1133" s="469"/>
    </row>
    <row r="1134" spans="6:6" x14ac:dyDescent="0.35">
      <c r="F1134" s="469"/>
    </row>
    <row r="1135" spans="6:6" x14ac:dyDescent="0.35">
      <c r="F1135" s="469"/>
    </row>
    <row r="1136" spans="6:6" x14ac:dyDescent="0.35">
      <c r="F1136" s="469"/>
    </row>
    <row r="1137" spans="6:6" x14ac:dyDescent="0.35">
      <c r="F1137" s="469"/>
    </row>
    <row r="1138" spans="6:6" x14ac:dyDescent="0.35">
      <c r="F1138" s="469"/>
    </row>
    <row r="1139" spans="6:6" x14ac:dyDescent="0.35">
      <c r="F1139" s="469"/>
    </row>
    <row r="1140" spans="6:6" x14ac:dyDescent="0.35">
      <c r="F1140" s="469"/>
    </row>
    <row r="1141" spans="6:6" x14ac:dyDescent="0.35">
      <c r="F1141" s="469"/>
    </row>
    <row r="1142" spans="6:6" x14ac:dyDescent="0.35">
      <c r="F1142" s="469"/>
    </row>
    <row r="1143" spans="6:6" x14ac:dyDescent="0.35">
      <c r="F1143" s="469"/>
    </row>
    <row r="1144" spans="6:6" x14ac:dyDescent="0.35">
      <c r="F1144" s="469"/>
    </row>
    <row r="1145" spans="6:6" x14ac:dyDescent="0.35">
      <c r="F1145" s="469"/>
    </row>
    <row r="1146" spans="6:6" x14ac:dyDescent="0.35">
      <c r="F1146" s="469"/>
    </row>
    <row r="1147" spans="6:6" x14ac:dyDescent="0.35">
      <c r="F1147" s="469"/>
    </row>
    <row r="1148" spans="6:6" x14ac:dyDescent="0.35">
      <c r="F1148" s="469"/>
    </row>
    <row r="1149" spans="6:6" x14ac:dyDescent="0.35">
      <c r="F1149" s="469"/>
    </row>
    <row r="1150" spans="6:6" x14ac:dyDescent="0.35">
      <c r="F1150" s="469"/>
    </row>
    <row r="1151" spans="6:6" x14ac:dyDescent="0.35">
      <c r="F1151" s="469"/>
    </row>
    <row r="1152" spans="6:6" x14ac:dyDescent="0.35">
      <c r="F1152" s="469"/>
    </row>
    <row r="1153" spans="6:6" x14ac:dyDescent="0.35">
      <c r="F1153" s="469"/>
    </row>
    <row r="1154" spans="6:6" x14ac:dyDescent="0.35">
      <c r="F1154" s="469"/>
    </row>
    <row r="1155" spans="6:6" x14ac:dyDescent="0.35">
      <c r="F1155" s="469"/>
    </row>
    <row r="1156" spans="6:6" x14ac:dyDescent="0.35">
      <c r="F1156" s="469"/>
    </row>
    <row r="1157" spans="6:6" x14ac:dyDescent="0.35">
      <c r="F1157" s="469"/>
    </row>
    <row r="1158" spans="6:6" x14ac:dyDescent="0.35">
      <c r="F1158" s="469"/>
    </row>
    <row r="1159" spans="6:6" x14ac:dyDescent="0.35">
      <c r="F1159" s="469"/>
    </row>
    <row r="1160" spans="6:6" x14ac:dyDescent="0.35">
      <c r="F1160" s="469"/>
    </row>
    <row r="1161" spans="6:6" x14ac:dyDescent="0.35">
      <c r="F1161" s="469"/>
    </row>
    <row r="1162" spans="6:6" x14ac:dyDescent="0.35">
      <c r="F1162" s="469"/>
    </row>
    <row r="1163" spans="6:6" x14ac:dyDescent="0.35">
      <c r="F1163" s="469"/>
    </row>
    <row r="1164" spans="6:6" x14ac:dyDescent="0.35">
      <c r="F1164" s="469"/>
    </row>
    <row r="1165" spans="6:6" x14ac:dyDescent="0.35">
      <c r="F1165" s="469"/>
    </row>
    <row r="1166" spans="6:6" x14ac:dyDescent="0.35">
      <c r="F1166" s="469"/>
    </row>
    <row r="1167" spans="6:6" x14ac:dyDescent="0.35">
      <c r="F1167" s="469"/>
    </row>
    <row r="1168" spans="6:6" x14ac:dyDescent="0.35">
      <c r="F1168" s="469"/>
    </row>
    <row r="1169" spans="6:6" x14ac:dyDescent="0.35">
      <c r="F1169" s="469"/>
    </row>
    <row r="1170" spans="6:6" x14ac:dyDescent="0.35">
      <c r="F1170" s="469"/>
    </row>
    <row r="1171" spans="6:6" x14ac:dyDescent="0.35">
      <c r="F1171" s="469"/>
    </row>
    <row r="1172" spans="6:6" x14ac:dyDescent="0.35">
      <c r="F1172" s="469"/>
    </row>
    <row r="1173" spans="6:6" x14ac:dyDescent="0.35">
      <c r="F1173" s="469"/>
    </row>
    <row r="1174" spans="6:6" x14ac:dyDescent="0.35">
      <c r="F1174" s="469"/>
    </row>
    <row r="1175" spans="6:6" x14ac:dyDescent="0.35">
      <c r="F1175" s="469"/>
    </row>
    <row r="1176" spans="6:6" x14ac:dyDescent="0.35">
      <c r="F1176" s="469"/>
    </row>
    <row r="1177" spans="6:6" x14ac:dyDescent="0.35">
      <c r="F1177" s="469"/>
    </row>
    <row r="1178" spans="6:6" x14ac:dyDescent="0.35">
      <c r="F1178" s="469"/>
    </row>
    <row r="1179" spans="6:6" x14ac:dyDescent="0.35">
      <c r="F1179" s="469"/>
    </row>
    <row r="1180" spans="6:6" x14ac:dyDescent="0.35">
      <c r="F1180" s="469"/>
    </row>
    <row r="1181" spans="6:6" x14ac:dyDescent="0.35">
      <c r="F1181" s="469"/>
    </row>
    <row r="1182" spans="6:6" x14ac:dyDescent="0.35">
      <c r="F1182" s="469"/>
    </row>
    <row r="1183" spans="6:6" x14ac:dyDescent="0.35">
      <c r="F1183" s="469"/>
    </row>
    <row r="1184" spans="6:6" x14ac:dyDescent="0.35">
      <c r="F1184" s="469"/>
    </row>
    <row r="1185" spans="6:6" x14ac:dyDescent="0.35">
      <c r="F1185" s="469"/>
    </row>
    <row r="1186" spans="6:6" x14ac:dyDescent="0.35">
      <c r="F1186" s="469"/>
    </row>
    <row r="1187" spans="6:6" x14ac:dyDescent="0.35">
      <c r="F1187" s="469"/>
    </row>
    <row r="1188" spans="6:6" x14ac:dyDescent="0.35">
      <c r="F1188" s="469"/>
    </row>
    <row r="1189" spans="6:6" x14ac:dyDescent="0.35">
      <c r="F1189" s="469"/>
    </row>
    <row r="1190" spans="6:6" x14ac:dyDescent="0.35">
      <c r="F1190" s="469"/>
    </row>
    <row r="1191" spans="6:6" x14ac:dyDescent="0.35">
      <c r="F1191" s="469"/>
    </row>
    <row r="1192" spans="6:6" x14ac:dyDescent="0.35">
      <c r="F1192" s="469"/>
    </row>
    <row r="1193" spans="6:6" x14ac:dyDescent="0.35">
      <c r="F1193" s="469"/>
    </row>
    <row r="1194" spans="6:6" x14ac:dyDescent="0.35">
      <c r="F1194" s="469"/>
    </row>
    <row r="1195" spans="6:6" x14ac:dyDescent="0.35">
      <c r="F1195" s="469"/>
    </row>
    <row r="1196" spans="6:6" x14ac:dyDescent="0.35">
      <c r="F1196" s="469"/>
    </row>
    <row r="1197" spans="6:6" x14ac:dyDescent="0.35">
      <c r="F1197" s="469"/>
    </row>
    <row r="1198" spans="6:6" x14ac:dyDescent="0.35">
      <c r="F1198" s="469"/>
    </row>
    <row r="1199" spans="6:6" x14ac:dyDescent="0.35">
      <c r="F1199" s="469"/>
    </row>
    <row r="1200" spans="6:6" x14ac:dyDescent="0.35">
      <c r="F1200" s="469"/>
    </row>
    <row r="1201" spans="6:6" x14ac:dyDescent="0.35">
      <c r="F1201" s="469"/>
    </row>
    <row r="1202" spans="6:6" x14ac:dyDescent="0.35">
      <c r="F1202" s="469"/>
    </row>
    <row r="1203" spans="6:6" x14ac:dyDescent="0.35">
      <c r="F1203" s="469"/>
    </row>
    <row r="1204" spans="6:6" x14ac:dyDescent="0.35">
      <c r="F1204" s="469"/>
    </row>
    <row r="1205" spans="6:6" x14ac:dyDescent="0.35">
      <c r="F1205" s="469"/>
    </row>
    <row r="1206" spans="6:6" x14ac:dyDescent="0.35">
      <c r="F1206" s="469"/>
    </row>
    <row r="1207" spans="6:6" x14ac:dyDescent="0.35">
      <c r="F1207" s="469"/>
    </row>
    <row r="1208" spans="6:6" x14ac:dyDescent="0.35">
      <c r="F1208" s="469"/>
    </row>
    <row r="1209" spans="6:6" x14ac:dyDescent="0.35">
      <c r="F1209" s="469"/>
    </row>
    <row r="1210" spans="6:6" x14ac:dyDescent="0.35">
      <c r="F1210" s="469"/>
    </row>
    <row r="1211" spans="6:6" x14ac:dyDescent="0.35">
      <c r="F1211" s="469"/>
    </row>
    <row r="1212" spans="6:6" x14ac:dyDescent="0.35">
      <c r="F1212" s="469"/>
    </row>
    <row r="1213" spans="6:6" x14ac:dyDescent="0.35">
      <c r="F1213" s="469"/>
    </row>
    <row r="1214" spans="6:6" x14ac:dyDescent="0.35">
      <c r="F1214" s="469"/>
    </row>
    <row r="1215" spans="6:6" x14ac:dyDescent="0.35">
      <c r="F1215" s="469"/>
    </row>
    <row r="1216" spans="6:6" x14ac:dyDescent="0.35">
      <c r="F1216" s="469"/>
    </row>
    <row r="1217" spans="6:6" x14ac:dyDescent="0.35">
      <c r="F1217" s="469"/>
    </row>
    <row r="1218" spans="6:6" x14ac:dyDescent="0.35">
      <c r="F1218" s="469"/>
    </row>
    <row r="1219" spans="6:6" x14ac:dyDescent="0.35">
      <c r="F1219" s="469"/>
    </row>
    <row r="1220" spans="6:6" x14ac:dyDescent="0.35">
      <c r="F1220" s="469"/>
    </row>
    <row r="1221" spans="6:6" x14ac:dyDescent="0.35">
      <c r="F1221" s="469"/>
    </row>
    <row r="1222" spans="6:6" x14ac:dyDescent="0.35">
      <c r="F1222" s="469"/>
    </row>
    <row r="1223" spans="6:6" x14ac:dyDescent="0.35">
      <c r="F1223" s="469"/>
    </row>
    <row r="1224" spans="6:6" x14ac:dyDescent="0.35">
      <c r="F1224" s="469"/>
    </row>
    <row r="1225" spans="6:6" x14ac:dyDescent="0.35">
      <c r="F1225" s="469"/>
    </row>
    <row r="1226" spans="6:6" x14ac:dyDescent="0.35">
      <c r="F1226" s="469"/>
    </row>
    <row r="1227" spans="6:6" x14ac:dyDescent="0.35">
      <c r="F1227" s="469"/>
    </row>
    <row r="1228" spans="6:6" x14ac:dyDescent="0.35">
      <c r="F1228" s="469"/>
    </row>
    <row r="1229" spans="6:6" x14ac:dyDescent="0.35">
      <c r="F1229" s="469"/>
    </row>
    <row r="1230" spans="6:6" x14ac:dyDescent="0.35">
      <c r="F1230" s="469"/>
    </row>
    <row r="1231" spans="6:6" x14ac:dyDescent="0.35">
      <c r="F1231" s="469"/>
    </row>
    <row r="1232" spans="6:6" x14ac:dyDescent="0.35">
      <c r="F1232" s="469"/>
    </row>
    <row r="1233" spans="6:6" x14ac:dyDescent="0.35">
      <c r="F1233" s="469"/>
    </row>
    <row r="1234" spans="6:6" x14ac:dyDescent="0.35">
      <c r="F1234" s="469"/>
    </row>
    <row r="1235" spans="6:6" x14ac:dyDescent="0.35">
      <c r="F1235" s="469"/>
    </row>
    <row r="1236" spans="6:6" x14ac:dyDescent="0.35">
      <c r="F1236" s="469"/>
    </row>
    <row r="1237" spans="6:6" x14ac:dyDescent="0.35">
      <c r="F1237" s="469"/>
    </row>
    <row r="1238" spans="6:6" x14ac:dyDescent="0.35">
      <c r="F1238" s="469"/>
    </row>
    <row r="1239" spans="6:6" x14ac:dyDescent="0.35">
      <c r="F1239" s="469"/>
    </row>
    <row r="1240" spans="6:6" x14ac:dyDescent="0.35">
      <c r="F1240" s="469"/>
    </row>
    <row r="1241" spans="6:6" x14ac:dyDescent="0.35">
      <c r="F1241" s="469"/>
    </row>
    <row r="1242" spans="6:6" x14ac:dyDescent="0.35">
      <c r="F1242" s="469"/>
    </row>
    <row r="1243" spans="6:6" x14ac:dyDescent="0.35">
      <c r="F1243" s="469"/>
    </row>
    <row r="1244" spans="6:6" x14ac:dyDescent="0.35">
      <c r="F1244" s="469"/>
    </row>
    <row r="1245" spans="6:6" x14ac:dyDescent="0.35">
      <c r="F1245" s="469"/>
    </row>
    <row r="1246" spans="6:6" x14ac:dyDescent="0.35">
      <c r="F1246" s="469"/>
    </row>
    <row r="1247" spans="6:6" x14ac:dyDescent="0.35">
      <c r="F1247" s="469"/>
    </row>
    <row r="1248" spans="6:6" x14ac:dyDescent="0.35">
      <c r="F1248" s="469"/>
    </row>
    <row r="1249" spans="6:6" x14ac:dyDescent="0.35">
      <c r="F1249" s="469"/>
    </row>
    <row r="1250" spans="6:6" x14ac:dyDescent="0.35">
      <c r="F1250" s="469"/>
    </row>
    <row r="1251" spans="6:6" x14ac:dyDescent="0.35">
      <c r="F1251" s="469"/>
    </row>
    <row r="1252" spans="6:6" x14ac:dyDescent="0.35">
      <c r="F1252" s="469"/>
    </row>
    <row r="1253" spans="6:6" x14ac:dyDescent="0.35">
      <c r="F1253" s="469"/>
    </row>
    <row r="1254" spans="6:6" x14ac:dyDescent="0.35">
      <c r="F1254" s="469"/>
    </row>
    <row r="1255" spans="6:6" x14ac:dyDescent="0.35">
      <c r="F1255" s="469"/>
    </row>
    <row r="1256" spans="6:6" x14ac:dyDescent="0.35">
      <c r="F1256" s="469"/>
    </row>
    <row r="1257" spans="6:6" x14ac:dyDescent="0.35">
      <c r="F1257" s="469"/>
    </row>
    <row r="1258" spans="6:6" x14ac:dyDescent="0.35">
      <c r="F1258" s="469"/>
    </row>
    <row r="1259" spans="6:6" x14ac:dyDescent="0.35">
      <c r="F1259" s="469"/>
    </row>
    <row r="1260" spans="6:6" x14ac:dyDescent="0.35">
      <c r="F1260" s="469"/>
    </row>
    <row r="1261" spans="6:6" x14ac:dyDescent="0.35">
      <c r="F1261" s="469"/>
    </row>
    <row r="1262" spans="6:6" x14ac:dyDescent="0.35">
      <c r="F1262" s="469"/>
    </row>
    <row r="1263" spans="6:6" x14ac:dyDescent="0.35">
      <c r="F1263" s="469"/>
    </row>
    <row r="1264" spans="6:6" x14ac:dyDescent="0.35">
      <c r="F1264" s="469"/>
    </row>
    <row r="1265" spans="6:6" x14ac:dyDescent="0.35">
      <c r="F1265" s="469"/>
    </row>
    <row r="1266" spans="6:6" x14ac:dyDescent="0.35">
      <c r="F1266" s="469"/>
    </row>
    <row r="1267" spans="6:6" x14ac:dyDescent="0.35">
      <c r="F1267" s="469"/>
    </row>
    <row r="1268" spans="6:6" x14ac:dyDescent="0.35">
      <c r="F1268" s="469"/>
    </row>
    <row r="1269" spans="6:6" x14ac:dyDescent="0.35">
      <c r="F1269" s="469"/>
    </row>
    <row r="1270" spans="6:6" x14ac:dyDescent="0.35">
      <c r="F1270" s="469"/>
    </row>
    <row r="1271" spans="6:6" x14ac:dyDescent="0.35">
      <c r="F1271" s="469"/>
    </row>
    <row r="1272" spans="6:6" x14ac:dyDescent="0.35">
      <c r="F1272" s="469"/>
    </row>
    <row r="1273" spans="6:6" x14ac:dyDescent="0.35">
      <c r="F1273" s="469"/>
    </row>
    <row r="1274" spans="6:6" x14ac:dyDescent="0.35">
      <c r="F1274" s="469"/>
    </row>
    <row r="1275" spans="6:6" x14ac:dyDescent="0.35">
      <c r="F1275" s="469"/>
    </row>
    <row r="1276" spans="6:6" x14ac:dyDescent="0.35">
      <c r="F1276" s="469"/>
    </row>
    <row r="1277" spans="6:6" x14ac:dyDescent="0.35">
      <c r="F1277" s="469"/>
    </row>
    <row r="1278" spans="6:6" x14ac:dyDescent="0.35">
      <c r="F1278" s="469"/>
    </row>
    <row r="1279" spans="6:6" x14ac:dyDescent="0.35">
      <c r="F1279" s="469"/>
    </row>
    <row r="1280" spans="6:6" x14ac:dyDescent="0.35">
      <c r="F1280" s="469"/>
    </row>
    <row r="1281" spans="6:6" x14ac:dyDescent="0.35">
      <c r="F1281" s="469"/>
    </row>
    <row r="1282" spans="6:6" x14ac:dyDescent="0.35">
      <c r="F1282" s="469"/>
    </row>
    <row r="1283" spans="6:6" x14ac:dyDescent="0.35">
      <c r="F1283" s="469"/>
    </row>
    <row r="1284" spans="6:6" x14ac:dyDescent="0.35">
      <c r="F1284" s="469"/>
    </row>
    <row r="1285" spans="6:6" x14ac:dyDescent="0.35">
      <c r="F1285" s="469"/>
    </row>
    <row r="1286" spans="6:6" x14ac:dyDescent="0.35">
      <c r="F1286" s="469"/>
    </row>
    <row r="1287" spans="6:6" x14ac:dyDescent="0.35">
      <c r="F1287" s="469"/>
    </row>
    <row r="1288" spans="6:6" x14ac:dyDescent="0.35">
      <c r="F1288" s="469"/>
    </row>
    <row r="1289" spans="6:6" x14ac:dyDescent="0.35">
      <c r="F1289" s="469"/>
    </row>
    <row r="1290" spans="6:6" x14ac:dyDescent="0.35">
      <c r="F1290" s="469"/>
    </row>
    <row r="1291" spans="6:6" x14ac:dyDescent="0.35">
      <c r="F1291" s="469"/>
    </row>
    <row r="1292" spans="6:6" x14ac:dyDescent="0.35">
      <c r="F1292" s="469"/>
    </row>
    <row r="1293" spans="6:6" x14ac:dyDescent="0.35">
      <c r="F1293" s="469"/>
    </row>
    <row r="1294" spans="6:6" x14ac:dyDescent="0.35">
      <c r="F1294" s="469"/>
    </row>
    <row r="1295" spans="6:6" x14ac:dyDescent="0.35">
      <c r="F1295" s="469"/>
    </row>
    <row r="1296" spans="6:6" x14ac:dyDescent="0.35">
      <c r="F1296" s="469"/>
    </row>
    <row r="1297" spans="6:6" x14ac:dyDescent="0.35">
      <c r="F1297" s="469"/>
    </row>
    <row r="1298" spans="6:6" x14ac:dyDescent="0.35">
      <c r="F1298" s="469"/>
    </row>
    <row r="1299" spans="6:6" x14ac:dyDescent="0.35">
      <c r="F1299" s="469"/>
    </row>
    <row r="1300" spans="6:6" x14ac:dyDescent="0.35">
      <c r="F1300" s="469"/>
    </row>
    <row r="1301" spans="6:6" x14ac:dyDescent="0.35">
      <c r="F1301" s="469"/>
    </row>
    <row r="1302" spans="6:6" x14ac:dyDescent="0.35">
      <c r="F1302" s="469"/>
    </row>
    <row r="1303" spans="6:6" x14ac:dyDescent="0.35">
      <c r="F1303" s="469"/>
    </row>
    <row r="1304" spans="6:6" x14ac:dyDescent="0.35">
      <c r="F1304" s="469"/>
    </row>
    <row r="1305" spans="6:6" x14ac:dyDescent="0.35">
      <c r="F1305" s="469"/>
    </row>
    <row r="1306" spans="6:6" x14ac:dyDescent="0.35">
      <c r="F1306" s="469"/>
    </row>
    <row r="1307" spans="6:6" x14ac:dyDescent="0.35">
      <c r="F1307" s="469"/>
    </row>
    <row r="1308" spans="6:6" x14ac:dyDescent="0.35">
      <c r="F1308" s="469"/>
    </row>
    <row r="1309" spans="6:6" x14ac:dyDescent="0.35">
      <c r="F1309" s="469"/>
    </row>
    <row r="1310" spans="6:6" x14ac:dyDescent="0.35">
      <c r="F1310" s="469"/>
    </row>
    <row r="1311" spans="6:6" x14ac:dyDescent="0.35">
      <c r="F1311" s="469"/>
    </row>
    <row r="1312" spans="6:6" x14ac:dyDescent="0.35">
      <c r="F1312" s="469"/>
    </row>
    <row r="1313" spans="6:6" x14ac:dyDescent="0.35">
      <c r="F1313" s="469"/>
    </row>
    <row r="1314" spans="6:6" x14ac:dyDescent="0.35">
      <c r="F1314" s="469"/>
    </row>
    <row r="1315" spans="6:6" x14ac:dyDescent="0.35">
      <c r="F1315" s="469"/>
    </row>
    <row r="1316" spans="6:6" x14ac:dyDescent="0.35">
      <c r="F1316" s="469"/>
    </row>
    <row r="1317" spans="6:6" x14ac:dyDescent="0.35">
      <c r="F1317" s="469"/>
    </row>
    <row r="1318" spans="6:6" x14ac:dyDescent="0.35">
      <c r="F1318" s="469"/>
    </row>
    <row r="1319" spans="6:6" x14ac:dyDescent="0.35">
      <c r="F1319" s="469"/>
    </row>
    <row r="1320" spans="6:6" x14ac:dyDescent="0.35">
      <c r="F1320" s="469"/>
    </row>
    <row r="1321" spans="6:6" x14ac:dyDescent="0.35">
      <c r="F1321" s="469"/>
    </row>
    <row r="1322" spans="6:6" x14ac:dyDescent="0.35">
      <c r="F1322" s="469"/>
    </row>
    <row r="1323" spans="6:6" x14ac:dyDescent="0.35">
      <c r="F1323" s="469"/>
    </row>
    <row r="1324" spans="6:6" x14ac:dyDescent="0.35">
      <c r="F1324" s="469"/>
    </row>
    <row r="1325" spans="6:6" x14ac:dyDescent="0.35">
      <c r="F1325" s="469"/>
    </row>
    <row r="1326" spans="6:6" x14ac:dyDescent="0.35">
      <c r="F1326" s="469"/>
    </row>
    <row r="1327" spans="6:6" x14ac:dyDescent="0.35">
      <c r="F1327" s="469"/>
    </row>
    <row r="1328" spans="6:6" x14ac:dyDescent="0.35">
      <c r="F1328" s="469"/>
    </row>
    <row r="1329" spans="6:6" x14ac:dyDescent="0.35">
      <c r="F1329" s="469"/>
    </row>
    <row r="1330" spans="6:6" x14ac:dyDescent="0.35">
      <c r="F1330" s="469"/>
    </row>
    <row r="1331" spans="6:6" x14ac:dyDescent="0.35">
      <c r="F1331" s="469"/>
    </row>
    <row r="1332" spans="6:6" x14ac:dyDescent="0.35">
      <c r="F1332" s="469"/>
    </row>
    <row r="1333" spans="6:6" x14ac:dyDescent="0.35">
      <c r="F1333" s="469"/>
    </row>
    <row r="1334" spans="6:6" x14ac:dyDescent="0.35">
      <c r="F1334" s="469"/>
    </row>
    <row r="1335" spans="6:6" x14ac:dyDescent="0.35">
      <c r="F1335" s="469"/>
    </row>
    <row r="1336" spans="6:6" x14ac:dyDescent="0.35">
      <c r="F1336" s="469"/>
    </row>
    <row r="1337" spans="6:6" x14ac:dyDescent="0.35">
      <c r="F1337" s="469"/>
    </row>
    <row r="1338" spans="6:6" x14ac:dyDescent="0.35">
      <c r="F1338" s="469"/>
    </row>
    <row r="1339" spans="6:6" x14ac:dyDescent="0.35">
      <c r="F1339" s="469"/>
    </row>
    <row r="1340" spans="6:6" x14ac:dyDescent="0.35">
      <c r="F1340" s="469"/>
    </row>
    <row r="1341" spans="6:6" x14ac:dyDescent="0.35">
      <c r="F1341" s="469"/>
    </row>
    <row r="1342" spans="6:6" x14ac:dyDescent="0.35">
      <c r="F1342" s="469"/>
    </row>
    <row r="1343" spans="6:6" x14ac:dyDescent="0.35">
      <c r="F1343" s="469"/>
    </row>
    <row r="1344" spans="6:6" x14ac:dyDescent="0.35">
      <c r="F1344" s="469"/>
    </row>
    <row r="1345" spans="6:6" x14ac:dyDescent="0.35">
      <c r="F1345" s="469"/>
    </row>
    <row r="1346" spans="6:6" x14ac:dyDescent="0.35">
      <c r="F1346" s="469"/>
    </row>
    <row r="1347" spans="6:6" x14ac:dyDescent="0.35">
      <c r="F1347" s="469"/>
    </row>
    <row r="1348" spans="6:6" x14ac:dyDescent="0.35">
      <c r="F1348" s="469"/>
    </row>
    <row r="1349" spans="6:6" x14ac:dyDescent="0.35">
      <c r="F1349" s="469"/>
    </row>
    <row r="1350" spans="6:6" x14ac:dyDescent="0.35">
      <c r="F1350" s="469"/>
    </row>
    <row r="1351" spans="6:6" x14ac:dyDescent="0.35">
      <c r="F1351" s="469"/>
    </row>
    <row r="1352" spans="6:6" x14ac:dyDescent="0.35">
      <c r="F1352" s="469"/>
    </row>
    <row r="1353" spans="6:6" x14ac:dyDescent="0.35">
      <c r="F1353" s="469"/>
    </row>
    <row r="1354" spans="6:6" x14ac:dyDescent="0.35">
      <c r="F1354" s="469"/>
    </row>
    <row r="1355" spans="6:6" x14ac:dyDescent="0.35">
      <c r="F1355" s="469"/>
    </row>
    <row r="1356" spans="6:6" x14ac:dyDescent="0.35">
      <c r="F1356" s="469"/>
    </row>
    <row r="1357" spans="6:6" x14ac:dyDescent="0.35">
      <c r="F1357" s="469"/>
    </row>
    <row r="1358" spans="6:6" x14ac:dyDescent="0.35">
      <c r="F1358" s="469"/>
    </row>
    <row r="1359" spans="6:6" x14ac:dyDescent="0.35">
      <c r="F1359" s="469"/>
    </row>
    <row r="1360" spans="6:6" x14ac:dyDescent="0.35">
      <c r="F1360" s="469"/>
    </row>
    <row r="1361" spans="6:6" x14ac:dyDescent="0.35">
      <c r="F1361" s="469"/>
    </row>
    <row r="1362" spans="6:6" x14ac:dyDescent="0.35">
      <c r="F1362" s="469"/>
    </row>
    <row r="1363" spans="6:6" x14ac:dyDescent="0.35">
      <c r="F1363" s="469"/>
    </row>
    <row r="1364" spans="6:6" x14ac:dyDescent="0.35">
      <c r="F1364" s="469"/>
    </row>
    <row r="1365" spans="6:6" x14ac:dyDescent="0.35">
      <c r="F1365" s="469"/>
    </row>
    <row r="1366" spans="6:6" x14ac:dyDescent="0.35">
      <c r="F1366" s="469"/>
    </row>
    <row r="1367" spans="6:6" x14ac:dyDescent="0.35">
      <c r="F1367" s="469"/>
    </row>
    <row r="1368" spans="6:6" x14ac:dyDescent="0.35">
      <c r="F1368" s="469"/>
    </row>
    <row r="1369" spans="6:6" x14ac:dyDescent="0.35">
      <c r="F1369" s="469"/>
    </row>
    <row r="1370" spans="6:6" x14ac:dyDescent="0.35">
      <c r="F1370" s="469"/>
    </row>
    <row r="1371" spans="6:6" x14ac:dyDescent="0.35">
      <c r="F1371" s="469"/>
    </row>
    <row r="1372" spans="6:6" x14ac:dyDescent="0.35">
      <c r="F1372" s="469"/>
    </row>
    <row r="1373" spans="6:6" x14ac:dyDescent="0.35">
      <c r="F1373" s="469"/>
    </row>
    <row r="1374" spans="6:6" x14ac:dyDescent="0.35">
      <c r="F1374" s="469"/>
    </row>
    <row r="1375" spans="6:6" x14ac:dyDescent="0.35">
      <c r="F1375" s="469"/>
    </row>
    <row r="1376" spans="6:6" x14ac:dyDescent="0.35">
      <c r="F1376" s="469"/>
    </row>
    <row r="1377" spans="6:6" x14ac:dyDescent="0.35">
      <c r="F1377" s="469"/>
    </row>
    <row r="1378" spans="6:6" x14ac:dyDescent="0.35">
      <c r="F1378" s="469"/>
    </row>
    <row r="1379" spans="6:6" x14ac:dyDescent="0.35">
      <c r="F1379" s="469"/>
    </row>
    <row r="1380" spans="6:6" x14ac:dyDescent="0.35">
      <c r="F1380" s="469"/>
    </row>
    <row r="1381" spans="6:6" x14ac:dyDescent="0.35">
      <c r="F1381" s="469"/>
    </row>
    <row r="1382" spans="6:6" x14ac:dyDescent="0.35">
      <c r="F1382" s="469"/>
    </row>
    <row r="1383" spans="6:6" x14ac:dyDescent="0.35">
      <c r="F1383" s="469"/>
    </row>
    <row r="1384" spans="6:6" x14ac:dyDescent="0.35">
      <c r="F1384" s="469"/>
    </row>
    <row r="1385" spans="6:6" x14ac:dyDescent="0.35">
      <c r="F1385" s="469"/>
    </row>
    <row r="1386" spans="6:6" x14ac:dyDescent="0.35">
      <c r="F1386" s="469"/>
    </row>
    <row r="1387" spans="6:6" x14ac:dyDescent="0.35">
      <c r="F1387" s="469"/>
    </row>
    <row r="1388" spans="6:6" x14ac:dyDescent="0.35">
      <c r="F1388" s="469"/>
    </row>
    <row r="1389" spans="6:6" x14ac:dyDescent="0.35">
      <c r="F1389" s="469"/>
    </row>
    <row r="1390" spans="6:6" x14ac:dyDescent="0.35">
      <c r="F1390" s="469"/>
    </row>
    <row r="1391" spans="6:6" x14ac:dyDescent="0.35">
      <c r="F1391" s="469"/>
    </row>
    <row r="1392" spans="6:6" x14ac:dyDescent="0.35">
      <c r="F1392" s="469"/>
    </row>
    <row r="1393" spans="6:6" x14ac:dyDescent="0.35">
      <c r="F1393" s="469"/>
    </row>
    <row r="1394" spans="6:6" x14ac:dyDescent="0.35">
      <c r="F1394" s="469"/>
    </row>
    <row r="1395" spans="6:6" x14ac:dyDescent="0.35">
      <c r="F1395" s="469"/>
    </row>
    <row r="1396" spans="6:6" x14ac:dyDescent="0.35">
      <c r="F1396" s="469"/>
    </row>
    <row r="1397" spans="6:6" x14ac:dyDescent="0.35">
      <c r="F1397" s="469"/>
    </row>
    <row r="1398" spans="6:6" x14ac:dyDescent="0.35">
      <c r="F1398" s="469"/>
    </row>
    <row r="1399" spans="6:6" x14ac:dyDescent="0.35">
      <c r="F1399" s="469"/>
    </row>
    <row r="1400" spans="6:6" x14ac:dyDescent="0.35">
      <c r="F1400" s="469"/>
    </row>
    <row r="1401" spans="6:6" x14ac:dyDescent="0.35">
      <c r="F1401" s="469"/>
    </row>
    <row r="1402" spans="6:6" x14ac:dyDescent="0.35">
      <c r="F1402" s="469"/>
    </row>
    <row r="1403" spans="6:6" x14ac:dyDescent="0.35">
      <c r="F1403" s="469"/>
    </row>
    <row r="1404" spans="6:6" x14ac:dyDescent="0.35">
      <c r="F1404" s="469"/>
    </row>
    <row r="1405" spans="6:6" x14ac:dyDescent="0.35">
      <c r="F1405" s="469"/>
    </row>
    <row r="1406" spans="6:6" x14ac:dyDescent="0.35">
      <c r="F1406" s="469"/>
    </row>
    <row r="1407" spans="6:6" x14ac:dyDescent="0.35">
      <c r="F1407" s="469"/>
    </row>
    <row r="1408" spans="6:6" x14ac:dyDescent="0.35">
      <c r="F1408" s="469"/>
    </row>
    <row r="1409" spans="6:6" x14ac:dyDescent="0.35">
      <c r="F1409" s="469"/>
    </row>
    <row r="1410" spans="6:6" x14ac:dyDescent="0.35">
      <c r="F1410" s="469"/>
    </row>
    <row r="1411" spans="6:6" x14ac:dyDescent="0.35">
      <c r="F1411" s="469"/>
    </row>
    <row r="1412" spans="6:6" x14ac:dyDescent="0.35">
      <c r="F1412" s="469"/>
    </row>
    <row r="1413" spans="6:6" x14ac:dyDescent="0.35">
      <c r="F1413" s="469"/>
    </row>
    <row r="1414" spans="6:6" x14ac:dyDescent="0.35">
      <c r="F1414" s="469"/>
    </row>
    <row r="1415" spans="6:6" x14ac:dyDescent="0.35">
      <c r="F1415" s="469"/>
    </row>
    <row r="1416" spans="6:6" x14ac:dyDescent="0.35">
      <c r="F1416" s="469"/>
    </row>
    <row r="1417" spans="6:6" x14ac:dyDescent="0.35">
      <c r="F1417" s="469"/>
    </row>
    <row r="1418" spans="6:6" x14ac:dyDescent="0.35">
      <c r="F1418" s="469"/>
    </row>
    <row r="1419" spans="6:6" x14ac:dyDescent="0.35">
      <c r="F1419" s="469"/>
    </row>
    <row r="1420" spans="6:6" x14ac:dyDescent="0.35">
      <c r="F1420" s="469"/>
    </row>
    <row r="1421" spans="6:6" x14ac:dyDescent="0.35">
      <c r="F1421" s="469"/>
    </row>
    <row r="1422" spans="6:6" x14ac:dyDescent="0.35">
      <c r="F1422" s="469"/>
    </row>
    <row r="1423" spans="6:6" x14ac:dyDescent="0.35">
      <c r="F1423" s="469"/>
    </row>
    <row r="1424" spans="6:6" x14ac:dyDescent="0.35">
      <c r="F1424" s="469"/>
    </row>
    <row r="1425" spans="6:6" x14ac:dyDescent="0.35">
      <c r="F1425" s="469"/>
    </row>
    <row r="1426" spans="6:6" x14ac:dyDescent="0.35">
      <c r="F1426" s="469"/>
    </row>
    <row r="1427" spans="6:6" x14ac:dyDescent="0.35">
      <c r="F1427" s="469"/>
    </row>
    <row r="1428" spans="6:6" x14ac:dyDescent="0.35">
      <c r="F1428" s="469"/>
    </row>
    <row r="1429" spans="6:6" x14ac:dyDescent="0.35">
      <c r="F1429" s="469"/>
    </row>
    <row r="1430" spans="6:6" x14ac:dyDescent="0.35">
      <c r="F1430" s="469"/>
    </row>
    <row r="1431" spans="6:6" x14ac:dyDescent="0.35">
      <c r="F1431" s="469"/>
    </row>
    <row r="1432" spans="6:6" x14ac:dyDescent="0.35">
      <c r="F1432" s="469"/>
    </row>
    <row r="1433" spans="6:6" x14ac:dyDescent="0.35">
      <c r="F1433" s="469"/>
    </row>
    <row r="1434" spans="6:6" x14ac:dyDescent="0.35">
      <c r="F1434" s="469"/>
    </row>
    <row r="1435" spans="6:6" x14ac:dyDescent="0.35">
      <c r="F1435" s="469"/>
    </row>
    <row r="1436" spans="6:6" x14ac:dyDescent="0.35">
      <c r="F1436" s="469"/>
    </row>
    <row r="1437" spans="6:6" x14ac:dyDescent="0.35">
      <c r="F1437" s="469"/>
    </row>
    <row r="1438" spans="6:6" x14ac:dyDescent="0.35">
      <c r="F1438" s="469"/>
    </row>
    <row r="1439" spans="6:6" x14ac:dyDescent="0.35">
      <c r="F1439" s="469"/>
    </row>
    <row r="1440" spans="6:6" x14ac:dyDescent="0.35">
      <c r="F1440" s="469"/>
    </row>
    <row r="1441" spans="6:6" x14ac:dyDescent="0.35">
      <c r="F1441" s="469"/>
    </row>
    <row r="1442" spans="6:6" x14ac:dyDescent="0.35">
      <c r="F1442" s="469"/>
    </row>
    <row r="1443" spans="6:6" x14ac:dyDescent="0.35">
      <c r="F1443" s="469"/>
    </row>
    <row r="1444" spans="6:6" x14ac:dyDescent="0.35">
      <c r="F1444" s="469"/>
    </row>
    <row r="1445" spans="6:6" x14ac:dyDescent="0.35">
      <c r="F1445" s="469"/>
    </row>
    <row r="1446" spans="6:6" x14ac:dyDescent="0.35">
      <c r="F1446" s="469"/>
    </row>
    <row r="1447" spans="6:6" x14ac:dyDescent="0.35">
      <c r="F1447" s="469"/>
    </row>
    <row r="1448" spans="6:6" x14ac:dyDescent="0.35">
      <c r="F1448" s="469"/>
    </row>
    <row r="1449" spans="6:6" x14ac:dyDescent="0.35">
      <c r="F1449" s="469"/>
    </row>
    <row r="1450" spans="6:6" x14ac:dyDescent="0.35">
      <c r="F1450" s="469"/>
    </row>
    <row r="1451" spans="6:6" x14ac:dyDescent="0.35">
      <c r="F1451" s="469"/>
    </row>
    <row r="1452" spans="6:6" x14ac:dyDescent="0.35">
      <c r="F1452" s="469"/>
    </row>
    <row r="1453" spans="6:6" x14ac:dyDescent="0.35">
      <c r="F1453" s="469"/>
    </row>
    <row r="1454" spans="6:6" x14ac:dyDescent="0.35">
      <c r="F1454" s="469"/>
    </row>
    <row r="1455" spans="6:6" x14ac:dyDescent="0.35">
      <c r="F1455" s="469"/>
    </row>
    <row r="1456" spans="6:6" x14ac:dyDescent="0.35">
      <c r="F1456" s="469"/>
    </row>
    <row r="1457" spans="6:6" x14ac:dyDescent="0.35">
      <c r="F1457" s="469"/>
    </row>
    <row r="1458" spans="6:6" x14ac:dyDescent="0.35">
      <c r="F1458" s="469"/>
    </row>
    <row r="1459" spans="6:6" x14ac:dyDescent="0.35">
      <c r="F1459" s="469"/>
    </row>
    <row r="1460" spans="6:6" x14ac:dyDescent="0.35">
      <c r="F1460" s="469"/>
    </row>
    <row r="1461" spans="6:6" x14ac:dyDescent="0.35">
      <c r="F1461" s="469"/>
    </row>
    <row r="1462" spans="6:6" x14ac:dyDescent="0.35">
      <c r="F1462" s="469"/>
    </row>
    <row r="1463" spans="6:6" x14ac:dyDescent="0.35">
      <c r="F1463" s="469"/>
    </row>
    <row r="1464" spans="6:6" x14ac:dyDescent="0.35">
      <c r="F1464" s="469"/>
    </row>
    <row r="1465" spans="6:6" x14ac:dyDescent="0.35">
      <c r="F1465" s="469"/>
    </row>
    <row r="1466" spans="6:6" x14ac:dyDescent="0.35">
      <c r="F1466" s="469"/>
    </row>
    <row r="1467" spans="6:6" x14ac:dyDescent="0.35">
      <c r="F1467" s="469"/>
    </row>
    <row r="1468" spans="6:6" x14ac:dyDescent="0.35">
      <c r="F1468" s="469"/>
    </row>
    <row r="1469" spans="6:6" x14ac:dyDescent="0.35">
      <c r="F1469" s="469"/>
    </row>
    <row r="1470" spans="6:6" x14ac:dyDescent="0.35">
      <c r="F1470" s="469"/>
    </row>
    <row r="1471" spans="6:6" x14ac:dyDescent="0.35">
      <c r="F1471" s="469"/>
    </row>
    <row r="1472" spans="6:6" x14ac:dyDescent="0.35">
      <c r="F1472" s="469"/>
    </row>
    <row r="1473" spans="6:6" x14ac:dyDescent="0.35">
      <c r="F1473" s="469"/>
    </row>
    <row r="1474" spans="6:6" x14ac:dyDescent="0.35">
      <c r="F1474" s="469"/>
    </row>
    <row r="1475" spans="6:6" x14ac:dyDescent="0.35">
      <c r="F1475" s="469"/>
    </row>
    <row r="1476" spans="6:6" x14ac:dyDescent="0.35">
      <c r="F1476" s="469"/>
    </row>
    <row r="1477" spans="6:6" x14ac:dyDescent="0.35">
      <c r="F1477" s="469"/>
    </row>
    <row r="1478" spans="6:6" x14ac:dyDescent="0.35">
      <c r="F1478" s="469"/>
    </row>
    <row r="1479" spans="6:6" x14ac:dyDescent="0.35">
      <c r="F1479" s="469"/>
    </row>
    <row r="1480" spans="6:6" x14ac:dyDescent="0.35">
      <c r="F1480" s="469"/>
    </row>
    <row r="1481" spans="6:6" x14ac:dyDescent="0.35">
      <c r="F1481" s="469"/>
    </row>
    <row r="1482" spans="6:6" x14ac:dyDescent="0.35">
      <c r="F1482" s="469"/>
    </row>
    <row r="1483" spans="6:6" x14ac:dyDescent="0.35">
      <c r="F1483" s="469"/>
    </row>
    <row r="1484" spans="6:6" x14ac:dyDescent="0.35">
      <c r="F1484" s="469"/>
    </row>
    <row r="1485" spans="6:6" x14ac:dyDescent="0.35">
      <c r="F1485" s="469"/>
    </row>
    <row r="1486" spans="6:6" x14ac:dyDescent="0.35">
      <c r="F1486" s="469"/>
    </row>
    <row r="1487" spans="6:6" x14ac:dyDescent="0.35">
      <c r="F1487" s="469"/>
    </row>
    <row r="1488" spans="6:6" x14ac:dyDescent="0.35">
      <c r="F1488" s="469"/>
    </row>
    <row r="1489" spans="6:6" x14ac:dyDescent="0.35">
      <c r="F1489" s="469"/>
    </row>
    <row r="1490" spans="6:6" x14ac:dyDescent="0.35">
      <c r="F1490" s="469"/>
    </row>
    <row r="1491" spans="6:6" x14ac:dyDescent="0.35">
      <c r="F1491" s="469"/>
    </row>
    <row r="1492" spans="6:6" x14ac:dyDescent="0.35">
      <c r="F1492" s="469"/>
    </row>
    <row r="1493" spans="6:6" x14ac:dyDescent="0.35">
      <c r="F1493" s="469"/>
    </row>
    <row r="1494" spans="6:6" x14ac:dyDescent="0.35">
      <c r="F1494" s="469"/>
    </row>
    <row r="1495" spans="6:6" x14ac:dyDescent="0.35">
      <c r="F1495" s="469"/>
    </row>
    <row r="1496" spans="6:6" x14ac:dyDescent="0.35">
      <c r="F1496" s="469"/>
    </row>
    <row r="1497" spans="6:6" x14ac:dyDescent="0.35">
      <c r="F1497" s="469"/>
    </row>
    <row r="1498" spans="6:6" x14ac:dyDescent="0.35">
      <c r="F1498" s="469"/>
    </row>
    <row r="1499" spans="6:6" x14ac:dyDescent="0.35">
      <c r="F1499" s="469"/>
    </row>
    <row r="1500" spans="6:6" x14ac:dyDescent="0.35">
      <c r="F1500" s="469"/>
    </row>
    <row r="1501" spans="6:6" x14ac:dyDescent="0.35">
      <c r="F1501" s="469"/>
    </row>
    <row r="1502" spans="6:6" x14ac:dyDescent="0.35">
      <c r="F1502" s="469"/>
    </row>
    <row r="1503" spans="6:6" x14ac:dyDescent="0.35">
      <c r="F1503" s="469"/>
    </row>
    <row r="1504" spans="6:6" x14ac:dyDescent="0.35">
      <c r="F1504" s="469"/>
    </row>
    <row r="1505" spans="6:6" x14ac:dyDescent="0.35">
      <c r="F1505" s="469"/>
    </row>
    <row r="1506" spans="6:6" x14ac:dyDescent="0.35">
      <c r="F1506" s="469"/>
    </row>
    <row r="1507" spans="6:6" x14ac:dyDescent="0.35">
      <c r="F1507" s="469"/>
    </row>
    <row r="1508" spans="6:6" x14ac:dyDescent="0.35">
      <c r="F1508" s="469"/>
    </row>
    <row r="1509" spans="6:6" x14ac:dyDescent="0.35">
      <c r="F1509" s="469"/>
    </row>
    <row r="1510" spans="6:6" x14ac:dyDescent="0.35">
      <c r="F1510" s="469"/>
    </row>
    <row r="1511" spans="6:6" x14ac:dyDescent="0.35">
      <c r="F1511" s="469"/>
    </row>
    <row r="1512" spans="6:6" x14ac:dyDescent="0.35">
      <c r="F1512" s="469"/>
    </row>
    <row r="1513" spans="6:6" x14ac:dyDescent="0.35">
      <c r="F1513" s="469"/>
    </row>
    <row r="1514" spans="6:6" x14ac:dyDescent="0.35">
      <c r="F1514" s="469"/>
    </row>
    <row r="1515" spans="6:6" x14ac:dyDescent="0.35">
      <c r="F1515" s="469"/>
    </row>
    <row r="1516" spans="6:6" x14ac:dyDescent="0.35">
      <c r="F1516" s="469"/>
    </row>
    <row r="1517" spans="6:6" x14ac:dyDescent="0.35">
      <c r="F1517" s="469"/>
    </row>
    <row r="1518" spans="6:6" x14ac:dyDescent="0.35">
      <c r="F1518" s="469"/>
    </row>
    <row r="1519" spans="6:6" x14ac:dyDescent="0.35">
      <c r="F1519" s="469"/>
    </row>
    <row r="1520" spans="6:6" x14ac:dyDescent="0.35">
      <c r="F1520" s="469"/>
    </row>
    <row r="1521" spans="6:6" x14ac:dyDescent="0.35">
      <c r="F1521" s="469"/>
    </row>
    <row r="1522" spans="6:6" x14ac:dyDescent="0.35">
      <c r="F1522" s="469"/>
    </row>
    <row r="1523" spans="6:6" x14ac:dyDescent="0.35">
      <c r="F1523" s="469"/>
    </row>
    <row r="1524" spans="6:6" x14ac:dyDescent="0.35">
      <c r="F1524" s="469"/>
    </row>
    <row r="1525" spans="6:6" x14ac:dyDescent="0.35">
      <c r="F1525" s="469"/>
    </row>
    <row r="1526" spans="6:6" x14ac:dyDescent="0.35">
      <c r="F1526" s="469"/>
    </row>
    <row r="1527" spans="6:6" x14ac:dyDescent="0.35">
      <c r="F1527" s="469"/>
    </row>
    <row r="1528" spans="6:6" x14ac:dyDescent="0.35">
      <c r="F1528" s="469"/>
    </row>
    <row r="1529" spans="6:6" x14ac:dyDescent="0.35">
      <c r="F1529" s="469"/>
    </row>
    <row r="1530" spans="6:6" x14ac:dyDescent="0.35">
      <c r="F1530" s="469"/>
    </row>
    <row r="1531" spans="6:6" x14ac:dyDescent="0.35">
      <c r="F1531" s="469"/>
    </row>
    <row r="1532" spans="6:6" x14ac:dyDescent="0.35">
      <c r="F1532" s="469"/>
    </row>
    <row r="1533" spans="6:6" x14ac:dyDescent="0.35">
      <c r="F1533" s="469"/>
    </row>
    <row r="1534" spans="6:6" x14ac:dyDescent="0.35">
      <c r="F1534" s="469"/>
    </row>
    <row r="1535" spans="6:6" x14ac:dyDescent="0.35">
      <c r="F1535" s="469"/>
    </row>
    <row r="1536" spans="6:6" x14ac:dyDescent="0.35">
      <c r="F1536" s="469"/>
    </row>
    <row r="1537" spans="6:6" x14ac:dyDescent="0.35">
      <c r="F1537" s="469"/>
    </row>
    <row r="1538" spans="6:6" x14ac:dyDescent="0.35">
      <c r="F1538" s="469"/>
    </row>
    <row r="1539" spans="6:6" x14ac:dyDescent="0.35">
      <c r="F1539" s="469"/>
    </row>
    <row r="1540" spans="6:6" x14ac:dyDescent="0.35">
      <c r="F1540" s="469"/>
    </row>
    <row r="1541" spans="6:6" x14ac:dyDescent="0.35">
      <c r="F1541" s="469"/>
    </row>
    <row r="1542" spans="6:6" x14ac:dyDescent="0.35">
      <c r="F1542" s="469"/>
    </row>
    <row r="1543" spans="6:6" x14ac:dyDescent="0.35">
      <c r="F1543" s="469"/>
    </row>
    <row r="1544" spans="6:6" x14ac:dyDescent="0.35">
      <c r="F1544" s="469"/>
    </row>
    <row r="1545" spans="6:6" x14ac:dyDescent="0.35">
      <c r="F1545" s="469"/>
    </row>
    <row r="1546" spans="6:6" x14ac:dyDescent="0.35">
      <c r="F1546" s="469"/>
    </row>
    <row r="1547" spans="6:6" x14ac:dyDescent="0.35">
      <c r="F1547" s="469"/>
    </row>
    <row r="1548" spans="6:6" x14ac:dyDescent="0.35">
      <c r="F1548" s="469"/>
    </row>
    <row r="1549" spans="6:6" x14ac:dyDescent="0.35">
      <c r="F1549" s="469"/>
    </row>
    <row r="1550" spans="6:6" x14ac:dyDescent="0.35">
      <c r="F1550" s="469"/>
    </row>
    <row r="1551" spans="6:6" x14ac:dyDescent="0.35">
      <c r="F1551" s="469"/>
    </row>
    <row r="1552" spans="6:6" x14ac:dyDescent="0.35">
      <c r="F1552" s="469"/>
    </row>
    <row r="1553" spans="6:6" x14ac:dyDescent="0.35">
      <c r="F1553" s="469"/>
    </row>
    <row r="1554" spans="6:6" x14ac:dyDescent="0.35">
      <c r="F1554" s="469"/>
    </row>
    <row r="1555" spans="6:6" x14ac:dyDescent="0.35">
      <c r="F1555" s="469"/>
    </row>
    <row r="1556" spans="6:6" x14ac:dyDescent="0.35">
      <c r="F1556" s="469"/>
    </row>
    <row r="1557" spans="6:6" x14ac:dyDescent="0.35">
      <c r="F1557" s="469"/>
    </row>
    <row r="1558" spans="6:6" x14ac:dyDescent="0.35">
      <c r="F1558" s="469"/>
    </row>
    <row r="1559" spans="6:6" x14ac:dyDescent="0.35">
      <c r="F1559" s="469"/>
    </row>
    <row r="1560" spans="6:6" x14ac:dyDescent="0.35">
      <c r="F1560" s="469"/>
    </row>
    <row r="1561" spans="6:6" x14ac:dyDescent="0.35">
      <c r="F1561" s="469"/>
    </row>
    <row r="1562" spans="6:6" x14ac:dyDescent="0.35">
      <c r="F1562" s="469"/>
    </row>
    <row r="1563" spans="6:6" x14ac:dyDescent="0.35">
      <c r="F1563" s="469"/>
    </row>
    <row r="1564" spans="6:6" x14ac:dyDescent="0.35">
      <c r="F1564" s="469"/>
    </row>
    <row r="1565" spans="6:6" x14ac:dyDescent="0.35">
      <c r="F1565" s="469"/>
    </row>
    <row r="1566" spans="6:6" x14ac:dyDescent="0.35">
      <c r="F1566" s="469"/>
    </row>
    <row r="1567" spans="6:6" x14ac:dyDescent="0.35">
      <c r="F1567" s="469"/>
    </row>
    <row r="1568" spans="6:6" x14ac:dyDescent="0.35">
      <c r="F1568" s="469"/>
    </row>
    <row r="1569" spans="6:6" x14ac:dyDescent="0.35">
      <c r="F1569" s="469"/>
    </row>
    <row r="1570" spans="6:6" x14ac:dyDescent="0.35">
      <c r="F1570" s="469"/>
    </row>
    <row r="1571" spans="6:6" x14ac:dyDescent="0.35">
      <c r="F1571" s="469"/>
    </row>
    <row r="1572" spans="6:6" x14ac:dyDescent="0.35">
      <c r="F1572" s="469"/>
    </row>
    <row r="1573" spans="6:6" x14ac:dyDescent="0.35">
      <c r="F1573" s="469"/>
    </row>
    <row r="1574" spans="6:6" x14ac:dyDescent="0.35">
      <c r="F1574" s="469"/>
    </row>
    <row r="1575" spans="6:6" x14ac:dyDescent="0.35">
      <c r="F1575" s="469"/>
    </row>
    <row r="1576" spans="6:6" x14ac:dyDescent="0.35">
      <c r="F1576" s="469"/>
    </row>
    <row r="1577" spans="6:6" x14ac:dyDescent="0.35">
      <c r="F1577" s="469"/>
    </row>
    <row r="1578" spans="6:6" x14ac:dyDescent="0.35">
      <c r="F1578" s="469"/>
    </row>
    <row r="1579" spans="6:6" x14ac:dyDescent="0.35">
      <c r="F1579" s="469"/>
    </row>
    <row r="1580" spans="6:6" x14ac:dyDescent="0.35">
      <c r="F1580" s="469"/>
    </row>
    <row r="1581" spans="6:6" x14ac:dyDescent="0.35">
      <c r="F1581" s="469"/>
    </row>
    <row r="1582" spans="6:6" x14ac:dyDescent="0.35">
      <c r="F1582" s="469"/>
    </row>
    <row r="1583" spans="6:6" x14ac:dyDescent="0.35">
      <c r="F1583" s="469"/>
    </row>
    <row r="1584" spans="6:6" x14ac:dyDescent="0.35">
      <c r="F1584" s="469"/>
    </row>
    <row r="1585" spans="6:6" x14ac:dyDescent="0.35">
      <c r="F1585" s="469"/>
    </row>
    <row r="1586" spans="6:6" x14ac:dyDescent="0.35">
      <c r="F1586" s="469"/>
    </row>
    <row r="1587" spans="6:6" x14ac:dyDescent="0.35">
      <c r="F1587" s="469"/>
    </row>
    <row r="1588" spans="6:6" x14ac:dyDescent="0.35">
      <c r="F1588" s="469"/>
    </row>
    <row r="1589" spans="6:6" x14ac:dyDescent="0.35">
      <c r="F1589" s="469"/>
    </row>
    <row r="1590" spans="6:6" x14ac:dyDescent="0.35">
      <c r="F1590" s="469"/>
    </row>
    <row r="1591" spans="6:6" x14ac:dyDescent="0.35">
      <c r="F1591" s="469"/>
    </row>
    <row r="1592" spans="6:6" x14ac:dyDescent="0.35">
      <c r="F1592" s="469"/>
    </row>
    <row r="1593" spans="6:6" x14ac:dyDescent="0.35">
      <c r="F1593" s="469"/>
    </row>
    <row r="1594" spans="6:6" x14ac:dyDescent="0.35">
      <c r="F1594" s="469"/>
    </row>
    <row r="1595" spans="6:6" x14ac:dyDescent="0.35">
      <c r="F1595" s="469"/>
    </row>
    <row r="1596" spans="6:6" x14ac:dyDescent="0.35">
      <c r="F1596" s="469"/>
    </row>
    <row r="1597" spans="6:6" x14ac:dyDescent="0.35">
      <c r="F1597" s="469"/>
    </row>
    <row r="1598" spans="6:6" x14ac:dyDescent="0.35">
      <c r="F1598" s="469"/>
    </row>
    <row r="1599" spans="6:6" x14ac:dyDescent="0.35">
      <c r="F1599" s="469"/>
    </row>
    <row r="1600" spans="6:6" x14ac:dyDescent="0.35">
      <c r="F1600" s="469"/>
    </row>
    <row r="1601" spans="6:6" x14ac:dyDescent="0.35">
      <c r="F1601" s="469"/>
    </row>
    <row r="1602" spans="6:6" x14ac:dyDescent="0.35">
      <c r="F1602" s="469"/>
    </row>
    <row r="1603" spans="6:6" x14ac:dyDescent="0.35">
      <c r="F1603" s="469"/>
    </row>
    <row r="1604" spans="6:6" x14ac:dyDescent="0.35">
      <c r="F1604" s="469"/>
    </row>
    <row r="1605" spans="6:6" x14ac:dyDescent="0.35">
      <c r="F1605" s="469"/>
    </row>
    <row r="1606" spans="6:6" x14ac:dyDescent="0.35">
      <c r="F1606" s="469"/>
    </row>
    <row r="1607" spans="6:6" x14ac:dyDescent="0.35">
      <c r="F1607" s="469"/>
    </row>
    <row r="1608" spans="6:6" x14ac:dyDescent="0.35">
      <c r="F1608" s="469"/>
    </row>
    <row r="1609" spans="6:6" x14ac:dyDescent="0.35">
      <c r="F1609" s="469"/>
    </row>
    <row r="1610" spans="6:6" x14ac:dyDescent="0.35">
      <c r="F1610" s="469"/>
    </row>
    <row r="1611" spans="6:6" x14ac:dyDescent="0.35">
      <c r="F1611" s="469"/>
    </row>
    <row r="1612" spans="6:6" x14ac:dyDescent="0.35">
      <c r="F1612" s="469"/>
    </row>
    <row r="1613" spans="6:6" x14ac:dyDescent="0.35">
      <c r="F1613" s="469"/>
    </row>
    <row r="1614" spans="6:6" x14ac:dyDescent="0.35">
      <c r="F1614" s="469"/>
    </row>
    <row r="1615" spans="6:6" x14ac:dyDescent="0.35">
      <c r="F1615" s="469"/>
    </row>
    <row r="1616" spans="6:6" x14ac:dyDescent="0.35">
      <c r="F1616" s="469"/>
    </row>
    <row r="1617" spans="6:6" x14ac:dyDescent="0.35">
      <c r="F1617" s="469"/>
    </row>
    <row r="1618" spans="6:6" x14ac:dyDescent="0.35">
      <c r="F1618" s="469"/>
    </row>
    <row r="1619" spans="6:6" x14ac:dyDescent="0.35">
      <c r="F1619" s="469"/>
    </row>
    <row r="1620" spans="6:6" x14ac:dyDescent="0.35">
      <c r="F1620" s="469"/>
    </row>
    <row r="1621" spans="6:6" x14ac:dyDescent="0.35">
      <c r="F1621" s="469"/>
    </row>
    <row r="1622" spans="6:6" x14ac:dyDescent="0.35">
      <c r="F1622" s="469"/>
    </row>
    <row r="1623" spans="6:6" x14ac:dyDescent="0.35">
      <c r="F1623" s="469"/>
    </row>
    <row r="1624" spans="6:6" x14ac:dyDescent="0.35">
      <c r="F1624" s="469"/>
    </row>
    <row r="1625" spans="6:6" x14ac:dyDescent="0.35">
      <c r="F1625" s="469"/>
    </row>
    <row r="1626" spans="6:6" x14ac:dyDescent="0.35">
      <c r="F1626" s="469"/>
    </row>
    <row r="1627" spans="6:6" x14ac:dyDescent="0.35">
      <c r="F1627" s="469"/>
    </row>
    <row r="1628" spans="6:6" x14ac:dyDescent="0.35">
      <c r="F1628" s="469"/>
    </row>
    <row r="1629" spans="6:6" x14ac:dyDescent="0.35">
      <c r="F1629" s="469"/>
    </row>
    <row r="1630" spans="6:6" x14ac:dyDescent="0.35">
      <c r="F1630" s="469"/>
    </row>
    <row r="1631" spans="6:6" x14ac:dyDescent="0.35">
      <c r="F1631" s="469"/>
    </row>
    <row r="1632" spans="6:6" x14ac:dyDescent="0.35">
      <c r="F1632" s="469"/>
    </row>
    <row r="1633" spans="6:6" x14ac:dyDescent="0.35">
      <c r="F1633" s="469"/>
    </row>
    <row r="1634" spans="6:6" x14ac:dyDescent="0.35">
      <c r="F1634" s="469"/>
    </row>
    <row r="1635" spans="6:6" x14ac:dyDescent="0.35">
      <c r="F1635" s="469"/>
    </row>
    <row r="1636" spans="6:6" x14ac:dyDescent="0.35">
      <c r="F1636" s="469"/>
    </row>
    <row r="1637" spans="6:6" x14ac:dyDescent="0.35">
      <c r="F1637" s="469"/>
    </row>
    <row r="1638" spans="6:6" x14ac:dyDescent="0.35">
      <c r="F1638" s="469"/>
    </row>
    <row r="1639" spans="6:6" x14ac:dyDescent="0.35">
      <c r="F1639" s="469"/>
    </row>
    <row r="1640" spans="6:6" x14ac:dyDescent="0.35">
      <c r="F1640" s="469"/>
    </row>
    <row r="1641" spans="6:6" x14ac:dyDescent="0.35">
      <c r="F1641" s="469"/>
    </row>
    <row r="1642" spans="6:6" x14ac:dyDescent="0.35">
      <c r="F1642" s="469"/>
    </row>
    <row r="1643" spans="6:6" x14ac:dyDescent="0.35">
      <c r="F1643" s="469"/>
    </row>
    <row r="1644" spans="6:6" x14ac:dyDescent="0.35">
      <c r="F1644" s="469"/>
    </row>
    <row r="1645" spans="6:6" x14ac:dyDescent="0.35">
      <c r="F1645" s="469"/>
    </row>
    <row r="1646" spans="6:6" x14ac:dyDescent="0.35">
      <c r="F1646" s="469"/>
    </row>
    <row r="1647" spans="6:6" x14ac:dyDescent="0.35">
      <c r="F1647" s="469"/>
    </row>
    <row r="1648" spans="6:6" x14ac:dyDescent="0.35">
      <c r="F1648" s="469"/>
    </row>
    <row r="1649" spans="6:6" x14ac:dyDescent="0.35">
      <c r="F1649" s="469"/>
    </row>
    <row r="1650" spans="6:6" x14ac:dyDescent="0.35">
      <c r="F1650" s="469"/>
    </row>
    <row r="1651" spans="6:6" x14ac:dyDescent="0.35">
      <c r="F1651" s="469"/>
    </row>
    <row r="1652" spans="6:6" x14ac:dyDescent="0.35">
      <c r="F1652" s="469"/>
    </row>
    <row r="1653" spans="6:6" x14ac:dyDescent="0.35">
      <c r="F1653" s="469"/>
    </row>
    <row r="1654" spans="6:6" x14ac:dyDescent="0.35">
      <c r="F1654" s="469"/>
    </row>
    <row r="1655" spans="6:6" x14ac:dyDescent="0.35">
      <c r="F1655" s="469"/>
    </row>
    <row r="1656" spans="6:6" x14ac:dyDescent="0.35">
      <c r="F1656" s="469"/>
    </row>
    <row r="1657" spans="6:6" x14ac:dyDescent="0.35">
      <c r="F1657" s="469"/>
    </row>
    <row r="1658" spans="6:6" x14ac:dyDescent="0.35">
      <c r="F1658" s="469"/>
    </row>
    <row r="1659" spans="6:6" x14ac:dyDescent="0.35">
      <c r="F1659" s="469"/>
    </row>
    <row r="1660" spans="6:6" x14ac:dyDescent="0.35">
      <c r="F1660" s="469"/>
    </row>
    <row r="1661" spans="6:6" x14ac:dyDescent="0.35">
      <c r="F1661" s="469"/>
    </row>
    <row r="1662" spans="6:6" x14ac:dyDescent="0.35">
      <c r="F1662" s="469"/>
    </row>
    <row r="1663" spans="6:6" x14ac:dyDescent="0.35">
      <c r="F1663" s="469"/>
    </row>
    <row r="1664" spans="6:6" x14ac:dyDescent="0.35">
      <c r="F1664" s="469"/>
    </row>
    <row r="1665" spans="6:6" x14ac:dyDescent="0.35">
      <c r="F1665" s="469"/>
    </row>
    <row r="1666" spans="6:6" x14ac:dyDescent="0.35">
      <c r="F1666" s="469"/>
    </row>
    <row r="1667" spans="6:6" x14ac:dyDescent="0.35">
      <c r="F1667" s="469"/>
    </row>
    <row r="1668" spans="6:6" x14ac:dyDescent="0.35">
      <c r="F1668" s="469"/>
    </row>
    <row r="1669" spans="6:6" x14ac:dyDescent="0.35">
      <c r="F1669" s="469"/>
    </row>
    <row r="1670" spans="6:6" x14ac:dyDescent="0.35">
      <c r="F1670" s="469"/>
    </row>
    <row r="1671" spans="6:6" x14ac:dyDescent="0.35">
      <c r="F1671" s="469"/>
    </row>
    <row r="1672" spans="6:6" x14ac:dyDescent="0.35">
      <c r="F1672" s="469"/>
    </row>
    <row r="1673" spans="6:6" x14ac:dyDescent="0.35">
      <c r="F1673" s="469"/>
    </row>
    <row r="1674" spans="6:6" x14ac:dyDescent="0.35">
      <c r="F1674" s="469"/>
    </row>
    <row r="1675" spans="6:6" x14ac:dyDescent="0.35">
      <c r="F1675" s="469"/>
    </row>
    <row r="1676" spans="6:6" x14ac:dyDescent="0.35">
      <c r="F1676" s="469"/>
    </row>
    <row r="1677" spans="6:6" x14ac:dyDescent="0.35">
      <c r="F1677" s="469"/>
    </row>
    <row r="1678" spans="6:6" x14ac:dyDescent="0.35">
      <c r="F1678" s="469"/>
    </row>
    <row r="1679" spans="6:6" x14ac:dyDescent="0.35">
      <c r="F1679" s="469"/>
    </row>
    <row r="1680" spans="6:6" x14ac:dyDescent="0.35">
      <c r="F1680" s="469"/>
    </row>
    <row r="1681" spans="6:6" x14ac:dyDescent="0.35">
      <c r="F1681" s="469"/>
    </row>
    <row r="1682" spans="6:6" x14ac:dyDescent="0.35">
      <c r="F1682" s="469"/>
    </row>
    <row r="1683" spans="6:6" x14ac:dyDescent="0.35">
      <c r="F1683" s="469"/>
    </row>
    <row r="1684" spans="6:6" x14ac:dyDescent="0.35">
      <c r="F1684" s="469"/>
    </row>
    <row r="1685" spans="6:6" x14ac:dyDescent="0.35">
      <c r="F1685" s="469"/>
    </row>
    <row r="1686" spans="6:6" x14ac:dyDescent="0.35">
      <c r="F1686" s="469"/>
    </row>
    <row r="1687" spans="6:6" x14ac:dyDescent="0.35">
      <c r="F1687" s="469"/>
    </row>
    <row r="1688" spans="6:6" x14ac:dyDescent="0.35">
      <c r="F1688" s="469"/>
    </row>
    <row r="1689" spans="6:6" x14ac:dyDescent="0.35">
      <c r="F1689" s="469"/>
    </row>
    <row r="1690" spans="6:6" x14ac:dyDescent="0.35">
      <c r="F1690" s="469"/>
    </row>
    <row r="1691" spans="6:6" x14ac:dyDescent="0.35">
      <c r="F1691" s="469"/>
    </row>
    <row r="1692" spans="6:6" x14ac:dyDescent="0.35">
      <c r="F1692" s="469"/>
    </row>
    <row r="1693" spans="6:6" x14ac:dyDescent="0.35">
      <c r="F1693" s="469"/>
    </row>
    <row r="1694" spans="6:6" x14ac:dyDescent="0.35">
      <c r="F1694" s="469"/>
    </row>
    <row r="1695" spans="6:6" x14ac:dyDescent="0.35">
      <c r="F1695" s="469"/>
    </row>
    <row r="1696" spans="6:6" x14ac:dyDescent="0.35">
      <c r="F1696" s="469"/>
    </row>
    <row r="1697" spans="6:6" x14ac:dyDescent="0.35">
      <c r="F1697" s="469"/>
    </row>
    <row r="1698" spans="6:6" x14ac:dyDescent="0.35">
      <c r="F1698" s="469"/>
    </row>
    <row r="1699" spans="6:6" x14ac:dyDescent="0.35">
      <c r="F1699" s="469"/>
    </row>
    <row r="1700" spans="6:6" x14ac:dyDescent="0.35">
      <c r="F1700" s="469"/>
    </row>
    <row r="1701" spans="6:6" x14ac:dyDescent="0.35">
      <c r="F1701" s="469"/>
    </row>
    <row r="1702" spans="6:6" x14ac:dyDescent="0.35">
      <c r="F1702" s="469"/>
    </row>
    <row r="1703" spans="6:6" x14ac:dyDescent="0.35">
      <c r="F1703" s="469"/>
    </row>
    <row r="1704" spans="6:6" x14ac:dyDescent="0.35">
      <c r="F1704" s="469"/>
    </row>
    <row r="1705" spans="6:6" x14ac:dyDescent="0.35">
      <c r="F1705" s="469"/>
    </row>
    <row r="1706" spans="6:6" x14ac:dyDescent="0.35">
      <c r="F1706" s="469"/>
    </row>
    <row r="1707" spans="6:6" x14ac:dyDescent="0.35">
      <c r="F1707" s="469"/>
    </row>
    <row r="1708" spans="6:6" x14ac:dyDescent="0.35">
      <c r="F1708" s="469"/>
    </row>
    <row r="1709" spans="6:6" x14ac:dyDescent="0.35">
      <c r="F1709" s="469"/>
    </row>
    <row r="1710" spans="6:6" x14ac:dyDescent="0.35">
      <c r="F1710" s="469"/>
    </row>
    <row r="1711" spans="6:6" x14ac:dyDescent="0.35">
      <c r="F1711" s="469"/>
    </row>
    <row r="1712" spans="6:6" x14ac:dyDescent="0.35">
      <c r="F1712" s="469"/>
    </row>
    <row r="1713" spans="6:6" x14ac:dyDescent="0.35">
      <c r="F1713" s="469"/>
    </row>
    <row r="1714" spans="6:6" x14ac:dyDescent="0.35">
      <c r="F1714" s="469"/>
    </row>
    <row r="1715" spans="6:6" x14ac:dyDescent="0.35">
      <c r="F1715" s="469"/>
    </row>
    <row r="1716" spans="6:6" x14ac:dyDescent="0.35">
      <c r="F1716" s="469"/>
    </row>
    <row r="1717" spans="6:6" x14ac:dyDescent="0.35">
      <c r="F1717" s="469"/>
    </row>
    <row r="1718" spans="6:6" x14ac:dyDescent="0.35">
      <c r="F1718" s="469"/>
    </row>
    <row r="1719" spans="6:6" x14ac:dyDescent="0.35">
      <c r="F1719" s="469"/>
    </row>
    <row r="1720" spans="6:6" x14ac:dyDescent="0.35">
      <c r="F1720" s="469"/>
    </row>
    <row r="1721" spans="6:6" x14ac:dyDescent="0.35">
      <c r="F1721" s="469"/>
    </row>
    <row r="1722" spans="6:6" x14ac:dyDescent="0.35">
      <c r="F1722" s="469"/>
    </row>
    <row r="1723" spans="6:6" x14ac:dyDescent="0.35">
      <c r="F1723" s="469"/>
    </row>
    <row r="1724" spans="6:6" x14ac:dyDescent="0.35">
      <c r="F1724" s="469"/>
    </row>
    <row r="1725" spans="6:6" x14ac:dyDescent="0.35">
      <c r="F1725" s="469"/>
    </row>
    <row r="1726" spans="6:6" x14ac:dyDescent="0.35">
      <c r="F1726" s="469"/>
    </row>
    <row r="1727" spans="6:6" x14ac:dyDescent="0.35">
      <c r="F1727" s="469"/>
    </row>
    <row r="1728" spans="6:6" x14ac:dyDescent="0.35">
      <c r="F1728" s="469"/>
    </row>
    <row r="1729" spans="6:6" x14ac:dyDescent="0.35">
      <c r="F1729" s="469"/>
    </row>
    <row r="1730" spans="6:6" x14ac:dyDescent="0.35">
      <c r="F1730" s="469"/>
    </row>
    <row r="1731" spans="6:6" x14ac:dyDescent="0.35">
      <c r="F1731" s="469"/>
    </row>
    <row r="1732" spans="6:6" x14ac:dyDescent="0.35">
      <c r="F1732" s="469"/>
    </row>
    <row r="1733" spans="6:6" x14ac:dyDescent="0.35">
      <c r="F1733" s="469"/>
    </row>
    <row r="1734" spans="6:6" x14ac:dyDescent="0.35">
      <c r="F1734" s="469"/>
    </row>
    <row r="1735" spans="6:6" x14ac:dyDescent="0.35">
      <c r="F1735" s="469"/>
    </row>
    <row r="1736" spans="6:6" x14ac:dyDescent="0.35">
      <c r="F1736" s="469"/>
    </row>
    <row r="1737" spans="6:6" x14ac:dyDescent="0.35">
      <c r="F1737" s="469"/>
    </row>
    <row r="1738" spans="6:6" x14ac:dyDescent="0.35">
      <c r="F1738" s="469"/>
    </row>
    <row r="1739" spans="6:6" x14ac:dyDescent="0.35">
      <c r="F1739" s="469"/>
    </row>
    <row r="1740" spans="6:6" x14ac:dyDescent="0.35">
      <c r="F1740" s="469"/>
    </row>
    <row r="1741" spans="6:6" x14ac:dyDescent="0.35">
      <c r="F1741" s="469"/>
    </row>
    <row r="1742" spans="6:6" x14ac:dyDescent="0.35">
      <c r="F1742" s="469"/>
    </row>
    <row r="1743" spans="6:6" x14ac:dyDescent="0.35">
      <c r="F1743" s="469"/>
    </row>
    <row r="1744" spans="6:6" x14ac:dyDescent="0.35">
      <c r="F1744" s="469"/>
    </row>
    <row r="1745" spans="6:6" x14ac:dyDescent="0.35">
      <c r="F1745" s="469"/>
    </row>
    <row r="1746" spans="6:6" x14ac:dyDescent="0.35">
      <c r="F1746" s="469"/>
    </row>
    <row r="1747" spans="6:6" x14ac:dyDescent="0.35">
      <c r="F1747" s="469"/>
    </row>
    <row r="1748" spans="6:6" x14ac:dyDescent="0.35">
      <c r="F1748" s="469"/>
    </row>
    <row r="1749" spans="6:6" x14ac:dyDescent="0.35">
      <c r="F1749" s="469"/>
    </row>
    <row r="1750" spans="6:6" x14ac:dyDescent="0.35">
      <c r="F1750" s="469"/>
    </row>
    <row r="1751" spans="6:6" x14ac:dyDescent="0.35">
      <c r="F1751" s="469"/>
    </row>
    <row r="1752" spans="6:6" x14ac:dyDescent="0.35">
      <c r="F1752" s="469"/>
    </row>
    <row r="1753" spans="6:6" x14ac:dyDescent="0.35">
      <c r="F1753" s="469"/>
    </row>
    <row r="1754" spans="6:6" x14ac:dyDescent="0.35">
      <c r="F1754" s="469"/>
    </row>
    <row r="1755" spans="6:6" x14ac:dyDescent="0.35">
      <c r="F1755" s="469"/>
    </row>
    <row r="1756" spans="6:6" x14ac:dyDescent="0.35">
      <c r="F1756" s="469"/>
    </row>
    <row r="1757" spans="6:6" x14ac:dyDescent="0.35">
      <c r="F1757" s="469"/>
    </row>
    <row r="1758" spans="6:6" x14ac:dyDescent="0.35">
      <c r="F1758" s="469"/>
    </row>
    <row r="1759" spans="6:6" x14ac:dyDescent="0.35">
      <c r="F1759" s="469"/>
    </row>
    <row r="1760" spans="6:6" x14ac:dyDescent="0.35">
      <c r="F1760" s="469"/>
    </row>
    <row r="1761" spans="6:6" x14ac:dyDescent="0.35">
      <c r="F1761" s="469"/>
    </row>
    <row r="1762" spans="6:6" x14ac:dyDescent="0.35">
      <c r="F1762" s="469"/>
    </row>
    <row r="1763" spans="6:6" x14ac:dyDescent="0.35">
      <c r="F1763" s="469"/>
    </row>
    <row r="1764" spans="6:6" x14ac:dyDescent="0.35">
      <c r="F1764" s="469"/>
    </row>
    <row r="1765" spans="6:6" x14ac:dyDescent="0.35">
      <c r="F1765" s="469"/>
    </row>
    <row r="1766" spans="6:6" x14ac:dyDescent="0.35">
      <c r="F1766" s="469"/>
    </row>
    <row r="1767" spans="6:6" x14ac:dyDescent="0.35">
      <c r="F1767" s="469"/>
    </row>
    <row r="1768" spans="6:6" x14ac:dyDescent="0.35">
      <c r="F1768" s="469"/>
    </row>
    <row r="1769" spans="6:6" x14ac:dyDescent="0.35">
      <c r="F1769" s="469"/>
    </row>
    <row r="1770" spans="6:6" x14ac:dyDescent="0.35">
      <c r="F1770" s="469"/>
    </row>
    <row r="1771" spans="6:6" x14ac:dyDescent="0.35">
      <c r="F1771" s="469"/>
    </row>
    <row r="1772" spans="6:6" x14ac:dyDescent="0.35">
      <c r="F1772" s="469"/>
    </row>
    <row r="1773" spans="6:6" x14ac:dyDescent="0.35">
      <c r="F1773" s="469"/>
    </row>
    <row r="1774" spans="6:6" x14ac:dyDescent="0.35">
      <c r="F1774" s="469"/>
    </row>
    <row r="1775" spans="6:6" x14ac:dyDescent="0.35">
      <c r="F1775" s="469"/>
    </row>
    <row r="1776" spans="6:6" x14ac:dyDescent="0.35">
      <c r="F1776" s="469"/>
    </row>
    <row r="1777" spans="6:6" x14ac:dyDescent="0.35">
      <c r="F1777" s="469"/>
    </row>
    <row r="1778" spans="6:6" x14ac:dyDescent="0.35">
      <c r="F1778" s="469"/>
    </row>
    <row r="1779" spans="6:6" x14ac:dyDescent="0.35">
      <c r="F1779" s="469"/>
    </row>
    <row r="1780" spans="6:6" x14ac:dyDescent="0.35">
      <c r="F1780" s="469"/>
    </row>
    <row r="1781" spans="6:6" x14ac:dyDescent="0.35">
      <c r="F1781" s="469"/>
    </row>
    <row r="1782" spans="6:6" x14ac:dyDescent="0.35">
      <c r="F1782" s="469"/>
    </row>
    <row r="1783" spans="6:6" x14ac:dyDescent="0.35">
      <c r="F1783" s="469"/>
    </row>
    <row r="1784" spans="6:6" x14ac:dyDescent="0.35">
      <c r="F1784" s="469"/>
    </row>
    <row r="1785" spans="6:6" x14ac:dyDescent="0.35">
      <c r="F1785" s="469"/>
    </row>
    <row r="1786" spans="6:6" x14ac:dyDescent="0.35">
      <c r="F1786" s="469"/>
    </row>
    <row r="1787" spans="6:6" x14ac:dyDescent="0.35">
      <c r="F1787" s="469"/>
    </row>
    <row r="1788" spans="6:6" x14ac:dyDescent="0.35">
      <c r="F1788" s="469"/>
    </row>
    <row r="1789" spans="6:6" x14ac:dyDescent="0.35">
      <c r="F1789" s="469"/>
    </row>
    <row r="1790" spans="6:6" x14ac:dyDescent="0.35">
      <c r="F1790" s="469"/>
    </row>
    <row r="1791" spans="6:6" x14ac:dyDescent="0.35">
      <c r="F1791" s="469"/>
    </row>
    <row r="1792" spans="6:6" x14ac:dyDescent="0.35">
      <c r="F1792" s="469"/>
    </row>
    <row r="1793" spans="6:6" x14ac:dyDescent="0.35">
      <c r="F1793" s="469"/>
    </row>
    <row r="1794" spans="6:6" x14ac:dyDescent="0.35">
      <c r="F1794" s="469"/>
    </row>
    <row r="1795" spans="6:6" x14ac:dyDescent="0.35">
      <c r="F1795" s="469"/>
    </row>
    <row r="1796" spans="6:6" x14ac:dyDescent="0.35">
      <c r="F1796" s="469"/>
    </row>
    <row r="1797" spans="6:6" x14ac:dyDescent="0.35">
      <c r="F1797" s="469"/>
    </row>
    <row r="1798" spans="6:6" x14ac:dyDescent="0.35">
      <c r="F1798" s="469"/>
    </row>
    <row r="1799" spans="6:6" x14ac:dyDescent="0.35">
      <c r="F1799" s="469"/>
    </row>
    <row r="1800" spans="6:6" x14ac:dyDescent="0.35">
      <c r="F1800" s="469"/>
    </row>
    <row r="1801" spans="6:6" x14ac:dyDescent="0.35">
      <c r="F1801" s="469"/>
    </row>
    <row r="1802" spans="6:6" x14ac:dyDescent="0.35">
      <c r="F1802" s="469"/>
    </row>
    <row r="1803" spans="6:6" x14ac:dyDescent="0.35">
      <c r="F1803" s="469"/>
    </row>
    <row r="1804" spans="6:6" x14ac:dyDescent="0.35">
      <c r="F1804" s="469"/>
    </row>
    <row r="1805" spans="6:6" x14ac:dyDescent="0.35">
      <c r="F1805" s="469"/>
    </row>
    <row r="1806" spans="6:6" x14ac:dyDescent="0.35">
      <c r="F1806" s="469"/>
    </row>
    <row r="1807" spans="6:6" x14ac:dyDescent="0.35">
      <c r="F1807" s="469"/>
    </row>
    <row r="1808" spans="6:6" x14ac:dyDescent="0.35">
      <c r="F1808" s="469"/>
    </row>
    <row r="1809" spans="6:6" x14ac:dyDescent="0.35">
      <c r="F1809" s="469"/>
    </row>
    <row r="1810" spans="6:6" x14ac:dyDescent="0.35">
      <c r="F1810" s="469"/>
    </row>
    <row r="1811" spans="6:6" x14ac:dyDescent="0.35">
      <c r="F1811" s="469"/>
    </row>
    <row r="1812" spans="6:6" x14ac:dyDescent="0.35">
      <c r="F1812" s="469"/>
    </row>
    <row r="1813" spans="6:6" x14ac:dyDescent="0.35">
      <c r="F1813" s="469"/>
    </row>
    <row r="1814" spans="6:6" x14ac:dyDescent="0.35">
      <c r="F1814" s="469"/>
    </row>
    <row r="1815" spans="6:6" x14ac:dyDescent="0.35">
      <c r="F1815" s="469"/>
    </row>
    <row r="1816" spans="6:6" x14ac:dyDescent="0.35">
      <c r="F1816" s="469"/>
    </row>
    <row r="1817" spans="6:6" x14ac:dyDescent="0.35">
      <c r="F1817" s="469"/>
    </row>
    <row r="1818" spans="6:6" x14ac:dyDescent="0.35">
      <c r="F1818" s="469"/>
    </row>
    <row r="1819" spans="6:6" x14ac:dyDescent="0.35">
      <c r="F1819" s="469"/>
    </row>
    <row r="1820" spans="6:6" x14ac:dyDescent="0.35">
      <c r="F1820" s="469"/>
    </row>
    <row r="1821" spans="6:6" x14ac:dyDescent="0.35">
      <c r="F1821" s="469"/>
    </row>
    <row r="1822" spans="6:6" x14ac:dyDescent="0.35">
      <c r="F1822" s="469"/>
    </row>
    <row r="1823" spans="6:6" x14ac:dyDescent="0.35">
      <c r="F1823" s="469"/>
    </row>
    <row r="1824" spans="6:6" x14ac:dyDescent="0.35">
      <c r="F1824" s="469"/>
    </row>
    <row r="1825" spans="6:6" x14ac:dyDescent="0.35">
      <c r="F1825" s="469"/>
    </row>
    <row r="1826" spans="6:6" x14ac:dyDescent="0.35">
      <c r="F1826" s="469"/>
    </row>
    <row r="1827" spans="6:6" x14ac:dyDescent="0.35">
      <c r="F1827" s="469"/>
    </row>
    <row r="1828" spans="6:6" x14ac:dyDescent="0.35">
      <c r="F1828" s="469"/>
    </row>
    <row r="1829" spans="6:6" x14ac:dyDescent="0.35">
      <c r="F1829" s="469"/>
    </row>
    <row r="1830" spans="6:6" x14ac:dyDescent="0.35">
      <c r="F1830" s="469"/>
    </row>
    <row r="1831" spans="6:6" x14ac:dyDescent="0.35">
      <c r="F1831" s="469"/>
    </row>
    <row r="1832" spans="6:6" x14ac:dyDescent="0.35">
      <c r="F1832" s="469"/>
    </row>
    <row r="1833" spans="6:6" x14ac:dyDescent="0.35">
      <c r="F1833" s="469"/>
    </row>
    <row r="1834" spans="6:6" x14ac:dyDescent="0.35">
      <c r="F1834" s="469"/>
    </row>
    <row r="1835" spans="6:6" x14ac:dyDescent="0.35">
      <c r="F1835" s="469"/>
    </row>
    <row r="1836" spans="6:6" x14ac:dyDescent="0.35">
      <c r="F1836" s="469"/>
    </row>
    <row r="1837" spans="6:6" x14ac:dyDescent="0.35">
      <c r="F1837" s="469"/>
    </row>
    <row r="1838" spans="6:6" x14ac:dyDescent="0.35">
      <c r="F1838" s="469"/>
    </row>
    <row r="1839" spans="6:6" x14ac:dyDescent="0.35">
      <c r="F1839" s="469"/>
    </row>
    <row r="1840" spans="6:6" x14ac:dyDescent="0.35">
      <c r="F1840" s="469"/>
    </row>
    <row r="1841" spans="6:6" x14ac:dyDescent="0.35">
      <c r="F1841" s="469"/>
    </row>
    <row r="1842" spans="6:6" x14ac:dyDescent="0.35">
      <c r="F1842" s="469"/>
    </row>
    <row r="1843" spans="6:6" x14ac:dyDescent="0.35">
      <c r="F1843" s="469"/>
    </row>
    <row r="1844" spans="6:6" x14ac:dyDescent="0.35">
      <c r="F1844" s="469"/>
    </row>
    <row r="1845" spans="6:6" x14ac:dyDescent="0.35">
      <c r="F1845" s="469"/>
    </row>
    <row r="1846" spans="6:6" x14ac:dyDescent="0.35">
      <c r="F1846" s="469"/>
    </row>
    <row r="1847" spans="6:6" x14ac:dyDescent="0.35">
      <c r="F1847" s="469"/>
    </row>
    <row r="1848" spans="6:6" x14ac:dyDescent="0.35">
      <c r="F1848" s="469"/>
    </row>
    <row r="1849" spans="6:6" x14ac:dyDescent="0.35">
      <c r="F1849" s="469"/>
    </row>
    <row r="1850" spans="6:6" x14ac:dyDescent="0.35">
      <c r="F1850" s="469"/>
    </row>
    <row r="1851" spans="6:6" x14ac:dyDescent="0.35">
      <c r="F1851" s="469"/>
    </row>
    <row r="1852" spans="6:6" x14ac:dyDescent="0.35">
      <c r="F1852" s="469"/>
    </row>
    <row r="1853" spans="6:6" x14ac:dyDescent="0.35">
      <c r="F1853" s="469"/>
    </row>
    <row r="1854" spans="6:6" x14ac:dyDescent="0.35">
      <c r="F1854" s="469"/>
    </row>
    <row r="1855" spans="6:6" x14ac:dyDescent="0.35">
      <c r="F1855" s="469"/>
    </row>
    <row r="1856" spans="6:6" x14ac:dyDescent="0.35">
      <c r="F1856" s="469"/>
    </row>
    <row r="1857" spans="6:6" x14ac:dyDescent="0.35">
      <c r="F1857" s="469"/>
    </row>
    <row r="1858" spans="6:6" x14ac:dyDescent="0.35">
      <c r="F1858" s="469"/>
    </row>
    <row r="1859" spans="6:6" x14ac:dyDescent="0.35">
      <c r="F1859" s="469"/>
    </row>
    <row r="1860" spans="6:6" x14ac:dyDescent="0.35">
      <c r="F1860" s="469"/>
    </row>
    <row r="1861" spans="6:6" x14ac:dyDescent="0.35">
      <c r="F1861" s="469"/>
    </row>
    <row r="1862" spans="6:6" x14ac:dyDescent="0.35">
      <c r="F1862" s="469"/>
    </row>
    <row r="1863" spans="6:6" x14ac:dyDescent="0.35">
      <c r="F1863" s="469"/>
    </row>
    <row r="1864" spans="6:6" x14ac:dyDescent="0.35">
      <c r="F1864" s="469"/>
    </row>
    <row r="1865" spans="6:6" x14ac:dyDescent="0.35">
      <c r="F1865" s="469"/>
    </row>
    <row r="1866" spans="6:6" x14ac:dyDescent="0.35">
      <c r="F1866" s="469"/>
    </row>
    <row r="1867" spans="6:6" x14ac:dyDescent="0.35">
      <c r="F1867" s="469"/>
    </row>
    <row r="1868" spans="6:6" x14ac:dyDescent="0.35">
      <c r="F1868" s="469"/>
    </row>
    <row r="1869" spans="6:6" x14ac:dyDescent="0.35">
      <c r="F1869" s="469"/>
    </row>
    <row r="1870" spans="6:6" x14ac:dyDescent="0.35">
      <c r="F1870" s="469"/>
    </row>
    <row r="1871" spans="6:6" x14ac:dyDescent="0.35">
      <c r="F1871" s="469"/>
    </row>
    <row r="1872" spans="6:6" x14ac:dyDescent="0.35">
      <c r="F1872" s="469"/>
    </row>
    <row r="1873" spans="6:6" x14ac:dyDescent="0.35">
      <c r="F1873" s="469"/>
    </row>
    <row r="1874" spans="6:6" x14ac:dyDescent="0.35">
      <c r="F1874" s="469"/>
    </row>
    <row r="1875" spans="6:6" x14ac:dyDescent="0.35">
      <c r="F1875" s="469"/>
    </row>
    <row r="1876" spans="6:6" x14ac:dyDescent="0.35">
      <c r="F1876" s="469"/>
    </row>
    <row r="1877" spans="6:6" x14ac:dyDescent="0.35">
      <c r="F1877" s="469"/>
    </row>
    <row r="1878" spans="6:6" x14ac:dyDescent="0.35">
      <c r="F1878" s="469"/>
    </row>
    <row r="1879" spans="6:6" x14ac:dyDescent="0.35">
      <c r="F1879" s="469"/>
    </row>
    <row r="1880" spans="6:6" x14ac:dyDescent="0.35">
      <c r="F1880" s="469"/>
    </row>
    <row r="1881" spans="6:6" x14ac:dyDescent="0.35">
      <c r="F1881" s="469"/>
    </row>
    <row r="1882" spans="6:6" x14ac:dyDescent="0.35">
      <c r="F1882" s="469"/>
    </row>
    <row r="1883" spans="6:6" x14ac:dyDescent="0.35">
      <c r="F1883" s="469"/>
    </row>
    <row r="1884" spans="6:6" x14ac:dyDescent="0.35">
      <c r="F1884" s="469"/>
    </row>
    <row r="1885" spans="6:6" x14ac:dyDescent="0.35">
      <c r="F1885" s="469"/>
    </row>
    <row r="1886" spans="6:6" x14ac:dyDescent="0.35">
      <c r="F1886" s="469"/>
    </row>
    <row r="1887" spans="6:6" x14ac:dyDescent="0.35">
      <c r="F1887" s="469"/>
    </row>
    <row r="1888" spans="6:6" x14ac:dyDescent="0.35">
      <c r="F1888" s="469"/>
    </row>
    <row r="1889" spans="6:6" x14ac:dyDescent="0.35">
      <c r="F1889" s="469"/>
    </row>
    <row r="1890" spans="6:6" x14ac:dyDescent="0.35">
      <c r="F1890" s="469"/>
    </row>
    <row r="1891" spans="6:6" x14ac:dyDescent="0.35">
      <c r="F1891" s="469"/>
    </row>
    <row r="1892" spans="6:6" x14ac:dyDescent="0.35">
      <c r="F1892" s="469"/>
    </row>
    <row r="1893" spans="6:6" x14ac:dyDescent="0.35">
      <c r="F1893" s="469"/>
    </row>
    <row r="1894" spans="6:6" x14ac:dyDescent="0.35">
      <c r="F1894" s="469"/>
    </row>
    <row r="1895" spans="6:6" x14ac:dyDescent="0.35">
      <c r="F1895" s="469"/>
    </row>
    <row r="1896" spans="6:6" x14ac:dyDescent="0.35">
      <c r="F1896" s="469"/>
    </row>
    <row r="1897" spans="6:6" x14ac:dyDescent="0.35">
      <c r="F1897" s="469"/>
    </row>
    <row r="1898" spans="6:6" x14ac:dyDescent="0.35">
      <c r="F1898" s="469"/>
    </row>
    <row r="1899" spans="6:6" x14ac:dyDescent="0.35">
      <c r="F1899" s="469"/>
    </row>
    <row r="1900" spans="6:6" x14ac:dyDescent="0.35">
      <c r="F1900" s="469"/>
    </row>
    <row r="1901" spans="6:6" x14ac:dyDescent="0.35">
      <c r="F1901" s="469"/>
    </row>
    <row r="1902" spans="6:6" x14ac:dyDescent="0.35">
      <c r="F1902" s="469"/>
    </row>
    <row r="1903" spans="6:6" x14ac:dyDescent="0.35">
      <c r="F1903" s="469"/>
    </row>
    <row r="1904" spans="6:6" x14ac:dyDescent="0.35">
      <c r="F1904" s="469"/>
    </row>
    <row r="1905" spans="6:6" x14ac:dyDescent="0.35">
      <c r="F1905" s="469"/>
    </row>
    <row r="1906" spans="6:6" x14ac:dyDescent="0.35">
      <c r="F1906" s="469"/>
    </row>
    <row r="1907" spans="6:6" x14ac:dyDescent="0.35">
      <c r="F1907" s="469"/>
    </row>
    <row r="1908" spans="6:6" x14ac:dyDescent="0.35">
      <c r="F1908" s="469"/>
    </row>
    <row r="1909" spans="6:6" x14ac:dyDescent="0.35">
      <c r="F1909" s="469"/>
    </row>
    <row r="1910" spans="6:6" x14ac:dyDescent="0.35">
      <c r="F1910" s="469"/>
    </row>
    <row r="1911" spans="6:6" x14ac:dyDescent="0.35">
      <c r="F1911" s="469"/>
    </row>
    <row r="1912" spans="6:6" x14ac:dyDescent="0.35">
      <c r="F1912" s="469"/>
    </row>
    <row r="1913" spans="6:6" x14ac:dyDescent="0.35">
      <c r="F1913" s="469"/>
    </row>
    <row r="1914" spans="6:6" x14ac:dyDescent="0.35">
      <c r="F1914" s="469"/>
    </row>
    <row r="1915" spans="6:6" x14ac:dyDescent="0.35">
      <c r="F1915" s="469"/>
    </row>
    <row r="1916" spans="6:6" x14ac:dyDescent="0.35">
      <c r="F1916" s="469"/>
    </row>
    <row r="1917" spans="6:6" x14ac:dyDescent="0.35">
      <c r="F1917" s="469"/>
    </row>
    <row r="1918" spans="6:6" x14ac:dyDescent="0.35">
      <c r="F1918" s="469"/>
    </row>
    <row r="1919" spans="6:6" x14ac:dyDescent="0.35">
      <c r="F1919" s="469"/>
    </row>
    <row r="1920" spans="6:6" x14ac:dyDescent="0.35">
      <c r="F1920" s="469"/>
    </row>
    <row r="1921" spans="6:6" x14ac:dyDescent="0.35">
      <c r="F1921" s="469"/>
    </row>
    <row r="1922" spans="6:6" x14ac:dyDescent="0.35">
      <c r="F1922" s="469"/>
    </row>
    <row r="1923" spans="6:6" x14ac:dyDescent="0.35">
      <c r="F1923" s="469"/>
    </row>
    <row r="1924" spans="6:6" x14ac:dyDescent="0.35">
      <c r="F1924" s="469"/>
    </row>
    <row r="1925" spans="6:6" x14ac:dyDescent="0.35">
      <c r="F1925" s="469"/>
    </row>
    <row r="1926" spans="6:6" x14ac:dyDescent="0.35">
      <c r="F1926" s="469"/>
    </row>
    <row r="1927" spans="6:6" x14ac:dyDescent="0.35">
      <c r="F1927" s="469"/>
    </row>
    <row r="1928" spans="6:6" x14ac:dyDescent="0.35">
      <c r="F1928" s="469"/>
    </row>
    <row r="1929" spans="6:6" x14ac:dyDescent="0.35">
      <c r="F1929" s="469"/>
    </row>
    <row r="1930" spans="6:6" x14ac:dyDescent="0.35">
      <c r="F1930" s="469"/>
    </row>
    <row r="1931" spans="6:6" x14ac:dyDescent="0.35">
      <c r="F1931" s="469"/>
    </row>
    <row r="1932" spans="6:6" x14ac:dyDescent="0.35">
      <c r="F1932" s="469"/>
    </row>
    <row r="1933" spans="6:6" x14ac:dyDescent="0.35">
      <c r="F1933" s="469"/>
    </row>
    <row r="1934" spans="6:6" x14ac:dyDescent="0.35">
      <c r="F1934" s="469"/>
    </row>
    <row r="1935" spans="6:6" x14ac:dyDescent="0.35">
      <c r="F1935" s="469"/>
    </row>
    <row r="1936" spans="6:6" x14ac:dyDescent="0.35">
      <c r="F1936" s="469"/>
    </row>
    <row r="1937" spans="6:6" x14ac:dyDescent="0.35">
      <c r="F1937" s="469"/>
    </row>
    <row r="1938" spans="6:6" x14ac:dyDescent="0.35">
      <c r="F1938" s="469"/>
    </row>
    <row r="1939" spans="6:6" x14ac:dyDescent="0.35">
      <c r="F1939" s="469"/>
    </row>
    <row r="1940" spans="6:6" x14ac:dyDescent="0.35">
      <c r="F1940" s="469"/>
    </row>
    <row r="1941" spans="6:6" x14ac:dyDescent="0.35">
      <c r="F1941" s="469"/>
    </row>
    <row r="1942" spans="6:6" x14ac:dyDescent="0.35">
      <c r="F1942" s="469"/>
    </row>
    <row r="1943" spans="6:6" x14ac:dyDescent="0.35">
      <c r="F1943" s="469"/>
    </row>
    <row r="1944" spans="6:6" x14ac:dyDescent="0.35">
      <c r="F1944" s="469"/>
    </row>
    <row r="1945" spans="6:6" x14ac:dyDescent="0.35">
      <c r="F1945" s="469"/>
    </row>
    <row r="1946" spans="6:6" x14ac:dyDescent="0.35">
      <c r="F1946" s="469"/>
    </row>
    <row r="1947" spans="6:6" x14ac:dyDescent="0.35">
      <c r="F1947" s="469"/>
    </row>
    <row r="1948" spans="6:6" x14ac:dyDescent="0.35">
      <c r="F1948" s="469"/>
    </row>
    <row r="1949" spans="6:6" x14ac:dyDescent="0.35">
      <c r="F1949" s="469"/>
    </row>
    <row r="1950" spans="6:6" x14ac:dyDescent="0.35">
      <c r="F1950" s="469"/>
    </row>
    <row r="1951" spans="6:6" x14ac:dyDescent="0.35">
      <c r="F1951" s="469"/>
    </row>
    <row r="1952" spans="6:6" x14ac:dyDescent="0.35">
      <c r="F1952" s="469"/>
    </row>
    <row r="1953" spans="6:6" x14ac:dyDescent="0.35">
      <c r="F1953" s="469"/>
    </row>
    <row r="1954" spans="6:6" x14ac:dyDescent="0.35">
      <c r="F1954" s="469"/>
    </row>
    <row r="1955" spans="6:6" x14ac:dyDescent="0.35">
      <c r="F1955" s="469"/>
    </row>
    <row r="1956" spans="6:6" x14ac:dyDescent="0.35">
      <c r="F1956" s="469"/>
    </row>
    <row r="1957" spans="6:6" x14ac:dyDescent="0.35">
      <c r="F1957" s="469"/>
    </row>
    <row r="1958" spans="6:6" x14ac:dyDescent="0.35">
      <c r="F1958" s="469"/>
    </row>
    <row r="1959" spans="6:6" x14ac:dyDescent="0.35">
      <c r="F1959" s="469"/>
    </row>
    <row r="1960" spans="6:6" x14ac:dyDescent="0.35">
      <c r="F1960" s="469"/>
    </row>
    <row r="1961" spans="6:6" x14ac:dyDescent="0.35">
      <c r="F1961" s="469"/>
    </row>
    <row r="1962" spans="6:6" x14ac:dyDescent="0.35">
      <c r="F1962" s="469"/>
    </row>
    <row r="1963" spans="6:6" x14ac:dyDescent="0.35">
      <c r="F1963" s="469"/>
    </row>
    <row r="1964" spans="6:6" x14ac:dyDescent="0.35">
      <c r="F1964" s="469"/>
    </row>
    <row r="1965" spans="6:6" x14ac:dyDescent="0.35">
      <c r="F1965" s="469"/>
    </row>
    <row r="1966" spans="6:6" x14ac:dyDescent="0.35">
      <c r="F1966" s="469"/>
    </row>
    <row r="1967" spans="6:6" x14ac:dyDescent="0.35">
      <c r="F1967" s="469"/>
    </row>
    <row r="1968" spans="6:6" x14ac:dyDescent="0.35">
      <c r="F1968" s="469"/>
    </row>
    <row r="1969" spans="6:6" x14ac:dyDescent="0.35">
      <c r="F1969" s="469"/>
    </row>
    <row r="1970" spans="6:6" x14ac:dyDescent="0.35">
      <c r="F1970" s="469"/>
    </row>
    <row r="1971" spans="6:6" x14ac:dyDescent="0.35">
      <c r="F1971" s="469"/>
    </row>
    <row r="1972" spans="6:6" x14ac:dyDescent="0.35">
      <c r="F1972" s="469"/>
    </row>
    <row r="1973" spans="6:6" x14ac:dyDescent="0.35">
      <c r="F1973" s="469"/>
    </row>
    <row r="1974" spans="6:6" x14ac:dyDescent="0.35">
      <c r="F1974" s="469"/>
    </row>
    <row r="1975" spans="6:6" x14ac:dyDescent="0.35">
      <c r="F1975" s="469"/>
    </row>
    <row r="1976" spans="6:6" x14ac:dyDescent="0.35">
      <c r="F1976" s="469"/>
    </row>
    <row r="1977" spans="6:6" x14ac:dyDescent="0.35">
      <c r="F1977" s="469"/>
    </row>
    <row r="1978" spans="6:6" x14ac:dyDescent="0.35">
      <c r="F1978" s="469"/>
    </row>
    <row r="1979" spans="6:6" x14ac:dyDescent="0.35">
      <c r="F1979" s="469"/>
    </row>
    <row r="1980" spans="6:6" x14ac:dyDescent="0.35">
      <c r="F1980" s="469"/>
    </row>
    <row r="1981" spans="6:6" x14ac:dyDescent="0.35">
      <c r="F1981" s="469"/>
    </row>
    <row r="1982" spans="6:6" x14ac:dyDescent="0.35">
      <c r="F1982" s="469"/>
    </row>
    <row r="1983" spans="6:6" x14ac:dyDescent="0.35">
      <c r="F1983" s="469"/>
    </row>
    <row r="1984" spans="6:6" x14ac:dyDescent="0.35">
      <c r="F1984" s="469"/>
    </row>
    <row r="1985" spans="6:6" x14ac:dyDescent="0.35">
      <c r="F1985" s="469"/>
    </row>
    <row r="1986" spans="6:6" x14ac:dyDescent="0.35">
      <c r="F1986" s="469"/>
    </row>
    <row r="1987" spans="6:6" x14ac:dyDescent="0.35">
      <c r="F1987" s="469"/>
    </row>
    <row r="1988" spans="6:6" x14ac:dyDescent="0.35">
      <c r="F1988" s="469"/>
    </row>
    <row r="1989" spans="6:6" x14ac:dyDescent="0.35">
      <c r="F1989" s="469"/>
    </row>
    <row r="1990" spans="6:6" x14ac:dyDescent="0.35">
      <c r="F1990" s="469"/>
    </row>
    <row r="1991" spans="6:6" x14ac:dyDescent="0.35">
      <c r="F1991" s="469"/>
    </row>
    <row r="1992" spans="6:6" x14ac:dyDescent="0.35">
      <c r="F1992" s="469"/>
    </row>
    <row r="1993" spans="6:6" x14ac:dyDescent="0.35">
      <c r="F1993" s="469"/>
    </row>
    <row r="1994" spans="6:6" x14ac:dyDescent="0.35">
      <c r="F1994" s="469"/>
    </row>
    <row r="1995" spans="6:6" x14ac:dyDescent="0.35">
      <c r="F1995" s="469"/>
    </row>
    <row r="1996" spans="6:6" x14ac:dyDescent="0.35">
      <c r="F1996" s="469"/>
    </row>
    <row r="1997" spans="6:6" x14ac:dyDescent="0.35">
      <c r="F1997" s="469"/>
    </row>
    <row r="1998" spans="6:6" x14ac:dyDescent="0.35">
      <c r="F1998" s="469"/>
    </row>
    <row r="1999" spans="6:6" x14ac:dyDescent="0.35">
      <c r="F1999" s="469"/>
    </row>
    <row r="2000" spans="6:6" x14ac:dyDescent="0.35">
      <c r="F2000" s="469"/>
    </row>
    <row r="2001" spans="6:6" x14ac:dyDescent="0.35">
      <c r="F2001" s="469"/>
    </row>
    <row r="2002" spans="6:6" x14ac:dyDescent="0.35">
      <c r="F2002" s="469"/>
    </row>
    <row r="2003" spans="6:6" x14ac:dyDescent="0.35">
      <c r="F2003" s="469"/>
    </row>
    <row r="2004" spans="6:6" x14ac:dyDescent="0.35">
      <c r="F2004" s="469"/>
    </row>
    <row r="2005" spans="6:6" x14ac:dyDescent="0.35">
      <c r="F2005" s="469"/>
    </row>
    <row r="2006" spans="6:6" x14ac:dyDescent="0.35">
      <c r="F2006" s="469"/>
    </row>
    <row r="2007" spans="6:6" x14ac:dyDescent="0.35">
      <c r="F2007" s="469"/>
    </row>
    <row r="2008" spans="6:6" x14ac:dyDescent="0.35">
      <c r="F2008" s="469"/>
    </row>
    <row r="2009" spans="6:6" x14ac:dyDescent="0.35">
      <c r="F2009" s="469"/>
    </row>
    <row r="2010" spans="6:6" x14ac:dyDescent="0.35">
      <c r="F2010" s="469"/>
    </row>
    <row r="2011" spans="6:6" x14ac:dyDescent="0.35">
      <c r="F2011" s="469"/>
    </row>
    <row r="2012" spans="6:6" x14ac:dyDescent="0.35">
      <c r="F2012" s="469"/>
    </row>
    <row r="2013" spans="6:6" x14ac:dyDescent="0.35">
      <c r="F2013" s="469"/>
    </row>
    <row r="2014" spans="6:6" x14ac:dyDescent="0.35">
      <c r="F2014" s="469"/>
    </row>
    <row r="2015" spans="6:6" x14ac:dyDescent="0.35">
      <c r="F2015" s="469"/>
    </row>
    <row r="2016" spans="6:6" x14ac:dyDescent="0.35">
      <c r="F2016" s="469"/>
    </row>
    <row r="2017" spans="6:6" x14ac:dyDescent="0.35">
      <c r="F2017" s="469"/>
    </row>
    <row r="2018" spans="6:6" x14ac:dyDescent="0.35">
      <c r="F2018" s="469"/>
    </row>
    <row r="2019" spans="6:6" x14ac:dyDescent="0.35">
      <c r="F2019" s="469"/>
    </row>
    <row r="2020" spans="6:6" x14ac:dyDescent="0.35">
      <c r="F2020" s="469"/>
    </row>
    <row r="2021" spans="6:6" x14ac:dyDescent="0.35">
      <c r="F2021" s="469"/>
    </row>
    <row r="2022" spans="6:6" x14ac:dyDescent="0.35">
      <c r="F2022" s="469"/>
    </row>
    <row r="2023" spans="6:6" x14ac:dyDescent="0.35">
      <c r="F2023" s="469"/>
    </row>
    <row r="2024" spans="6:6" x14ac:dyDescent="0.35">
      <c r="F2024" s="469"/>
    </row>
    <row r="2025" spans="6:6" x14ac:dyDescent="0.35">
      <c r="F2025" s="469"/>
    </row>
    <row r="2026" spans="6:6" x14ac:dyDescent="0.35">
      <c r="F2026" s="469"/>
    </row>
    <row r="2027" spans="6:6" x14ac:dyDescent="0.35">
      <c r="F2027" s="469"/>
    </row>
    <row r="2028" spans="6:6" x14ac:dyDescent="0.35">
      <c r="F2028" s="469"/>
    </row>
    <row r="2029" spans="6:6" x14ac:dyDescent="0.35">
      <c r="F2029" s="469"/>
    </row>
    <row r="2030" spans="6:6" x14ac:dyDescent="0.35">
      <c r="F2030" s="469"/>
    </row>
    <row r="2031" spans="6:6" x14ac:dyDescent="0.35">
      <c r="F2031" s="469"/>
    </row>
    <row r="2032" spans="6:6" x14ac:dyDescent="0.35">
      <c r="F2032" s="469"/>
    </row>
    <row r="2033" spans="6:6" x14ac:dyDescent="0.35">
      <c r="F2033" s="469"/>
    </row>
    <row r="2034" spans="6:6" x14ac:dyDescent="0.35">
      <c r="F2034" s="469"/>
    </row>
    <row r="2035" spans="6:6" x14ac:dyDescent="0.35">
      <c r="F2035" s="469"/>
    </row>
    <row r="2036" spans="6:6" x14ac:dyDescent="0.35">
      <c r="F2036" s="469"/>
    </row>
    <row r="2037" spans="6:6" x14ac:dyDescent="0.35">
      <c r="F2037" s="469"/>
    </row>
    <row r="2038" spans="6:6" x14ac:dyDescent="0.35">
      <c r="F2038" s="469"/>
    </row>
    <row r="2039" spans="6:6" x14ac:dyDescent="0.35">
      <c r="F2039" s="469"/>
    </row>
    <row r="2040" spans="6:6" x14ac:dyDescent="0.35">
      <c r="F2040" s="469"/>
    </row>
    <row r="2041" spans="6:6" x14ac:dyDescent="0.35">
      <c r="F2041" s="469"/>
    </row>
    <row r="2042" spans="6:6" x14ac:dyDescent="0.35">
      <c r="F2042" s="469"/>
    </row>
    <row r="2043" spans="6:6" x14ac:dyDescent="0.35">
      <c r="F2043" s="469"/>
    </row>
    <row r="2044" spans="6:6" x14ac:dyDescent="0.35">
      <c r="F2044" s="469"/>
    </row>
    <row r="2045" spans="6:6" x14ac:dyDescent="0.35">
      <c r="F2045" s="469"/>
    </row>
    <row r="2046" spans="6:6" x14ac:dyDescent="0.35">
      <c r="F2046" s="469"/>
    </row>
    <row r="2047" spans="6:6" x14ac:dyDescent="0.35">
      <c r="F2047" s="469"/>
    </row>
    <row r="2048" spans="6:6" x14ac:dyDescent="0.35">
      <c r="F2048" s="469"/>
    </row>
    <row r="2049" spans="6:6" x14ac:dyDescent="0.35">
      <c r="F2049" s="469"/>
    </row>
    <row r="2050" spans="6:6" x14ac:dyDescent="0.35">
      <c r="F2050" s="469"/>
    </row>
    <row r="2051" spans="6:6" x14ac:dyDescent="0.35">
      <c r="F2051" s="469"/>
    </row>
    <row r="2052" spans="6:6" x14ac:dyDescent="0.35">
      <c r="F2052" s="469"/>
    </row>
    <row r="2053" spans="6:6" x14ac:dyDescent="0.35">
      <c r="F2053" s="469"/>
    </row>
    <row r="2054" spans="6:6" x14ac:dyDescent="0.35">
      <c r="F2054" s="469"/>
    </row>
    <row r="2055" spans="6:6" x14ac:dyDescent="0.35">
      <c r="F2055" s="469"/>
    </row>
    <row r="2056" spans="6:6" x14ac:dyDescent="0.35">
      <c r="F2056" s="469"/>
    </row>
    <row r="2057" spans="6:6" x14ac:dyDescent="0.35">
      <c r="F2057" s="469"/>
    </row>
    <row r="2058" spans="6:6" x14ac:dyDescent="0.35">
      <c r="F2058" s="469"/>
    </row>
    <row r="2059" spans="6:6" x14ac:dyDescent="0.35">
      <c r="F2059" s="469"/>
    </row>
    <row r="2060" spans="6:6" x14ac:dyDescent="0.35">
      <c r="F2060" s="469"/>
    </row>
    <row r="2061" spans="6:6" x14ac:dyDescent="0.35">
      <c r="F2061" s="469"/>
    </row>
    <row r="2062" spans="6:6" x14ac:dyDescent="0.35">
      <c r="F2062" s="469"/>
    </row>
    <row r="2063" spans="6:6" x14ac:dyDescent="0.35">
      <c r="F2063" s="469"/>
    </row>
    <row r="2064" spans="6:6" x14ac:dyDescent="0.35">
      <c r="F2064" s="469"/>
    </row>
    <row r="2065" spans="6:6" x14ac:dyDescent="0.35">
      <c r="F2065" s="469"/>
    </row>
    <row r="2066" spans="6:6" x14ac:dyDescent="0.35">
      <c r="F2066" s="469"/>
    </row>
    <row r="2067" spans="6:6" x14ac:dyDescent="0.35">
      <c r="F2067" s="469"/>
    </row>
    <row r="2068" spans="6:6" x14ac:dyDescent="0.35">
      <c r="F2068" s="469"/>
    </row>
    <row r="2069" spans="6:6" x14ac:dyDescent="0.35">
      <c r="F2069" s="469"/>
    </row>
    <row r="2070" spans="6:6" x14ac:dyDescent="0.35">
      <c r="F2070" s="469"/>
    </row>
    <row r="2071" spans="6:6" x14ac:dyDescent="0.35">
      <c r="F2071" s="469"/>
    </row>
    <row r="2072" spans="6:6" x14ac:dyDescent="0.35">
      <c r="F2072" s="469"/>
    </row>
    <row r="2073" spans="6:6" x14ac:dyDescent="0.35">
      <c r="F2073" s="469"/>
    </row>
    <row r="2074" spans="6:6" x14ac:dyDescent="0.35">
      <c r="F2074" s="469"/>
    </row>
    <row r="2075" spans="6:6" x14ac:dyDescent="0.35">
      <c r="F2075" s="469"/>
    </row>
    <row r="2076" spans="6:6" x14ac:dyDescent="0.35">
      <c r="F2076" s="469"/>
    </row>
    <row r="2077" spans="6:6" x14ac:dyDescent="0.35">
      <c r="F2077" s="469"/>
    </row>
    <row r="2078" spans="6:6" x14ac:dyDescent="0.35">
      <c r="F2078" s="469"/>
    </row>
    <row r="2079" spans="6:6" x14ac:dyDescent="0.35">
      <c r="F2079" s="469"/>
    </row>
    <row r="2080" spans="6:6" x14ac:dyDescent="0.35">
      <c r="F2080" s="469"/>
    </row>
    <row r="2081" spans="6:6" x14ac:dyDescent="0.35">
      <c r="F2081" s="469"/>
    </row>
    <row r="2082" spans="6:6" x14ac:dyDescent="0.35">
      <c r="F2082" s="469"/>
    </row>
    <row r="2083" spans="6:6" x14ac:dyDescent="0.35">
      <c r="F2083" s="469"/>
    </row>
    <row r="2084" spans="6:6" x14ac:dyDescent="0.35">
      <c r="F2084" s="469"/>
    </row>
    <row r="2085" spans="6:6" x14ac:dyDescent="0.35">
      <c r="F2085" s="469"/>
    </row>
    <row r="2086" spans="6:6" x14ac:dyDescent="0.35">
      <c r="F2086" s="469"/>
    </row>
    <row r="2087" spans="6:6" x14ac:dyDescent="0.35">
      <c r="F2087" s="469"/>
    </row>
    <row r="2088" spans="6:6" x14ac:dyDescent="0.35">
      <c r="F2088" s="469"/>
    </row>
    <row r="2089" spans="6:6" x14ac:dyDescent="0.35">
      <c r="F2089" s="469"/>
    </row>
    <row r="2090" spans="6:6" x14ac:dyDescent="0.35">
      <c r="F2090" s="469"/>
    </row>
    <row r="2091" spans="6:6" x14ac:dyDescent="0.35">
      <c r="F2091" s="469"/>
    </row>
    <row r="2092" spans="6:6" x14ac:dyDescent="0.35">
      <c r="F2092" s="469"/>
    </row>
    <row r="2093" spans="6:6" x14ac:dyDescent="0.35">
      <c r="F2093" s="469"/>
    </row>
    <row r="2094" spans="6:6" x14ac:dyDescent="0.35">
      <c r="F2094" s="469"/>
    </row>
    <row r="2095" spans="6:6" x14ac:dyDescent="0.35">
      <c r="F2095" s="469"/>
    </row>
    <row r="2096" spans="6:6" x14ac:dyDescent="0.35">
      <c r="F2096" s="469"/>
    </row>
    <row r="2097" spans="6:6" x14ac:dyDescent="0.35">
      <c r="F2097" s="469"/>
    </row>
    <row r="2098" spans="6:6" x14ac:dyDescent="0.35">
      <c r="F2098" s="469"/>
    </row>
    <row r="2099" spans="6:6" x14ac:dyDescent="0.35">
      <c r="F2099" s="469"/>
    </row>
    <row r="2100" spans="6:6" x14ac:dyDescent="0.35">
      <c r="F2100" s="469"/>
    </row>
    <row r="2101" spans="6:6" x14ac:dyDescent="0.35">
      <c r="F2101" s="469"/>
    </row>
    <row r="2102" spans="6:6" x14ac:dyDescent="0.35">
      <c r="F2102" s="469"/>
    </row>
    <row r="2103" spans="6:6" x14ac:dyDescent="0.35">
      <c r="F2103" s="469"/>
    </row>
    <row r="2104" spans="6:6" x14ac:dyDescent="0.35">
      <c r="F2104" s="469"/>
    </row>
    <row r="2105" spans="6:6" x14ac:dyDescent="0.35">
      <c r="F2105" s="469"/>
    </row>
    <row r="2106" spans="6:6" x14ac:dyDescent="0.35">
      <c r="F2106" s="469"/>
    </row>
    <row r="2107" spans="6:6" x14ac:dyDescent="0.35">
      <c r="F2107" s="469"/>
    </row>
    <row r="2108" spans="6:6" x14ac:dyDescent="0.35">
      <c r="F2108" s="469"/>
    </row>
    <row r="2109" spans="6:6" x14ac:dyDescent="0.35">
      <c r="F2109" s="469"/>
    </row>
    <row r="2110" spans="6:6" x14ac:dyDescent="0.35">
      <c r="F2110" s="469"/>
    </row>
    <row r="2111" spans="6:6" x14ac:dyDescent="0.35">
      <c r="F2111" s="469"/>
    </row>
    <row r="2112" spans="6:6" x14ac:dyDescent="0.35">
      <c r="F2112" s="469"/>
    </row>
    <row r="2113" spans="6:6" x14ac:dyDescent="0.35">
      <c r="F2113" s="469"/>
    </row>
    <row r="2114" spans="6:6" x14ac:dyDescent="0.35">
      <c r="F2114" s="469"/>
    </row>
    <row r="2115" spans="6:6" x14ac:dyDescent="0.35">
      <c r="F2115" s="469"/>
    </row>
    <row r="2116" spans="6:6" x14ac:dyDescent="0.35">
      <c r="F2116" s="469"/>
    </row>
    <row r="2117" spans="6:6" x14ac:dyDescent="0.35">
      <c r="F2117" s="469"/>
    </row>
    <row r="2118" spans="6:6" x14ac:dyDescent="0.35">
      <c r="F2118" s="469"/>
    </row>
    <row r="2119" spans="6:6" x14ac:dyDescent="0.35">
      <c r="F2119" s="469"/>
    </row>
    <row r="2120" spans="6:6" x14ac:dyDescent="0.35">
      <c r="F2120" s="469"/>
    </row>
    <row r="2121" spans="6:6" x14ac:dyDescent="0.35">
      <c r="F2121" s="469"/>
    </row>
    <row r="2122" spans="6:6" x14ac:dyDescent="0.35">
      <c r="F2122" s="469"/>
    </row>
    <row r="2123" spans="6:6" x14ac:dyDescent="0.35">
      <c r="F2123" s="469"/>
    </row>
    <row r="2124" spans="6:6" x14ac:dyDescent="0.35">
      <c r="F2124" s="469"/>
    </row>
    <row r="2125" spans="6:6" x14ac:dyDescent="0.35">
      <c r="F2125" s="469"/>
    </row>
    <row r="2126" spans="6:6" x14ac:dyDescent="0.35">
      <c r="F2126" s="469"/>
    </row>
    <row r="2127" spans="6:6" x14ac:dyDescent="0.35">
      <c r="F2127" s="469"/>
    </row>
    <row r="2128" spans="6:6" x14ac:dyDescent="0.35">
      <c r="F2128" s="469"/>
    </row>
    <row r="2129" spans="6:6" x14ac:dyDescent="0.35">
      <c r="F2129" s="469"/>
    </row>
    <row r="2130" spans="6:6" x14ac:dyDescent="0.35">
      <c r="F2130" s="469"/>
    </row>
    <row r="2131" spans="6:6" x14ac:dyDescent="0.35">
      <c r="F2131" s="469"/>
    </row>
    <row r="2132" spans="6:6" x14ac:dyDescent="0.35">
      <c r="F2132" s="469"/>
    </row>
    <row r="2133" spans="6:6" x14ac:dyDescent="0.35">
      <c r="F2133" s="469"/>
    </row>
    <row r="2134" spans="6:6" x14ac:dyDescent="0.35">
      <c r="F2134" s="469"/>
    </row>
    <row r="2135" spans="6:6" x14ac:dyDescent="0.35">
      <c r="F2135" s="469"/>
    </row>
    <row r="2136" spans="6:6" x14ac:dyDescent="0.35">
      <c r="F2136" s="469"/>
    </row>
    <row r="2137" spans="6:6" x14ac:dyDescent="0.35">
      <c r="F2137" s="469"/>
    </row>
    <row r="2138" spans="6:6" x14ac:dyDescent="0.35">
      <c r="F2138" s="469"/>
    </row>
    <row r="2139" spans="6:6" x14ac:dyDescent="0.35">
      <c r="F2139" s="469"/>
    </row>
    <row r="2140" spans="6:6" x14ac:dyDescent="0.35">
      <c r="F2140" s="469"/>
    </row>
    <row r="2141" spans="6:6" x14ac:dyDescent="0.35">
      <c r="F2141" s="469"/>
    </row>
    <row r="2142" spans="6:6" x14ac:dyDescent="0.35">
      <c r="F2142" s="469"/>
    </row>
    <row r="2143" spans="6:6" x14ac:dyDescent="0.35">
      <c r="F2143" s="469"/>
    </row>
    <row r="2144" spans="6:6" x14ac:dyDescent="0.35">
      <c r="F2144" s="469"/>
    </row>
    <row r="2145" spans="6:6" x14ac:dyDescent="0.35">
      <c r="F2145" s="469"/>
    </row>
    <row r="2146" spans="6:6" x14ac:dyDescent="0.35">
      <c r="F2146" s="469"/>
    </row>
    <row r="2147" spans="6:6" x14ac:dyDescent="0.35">
      <c r="F2147" s="469"/>
    </row>
    <row r="2148" spans="6:6" x14ac:dyDescent="0.35">
      <c r="F2148" s="469"/>
    </row>
    <row r="2149" spans="6:6" x14ac:dyDescent="0.35">
      <c r="F2149" s="469"/>
    </row>
    <row r="2150" spans="6:6" x14ac:dyDescent="0.35">
      <c r="F2150" s="469"/>
    </row>
    <row r="2151" spans="6:6" x14ac:dyDescent="0.35">
      <c r="F2151" s="469"/>
    </row>
    <row r="2152" spans="6:6" x14ac:dyDescent="0.35">
      <c r="F2152" s="469"/>
    </row>
    <row r="2153" spans="6:6" x14ac:dyDescent="0.35">
      <c r="F2153" s="469"/>
    </row>
    <row r="2154" spans="6:6" x14ac:dyDescent="0.35">
      <c r="F2154" s="469"/>
    </row>
    <row r="2155" spans="6:6" x14ac:dyDescent="0.35">
      <c r="F2155" s="469"/>
    </row>
    <row r="2156" spans="6:6" x14ac:dyDescent="0.35">
      <c r="F2156" s="469"/>
    </row>
    <row r="2157" spans="6:6" x14ac:dyDescent="0.35">
      <c r="F2157" s="469"/>
    </row>
    <row r="2158" spans="6:6" x14ac:dyDescent="0.35">
      <c r="F2158" s="469"/>
    </row>
    <row r="2159" spans="6:6" x14ac:dyDescent="0.35">
      <c r="F2159" s="469"/>
    </row>
    <row r="2160" spans="6:6" x14ac:dyDescent="0.35">
      <c r="F2160" s="469"/>
    </row>
  </sheetData>
  <sheetProtection sheet="1" objects="1" scenarios="1"/>
  <mergeCells count="9">
    <mergeCell ref="C24:F24"/>
    <mergeCell ref="G24:T24"/>
    <mergeCell ref="G25:N25"/>
    <mergeCell ref="O25:T25"/>
    <mergeCell ref="B2:C2"/>
    <mergeCell ref="B3:C3"/>
    <mergeCell ref="B5:D5"/>
    <mergeCell ref="A7:A14"/>
    <mergeCell ref="A16:A22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85" zoomScaleNormal="85" workbookViewId="0">
      <pane ySplit="7" topLeftCell="A8" activePane="bottomLeft" state="frozen"/>
      <selection pane="bottomLeft" activeCell="A2" sqref="A2:I2"/>
    </sheetView>
  </sheetViews>
  <sheetFormatPr baseColWidth="10" defaultColWidth="10.81640625" defaultRowHeight="14.5" x14ac:dyDescent="0.35"/>
  <cols>
    <col min="1" max="1" width="22.1796875" style="462" customWidth="1"/>
    <col min="2" max="2" width="14.54296875" style="462" customWidth="1"/>
    <col min="3" max="3" width="15.54296875" style="462" customWidth="1"/>
    <col min="4" max="4" width="21.1796875" style="462" customWidth="1"/>
    <col min="5" max="5" width="55.54296875" style="462" customWidth="1"/>
    <col min="6" max="6" width="15.453125" style="462" customWidth="1"/>
    <col min="7" max="7" width="16.54296875" style="462" customWidth="1"/>
    <col min="8" max="8" width="17.1796875" style="462" customWidth="1"/>
    <col min="9" max="9" width="10.81640625" style="462" bestFit="1" customWidth="1"/>
    <col min="10" max="10" width="24.7265625" style="462" customWidth="1"/>
    <col min="11" max="11" width="14.453125" style="462" customWidth="1"/>
    <col min="12" max="12" width="15.26953125" style="462" customWidth="1"/>
    <col min="13" max="14" width="14.81640625" style="462" customWidth="1"/>
    <col min="15" max="15" width="12.453125" style="462" customWidth="1"/>
    <col min="16" max="16" width="22.54296875" style="462" customWidth="1"/>
    <col min="17" max="17" width="31.7265625" style="462" customWidth="1"/>
    <col min="18" max="16384" width="10.81640625" style="462"/>
  </cols>
  <sheetData>
    <row r="1" spans="1:17" ht="43.5" x14ac:dyDescent="0.35">
      <c r="K1" s="160" t="s">
        <v>114</v>
      </c>
      <c r="L1" s="161" t="str">
        <f>$B$5*100&amp;" % MwSt."</f>
        <v>19 % MwSt.</v>
      </c>
      <c r="M1" s="160" t="s">
        <v>113</v>
      </c>
      <c r="N1" s="160" t="s">
        <v>112</v>
      </c>
      <c r="O1" s="86"/>
    </row>
    <row r="2" spans="1:17" ht="28.15" customHeight="1" x14ac:dyDescent="0.35">
      <c r="A2" s="561" t="s">
        <v>111</v>
      </c>
      <c r="B2" s="562"/>
      <c r="C2" s="562"/>
      <c r="D2" s="562"/>
      <c r="E2" s="562"/>
      <c r="F2" s="562"/>
      <c r="G2" s="562"/>
      <c r="H2" s="562"/>
      <c r="I2" s="563"/>
      <c r="J2" s="160" t="s">
        <v>110</v>
      </c>
      <c r="K2" s="265">
        <v>173.04201680672267</v>
      </c>
      <c r="L2" s="265">
        <v>32.877983193277316</v>
      </c>
      <c r="M2" s="162">
        <v>205.91998000000001</v>
      </c>
      <c r="N2" s="163">
        <f>ROUNDUP($M$2/$B$4,2)</f>
        <v>15.84</v>
      </c>
      <c r="O2" s="85"/>
    </row>
    <row r="3" spans="1:17" ht="28.15" customHeight="1" x14ac:dyDescent="0.35">
      <c r="G3" s="82"/>
      <c r="H3" s="82"/>
      <c r="I3" s="82"/>
      <c r="J3" s="160" t="s">
        <v>109</v>
      </c>
      <c r="K3" s="266">
        <v>0.3488235294117647</v>
      </c>
      <c r="L3" s="265">
        <v>6.6276470588235326E-2</v>
      </c>
      <c r="M3" s="164">
        <v>0.415072</v>
      </c>
      <c r="O3" s="84"/>
    </row>
    <row r="4" spans="1:17" ht="28.15" customHeight="1" x14ac:dyDescent="0.35">
      <c r="A4" s="165" t="s">
        <v>108</v>
      </c>
      <c r="B4" s="166">
        <v>13</v>
      </c>
      <c r="D4" s="85"/>
      <c r="E4" s="337"/>
      <c r="G4" s="82"/>
      <c r="H4" s="82"/>
      <c r="I4" s="82"/>
      <c r="J4" s="160" t="s">
        <v>107</v>
      </c>
      <c r="K4" s="163">
        <f>ROUNDUP((((C22-B22)-SUM(D20:D21,D23))*$K$3)/$B$4,2)</f>
        <v>21.69</v>
      </c>
      <c r="L4" s="163">
        <f>K4*$B$5</f>
        <v>4.1211000000000002</v>
      </c>
      <c r="M4" s="163">
        <f>SUM(K4:L4)</f>
        <v>25.811100000000003</v>
      </c>
    </row>
    <row r="5" spans="1:17" ht="28.15" customHeight="1" x14ac:dyDescent="0.35">
      <c r="A5" s="165" t="s">
        <v>106</v>
      </c>
      <c r="B5" s="167">
        <v>0.19</v>
      </c>
      <c r="E5" s="338"/>
      <c r="F5" s="85"/>
      <c r="G5" s="83"/>
      <c r="H5" s="82"/>
      <c r="I5" s="82"/>
      <c r="J5" s="160" t="s">
        <v>105</v>
      </c>
      <c r="K5" s="163">
        <f>IF(B36&gt;0,ROUNDUP(($D$23*$K$3)/$B$36,2),0)</f>
        <v>2.0999999999999996</v>
      </c>
      <c r="L5" s="163">
        <f>K5*$B$5</f>
        <v>0.39899999999999991</v>
      </c>
      <c r="M5" s="163">
        <f>SUM(K5:L5)</f>
        <v>2.4989999999999997</v>
      </c>
      <c r="O5" s="325"/>
    </row>
    <row r="6" spans="1:17" ht="28.15" customHeight="1" thickBot="1" x14ac:dyDescent="0.4">
      <c r="G6" s="82"/>
      <c r="H6" s="82"/>
      <c r="I6" s="82"/>
      <c r="J6" s="81" t="s">
        <v>104</v>
      </c>
      <c r="K6" s="80">
        <f>ROUNDUP(($D$27*$K$3)/$B$4,2)</f>
        <v>2.71</v>
      </c>
      <c r="L6" s="80">
        <f>K6*$B$5</f>
        <v>0.51490000000000002</v>
      </c>
      <c r="M6" s="80">
        <f>SUM(K6:L6)</f>
        <v>3.2248999999999999</v>
      </c>
    </row>
    <row r="7" spans="1:17" ht="102.65" customHeight="1" thickTop="1" thickBot="1" x14ac:dyDescent="0.4">
      <c r="A7" s="79" t="s">
        <v>103</v>
      </c>
      <c r="B7" s="78" t="s">
        <v>102</v>
      </c>
      <c r="C7" s="78" t="s">
        <v>101</v>
      </c>
      <c r="D7" s="78" t="s">
        <v>100</v>
      </c>
      <c r="E7" s="77" t="s">
        <v>22</v>
      </c>
      <c r="F7" s="76" t="s">
        <v>99</v>
      </c>
      <c r="G7" s="75" t="str">
        <f>$B$5*100&amp;" % MwSt."</f>
        <v>19 % MwSt.</v>
      </c>
      <c r="H7" s="74" t="s">
        <v>98</v>
      </c>
      <c r="I7" s="73" t="s">
        <v>97</v>
      </c>
      <c r="J7" s="7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7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71" t="str">
        <f>$B$5*100&amp;" % MwSt."</f>
        <v>19 % MwSt.</v>
      </c>
      <c r="M7" s="70" t="s">
        <v>96</v>
      </c>
      <c r="N7" s="70" t="str">
        <f>"Stromkosten (Brutto) und Grundgebühr ( "&amp;$N$2&amp;" € ) "</f>
        <v xml:space="preserve">Stromkosten (Brutto) und Grundgebühr ( 15,84 € ) </v>
      </c>
      <c r="P7" s="339" t="s">
        <v>95</v>
      </c>
      <c r="Q7" s="340" t="s">
        <v>94</v>
      </c>
    </row>
    <row r="8" spans="1:17" ht="50" customHeight="1" thickTop="1" x14ac:dyDescent="0.35">
      <c r="A8" s="201" t="s">
        <v>315</v>
      </c>
      <c r="B8" s="203">
        <v>14070.6</v>
      </c>
      <c r="C8" s="203">
        <v>14619.5</v>
      </c>
      <c r="D8" s="205">
        <v>548.9</v>
      </c>
      <c r="E8" s="211"/>
      <c r="F8" s="191">
        <f>$D8*$K$3</f>
        <v>191.46923529411762</v>
      </c>
      <c r="G8" s="192">
        <f>F8*$B$5</f>
        <v>36.37915470588235</v>
      </c>
      <c r="H8" s="193">
        <f>SUM(F8:G8)</f>
        <v>227.84838999999997</v>
      </c>
      <c r="I8" s="194" t="b">
        <v>0</v>
      </c>
      <c r="J8" s="69">
        <f>IF(I8=TRUE,$F8+$K$4+$K$5+$K$6,$F8+$K$4+$K$6)</f>
        <v>215.86923529411763</v>
      </c>
      <c r="K8" s="69">
        <f t="shared" ref="K8:K20" si="0">$J8+ROUNDUP($K$2/$B$4,2)</f>
        <v>229.18923529411762</v>
      </c>
      <c r="L8" s="68">
        <f>ROUNDUP((K8*$B$5),2)</f>
        <v>43.55</v>
      </c>
      <c r="M8" s="67">
        <f>SUM(K8:L8)</f>
        <v>272.73923529411763</v>
      </c>
      <c r="N8" s="169">
        <f>IF(M8=0,"",H8+$N$2)</f>
        <v>243.68838999999997</v>
      </c>
      <c r="P8" s="341" t="s">
        <v>79</v>
      </c>
      <c r="Q8" s="342">
        <v>392</v>
      </c>
    </row>
    <row r="9" spans="1:17" ht="50" customHeight="1" x14ac:dyDescent="0.35">
      <c r="A9" s="170" t="s">
        <v>345</v>
      </c>
      <c r="B9" s="203">
        <v>3179.1</v>
      </c>
      <c r="C9" s="203">
        <v>3213.2</v>
      </c>
      <c r="D9" s="205">
        <v>34.1</v>
      </c>
      <c r="E9" s="212"/>
      <c r="F9" s="195">
        <f>$D9*$K$3</f>
        <v>11.894882352941178</v>
      </c>
      <c r="G9" s="196">
        <f t="shared" ref="G9:G25" si="1">F9*$B$5</f>
        <v>2.2600276470588239</v>
      </c>
      <c r="H9" s="197">
        <f>SUM(F9:G9)</f>
        <v>14.154910000000001</v>
      </c>
      <c r="I9" s="198" t="b">
        <v>0</v>
      </c>
      <c r="J9" s="172">
        <f>IF($I9=TRUE,$F9+$K$4+$K$5+$K$6,$F9+$K$4+$K$6)</f>
        <v>36.29488235294118</v>
      </c>
      <c r="K9" s="173">
        <f t="shared" si="0"/>
        <v>49.61488235294118</v>
      </c>
      <c r="L9" s="173">
        <f>ROUNDUP((K9*$B$5),2)</f>
        <v>9.43</v>
      </c>
      <c r="M9" s="174">
        <f>SUM(K9:L9)</f>
        <v>59.04488235294118</v>
      </c>
      <c r="N9" s="174">
        <f>IF(M9=0,"",H9+$N$2)</f>
        <v>29.994910000000001</v>
      </c>
      <c r="P9" s="341" t="s">
        <v>78</v>
      </c>
      <c r="Q9" s="342">
        <v>392</v>
      </c>
    </row>
    <row r="10" spans="1:17" ht="50" customHeight="1" x14ac:dyDescent="0.35">
      <c r="A10" s="170" t="s">
        <v>316</v>
      </c>
      <c r="B10" s="203">
        <v>24476.7</v>
      </c>
      <c r="C10" s="203">
        <v>25580.9</v>
      </c>
      <c r="D10" s="205">
        <v>1104.2</v>
      </c>
      <c r="E10" s="212"/>
      <c r="F10" s="195">
        <f t="shared" ref="F10:F21" si="2">$D10*$K$3</f>
        <v>385.17094117647059</v>
      </c>
      <c r="G10" s="196">
        <f t="shared" si="1"/>
        <v>73.182478823529408</v>
      </c>
      <c r="H10" s="197">
        <f t="shared" ref="H10:H21" si="3">SUM(F10:G10)</f>
        <v>458.35342000000003</v>
      </c>
      <c r="I10" s="198" t="b">
        <v>1</v>
      </c>
      <c r="J10" s="172">
        <f t="shared" ref="J10:J20" si="4">IF($I10=TRUE,$F10+$K$4+$K$5+$K$6,$F10+$K$4+$K$6)</f>
        <v>411.67094117647059</v>
      </c>
      <c r="K10" s="173">
        <f t="shared" si="0"/>
        <v>424.99094117647059</v>
      </c>
      <c r="L10" s="173">
        <f t="shared" ref="L10:L20" si="5">ROUNDUP(($K10*($B$5*100))/(100-100*$B$5),2)</f>
        <v>99.690000000000012</v>
      </c>
      <c r="M10" s="174">
        <f t="shared" ref="M10:M20" si="6">SUM(K10:L10)</f>
        <v>524.68094117647058</v>
      </c>
      <c r="N10" s="174">
        <f t="shared" ref="N10:N23" si="7">IF(M10=0,"",H10+$N$2)</f>
        <v>474.19342</v>
      </c>
      <c r="P10" s="341" t="s">
        <v>77</v>
      </c>
      <c r="Q10" s="342">
        <v>392</v>
      </c>
    </row>
    <row r="11" spans="1:17" ht="50" customHeight="1" x14ac:dyDescent="0.35">
      <c r="A11" s="170" t="s">
        <v>317</v>
      </c>
      <c r="B11" s="203">
        <v>42912.9</v>
      </c>
      <c r="C11" s="203">
        <v>43910.6</v>
      </c>
      <c r="D11" s="205">
        <v>997.7</v>
      </c>
      <c r="E11" s="213"/>
      <c r="F11" s="195">
        <f t="shared" si="2"/>
        <v>348.02123529411767</v>
      </c>
      <c r="G11" s="196">
        <f t="shared" si="1"/>
        <v>66.124034705882352</v>
      </c>
      <c r="H11" s="197">
        <f t="shared" si="3"/>
        <v>414.14527000000004</v>
      </c>
      <c r="I11" s="198" t="b">
        <v>1</v>
      </c>
      <c r="J11" s="172">
        <f t="shared" si="4"/>
        <v>374.52123529411767</v>
      </c>
      <c r="K11" s="173">
        <f t="shared" si="0"/>
        <v>387.84123529411767</v>
      </c>
      <c r="L11" s="173">
        <f t="shared" si="5"/>
        <v>90.98</v>
      </c>
      <c r="M11" s="174">
        <f t="shared" si="6"/>
        <v>478.82123529411768</v>
      </c>
      <c r="N11" s="174">
        <f t="shared" si="7"/>
        <v>429.98527000000001</v>
      </c>
      <c r="P11" s="341" t="s">
        <v>76</v>
      </c>
      <c r="Q11" s="342">
        <v>392</v>
      </c>
    </row>
    <row r="12" spans="1:17" ht="50" customHeight="1" x14ac:dyDescent="0.35">
      <c r="A12" s="170" t="s">
        <v>318</v>
      </c>
      <c r="B12" s="203">
        <v>16012.1</v>
      </c>
      <c r="C12" s="203">
        <v>17499.400000000001</v>
      </c>
      <c r="D12" s="205">
        <v>1487.3</v>
      </c>
      <c r="E12" s="212"/>
      <c r="F12" s="195">
        <f>$D12*$K$3</f>
        <v>518.80523529411767</v>
      </c>
      <c r="G12" s="196">
        <f t="shared" si="1"/>
        <v>98.572994705882351</v>
      </c>
      <c r="H12" s="197">
        <f t="shared" si="3"/>
        <v>617.37823000000003</v>
      </c>
      <c r="I12" s="198" t="b">
        <v>0</v>
      </c>
      <c r="J12" s="172">
        <f t="shared" si="4"/>
        <v>543.20523529411776</v>
      </c>
      <c r="K12" s="173">
        <f t="shared" si="0"/>
        <v>556.52523529411781</v>
      </c>
      <c r="L12" s="173">
        <f t="shared" si="5"/>
        <v>130.54999999999998</v>
      </c>
      <c r="M12" s="174">
        <f t="shared" si="6"/>
        <v>687.07523529411776</v>
      </c>
      <c r="N12" s="174">
        <f t="shared" si="7"/>
        <v>633.21823000000006</v>
      </c>
      <c r="P12" s="341" t="s">
        <v>75</v>
      </c>
      <c r="Q12" s="342">
        <v>392</v>
      </c>
    </row>
    <row r="13" spans="1:17" ht="50" customHeight="1" x14ac:dyDescent="0.35">
      <c r="A13" s="170" t="s">
        <v>319</v>
      </c>
      <c r="B13" s="203">
        <v>7595.8</v>
      </c>
      <c r="C13" s="203">
        <v>8274.9</v>
      </c>
      <c r="D13" s="205">
        <v>679.1</v>
      </c>
      <c r="E13" s="212"/>
      <c r="F13" s="195">
        <f t="shared" si="2"/>
        <v>236.88605882352942</v>
      </c>
      <c r="G13" s="196">
        <f t="shared" si="1"/>
        <v>45.00835117647059</v>
      </c>
      <c r="H13" s="197">
        <f t="shared" si="3"/>
        <v>281.89440999999999</v>
      </c>
      <c r="I13" s="198" t="b">
        <v>0</v>
      </c>
      <c r="J13" s="172">
        <f t="shared" si="4"/>
        <v>261.2860588235294</v>
      </c>
      <c r="K13" s="173">
        <f t="shared" si="0"/>
        <v>274.60605882352939</v>
      </c>
      <c r="L13" s="173">
        <f t="shared" si="5"/>
        <v>64.42</v>
      </c>
      <c r="M13" s="174">
        <f t="shared" si="6"/>
        <v>339.02605882352941</v>
      </c>
      <c r="N13" s="174">
        <f t="shared" si="7"/>
        <v>297.73440999999997</v>
      </c>
      <c r="P13" s="341" t="s">
        <v>74</v>
      </c>
      <c r="Q13" s="342">
        <v>392</v>
      </c>
    </row>
    <row r="14" spans="1:17" ht="50" customHeight="1" x14ac:dyDescent="0.35">
      <c r="A14" s="170" t="s">
        <v>320</v>
      </c>
      <c r="B14" s="203">
        <v>18220.599999999999</v>
      </c>
      <c r="C14" s="203">
        <v>19735.2</v>
      </c>
      <c r="D14" s="205">
        <v>1514.6</v>
      </c>
      <c r="E14" s="212"/>
      <c r="F14" s="195">
        <f t="shared" si="2"/>
        <v>528.32811764705878</v>
      </c>
      <c r="G14" s="196">
        <f t="shared" si="1"/>
        <v>100.38234235294117</v>
      </c>
      <c r="H14" s="197">
        <f t="shared" si="3"/>
        <v>628.7104599999999</v>
      </c>
      <c r="I14" s="198" t="b">
        <v>1</v>
      </c>
      <c r="J14" s="172">
        <f t="shared" si="4"/>
        <v>554.82811764705889</v>
      </c>
      <c r="K14" s="173">
        <f t="shared" si="0"/>
        <v>568.14811764705894</v>
      </c>
      <c r="L14" s="173">
        <f t="shared" si="5"/>
        <v>133.26999999999998</v>
      </c>
      <c r="M14" s="174">
        <f t="shared" si="6"/>
        <v>701.41811764705892</v>
      </c>
      <c r="N14" s="174">
        <f t="shared" si="7"/>
        <v>644.55045999999993</v>
      </c>
      <c r="P14" s="341" t="s">
        <v>73</v>
      </c>
      <c r="Q14" s="342">
        <v>392</v>
      </c>
    </row>
    <row r="15" spans="1:17" ht="50" customHeight="1" x14ac:dyDescent="0.35">
      <c r="A15" s="170" t="s">
        <v>354</v>
      </c>
      <c r="B15" s="203">
        <v>3106.8</v>
      </c>
      <c r="C15" s="203">
        <v>3247</v>
      </c>
      <c r="D15" s="205">
        <v>140.19999999999999</v>
      </c>
      <c r="E15" s="212"/>
      <c r="F15" s="195">
        <f t="shared" si="2"/>
        <v>48.905058823529409</v>
      </c>
      <c r="G15" s="196">
        <f t="shared" si="1"/>
        <v>9.2919611764705881</v>
      </c>
      <c r="H15" s="197">
        <f t="shared" si="3"/>
        <v>58.197019999999995</v>
      </c>
      <c r="I15" s="198" t="b">
        <v>0</v>
      </c>
      <c r="J15" s="172">
        <f t="shared" si="4"/>
        <v>73.305058823529407</v>
      </c>
      <c r="K15" s="173">
        <f t="shared" si="0"/>
        <v>86.6250588235294</v>
      </c>
      <c r="L15" s="173">
        <f t="shared" si="5"/>
        <v>20.32</v>
      </c>
      <c r="M15" s="174">
        <f t="shared" si="6"/>
        <v>106.94505882352939</v>
      </c>
      <c r="N15" s="174">
        <f t="shared" si="7"/>
        <v>74.037019999999998</v>
      </c>
      <c r="P15" s="341" t="s">
        <v>72</v>
      </c>
      <c r="Q15" s="342">
        <v>392</v>
      </c>
    </row>
    <row r="16" spans="1:17" ht="50" customHeight="1" x14ac:dyDescent="0.35">
      <c r="A16" s="170" t="s">
        <v>321</v>
      </c>
      <c r="B16" s="203">
        <v>13557.1</v>
      </c>
      <c r="C16" s="203">
        <v>14605.8</v>
      </c>
      <c r="D16" s="205">
        <v>1048.7</v>
      </c>
      <c r="E16" s="212"/>
      <c r="F16" s="195">
        <f t="shared" si="2"/>
        <v>365.81123529411764</v>
      </c>
      <c r="G16" s="196">
        <f t="shared" si="1"/>
        <v>69.50413470588235</v>
      </c>
      <c r="H16" s="197">
        <f t="shared" si="3"/>
        <v>435.31536999999997</v>
      </c>
      <c r="I16" s="198" t="b">
        <v>0</v>
      </c>
      <c r="J16" s="172">
        <f t="shared" si="4"/>
        <v>390.21123529411761</v>
      </c>
      <c r="K16" s="173">
        <f t="shared" si="0"/>
        <v>403.53123529411761</v>
      </c>
      <c r="L16" s="173">
        <f t="shared" si="5"/>
        <v>94.660000000000011</v>
      </c>
      <c r="M16" s="174">
        <f t="shared" si="6"/>
        <v>498.19123529411763</v>
      </c>
      <c r="N16" s="174">
        <f t="shared" si="7"/>
        <v>451.15536999999995</v>
      </c>
      <c r="P16" s="341" t="s">
        <v>71</v>
      </c>
      <c r="Q16" s="342">
        <v>392</v>
      </c>
    </row>
    <row r="17" spans="1:17" ht="50" customHeight="1" x14ac:dyDescent="0.35">
      <c r="A17" s="170" t="s">
        <v>370</v>
      </c>
      <c r="B17" s="203">
        <v>3388</v>
      </c>
      <c r="C17" s="203">
        <v>4228</v>
      </c>
      <c r="D17" s="205">
        <v>840</v>
      </c>
      <c r="E17" s="212"/>
      <c r="F17" s="195">
        <f t="shared" si="2"/>
        <v>293.01176470588234</v>
      </c>
      <c r="G17" s="196">
        <f t="shared" si="1"/>
        <v>55.672235294117648</v>
      </c>
      <c r="H17" s="197">
        <f t="shared" si="3"/>
        <v>348.68399999999997</v>
      </c>
      <c r="I17" s="198" t="b">
        <v>0</v>
      </c>
      <c r="J17" s="172">
        <f t="shared" si="4"/>
        <v>317.41176470588232</v>
      </c>
      <c r="K17" s="173">
        <f t="shared" si="0"/>
        <v>330.73176470588231</v>
      </c>
      <c r="L17" s="173">
        <f t="shared" si="5"/>
        <v>77.58</v>
      </c>
      <c r="M17" s="174">
        <f t="shared" si="6"/>
        <v>408.3117647058823</v>
      </c>
      <c r="N17" s="174">
        <f t="shared" si="7"/>
        <v>364.52399999999994</v>
      </c>
      <c r="P17" s="341" t="s">
        <v>70</v>
      </c>
      <c r="Q17" s="342">
        <v>392</v>
      </c>
    </row>
    <row r="18" spans="1:17" ht="50" customHeight="1" x14ac:dyDescent="0.35">
      <c r="A18" s="170" t="s">
        <v>322</v>
      </c>
      <c r="B18" s="203">
        <v>161374.1</v>
      </c>
      <c r="C18" s="203">
        <v>162561.1</v>
      </c>
      <c r="D18" s="205">
        <v>1187</v>
      </c>
      <c r="E18" s="212"/>
      <c r="F18" s="195">
        <f t="shared" si="2"/>
        <v>414.05352941176471</v>
      </c>
      <c r="G18" s="196">
        <f t="shared" si="1"/>
        <v>78.670170588235294</v>
      </c>
      <c r="H18" s="197">
        <f t="shared" si="3"/>
        <v>492.72370000000001</v>
      </c>
      <c r="I18" s="198" t="b">
        <v>0</v>
      </c>
      <c r="J18" s="172">
        <f t="shared" si="4"/>
        <v>438.45352941176469</v>
      </c>
      <c r="K18" s="173">
        <f t="shared" si="0"/>
        <v>451.77352941176468</v>
      </c>
      <c r="L18" s="173">
        <f t="shared" si="5"/>
        <v>105.98</v>
      </c>
      <c r="M18" s="174">
        <f t="shared" si="6"/>
        <v>557.7535294117647</v>
      </c>
      <c r="N18" s="174">
        <f t="shared" si="7"/>
        <v>508.56369999999998</v>
      </c>
      <c r="P18" s="341" t="s">
        <v>69</v>
      </c>
      <c r="Q18" s="342">
        <v>392</v>
      </c>
    </row>
    <row r="19" spans="1:17" ht="50" customHeight="1" thickBot="1" x14ac:dyDescent="0.4">
      <c r="A19" s="170" t="s">
        <v>359</v>
      </c>
      <c r="B19" s="203">
        <v>6373.7</v>
      </c>
      <c r="C19" s="203">
        <v>7111.3</v>
      </c>
      <c r="D19" s="205">
        <v>737.6</v>
      </c>
      <c r="E19" s="212"/>
      <c r="F19" s="195">
        <f t="shared" si="2"/>
        <v>257.29223529411763</v>
      </c>
      <c r="G19" s="196">
        <f t="shared" si="1"/>
        <v>48.885524705882354</v>
      </c>
      <c r="H19" s="197">
        <f t="shared" si="3"/>
        <v>306.17775999999998</v>
      </c>
      <c r="I19" s="198" t="b">
        <v>0</v>
      </c>
      <c r="J19" s="172">
        <f t="shared" si="4"/>
        <v>281.69223529411761</v>
      </c>
      <c r="K19" s="173">
        <f t="shared" si="0"/>
        <v>295.0122352941176</v>
      </c>
      <c r="L19" s="173">
        <f t="shared" si="5"/>
        <v>69.210000000000008</v>
      </c>
      <c r="M19" s="174">
        <f t="shared" si="6"/>
        <v>364.22223529411758</v>
      </c>
      <c r="N19" s="174">
        <f t="shared" si="7"/>
        <v>322.01775999999995</v>
      </c>
      <c r="P19" s="343" t="s">
        <v>68</v>
      </c>
      <c r="Q19" s="344">
        <v>392</v>
      </c>
    </row>
    <row r="20" spans="1:17" ht="50" customHeight="1" x14ac:dyDescent="0.35">
      <c r="A20" s="170" t="s">
        <v>323</v>
      </c>
      <c r="B20" s="203">
        <v>15940.5</v>
      </c>
      <c r="C20" s="203">
        <v>16398</v>
      </c>
      <c r="D20" s="205">
        <v>457.5</v>
      </c>
      <c r="E20" s="214"/>
      <c r="F20" s="195">
        <f t="shared" si="2"/>
        <v>159.58676470588236</v>
      </c>
      <c r="G20" s="196">
        <f t="shared" si="1"/>
        <v>30.32148529411765</v>
      </c>
      <c r="H20" s="197">
        <f t="shared" si="3"/>
        <v>189.90825000000001</v>
      </c>
      <c r="I20" s="198" t="b">
        <v>0</v>
      </c>
      <c r="J20" s="172">
        <f t="shared" si="4"/>
        <v>183.98676470588236</v>
      </c>
      <c r="K20" s="173">
        <f t="shared" si="0"/>
        <v>197.30676470588236</v>
      </c>
      <c r="L20" s="173">
        <f t="shared" si="5"/>
        <v>46.29</v>
      </c>
      <c r="M20" s="174">
        <f t="shared" si="6"/>
        <v>243.59676470588235</v>
      </c>
      <c r="N20" s="174">
        <f t="shared" si="7"/>
        <v>205.74825000000001</v>
      </c>
      <c r="P20" s="345" t="s">
        <v>93</v>
      </c>
      <c r="Q20" s="346">
        <f>SUM(Q8:Q19)</f>
        <v>4704</v>
      </c>
    </row>
    <row r="21" spans="1:17" ht="50" customHeight="1" thickBot="1" x14ac:dyDescent="0.4">
      <c r="A21" s="170" t="s">
        <v>44</v>
      </c>
      <c r="B21" s="203">
        <v>331</v>
      </c>
      <c r="C21" s="203">
        <v>331</v>
      </c>
      <c r="D21" s="205">
        <v>0</v>
      </c>
      <c r="E21" s="212"/>
      <c r="F21" s="195">
        <f t="shared" si="2"/>
        <v>0</v>
      </c>
      <c r="G21" s="196">
        <f t="shared" si="1"/>
        <v>0</v>
      </c>
      <c r="H21" s="197">
        <f t="shared" si="3"/>
        <v>0</v>
      </c>
      <c r="I21" s="199" t="b">
        <v>0</v>
      </c>
      <c r="J21" s="172"/>
      <c r="K21" s="173"/>
      <c r="L21" s="173"/>
      <c r="M21" s="174"/>
      <c r="N21" s="174" t="str">
        <f t="shared" si="7"/>
        <v/>
      </c>
      <c r="P21" s="343" t="s">
        <v>92</v>
      </c>
      <c r="Q21" s="344">
        <v>4844.75</v>
      </c>
    </row>
    <row r="22" spans="1:17" ht="50" customHeight="1" thickBot="1" x14ac:dyDescent="0.4">
      <c r="A22" s="210" t="s">
        <v>310</v>
      </c>
      <c r="B22" s="203">
        <v>29774</v>
      </c>
      <c r="C22" s="203">
        <v>31057.7</v>
      </c>
      <c r="D22" s="209">
        <v>1283.7</v>
      </c>
      <c r="E22" s="215"/>
      <c r="F22" s="195">
        <f>((C22-B22)-SUM(D20:D21,D23))*$K$3</f>
        <v>281.91917647058847</v>
      </c>
      <c r="G22" s="196">
        <f t="shared" si="1"/>
        <v>53.564643529411811</v>
      </c>
      <c r="H22" s="197">
        <f>SUM(F22:G22)</f>
        <v>335.48382000000026</v>
      </c>
      <c r="I22" s="200"/>
      <c r="J22" s="172"/>
      <c r="K22" s="176"/>
      <c r="L22" s="176"/>
      <c r="M22" s="174"/>
      <c r="N22" s="174" t="str">
        <f t="shared" si="7"/>
        <v/>
      </c>
      <c r="P22" s="347" t="s">
        <v>89</v>
      </c>
      <c r="Q22" s="348">
        <v>140.75</v>
      </c>
    </row>
    <row r="23" spans="1:17" ht="50" customHeight="1" x14ac:dyDescent="0.35">
      <c r="A23" s="208" t="s">
        <v>309</v>
      </c>
      <c r="B23" s="203">
        <v>1636.1</v>
      </c>
      <c r="C23" s="203">
        <v>1654.1</v>
      </c>
      <c r="D23" s="205">
        <v>18</v>
      </c>
      <c r="E23" s="212"/>
      <c r="F23" s="195">
        <f>ROUNDUP($D23*$K$3,2)</f>
        <v>6.2799999999999994</v>
      </c>
      <c r="G23" s="196">
        <f t="shared" si="1"/>
        <v>1.1931999999999998</v>
      </c>
      <c r="H23" s="197">
        <f>SUM(F23:G23)</f>
        <v>7.4731999999999994</v>
      </c>
      <c r="I23" s="200"/>
      <c r="J23" s="172"/>
      <c r="K23" s="176"/>
      <c r="L23" s="176"/>
      <c r="M23" s="174"/>
      <c r="N23" s="174" t="str">
        <f t="shared" si="7"/>
        <v/>
      </c>
    </row>
    <row r="24" spans="1:17" ht="53.15" customHeight="1" x14ac:dyDescent="0.35">
      <c r="A24" s="175"/>
      <c r="B24" s="168"/>
      <c r="C24" s="168"/>
      <c r="D24" s="177"/>
      <c r="E24" s="216"/>
      <c r="F24" s="171"/>
      <c r="G24" s="62"/>
      <c r="H24" s="64"/>
      <c r="I24" s="63"/>
      <c r="J24" s="463"/>
      <c r="K24" s="176"/>
      <c r="L24" s="176"/>
      <c r="M24" s="178"/>
      <c r="N24" s="176"/>
    </row>
    <row r="25" spans="1:17" ht="53.15" customHeight="1" x14ac:dyDescent="0.35">
      <c r="A25" s="568" t="s">
        <v>91</v>
      </c>
      <c r="B25" s="569"/>
      <c r="C25" s="570"/>
      <c r="D25" s="179">
        <f>SUM(D8:D21)+((C22-B22)-(D20+D21))</f>
        <v>11603.1</v>
      </c>
      <c r="E25" s="216"/>
      <c r="F25" s="180">
        <f>SUM(F8:F21,F22)</f>
        <v>4041.1554705882354</v>
      </c>
      <c r="G25" s="62">
        <f t="shared" si="1"/>
        <v>767.81953941176471</v>
      </c>
      <c r="H25" s="66">
        <f>SUM(H8:H21,H22)</f>
        <v>4808.9750100000001</v>
      </c>
      <c r="I25" s="65"/>
      <c r="J25" s="463"/>
      <c r="K25" s="176"/>
      <c r="L25" s="176"/>
      <c r="M25" s="178"/>
      <c r="N25" s="176"/>
      <c r="P25" s="85"/>
    </row>
    <row r="26" spans="1:17" ht="50" customHeight="1" x14ac:dyDescent="0.35">
      <c r="A26" s="175" t="s">
        <v>90</v>
      </c>
      <c r="B26" s="204">
        <v>7102</v>
      </c>
      <c r="C26" s="204">
        <v>18806</v>
      </c>
      <c r="D26" s="206">
        <v>11704</v>
      </c>
      <c r="E26" s="212"/>
      <c r="F26" s="181"/>
      <c r="G26" s="62"/>
      <c r="H26" s="64"/>
      <c r="I26" s="63"/>
      <c r="J26" s="463"/>
      <c r="K26" s="176"/>
      <c r="L26" s="176"/>
      <c r="M26" s="178"/>
      <c r="N26" s="176"/>
    </row>
    <row r="27" spans="1:17" ht="53.15" customHeight="1" x14ac:dyDescent="0.35">
      <c r="A27" s="175" t="s">
        <v>89</v>
      </c>
      <c r="B27" s="168"/>
      <c r="C27" s="168"/>
      <c r="D27" s="179">
        <f>D26-D25</f>
        <v>100.89999999999964</v>
      </c>
      <c r="E27" s="216"/>
      <c r="F27" s="182"/>
      <c r="G27" s="62"/>
      <c r="H27" s="61"/>
      <c r="I27" s="60"/>
      <c r="J27" s="463"/>
      <c r="K27" s="176"/>
      <c r="L27" s="176"/>
      <c r="M27" s="178"/>
      <c r="N27" s="176"/>
    </row>
    <row r="28" spans="1:17" ht="53.15" customHeight="1" x14ac:dyDescent="0.35">
      <c r="A28" s="175" t="s">
        <v>88</v>
      </c>
      <c r="B28" s="168"/>
      <c r="C28" s="168"/>
      <c r="D28" s="177">
        <f>D26-(SUM(D8:D21,D23)+(C22-B22))+SUM(D20:D21,D23)</f>
        <v>100.89999999999964</v>
      </c>
      <c r="E28" s="216"/>
      <c r="F28" s="171">
        <f>$D28*$K$3</f>
        <v>35.196294117646929</v>
      </c>
      <c r="G28" s="62">
        <f>(F28*($B$5*100))/(100-100*$B$5)</f>
        <v>8.2559208424110082</v>
      </c>
      <c r="H28" s="61">
        <f>SUM(F28:G28)</f>
        <v>43.452214960057937</v>
      </c>
      <c r="I28" s="60"/>
      <c r="J28" s="463"/>
      <c r="K28" s="176"/>
      <c r="L28" s="176"/>
      <c r="M28" s="178"/>
      <c r="N28" s="176"/>
      <c r="P28" s="349"/>
    </row>
    <row r="29" spans="1:17" ht="25.5" customHeight="1" x14ac:dyDescent="0.35">
      <c r="A29" s="175"/>
      <c r="B29" s="168"/>
      <c r="C29" s="168"/>
      <c r="D29" s="183"/>
      <c r="E29" s="216"/>
      <c r="F29" s="184"/>
      <c r="G29" s="185"/>
      <c r="H29" s="186"/>
      <c r="I29" s="171"/>
      <c r="J29" s="463"/>
      <c r="K29" s="176"/>
      <c r="L29" s="176"/>
      <c r="M29" s="178"/>
      <c r="N29" s="176"/>
    </row>
    <row r="30" spans="1:17" ht="25.5" customHeight="1" x14ac:dyDescent="0.35">
      <c r="A30" s="59"/>
      <c r="B30" s="350"/>
      <c r="C30" s="350"/>
      <c r="D30" s="350"/>
      <c r="E30" s="350"/>
      <c r="F30" s="350"/>
      <c r="G30" s="350"/>
      <c r="H30" s="350"/>
      <c r="I30" s="350"/>
      <c r="J30" s="350"/>
    </row>
    <row r="31" spans="1:17" ht="18.5" x14ac:dyDescent="0.35">
      <c r="A31" s="351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352"/>
      <c r="B32" s="352"/>
      <c r="C32" s="352"/>
      <c r="D32" s="352"/>
      <c r="K32" s="457"/>
    </row>
    <row r="33" spans="1:15" ht="18.5" x14ac:dyDescent="0.35">
      <c r="A33" s="353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85"/>
    </row>
    <row r="35" spans="1:15" x14ac:dyDescent="0.35">
      <c r="A35" s="564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65"/>
      <c r="C35" s="565"/>
      <c r="D35" s="566"/>
      <c r="E35" s="566"/>
      <c r="F35" s="566"/>
      <c r="G35" s="566"/>
      <c r="H35" s="566"/>
      <c r="I35" s="566"/>
      <c r="J35" s="566"/>
      <c r="K35" s="566"/>
      <c r="O35" s="85"/>
    </row>
    <row r="36" spans="1:15" ht="30" customHeight="1" x14ac:dyDescent="0.35">
      <c r="A36" s="58" t="s">
        <v>87</v>
      </c>
      <c r="B36" s="160">
        <f>COUNTIF(I8:I21,"WAHR")</f>
        <v>3</v>
      </c>
      <c r="C36" s="354"/>
      <c r="K36" s="85"/>
      <c r="L36" s="355"/>
      <c r="O36" s="85"/>
    </row>
    <row r="37" spans="1:15" x14ac:dyDescent="0.35">
      <c r="A37" s="567"/>
      <c r="B37" s="566"/>
      <c r="C37" s="566"/>
      <c r="D37" s="566"/>
      <c r="E37" s="566"/>
      <c r="F37" s="566"/>
      <c r="G37" s="566"/>
      <c r="K37" s="356"/>
    </row>
  </sheetData>
  <sheetProtection sheet="1" objects="1" scenarios="1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B2" sqref="B2"/>
    </sheetView>
  </sheetViews>
  <sheetFormatPr baseColWidth="10" defaultColWidth="10.81640625" defaultRowHeight="14.5" x14ac:dyDescent="0.35"/>
  <cols>
    <col min="1" max="1" width="24.7265625" style="462" customWidth="1"/>
    <col min="2" max="2" width="20.453125" style="462" customWidth="1"/>
    <col min="3" max="3" width="23.26953125" style="462" customWidth="1"/>
    <col min="4" max="4" width="19.26953125" style="462" customWidth="1"/>
    <col min="5" max="5" width="43.81640625" style="462" customWidth="1"/>
    <col min="6" max="6" width="13.26953125" style="462" customWidth="1"/>
    <col min="7" max="7" width="18.54296875" style="462" customWidth="1"/>
    <col min="8" max="9" width="21.453125" style="462" customWidth="1"/>
    <col min="10" max="10" width="17.1796875" style="462" customWidth="1"/>
    <col min="11" max="11" width="27" style="462" customWidth="1"/>
    <col min="12" max="12" width="28.453125" style="462" customWidth="1"/>
    <col min="13" max="13" width="22.54296875" style="462" customWidth="1"/>
    <col min="14" max="14" width="17.453125" style="462" customWidth="1"/>
    <col min="15" max="15" width="12" style="462" bestFit="1" customWidth="1"/>
    <col min="16" max="16" width="15.26953125" style="462" customWidth="1"/>
    <col min="17" max="17" width="23.453125" style="462" bestFit="1" customWidth="1"/>
    <col min="18" max="16384" width="10.81640625" style="462"/>
  </cols>
  <sheetData>
    <row r="1" spans="1:27" ht="43.5" x14ac:dyDescent="0.35">
      <c r="A1" s="160" t="s">
        <v>199</v>
      </c>
      <c r="B1" s="160" t="s">
        <v>198</v>
      </c>
      <c r="C1" s="160" t="s">
        <v>197</v>
      </c>
      <c r="D1" s="160" t="s">
        <v>196</v>
      </c>
      <c r="E1" s="187" t="s">
        <v>195</v>
      </c>
      <c r="F1" s="160" t="s">
        <v>194</v>
      </c>
      <c r="G1" s="160" t="s">
        <v>193</v>
      </c>
      <c r="H1" s="160" t="s">
        <v>192</v>
      </c>
    </row>
    <row r="2" spans="1:27" ht="21" customHeight="1" x14ac:dyDescent="0.35">
      <c r="A2" s="187">
        <v>13</v>
      </c>
      <c r="B2" s="188">
        <v>61.32</v>
      </c>
      <c r="C2" s="189">
        <f>$B$2/$A$2</f>
        <v>4.7169230769230772</v>
      </c>
      <c r="D2" s="189">
        <f>$C$2/12</f>
        <v>0.3930769230769231</v>
      </c>
      <c r="E2" s="190">
        <v>7.0000000000000007E-2</v>
      </c>
      <c r="F2" s="189">
        <f>ROUNDUP(($B$2*$E$2)+$B$2,2)</f>
        <v>65.62</v>
      </c>
      <c r="G2" s="189">
        <f>ROUNDUP($F$2/$A$2,2)</f>
        <v>5.05</v>
      </c>
      <c r="H2" s="189">
        <f>$G$2/12</f>
        <v>0.42083333333333334</v>
      </c>
    </row>
    <row r="4" spans="1:27" ht="24" customHeight="1" thickBot="1" x14ac:dyDescent="0.4">
      <c r="C4" s="462" t="s">
        <v>177</v>
      </c>
      <c r="D4" s="462" t="s">
        <v>191</v>
      </c>
      <c r="E4" s="158" t="str">
        <f>"Grundgebühr inkl. " &amp; ($E$2*100) &amp; " % MwSt. (Brutto)"</f>
        <v>Grundgebühr inkl. 7 % MwSt. (Brutto)</v>
      </c>
      <c r="F4" s="357"/>
      <c r="G4" s="357"/>
    </row>
    <row r="5" spans="1:27" ht="27.75" customHeight="1" thickBot="1" x14ac:dyDescent="0.4">
      <c r="B5" s="157" t="s">
        <v>190</v>
      </c>
      <c r="C5" s="156">
        <v>1.83</v>
      </c>
      <c r="D5" s="156">
        <v>2.7</v>
      </c>
      <c r="E5" s="155">
        <f>$G$2</f>
        <v>5.05</v>
      </c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A5" s="154"/>
    </row>
    <row r="6" spans="1:27" ht="16.5" customHeight="1" x14ac:dyDescent="0.35">
      <c r="M6" s="469"/>
      <c r="N6" s="469"/>
    </row>
    <row r="7" spans="1:27" ht="28" customHeight="1" x14ac:dyDescent="0.35">
      <c r="M7" s="469"/>
      <c r="N7" s="469"/>
    </row>
    <row r="8" spans="1:27" ht="50" customHeight="1" thickBot="1" x14ac:dyDescent="0.4">
      <c r="A8" s="14"/>
      <c r="B8" s="358" t="s">
        <v>189</v>
      </c>
      <c r="C8" s="359"/>
      <c r="D8" s="359"/>
      <c r="E8" s="14"/>
      <c r="F8" s="359"/>
      <c r="G8" s="359"/>
      <c r="H8" s="359"/>
      <c r="I8" s="359"/>
    </row>
    <row r="9" spans="1:27" ht="50" customHeight="1" thickBot="1" x14ac:dyDescent="0.4">
      <c r="A9" s="232" t="s">
        <v>19</v>
      </c>
      <c r="B9" s="233" t="s">
        <v>188</v>
      </c>
      <c r="C9" s="233" t="s">
        <v>187</v>
      </c>
      <c r="D9" s="234" t="s">
        <v>91</v>
      </c>
      <c r="E9" s="235" t="s">
        <v>22</v>
      </c>
      <c r="F9" s="233" t="str">
        <f xml:space="preserve"> "x "&amp;C5&amp;" €"</f>
        <v>x 1,83 €</v>
      </c>
      <c r="G9" s="236">
        <f>$E$2</f>
        <v>7.0000000000000007E-2</v>
      </c>
      <c r="H9" s="233" t="str">
        <f xml:space="preserve"> "x "&amp;D5&amp;"0 €"</f>
        <v>x 2,70 €</v>
      </c>
      <c r="I9" s="233" t="s">
        <v>186</v>
      </c>
      <c r="J9" s="237" t="s">
        <v>185</v>
      </c>
      <c r="K9" s="237" t="s">
        <v>184</v>
      </c>
      <c r="L9" s="237" t="s">
        <v>183</v>
      </c>
      <c r="M9" s="238" t="str">
        <f>"x " &amp; $C$5 &amp; "0 € + " &amp; $E$2*100 &amp; " % ="</f>
        <v>x 1,830 € + 7 % =</v>
      </c>
      <c r="N9" s="153"/>
      <c r="O9" s="153"/>
      <c r="P9" s="153"/>
      <c r="Q9" s="153"/>
      <c r="R9" s="153"/>
      <c r="S9" s="153"/>
    </row>
    <row r="10" spans="1:27" ht="50" customHeight="1" x14ac:dyDescent="0.35">
      <c r="A10" s="246" t="s">
        <v>332</v>
      </c>
      <c r="B10" s="242">
        <v>121.91030000000001</v>
      </c>
      <c r="C10" s="242">
        <v>132.99449999999999</v>
      </c>
      <c r="D10" s="244">
        <v>11.08</v>
      </c>
      <c r="E10" s="248"/>
      <c r="F10" s="227">
        <f t="shared" ref="F10:F22" si="0">D10*$C$5</f>
        <v>20.276400000000002</v>
      </c>
      <c r="G10" s="227">
        <f>F10*7/100</f>
        <v>1.4193480000000003</v>
      </c>
      <c r="H10" s="227">
        <f t="shared" ref="H10:H22" si="1">D10*$D$5</f>
        <v>29.916000000000004</v>
      </c>
      <c r="I10" s="228">
        <f t="shared" ref="I10:I19" si="2">SUM(F10:H10)</f>
        <v>51.611748000000006</v>
      </c>
      <c r="J10" s="229">
        <f t="shared" ref="J10:J22" si="3">$E$5</f>
        <v>5.05</v>
      </c>
      <c r="K10" s="230">
        <f t="shared" ref="K10:K22" si="4">I10+$E$5</f>
        <v>56.661748000000003</v>
      </c>
      <c r="L10" s="231">
        <v>63</v>
      </c>
      <c r="M10" s="239">
        <f>F10+G10</f>
        <v>21.695748000000002</v>
      </c>
      <c r="N10" s="105"/>
      <c r="O10" s="105"/>
      <c r="T10" s="462">
        <v>11</v>
      </c>
    </row>
    <row r="11" spans="1:27" ht="50" customHeight="1" x14ac:dyDescent="0.35">
      <c r="A11" s="247" t="s">
        <v>346</v>
      </c>
      <c r="B11" s="243">
        <v>338.73340000000002</v>
      </c>
      <c r="C11" s="243">
        <v>339.98739999999998</v>
      </c>
      <c r="D11" s="245">
        <v>1.25</v>
      </c>
      <c r="E11" s="249"/>
      <c r="F11" s="220">
        <f t="shared" si="0"/>
        <v>2.2875000000000001</v>
      </c>
      <c r="G11" s="220">
        <f t="shared" ref="G11:G22" si="5">F11*7/100</f>
        <v>0.16012499999999999</v>
      </c>
      <c r="H11" s="220">
        <f t="shared" si="1"/>
        <v>3.375</v>
      </c>
      <c r="I11" s="221">
        <f t="shared" si="2"/>
        <v>5.8226250000000004</v>
      </c>
      <c r="J11" s="222">
        <f t="shared" si="3"/>
        <v>5.05</v>
      </c>
      <c r="K11" s="223">
        <f t="shared" si="4"/>
        <v>10.872624999999999</v>
      </c>
      <c r="L11" s="224">
        <v>63</v>
      </c>
      <c r="M11" s="240">
        <f>F11+G11</f>
        <v>2.4476249999999999</v>
      </c>
      <c r="N11" s="105"/>
      <c r="O11" s="105"/>
      <c r="Q11" s="462">
        <v>61.32</v>
      </c>
      <c r="R11" s="469">
        <f>Q11*7/100</f>
        <v>4.2923999999999998</v>
      </c>
      <c r="S11" s="462">
        <f>SUM(Q11:R11)</f>
        <v>65.612399999999994</v>
      </c>
      <c r="T11" s="462">
        <v>1</v>
      </c>
    </row>
    <row r="12" spans="1:27" ht="50" customHeight="1" x14ac:dyDescent="0.35">
      <c r="A12" s="247" t="s">
        <v>324</v>
      </c>
      <c r="B12" s="243">
        <v>201.9641</v>
      </c>
      <c r="C12" s="243">
        <v>211.5659</v>
      </c>
      <c r="D12" s="245">
        <v>9.6</v>
      </c>
      <c r="E12" s="249"/>
      <c r="F12" s="220">
        <f t="shared" si="0"/>
        <v>17.568000000000001</v>
      </c>
      <c r="G12" s="220">
        <f t="shared" si="5"/>
        <v>1.2297600000000002</v>
      </c>
      <c r="H12" s="220">
        <f t="shared" si="1"/>
        <v>25.92</v>
      </c>
      <c r="I12" s="221">
        <f t="shared" si="2"/>
        <v>44.717759999999998</v>
      </c>
      <c r="J12" s="222">
        <f t="shared" si="3"/>
        <v>5.05</v>
      </c>
      <c r="K12" s="223">
        <f t="shared" si="4"/>
        <v>49.767759999999996</v>
      </c>
      <c r="L12" s="224">
        <v>63</v>
      </c>
      <c r="M12" s="240">
        <f t="shared" ref="M12:M22" si="6">F12+G12</f>
        <v>18.79776</v>
      </c>
      <c r="N12" s="105"/>
      <c r="O12" s="105"/>
      <c r="Q12" s="462">
        <v>294</v>
      </c>
      <c r="R12" s="469">
        <f>Q12*7/100</f>
        <v>20.58</v>
      </c>
      <c r="T12" s="462">
        <v>10</v>
      </c>
    </row>
    <row r="13" spans="1:27" ht="50" customHeight="1" x14ac:dyDescent="0.35">
      <c r="A13" s="247" t="s">
        <v>325</v>
      </c>
      <c r="B13" s="243">
        <v>225.54</v>
      </c>
      <c r="C13" s="243">
        <v>232.98</v>
      </c>
      <c r="D13" s="245">
        <v>7.44</v>
      </c>
      <c r="E13" s="249"/>
      <c r="F13" s="220">
        <f t="shared" si="0"/>
        <v>13.615200000000002</v>
      </c>
      <c r="G13" s="220">
        <f t="shared" si="5"/>
        <v>0.95306400000000013</v>
      </c>
      <c r="H13" s="220">
        <f t="shared" si="1"/>
        <v>20.088000000000001</v>
      </c>
      <c r="I13" s="221">
        <f t="shared" si="2"/>
        <v>34.656264</v>
      </c>
      <c r="J13" s="222">
        <f t="shared" si="3"/>
        <v>5.05</v>
      </c>
      <c r="K13" s="223">
        <f t="shared" si="4"/>
        <v>39.706263999999997</v>
      </c>
      <c r="L13" s="224">
        <v>63</v>
      </c>
      <c r="M13" s="240">
        <f t="shared" si="6"/>
        <v>14.568264000000001</v>
      </c>
      <c r="N13" s="105"/>
      <c r="O13" s="105"/>
      <c r="R13" s="469"/>
      <c r="T13" s="462">
        <v>7</v>
      </c>
    </row>
    <row r="14" spans="1:27" ht="50" customHeight="1" x14ac:dyDescent="0.35">
      <c r="A14" s="247" t="s">
        <v>326</v>
      </c>
      <c r="B14" s="243">
        <v>179.5301</v>
      </c>
      <c r="C14" s="243">
        <v>202.10419999999999</v>
      </c>
      <c r="D14" s="245">
        <v>22.57</v>
      </c>
      <c r="E14" s="249"/>
      <c r="F14" s="220">
        <f t="shared" si="0"/>
        <v>41.303100000000001</v>
      </c>
      <c r="G14" s="220">
        <f t="shared" si="5"/>
        <v>2.8912170000000001</v>
      </c>
      <c r="H14" s="220">
        <f t="shared" si="1"/>
        <v>60.939000000000007</v>
      </c>
      <c r="I14" s="221">
        <f t="shared" si="2"/>
        <v>105.13331700000001</v>
      </c>
      <c r="J14" s="222">
        <f t="shared" si="3"/>
        <v>5.05</v>
      </c>
      <c r="K14" s="223">
        <f t="shared" si="4"/>
        <v>110.183317</v>
      </c>
      <c r="L14" s="224">
        <v>63</v>
      </c>
      <c r="M14" s="240">
        <f t="shared" si="6"/>
        <v>44.194316999999998</v>
      </c>
      <c r="N14" s="105"/>
      <c r="O14" s="105"/>
      <c r="T14" s="462">
        <v>23</v>
      </c>
    </row>
    <row r="15" spans="1:27" ht="50" customHeight="1" x14ac:dyDescent="0.35">
      <c r="A15" s="247" t="s">
        <v>327</v>
      </c>
      <c r="B15" s="243">
        <v>74.241</v>
      </c>
      <c r="C15" s="243">
        <v>80.459999999999994</v>
      </c>
      <c r="D15" s="245">
        <v>6.22</v>
      </c>
      <c r="E15" s="249"/>
      <c r="F15" s="220">
        <f t="shared" si="0"/>
        <v>11.3826</v>
      </c>
      <c r="G15" s="220">
        <f t="shared" si="5"/>
        <v>0.79678199999999999</v>
      </c>
      <c r="H15" s="220">
        <f t="shared" si="1"/>
        <v>16.794</v>
      </c>
      <c r="I15" s="221">
        <f t="shared" si="2"/>
        <v>28.973382000000001</v>
      </c>
      <c r="J15" s="222">
        <f t="shared" si="3"/>
        <v>5.05</v>
      </c>
      <c r="K15" s="223">
        <f t="shared" si="4"/>
        <v>34.023381999999998</v>
      </c>
      <c r="L15" s="224">
        <v>63</v>
      </c>
      <c r="M15" s="240">
        <f t="shared" si="6"/>
        <v>12.179382</v>
      </c>
      <c r="N15" s="105"/>
      <c r="O15" s="582" t="s">
        <v>182</v>
      </c>
      <c r="P15" s="583"/>
      <c r="Q15" s="360" t="s">
        <v>181</v>
      </c>
      <c r="R15" s="361"/>
      <c r="S15" s="362"/>
      <c r="T15" s="571">
        <v>6</v>
      </c>
      <c r="U15" s="572"/>
    </row>
    <row r="16" spans="1:27" ht="50" customHeight="1" x14ac:dyDescent="0.35">
      <c r="A16" s="247" t="s">
        <v>328</v>
      </c>
      <c r="B16" s="243">
        <v>14.590999999999999</v>
      </c>
      <c r="C16" s="243">
        <v>26.4</v>
      </c>
      <c r="D16" s="245">
        <v>11.81</v>
      </c>
      <c r="E16" s="249"/>
      <c r="F16" s="220">
        <f t="shared" si="0"/>
        <v>21.612300000000001</v>
      </c>
      <c r="G16" s="220">
        <f t="shared" si="5"/>
        <v>1.512861</v>
      </c>
      <c r="H16" s="220">
        <f t="shared" si="1"/>
        <v>31.887000000000004</v>
      </c>
      <c r="I16" s="221">
        <f t="shared" si="2"/>
        <v>55.012161000000006</v>
      </c>
      <c r="J16" s="222">
        <f t="shared" si="3"/>
        <v>5.05</v>
      </c>
      <c r="K16" s="223">
        <f t="shared" si="4"/>
        <v>60.062161000000003</v>
      </c>
      <c r="L16" s="224">
        <v>63</v>
      </c>
      <c r="M16" s="240">
        <f t="shared" si="6"/>
        <v>23.125161000000002</v>
      </c>
      <c r="N16" s="105"/>
      <c r="O16" s="223">
        <v>5.05</v>
      </c>
      <c r="P16" s="361" t="s">
        <v>180</v>
      </c>
      <c r="Q16" s="363">
        <v>500.82</v>
      </c>
      <c r="R16" s="364" t="s">
        <v>179</v>
      </c>
      <c r="S16" s="365"/>
      <c r="T16" s="465">
        <v>12</v>
      </c>
      <c r="U16" s="366" t="s">
        <v>174</v>
      </c>
      <c r="V16" s="367">
        <v>2021</v>
      </c>
    </row>
    <row r="17" spans="1:24" ht="50" customHeight="1" thickBot="1" x14ac:dyDescent="0.4">
      <c r="A17" s="247" t="s">
        <v>355</v>
      </c>
      <c r="B17" s="243">
        <v>26.781500000000001</v>
      </c>
      <c r="C17" s="243">
        <v>42.279800000000002</v>
      </c>
      <c r="D17" s="245">
        <v>15.5</v>
      </c>
      <c r="E17" s="249"/>
      <c r="F17" s="220">
        <f t="shared" si="0"/>
        <v>28.365000000000002</v>
      </c>
      <c r="G17" s="220">
        <f t="shared" si="5"/>
        <v>1.9855500000000001</v>
      </c>
      <c r="H17" s="220">
        <f t="shared" si="1"/>
        <v>41.85</v>
      </c>
      <c r="I17" s="221">
        <f t="shared" si="2"/>
        <v>72.200550000000007</v>
      </c>
      <c r="J17" s="222">
        <f t="shared" si="3"/>
        <v>5.05</v>
      </c>
      <c r="K17" s="223">
        <f t="shared" si="4"/>
        <v>77.250550000000004</v>
      </c>
      <c r="L17" s="224">
        <v>63</v>
      </c>
      <c r="M17" s="240">
        <f t="shared" si="6"/>
        <v>30.350550000000002</v>
      </c>
      <c r="N17" s="108"/>
      <c r="O17" s="223">
        <v>43.55</v>
      </c>
      <c r="P17" s="361" t="s">
        <v>178</v>
      </c>
      <c r="Q17" s="363">
        <v>59.72</v>
      </c>
      <c r="R17" s="364" t="s">
        <v>177</v>
      </c>
      <c r="S17" s="365"/>
      <c r="T17" s="368">
        <v>15</v>
      </c>
      <c r="U17" s="369" t="s">
        <v>174</v>
      </c>
      <c r="V17" s="462">
        <v>2020</v>
      </c>
    </row>
    <row r="18" spans="1:24" ht="50" customHeight="1" thickTop="1" x14ac:dyDescent="0.35">
      <c r="A18" s="247" t="s">
        <v>329</v>
      </c>
      <c r="B18" s="243">
        <v>79.659000000000006</v>
      </c>
      <c r="C18" s="243">
        <v>92.2</v>
      </c>
      <c r="D18" s="245">
        <v>12.54</v>
      </c>
      <c r="E18" s="249"/>
      <c r="F18" s="220">
        <f t="shared" si="0"/>
        <v>22.9482</v>
      </c>
      <c r="G18" s="220">
        <f t="shared" si="5"/>
        <v>1.6063740000000002</v>
      </c>
      <c r="H18" s="220">
        <f t="shared" si="1"/>
        <v>33.857999999999997</v>
      </c>
      <c r="I18" s="221">
        <f t="shared" si="2"/>
        <v>58.412573999999992</v>
      </c>
      <c r="J18" s="222">
        <f t="shared" si="3"/>
        <v>5.05</v>
      </c>
      <c r="K18" s="223">
        <f t="shared" si="4"/>
        <v>63.462573999999989</v>
      </c>
      <c r="L18" s="224">
        <v>63</v>
      </c>
      <c r="M18" s="240">
        <f t="shared" si="6"/>
        <v>24.554573999999999</v>
      </c>
      <c r="N18" s="105"/>
      <c r="O18" s="223">
        <v>61.93</v>
      </c>
      <c r="P18" s="361" t="s">
        <v>176</v>
      </c>
      <c r="Q18" s="363">
        <v>5.21</v>
      </c>
      <c r="R18" s="364" t="s">
        <v>175</v>
      </c>
      <c r="S18" s="365"/>
      <c r="T18" s="370">
        <v>13</v>
      </c>
      <c r="U18" s="371" t="s">
        <v>174</v>
      </c>
    </row>
    <row r="19" spans="1:24" ht="50" customHeight="1" thickBot="1" x14ac:dyDescent="0.4">
      <c r="A19" s="247" t="s">
        <v>371</v>
      </c>
      <c r="B19" s="243">
        <v>58.264000000000003</v>
      </c>
      <c r="C19" s="243">
        <v>61.45</v>
      </c>
      <c r="D19" s="245">
        <v>3.19</v>
      </c>
      <c r="E19" s="249"/>
      <c r="F19" s="220">
        <f t="shared" si="0"/>
        <v>5.8376999999999999</v>
      </c>
      <c r="G19" s="220">
        <f t="shared" si="5"/>
        <v>0.40863900000000003</v>
      </c>
      <c r="H19" s="220">
        <f>D19*$D$5</f>
        <v>8.6129999999999995</v>
      </c>
      <c r="I19" s="221">
        <f t="shared" si="2"/>
        <v>14.859338999999999</v>
      </c>
      <c r="J19" s="222">
        <f t="shared" si="3"/>
        <v>5.05</v>
      </c>
      <c r="K19" s="223">
        <f t="shared" si="4"/>
        <v>19.909338999999999</v>
      </c>
      <c r="L19" s="224">
        <v>63</v>
      </c>
      <c r="M19" s="240">
        <f t="shared" si="6"/>
        <v>6.2463389999999999</v>
      </c>
      <c r="N19" s="105"/>
      <c r="O19" s="372">
        <v>1.47</v>
      </c>
      <c r="P19" s="373" t="s">
        <v>173</v>
      </c>
      <c r="Q19" s="363">
        <v>9.34</v>
      </c>
      <c r="R19" s="364" t="s">
        <v>172</v>
      </c>
      <c r="S19" s="365"/>
      <c r="T19" s="462">
        <v>3</v>
      </c>
    </row>
    <row r="20" spans="1:24" ht="50" customHeight="1" thickTop="1" thickBot="1" x14ac:dyDescent="0.4">
      <c r="A20" s="247" t="s">
        <v>330</v>
      </c>
      <c r="B20" s="243">
        <v>145.37700000000001</v>
      </c>
      <c r="C20" s="243">
        <v>159.85</v>
      </c>
      <c r="D20" s="245">
        <v>14.47</v>
      </c>
      <c r="E20" s="249"/>
      <c r="F20" s="220">
        <f t="shared" si="0"/>
        <v>26.480100000000004</v>
      </c>
      <c r="G20" s="220">
        <f t="shared" si="5"/>
        <v>1.8536070000000004</v>
      </c>
      <c r="H20" s="220">
        <f>D20*$D$5</f>
        <v>39.069000000000003</v>
      </c>
      <c r="I20" s="221">
        <f>SUM(F20:H20)</f>
        <v>67.402707000000007</v>
      </c>
      <c r="J20" s="222">
        <f t="shared" si="3"/>
        <v>5.05</v>
      </c>
      <c r="K20" s="223">
        <f t="shared" si="4"/>
        <v>72.452707000000004</v>
      </c>
      <c r="L20" s="225"/>
      <c r="M20" s="240">
        <f t="shared" si="6"/>
        <v>28.333707000000004</v>
      </c>
      <c r="N20" s="105"/>
      <c r="O20" s="374">
        <f>O16+O17+O18+O19</f>
        <v>112</v>
      </c>
      <c r="P20" s="375" t="s">
        <v>115</v>
      </c>
      <c r="Q20" s="376">
        <v>2.85</v>
      </c>
      <c r="R20" s="377" t="s">
        <v>171</v>
      </c>
      <c r="S20" s="378"/>
      <c r="T20" s="571">
        <v>14</v>
      </c>
      <c r="U20" s="573"/>
    </row>
    <row r="21" spans="1:24" ht="50" customHeight="1" x14ac:dyDescent="0.35">
      <c r="A21" s="247" t="s">
        <v>360</v>
      </c>
      <c r="B21" s="243">
        <v>89.944999999999993</v>
      </c>
      <c r="C21" s="243">
        <v>114.45</v>
      </c>
      <c r="D21" s="245">
        <v>24.5</v>
      </c>
      <c r="E21" s="249"/>
      <c r="F21" s="220">
        <f t="shared" si="0"/>
        <v>44.835000000000001</v>
      </c>
      <c r="G21" s="220">
        <f t="shared" si="5"/>
        <v>3.1384500000000002</v>
      </c>
      <c r="H21" s="220">
        <f t="shared" si="1"/>
        <v>66.150000000000006</v>
      </c>
      <c r="I21" s="221">
        <f>SUM(F21:H21)</f>
        <v>114.12345000000001</v>
      </c>
      <c r="J21" s="222">
        <f t="shared" si="3"/>
        <v>5.05</v>
      </c>
      <c r="K21" s="223">
        <f t="shared" si="4"/>
        <v>119.17345</v>
      </c>
      <c r="L21" s="225"/>
      <c r="M21" s="240">
        <f t="shared" si="6"/>
        <v>47.97345</v>
      </c>
      <c r="N21" s="105"/>
      <c r="O21" s="223"/>
      <c r="P21" s="362"/>
      <c r="Q21" s="379">
        <f>Q16+Q17+Q18+Q19+Q20</f>
        <v>577.94000000000005</v>
      </c>
      <c r="R21" s="380" t="s">
        <v>115</v>
      </c>
      <c r="S21" s="381"/>
      <c r="T21" s="465">
        <v>25</v>
      </c>
      <c r="U21" s="465">
        <v>2021</v>
      </c>
      <c r="X21" s="462">
        <v>1015</v>
      </c>
    </row>
    <row r="22" spans="1:24" ht="50" customHeight="1" thickBot="1" x14ac:dyDescent="0.4">
      <c r="A22" s="247" t="s">
        <v>331</v>
      </c>
      <c r="B22" s="243">
        <v>164.995</v>
      </c>
      <c r="C22" s="243">
        <v>176.77</v>
      </c>
      <c r="D22" s="245">
        <v>11.78</v>
      </c>
      <c r="E22" s="249"/>
      <c r="F22" s="220">
        <f t="shared" si="0"/>
        <v>21.557400000000001</v>
      </c>
      <c r="G22" s="220">
        <f t="shared" si="5"/>
        <v>1.5090180000000002</v>
      </c>
      <c r="H22" s="220">
        <f t="shared" si="1"/>
        <v>31.806000000000001</v>
      </c>
      <c r="I22" s="221">
        <f>SUM(F22:H22)</f>
        <v>54.872418000000003</v>
      </c>
      <c r="J22" s="222">
        <f t="shared" si="3"/>
        <v>5.05</v>
      </c>
      <c r="K22" s="223">
        <f t="shared" si="4"/>
        <v>59.922418</v>
      </c>
      <c r="L22" s="225"/>
      <c r="M22" s="240">
        <f t="shared" si="6"/>
        <v>23.066418000000002</v>
      </c>
      <c r="N22" s="105"/>
      <c r="O22" s="223"/>
      <c r="P22" s="362"/>
      <c r="Q22" s="382">
        <v>320</v>
      </c>
      <c r="R22" s="383" t="s">
        <v>170</v>
      </c>
      <c r="S22" s="384"/>
      <c r="T22" s="373">
        <v>12</v>
      </c>
      <c r="U22" s="368">
        <v>2020</v>
      </c>
      <c r="X22" s="462">
        <v>900</v>
      </c>
    </row>
    <row r="23" spans="1:24" ht="50" customHeight="1" thickTop="1" x14ac:dyDescent="0.35">
      <c r="A23" s="247" t="s">
        <v>44</v>
      </c>
      <c r="B23" s="243">
        <v>0</v>
      </c>
      <c r="C23" s="243">
        <v>0</v>
      </c>
      <c r="D23" s="245">
        <v>0</v>
      </c>
      <c r="E23" s="249"/>
      <c r="F23" s="220">
        <f>D23*$C$5</f>
        <v>0</v>
      </c>
      <c r="G23" s="220">
        <f>F23*7/100</f>
        <v>0</v>
      </c>
      <c r="H23" s="220">
        <f>D23*$D$5</f>
        <v>0</v>
      </c>
      <c r="I23" s="221">
        <f>SUM(F23:H23)</f>
        <v>0</v>
      </c>
      <c r="J23" s="222"/>
      <c r="K23" s="223"/>
      <c r="L23" s="226"/>
      <c r="M23" s="241"/>
      <c r="N23" s="105"/>
      <c r="O23" s="223"/>
      <c r="P23" s="362"/>
      <c r="Q23" s="362"/>
      <c r="R23" s="362"/>
      <c r="S23" s="362"/>
      <c r="T23" s="370"/>
      <c r="U23" s="371" t="s">
        <v>169</v>
      </c>
      <c r="X23" s="462">
        <f>X22-X21</f>
        <v>-115</v>
      </c>
    </row>
    <row r="24" spans="1:24" ht="49.5" customHeight="1" thickBot="1" x14ac:dyDescent="0.4">
      <c r="A24" s="218" t="s">
        <v>168</v>
      </c>
      <c r="B24" s="226"/>
      <c r="C24" s="226"/>
      <c r="D24" s="226" t="str">
        <f>IF(C24-B24=0,"",C24-B24)</f>
        <v/>
      </c>
      <c r="E24" s="250"/>
      <c r="F24" s="222"/>
      <c r="G24" s="222"/>
      <c r="H24" s="222"/>
      <c r="I24" s="222"/>
      <c r="J24" s="222"/>
      <c r="K24" s="222"/>
      <c r="L24" s="226"/>
      <c r="M24" s="241"/>
      <c r="N24" s="105"/>
      <c r="O24" s="223"/>
      <c r="P24" s="362"/>
      <c r="Q24" s="385">
        <f>Q21-Q22</f>
        <v>257.94000000000005</v>
      </c>
      <c r="R24" s="386"/>
      <c r="S24" s="386"/>
    </row>
    <row r="25" spans="1:24" ht="27" customHeight="1" thickBot="1" x14ac:dyDescent="0.4">
      <c r="A25" s="136"/>
      <c r="B25" s="136"/>
      <c r="C25" s="136"/>
      <c r="D25" s="136" t="str">
        <f>IF(C25-B25=0,"",C25-B25)</f>
        <v/>
      </c>
      <c r="E25" s="251"/>
      <c r="F25" s="138"/>
      <c r="G25" s="138"/>
      <c r="H25" s="138"/>
      <c r="I25" s="138"/>
      <c r="J25" s="138"/>
      <c r="K25" s="138"/>
      <c r="L25" s="219"/>
      <c r="M25" s="136"/>
      <c r="N25" s="105"/>
      <c r="O25" s="105"/>
    </row>
    <row r="26" spans="1:24" ht="33.75" customHeight="1" thickBot="1" x14ac:dyDescent="0.4">
      <c r="A26" s="257" t="s">
        <v>167</v>
      </c>
      <c r="B26" s="152"/>
      <c r="C26" s="152"/>
      <c r="D26" s="128" t="str">
        <f>IF(C26-B26=0,"",C26-B26)</f>
        <v/>
      </c>
      <c r="E26" s="252"/>
      <c r="F26" s="151"/>
      <c r="G26" s="151"/>
      <c r="H26" s="151"/>
      <c r="I26" s="151"/>
      <c r="J26" s="151"/>
      <c r="K26" s="151"/>
      <c r="L26" s="150"/>
      <c r="M26" s="128"/>
      <c r="N26" s="105"/>
      <c r="O26" s="387" t="s">
        <v>166</v>
      </c>
      <c r="P26" s="388"/>
      <c r="Q26" s="389"/>
      <c r="R26" s="390"/>
      <c r="S26" s="391">
        <v>2.85</v>
      </c>
    </row>
    <row r="27" spans="1:24" ht="35.25" customHeight="1" thickTop="1" thickBot="1" x14ac:dyDescent="0.4">
      <c r="A27" s="258" t="s">
        <v>165</v>
      </c>
      <c r="B27" s="149"/>
      <c r="C27" s="149"/>
      <c r="D27" s="149">
        <f>SUM(D10:D26)</f>
        <v>151.94999999999999</v>
      </c>
      <c r="E27" s="253"/>
      <c r="F27" s="147">
        <f>D27*$C$5</f>
        <v>278.06849999999997</v>
      </c>
      <c r="G27" s="147">
        <f>ROUNDUP($F$27*$E$2,2)</f>
        <v>19.470000000000002</v>
      </c>
      <c r="H27" s="147">
        <f>D27*$D$5</f>
        <v>410.26499999999999</v>
      </c>
      <c r="I27" s="148">
        <f>SUM(F27:H27)</f>
        <v>707.80349999999999</v>
      </c>
      <c r="J27" s="147">
        <f>SUM(J10:J22)</f>
        <v>65.649999999999991</v>
      </c>
      <c r="K27" s="146">
        <f>SUM(K10:K26)</f>
        <v>773.44829500000014</v>
      </c>
      <c r="L27" s="145">
        <f>SUM(L10:L26)</f>
        <v>630</v>
      </c>
      <c r="M27" s="128"/>
      <c r="N27" s="105"/>
      <c r="O27" s="387" t="s">
        <v>164</v>
      </c>
      <c r="P27" s="392"/>
      <c r="Q27" s="392"/>
      <c r="R27" s="392"/>
      <c r="S27" s="393">
        <v>9.34</v>
      </c>
    </row>
    <row r="28" spans="1:24" ht="10.5" customHeight="1" thickTop="1" thickBot="1" x14ac:dyDescent="0.4">
      <c r="A28" s="259"/>
      <c r="B28" s="144"/>
      <c r="C28" s="144"/>
      <c r="D28" s="144"/>
      <c r="E28" s="254"/>
      <c r="F28" s="143"/>
      <c r="G28" s="143"/>
      <c r="H28" s="143"/>
      <c r="I28" s="142"/>
      <c r="J28" s="142"/>
      <c r="K28" s="141"/>
      <c r="L28" s="140"/>
      <c r="M28" s="105"/>
      <c r="N28" s="105"/>
      <c r="O28" s="105"/>
      <c r="P28" s="469"/>
    </row>
    <row r="29" spans="1:24" ht="50" customHeight="1" thickBot="1" x14ac:dyDescent="0.4">
      <c r="A29" s="260" t="s">
        <v>163</v>
      </c>
      <c r="B29" s="202">
        <v>168.7226</v>
      </c>
      <c r="C29" s="202">
        <v>329.87790000000001</v>
      </c>
      <c r="D29" s="207">
        <v>161.16</v>
      </c>
      <c r="E29" s="279"/>
      <c r="F29" s="137">
        <f>D29*$C$5</f>
        <v>294.9228</v>
      </c>
      <c r="G29" s="137">
        <f>F29*7/100</f>
        <v>20.644596</v>
      </c>
      <c r="H29" s="137">
        <f>D29*$D$5</f>
        <v>435.13200000000001</v>
      </c>
      <c r="I29" s="137">
        <f>SUM(F29:H29)</f>
        <v>750.69939599999998</v>
      </c>
      <c r="J29" s="139"/>
      <c r="K29" s="139"/>
      <c r="L29" s="127"/>
      <c r="M29" s="468"/>
      <c r="N29" s="105"/>
      <c r="O29" s="394">
        <v>3.19</v>
      </c>
      <c r="P29" s="395" t="s">
        <v>162</v>
      </c>
      <c r="R29" s="85"/>
      <c r="T29" s="462">
        <v>161</v>
      </c>
    </row>
    <row r="30" spans="1:24" ht="27" customHeight="1" thickBot="1" x14ac:dyDescent="0.4">
      <c r="A30" s="251" t="s">
        <v>311</v>
      </c>
      <c r="B30" s="202">
        <v>0</v>
      </c>
      <c r="C30" s="202">
        <v>0</v>
      </c>
      <c r="D30" s="136">
        <f>C30-B30</f>
        <v>0</v>
      </c>
      <c r="E30" s="251"/>
      <c r="F30" s="137">
        <f>D30*$C$5</f>
        <v>0</v>
      </c>
      <c r="G30" s="138">
        <f>F30*7/100</f>
        <v>0</v>
      </c>
      <c r="H30" s="137">
        <f>D30*$D$5</f>
        <v>0</v>
      </c>
      <c r="I30" s="137">
        <f>SUM(F30:H30)</f>
        <v>0</v>
      </c>
      <c r="J30" s="134"/>
      <c r="K30" s="134"/>
      <c r="L30" s="133"/>
      <c r="M30" s="468"/>
      <c r="N30" s="105"/>
      <c r="O30" s="396">
        <v>0</v>
      </c>
      <c r="P30" s="397" t="s">
        <v>161</v>
      </c>
    </row>
    <row r="31" spans="1:24" ht="27" customHeight="1" thickBot="1" x14ac:dyDescent="0.4">
      <c r="A31" s="251" t="s">
        <v>160</v>
      </c>
      <c r="B31" s="136"/>
      <c r="C31" s="136"/>
      <c r="D31" s="136">
        <f>SUM(D29:D30)</f>
        <v>161.16</v>
      </c>
      <c r="E31" s="255"/>
      <c r="F31" s="135">
        <f>SUM(F29:F30)</f>
        <v>294.9228</v>
      </c>
      <c r="G31" s="135">
        <f>SUM(G29:G30)</f>
        <v>20.644596</v>
      </c>
      <c r="H31" s="135">
        <f>SUM(H29:H30)</f>
        <v>435.13200000000001</v>
      </c>
      <c r="I31" s="135">
        <f>SUM(I29:I30)</f>
        <v>750.69939599999998</v>
      </c>
      <c r="J31" s="134"/>
      <c r="K31" s="134"/>
      <c r="L31" s="133"/>
      <c r="M31" s="468"/>
      <c r="N31" s="105"/>
      <c r="O31" s="398">
        <f>O29+O30</f>
        <v>3.19</v>
      </c>
      <c r="P31" s="399"/>
      <c r="S31" s="400"/>
    </row>
    <row r="32" spans="1:24" ht="25.5" customHeight="1" thickBot="1" x14ac:dyDescent="0.4">
      <c r="A32" s="260" t="s">
        <v>159</v>
      </c>
      <c r="B32" s="128"/>
      <c r="C32" s="129"/>
      <c r="D32" s="129">
        <f>D31-D27</f>
        <v>9.210000000000008</v>
      </c>
      <c r="E32" s="256"/>
      <c r="F32" s="132">
        <f>D32*$C$5</f>
        <v>16.854300000000016</v>
      </c>
      <c r="G32" s="132">
        <f>F32*7/100</f>
        <v>1.179801000000001</v>
      </c>
      <c r="H32" s="132">
        <f>D32*$D$5</f>
        <v>24.867000000000022</v>
      </c>
      <c r="I32" s="131">
        <f>SUM(F32:H32)</f>
        <v>42.90110100000004</v>
      </c>
      <c r="J32" s="130"/>
      <c r="K32" s="130"/>
      <c r="L32" s="127">
        <f>L33-L27</f>
        <v>55.139999999999986</v>
      </c>
      <c r="M32" s="105"/>
      <c r="N32" s="105"/>
      <c r="O32" s="105"/>
    </row>
    <row r="33" spans="1:15" ht="25.5" customHeight="1" thickBot="1" x14ac:dyDescent="0.4">
      <c r="A33" s="260" t="s">
        <v>158</v>
      </c>
      <c r="B33" s="128"/>
      <c r="C33" s="129"/>
      <c r="D33" s="129"/>
      <c r="E33" s="256"/>
      <c r="F33" s="128"/>
      <c r="G33" s="128"/>
      <c r="H33" s="128"/>
      <c r="I33" s="128"/>
      <c r="J33" s="128"/>
      <c r="K33" s="128"/>
      <c r="L33" s="127">
        <v>685.14</v>
      </c>
      <c r="M33" s="105"/>
      <c r="N33" s="105"/>
      <c r="O33" s="105"/>
    </row>
    <row r="34" spans="1:15" ht="15.5" x14ac:dyDescent="0.35">
      <c r="A34" s="105"/>
      <c r="B34" s="107"/>
      <c r="C34" s="119"/>
      <c r="D34" s="105"/>
      <c r="E34" s="105"/>
      <c r="F34" s="105"/>
      <c r="G34" s="105"/>
      <c r="H34" s="105"/>
      <c r="I34" s="105"/>
      <c r="J34" s="105"/>
      <c r="K34" s="105"/>
      <c r="L34" s="111"/>
      <c r="M34" s="111"/>
      <c r="N34" s="105"/>
      <c r="O34" s="105"/>
    </row>
    <row r="35" spans="1:15" ht="20" x14ac:dyDescent="0.35">
      <c r="A35" s="125"/>
      <c r="B35" s="125"/>
      <c r="C35" s="125"/>
      <c r="D35" s="125"/>
      <c r="E35" s="125"/>
      <c r="F35" s="105"/>
      <c r="G35" s="105"/>
      <c r="H35" s="125"/>
      <c r="I35" s="105"/>
      <c r="J35" s="105"/>
      <c r="K35" s="105"/>
      <c r="L35" s="468"/>
      <c r="M35" s="468"/>
      <c r="N35" s="105"/>
      <c r="O35" s="105"/>
    </row>
    <row r="36" spans="1:15" ht="20" x14ac:dyDescent="0.35">
      <c r="A36" s="12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05"/>
      <c r="C36" s="105"/>
      <c r="D36" s="105"/>
      <c r="E36" s="105"/>
      <c r="F36" s="105"/>
      <c r="G36" s="105"/>
      <c r="H36" s="125"/>
      <c r="I36" s="125"/>
      <c r="J36" s="125"/>
      <c r="K36" s="125"/>
      <c r="L36" s="105"/>
      <c r="M36" s="111"/>
      <c r="N36" s="105"/>
      <c r="O36" s="105"/>
    </row>
    <row r="37" spans="1:15" ht="15.5" x14ac:dyDescent="0.35">
      <c r="A37" s="105"/>
      <c r="B37" s="105"/>
      <c r="C37" s="105"/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</row>
    <row r="38" spans="1:15" ht="15.5" x14ac:dyDescent="0.35">
      <c r="A38" s="105"/>
      <c r="B38" s="105"/>
      <c r="C38" s="105"/>
      <c r="D38" s="105"/>
      <c r="E38" s="105"/>
      <c r="F38" s="111"/>
      <c r="G38" s="111"/>
      <c r="H38" s="105"/>
      <c r="I38" s="105"/>
      <c r="J38" s="105"/>
      <c r="K38" s="105"/>
      <c r="L38" s="111"/>
      <c r="M38" s="105"/>
      <c r="N38" s="105"/>
      <c r="O38" s="105"/>
    </row>
    <row r="39" spans="1:15" ht="15.5" x14ac:dyDescent="0.35">
      <c r="A39" s="105"/>
      <c r="B39" s="105"/>
      <c r="C39" s="118"/>
      <c r="D39" s="118"/>
      <c r="E39" s="118"/>
      <c r="F39" s="118" t="s">
        <v>157</v>
      </c>
      <c r="G39" s="118"/>
      <c r="H39" s="111">
        <v>0</v>
      </c>
      <c r="I39" s="105"/>
      <c r="J39" s="105"/>
      <c r="K39" s="105"/>
      <c r="L39" s="111"/>
      <c r="M39" s="111"/>
      <c r="N39" s="105"/>
      <c r="O39" s="105"/>
    </row>
    <row r="40" spans="1:15" ht="15.5" x14ac:dyDescent="0.35">
      <c r="A40" s="105"/>
      <c r="B40" s="117"/>
      <c r="C40" s="105"/>
      <c r="D40" s="105"/>
      <c r="E40" s="105"/>
      <c r="F40" s="105" t="s">
        <v>93</v>
      </c>
      <c r="G40" s="105"/>
      <c r="H40" s="120">
        <v>1380</v>
      </c>
      <c r="I40" s="105"/>
      <c r="J40" s="105"/>
      <c r="K40" s="124"/>
      <c r="L40" s="105"/>
      <c r="M40" s="114"/>
      <c r="N40" s="105"/>
      <c r="O40" s="105"/>
    </row>
    <row r="41" spans="1:15" ht="15.5" x14ac:dyDescent="0.35">
      <c r="A41" s="105"/>
      <c r="B41" s="105"/>
      <c r="C41" s="105"/>
      <c r="D41" s="105"/>
      <c r="E41" s="105"/>
      <c r="F41" s="105"/>
      <c r="G41" s="105"/>
      <c r="H41" s="111">
        <f>H40-H39</f>
        <v>1380</v>
      </c>
      <c r="I41" s="105" t="s">
        <v>156</v>
      </c>
      <c r="J41" s="105" t="s">
        <v>155</v>
      </c>
      <c r="K41" s="123"/>
      <c r="L41" s="105"/>
      <c r="M41" s="111"/>
      <c r="N41" s="105"/>
      <c r="O41" s="105"/>
    </row>
    <row r="42" spans="1:15" ht="15.5" x14ac:dyDescent="0.35">
      <c r="A42" s="105"/>
      <c r="B42" s="105"/>
      <c r="C42" s="105"/>
      <c r="D42" s="105"/>
      <c r="E42" s="105"/>
      <c r="F42" s="105"/>
      <c r="G42" s="105"/>
      <c r="H42" s="105"/>
      <c r="I42" s="105"/>
      <c r="J42" s="105"/>
      <c r="K42" s="468"/>
      <c r="L42" s="105"/>
      <c r="M42" s="105"/>
      <c r="N42" s="118"/>
      <c r="O42" s="105"/>
    </row>
    <row r="43" spans="1:15" ht="15.5" x14ac:dyDescent="0.35">
      <c r="A43" s="105"/>
      <c r="B43" s="105"/>
      <c r="C43" s="105"/>
      <c r="D43" s="105"/>
      <c r="E43" s="105"/>
      <c r="F43" s="118"/>
      <c r="G43" s="118"/>
      <c r="H43" s="111"/>
      <c r="I43" s="105"/>
      <c r="J43" s="105"/>
      <c r="K43" s="111"/>
      <c r="L43" s="105"/>
      <c r="M43" s="105"/>
      <c r="N43" s="105"/>
      <c r="O43" s="105"/>
    </row>
    <row r="44" spans="1:15" ht="15.5" x14ac:dyDescent="0.35">
      <c r="A44" s="122"/>
      <c r="B44" s="122"/>
      <c r="C44" s="105"/>
      <c r="D44" s="579" t="s">
        <v>154</v>
      </c>
      <c r="E44" s="579"/>
      <c r="F44" s="579"/>
      <c r="G44" s="110">
        <v>2025</v>
      </c>
      <c r="H44" s="111">
        <v>773.5</v>
      </c>
      <c r="I44" s="467"/>
      <c r="K44" s="114"/>
      <c r="L44" s="105"/>
      <c r="M44" s="105"/>
      <c r="N44" s="105"/>
      <c r="O44" s="105"/>
    </row>
    <row r="45" spans="1:15" ht="15.5" x14ac:dyDescent="0.35">
      <c r="A45" s="122"/>
      <c r="B45" s="122"/>
      <c r="C45" s="118"/>
      <c r="D45" s="580" t="s">
        <v>125</v>
      </c>
      <c r="E45" s="580"/>
      <c r="F45" s="581"/>
      <c r="G45" s="110">
        <v>2025</v>
      </c>
      <c r="H45" s="120">
        <v>42.83</v>
      </c>
      <c r="I45" s="105" t="s">
        <v>153</v>
      </c>
      <c r="J45" s="105"/>
      <c r="K45" s="111"/>
      <c r="L45" s="105"/>
      <c r="M45" s="105"/>
      <c r="N45" s="105"/>
      <c r="O45" s="105"/>
    </row>
    <row r="46" spans="1:15" ht="15.5" x14ac:dyDescent="0.35">
      <c r="A46" s="105"/>
      <c r="B46" s="117"/>
      <c r="C46" s="105"/>
      <c r="D46" s="580" t="s">
        <v>152</v>
      </c>
      <c r="E46" s="580"/>
      <c r="F46" s="581"/>
      <c r="G46" s="469"/>
      <c r="H46" s="121">
        <v>816.33</v>
      </c>
      <c r="I46" s="105"/>
      <c r="J46" s="105"/>
      <c r="K46" s="114"/>
      <c r="L46" s="105"/>
      <c r="M46" s="105"/>
      <c r="N46" s="105"/>
      <c r="O46" s="105"/>
    </row>
    <row r="47" spans="1:15" ht="15.5" x14ac:dyDescent="0.35">
      <c r="A47" s="105"/>
      <c r="B47" s="117"/>
      <c r="C47" s="105"/>
      <c r="D47" s="105"/>
      <c r="E47" s="105"/>
      <c r="F47" s="105"/>
      <c r="G47" s="105"/>
      <c r="H47" s="120">
        <v>0</v>
      </c>
      <c r="I47" s="105" t="s">
        <v>151</v>
      </c>
      <c r="J47" s="105" t="s">
        <v>150</v>
      </c>
      <c r="K47" s="111"/>
      <c r="L47" s="105"/>
      <c r="M47" s="105"/>
      <c r="N47" s="105"/>
      <c r="O47" s="105"/>
    </row>
    <row r="48" spans="1:15" ht="15.5" x14ac:dyDescent="0.35">
      <c r="A48" s="105"/>
      <c r="B48" s="105"/>
      <c r="C48" s="105"/>
      <c r="D48" s="105"/>
      <c r="E48" s="105"/>
      <c r="F48" s="105"/>
      <c r="G48" s="105"/>
      <c r="H48" s="111">
        <v>0</v>
      </c>
      <c r="I48" s="105" t="s">
        <v>149</v>
      </c>
      <c r="J48" s="105" t="s">
        <v>148</v>
      </c>
      <c r="K48" s="466"/>
      <c r="N48" s="105"/>
      <c r="O48" s="105"/>
    </row>
    <row r="49" spans="1:15" ht="15.5" x14ac:dyDescent="0.35">
      <c r="A49" s="105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05"/>
    </row>
    <row r="50" spans="1:15" ht="15.5" x14ac:dyDescent="0.35">
      <c r="A50" s="119"/>
      <c r="B50" s="105"/>
      <c r="C50" s="105"/>
      <c r="D50" s="105"/>
      <c r="E50" s="105"/>
      <c r="F50" s="105"/>
      <c r="G50" s="105"/>
      <c r="H50" s="111"/>
      <c r="I50" s="105"/>
      <c r="J50" s="336"/>
      <c r="L50" s="105"/>
      <c r="M50" s="105"/>
      <c r="N50" s="105"/>
      <c r="O50" s="105"/>
    </row>
    <row r="51" spans="1:15" ht="15.5" x14ac:dyDescent="0.35">
      <c r="A51" s="105"/>
      <c r="B51" s="105"/>
      <c r="C51" s="105"/>
      <c r="D51" s="105"/>
      <c r="E51" s="105"/>
      <c r="F51" s="118"/>
      <c r="G51" s="118"/>
      <c r="H51" s="115"/>
      <c r="I51" s="105"/>
      <c r="J51" s="325"/>
      <c r="L51" s="105"/>
      <c r="M51" s="105"/>
      <c r="N51" s="111"/>
      <c r="O51" s="105"/>
    </row>
    <row r="52" spans="1:15" ht="15.5" x14ac:dyDescent="0.35">
      <c r="A52" s="105"/>
      <c r="B52" s="105"/>
      <c r="C52" s="117"/>
      <c r="D52" s="116"/>
      <c r="E52" s="116"/>
      <c r="F52" s="105"/>
      <c r="G52" s="105"/>
      <c r="H52" s="115"/>
      <c r="I52" s="105"/>
      <c r="J52" s="325"/>
      <c r="K52" s="105"/>
      <c r="L52" s="105"/>
      <c r="M52" s="105"/>
      <c r="N52" s="105"/>
      <c r="O52" s="105"/>
    </row>
    <row r="53" spans="1:15" ht="15.5" x14ac:dyDescent="0.35">
      <c r="A53" s="105"/>
      <c r="B53" s="105"/>
      <c r="C53" s="105"/>
      <c r="D53" s="105"/>
      <c r="E53" s="105"/>
      <c r="F53" s="105"/>
      <c r="G53" s="105"/>
      <c r="H53" s="105"/>
      <c r="I53" s="105"/>
      <c r="J53" s="105"/>
      <c r="K53" s="111"/>
      <c r="L53" s="105"/>
      <c r="M53" s="105"/>
      <c r="N53" s="105"/>
      <c r="O53" s="105"/>
    </row>
    <row r="54" spans="1:15" ht="15.5" x14ac:dyDescent="0.35">
      <c r="A54" s="105"/>
      <c r="B54" s="105"/>
      <c r="C54" s="105"/>
      <c r="D54" s="105"/>
      <c r="E54" s="105"/>
      <c r="F54" s="105"/>
      <c r="G54" s="105"/>
      <c r="H54" s="111"/>
      <c r="I54" s="105"/>
      <c r="J54" s="105"/>
      <c r="K54" s="105"/>
      <c r="L54" s="105"/>
      <c r="M54" s="105"/>
      <c r="N54" s="105"/>
      <c r="O54" s="105"/>
    </row>
    <row r="55" spans="1:15" ht="15.5" x14ac:dyDescent="0.35">
      <c r="A55" s="105"/>
      <c r="B55" s="111">
        <v>39.14</v>
      </c>
      <c r="C55" s="574"/>
      <c r="D55" s="566"/>
      <c r="F55" s="105"/>
      <c r="G55" s="105"/>
      <c r="H55" s="114"/>
      <c r="I55" s="105"/>
      <c r="J55" s="105"/>
      <c r="K55" s="105"/>
      <c r="L55" s="105"/>
      <c r="M55" s="105"/>
      <c r="N55" s="105"/>
      <c r="O55" s="105"/>
    </row>
    <row r="56" spans="1:15" ht="15.5" x14ac:dyDescent="0.35">
      <c r="A56" s="105"/>
      <c r="B56" s="111">
        <v>7.39</v>
      </c>
      <c r="C56" s="105"/>
      <c r="D56" s="105"/>
      <c r="E56" s="105"/>
      <c r="F56" s="105"/>
      <c r="G56" s="105"/>
      <c r="H56" s="111"/>
      <c r="I56" s="466"/>
      <c r="J56" s="105"/>
      <c r="K56" s="105"/>
      <c r="L56" s="105"/>
      <c r="M56" s="105"/>
      <c r="N56" s="105"/>
      <c r="O56" s="105"/>
    </row>
    <row r="57" spans="1:15" ht="15.5" x14ac:dyDescent="0.35">
      <c r="A57" s="105"/>
      <c r="B57" s="114">
        <v>14.78</v>
      </c>
      <c r="C57" s="105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5"/>
      <c r="O57" s="105"/>
    </row>
    <row r="58" spans="1:15" ht="15.5" x14ac:dyDescent="0.35">
      <c r="A58" s="105" t="s">
        <v>147</v>
      </c>
      <c r="B58" s="111">
        <f>B55+B56+B57</f>
        <v>61.31</v>
      </c>
      <c r="C58" s="110" t="s">
        <v>146</v>
      </c>
      <c r="D58" s="109">
        <v>4.71</v>
      </c>
      <c r="E58" s="109"/>
      <c r="F58" s="113" t="s">
        <v>145</v>
      </c>
      <c r="G58" s="112"/>
      <c r="H58" s="466"/>
      <c r="M58" s="105"/>
      <c r="N58" s="105"/>
      <c r="O58" s="105"/>
    </row>
    <row r="59" spans="1:15" ht="15.5" x14ac:dyDescent="0.35">
      <c r="A59" s="105" t="s">
        <v>144</v>
      </c>
      <c r="B59" s="111">
        <v>65.601700000000008</v>
      </c>
      <c r="C59" s="110" t="s">
        <v>143</v>
      </c>
      <c r="D59" s="109">
        <f>B59/13</f>
        <v>5.0462846153846161</v>
      </c>
      <c r="E59" s="109"/>
      <c r="F59" s="108" t="s">
        <v>142</v>
      </c>
      <c r="G59" s="108"/>
      <c r="H59" s="108"/>
      <c r="I59" s="105"/>
      <c r="J59" s="105"/>
      <c r="K59" s="105"/>
      <c r="L59" s="105"/>
      <c r="M59" s="105"/>
      <c r="N59" s="105"/>
      <c r="O59" s="105"/>
    </row>
    <row r="60" spans="1:15" ht="15.5" x14ac:dyDescent="0.35">
      <c r="A60" s="105"/>
      <c r="B60" s="105"/>
      <c r="C60" s="105"/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</row>
    <row r="61" spans="1:15" ht="15.5" x14ac:dyDescent="0.35">
      <c r="A61" s="105"/>
      <c r="B61" s="105"/>
      <c r="C61" s="105"/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O61" s="105"/>
    </row>
    <row r="62" spans="1:15" ht="16" thickBot="1" x14ac:dyDescent="0.4">
      <c r="A62" s="107" t="s">
        <v>141</v>
      </c>
      <c r="B62" s="105"/>
      <c r="C62" s="105"/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O62" s="105"/>
    </row>
    <row r="63" spans="1:15" ht="31.5" customHeight="1" thickTop="1" thickBot="1" x14ac:dyDescent="0.4">
      <c r="A63" s="104" t="s">
        <v>131</v>
      </c>
      <c r="B63" s="106" t="s">
        <v>140</v>
      </c>
      <c r="C63" s="106" t="s">
        <v>139</v>
      </c>
      <c r="D63" s="106" t="s">
        <v>138</v>
      </c>
      <c r="E63" s="106"/>
      <c r="F63" s="104" t="s">
        <v>137</v>
      </c>
      <c r="G63" s="106" t="s">
        <v>136</v>
      </c>
      <c r="H63" s="104" t="s">
        <v>114</v>
      </c>
      <c r="I63" s="104" t="s">
        <v>135</v>
      </c>
      <c r="J63" s="106" t="s">
        <v>134</v>
      </c>
      <c r="K63" s="104" t="s">
        <v>133</v>
      </c>
      <c r="L63" s="105"/>
      <c r="M63" s="105"/>
      <c r="N63" s="105"/>
      <c r="O63" s="105"/>
    </row>
    <row r="64" spans="1:15" ht="23.5" customHeight="1" thickTop="1" thickBot="1" x14ac:dyDescent="0.4">
      <c r="A64" s="401">
        <v>1</v>
      </c>
      <c r="B64" s="402" t="s">
        <v>132</v>
      </c>
      <c r="C64" s="403">
        <v>1.54</v>
      </c>
      <c r="D64" s="403">
        <v>199.5</v>
      </c>
      <c r="E64" s="403"/>
      <c r="F64" s="401">
        <v>366</v>
      </c>
      <c r="G64" s="403">
        <v>61.32</v>
      </c>
      <c r="H64" s="403">
        <v>260.82</v>
      </c>
      <c r="I64" s="404">
        <v>0.05</v>
      </c>
      <c r="J64" s="403">
        <v>13.04</v>
      </c>
      <c r="K64" s="403">
        <v>273.86</v>
      </c>
      <c r="L64" s="105"/>
      <c r="M64" s="105"/>
    </row>
    <row r="65" spans="1:11" ht="23.5" customHeight="1" thickTop="1" thickBot="1" x14ac:dyDescent="0.4">
      <c r="A65" s="401">
        <v>2</v>
      </c>
      <c r="B65" s="402" t="s">
        <v>132</v>
      </c>
      <c r="C65" s="403">
        <v>2.19</v>
      </c>
      <c r="D65" s="403">
        <v>316.54000000000002</v>
      </c>
      <c r="E65" s="403"/>
      <c r="F65" s="401">
        <v>366</v>
      </c>
      <c r="G65" s="403"/>
      <c r="H65" s="403">
        <v>316.54000000000002</v>
      </c>
      <c r="I65" s="405"/>
      <c r="J65" s="403"/>
      <c r="K65" s="403">
        <v>316.54000000000002</v>
      </c>
    </row>
    <row r="66" spans="1:11" ht="23.5" customHeight="1" thickTop="1" thickBot="1" x14ac:dyDescent="0.4">
      <c r="A66" s="406"/>
      <c r="B66" s="407"/>
      <c r="C66" s="408"/>
      <c r="D66" s="408"/>
      <c r="E66" s="408"/>
      <c r="F66" s="406"/>
      <c r="G66" s="408"/>
      <c r="H66" s="408"/>
      <c r="I66" s="409"/>
      <c r="J66" s="408"/>
      <c r="K66" s="410">
        <f>SUM(K64:K65)</f>
        <v>590.40000000000009</v>
      </c>
    </row>
    <row r="67" spans="1:11" ht="23.5" customHeight="1" thickTop="1" thickBot="1" x14ac:dyDescent="0.4">
      <c r="A67" s="104" t="s">
        <v>131</v>
      </c>
      <c r="B67" s="103" t="s">
        <v>130</v>
      </c>
      <c r="C67" s="411"/>
      <c r="D67" s="412"/>
      <c r="E67" s="412"/>
      <c r="F67" s="464"/>
      <c r="G67" s="412"/>
      <c r="H67" s="412"/>
      <c r="I67" s="464"/>
      <c r="J67" s="412"/>
      <c r="K67" s="412"/>
    </row>
    <row r="68" spans="1:11" ht="23.5" customHeight="1" thickTop="1" x14ac:dyDescent="0.35">
      <c r="A68" s="464">
        <v>1</v>
      </c>
      <c r="B68" s="413">
        <v>1711509</v>
      </c>
      <c r="C68" s="412"/>
      <c r="D68" s="412"/>
      <c r="E68" s="412"/>
      <c r="F68" s="464"/>
      <c r="G68" s="412"/>
      <c r="H68" s="412"/>
      <c r="I68" s="464"/>
      <c r="J68" s="412"/>
      <c r="K68" s="412"/>
    </row>
    <row r="69" spans="1:11" ht="23.5" customHeight="1" thickBot="1" x14ac:dyDescent="0.4">
      <c r="A69" s="414">
        <v>2</v>
      </c>
      <c r="B69" s="413" t="s">
        <v>129</v>
      </c>
      <c r="C69" s="415"/>
      <c r="D69" s="415"/>
      <c r="E69" s="415"/>
      <c r="F69" s="414"/>
      <c r="G69" s="415"/>
      <c r="H69" s="415"/>
      <c r="I69" s="414"/>
      <c r="J69" s="415"/>
      <c r="K69" s="415"/>
    </row>
    <row r="70" spans="1:11" ht="23.5" customHeight="1" thickTop="1" thickBot="1" x14ac:dyDescent="0.4">
      <c r="A70" s="401"/>
      <c r="B70" s="401"/>
      <c r="C70" s="403"/>
      <c r="D70" s="401"/>
      <c r="E70" s="401"/>
      <c r="F70" s="401"/>
      <c r="G70" s="416" t="s">
        <v>115</v>
      </c>
      <c r="H70" s="403">
        <v>577.36</v>
      </c>
      <c r="I70" s="401"/>
      <c r="J70" s="403">
        <v>13.04</v>
      </c>
      <c r="K70" s="403">
        <v>590.4</v>
      </c>
    </row>
    <row r="71" spans="1:11" ht="23.5" customHeight="1" thickTop="1" x14ac:dyDescent="0.35">
      <c r="A71" s="406"/>
      <c r="B71" s="406"/>
      <c r="C71" s="406"/>
      <c r="D71" s="406"/>
      <c r="E71" s="406"/>
      <c r="F71" s="406"/>
      <c r="G71" s="406"/>
      <c r="H71" s="406"/>
      <c r="I71" s="406"/>
      <c r="J71" s="406"/>
      <c r="K71" s="406"/>
    </row>
    <row r="72" spans="1:11" ht="23.5" customHeight="1" x14ac:dyDescent="0.35"/>
    <row r="73" spans="1:11" ht="23.5" customHeight="1" x14ac:dyDescent="0.35">
      <c r="A73" s="101"/>
      <c r="B73" s="98"/>
      <c r="C73" s="100"/>
      <c r="D73" s="99"/>
      <c r="E73" s="99"/>
      <c r="F73" s="99"/>
      <c r="G73" s="98"/>
    </row>
    <row r="74" spans="1:11" ht="23.5" customHeight="1" x14ac:dyDescent="0.35">
      <c r="A74" s="101"/>
      <c r="B74" s="98"/>
      <c r="C74" s="100"/>
      <c r="D74" s="99"/>
      <c r="E74" s="99"/>
      <c r="F74" s="99"/>
      <c r="G74" s="98"/>
    </row>
    <row r="75" spans="1:11" ht="23.5" customHeight="1" x14ac:dyDescent="0.35">
      <c r="A75" s="101"/>
      <c r="B75" s="98"/>
      <c r="C75" s="100"/>
      <c r="D75" s="99"/>
      <c r="E75" s="99"/>
      <c r="F75" s="102"/>
      <c r="G75" s="98"/>
    </row>
    <row r="76" spans="1:11" ht="23.5" customHeight="1" x14ac:dyDescent="0.35">
      <c r="A76" s="101"/>
      <c r="B76" s="98"/>
      <c r="C76" s="100"/>
      <c r="D76" s="99"/>
      <c r="E76" s="99"/>
      <c r="F76" s="99"/>
      <c r="G76" s="98"/>
    </row>
    <row r="77" spans="1:11" ht="23.5" customHeight="1" x14ac:dyDescent="0.35">
      <c r="A77" s="101"/>
      <c r="B77" s="98"/>
      <c r="C77" s="100"/>
      <c r="D77" s="99"/>
      <c r="E77" s="99"/>
      <c r="F77" s="99"/>
      <c r="G77" s="98"/>
    </row>
    <row r="78" spans="1:11" ht="23.5" customHeight="1" x14ac:dyDescent="0.35">
      <c r="A78" s="101"/>
      <c r="B78" s="98"/>
      <c r="C78" s="100"/>
      <c r="D78" s="99"/>
      <c r="E78" s="99"/>
      <c r="F78" s="99"/>
      <c r="G78" s="98"/>
    </row>
    <row r="79" spans="1:11" ht="23.5" customHeight="1" x14ac:dyDescent="0.35">
      <c r="A79" s="101"/>
      <c r="B79" s="98"/>
      <c r="C79" s="100"/>
      <c r="D79" s="99"/>
      <c r="E79" s="99"/>
      <c r="F79" s="99"/>
      <c r="G79" s="98"/>
    </row>
    <row r="80" spans="1:11" ht="23.5" customHeight="1" x14ac:dyDescent="0.35">
      <c r="A80" s="101"/>
      <c r="B80" s="98"/>
      <c r="C80" s="100"/>
      <c r="D80" s="99"/>
      <c r="E80" s="99"/>
      <c r="F80" s="99"/>
      <c r="G80" s="98"/>
    </row>
    <row r="81" spans="1:7" ht="23.5" customHeight="1" x14ac:dyDescent="0.35">
      <c r="A81" s="101"/>
      <c r="B81" s="98"/>
      <c r="C81" s="100"/>
      <c r="D81" s="99"/>
      <c r="E81" s="99"/>
      <c r="F81" s="99"/>
      <c r="G81" s="98"/>
    </row>
    <row r="82" spans="1:7" ht="23.5" customHeight="1" x14ac:dyDescent="0.35">
      <c r="A82" s="101"/>
      <c r="B82" s="98"/>
      <c r="C82" s="100"/>
      <c r="D82" s="99"/>
      <c r="E82" s="99"/>
      <c r="F82" s="99"/>
      <c r="G82" s="98"/>
    </row>
    <row r="83" spans="1:7" ht="23.5" customHeight="1" x14ac:dyDescent="0.35">
      <c r="A83" s="97"/>
      <c r="B83" s="575"/>
      <c r="C83" s="575"/>
      <c r="D83" s="575"/>
      <c r="E83" s="575"/>
      <c r="F83" s="575"/>
      <c r="G83" s="575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96" t="s">
        <v>128</v>
      </c>
      <c r="B92" s="93">
        <v>1396.68</v>
      </c>
      <c r="C92" s="95" t="s">
        <v>117</v>
      </c>
      <c r="D92" s="94">
        <v>13</v>
      </c>
      <c r="E92" s="94"/>
      <c r="F92" s="94" t="s">
        <v>116</v>
      </c>
      <c r="G92" s="93">
        <v>107.44</v>
      </c>
    </row>
    <row r="93" spans="1:7" ht="22.5" customHeight="1" thickBot="1" x14ac:dyDescent="0.4">
      <c r="A93" s="91" t="s">
        <v>127</v>
      </c>
      <c r="B93" s="88">
        <v>214.08</v>
      </c>
      <c r="C93" s="90" t="s">
        <v>117</v>
      </c>
      <c r="D93" s="89">
        <v>13</v>
      </c>
      <c r="E93" s="89"/>
      <c r="F93" s="89" t="s">
        <v>126</v>
      </c>
      <c r="G93" s="88">
        <v>15.34</v>
      </c>
    </row>
    <row r="94" spans="1:7" ht="22.5" customHeight="1" thickBot="1" x14ac:dyDescent="0.4">
      <c r="A94" s="91" t="s">
        <v>125</v>
      </c>
      <c r="B94" s="88">
        <v>206.57</v>
      </c>
      <c r="C94" s="90" t="s">
        <v>117</v>
      </c>
      <c r="D94" s="89">
        <v>13</v>
      </c>
      <c r="E94" s="89"/>
      <c r="F94" s="92" t="s">
        <v>116</v>
      </c>
      <c r="G94" s="88">
        <v>15.67</v>
      </c>
    </row>
    <row r="95" spans="1:7" ht="15" thickBot="1" x14ac:dyDescent="0.4">
      <c r="A95" s="91" t="s">
        <v>124</v>
      </c>
      <c r="B95" s="88">
        <v>73.290000000000006</v>
      </c>
      <c r="C95" s="90" t="s">
        <v>117</v>
      </c>
      <c r="D95" s="89">
        <v>13</v>
      </c>
      <c r="E95" s="89"/>
      <c r="F95" s="89" t="s">
        <v>116</v>
      </c>
      <c r="G95" s="88">
        <v>5.63</v>
      </c>
    </row>
    <row r="96" spans="1:7" ht="15" thickBot="1" x14ac:dyDescent="0.4">
      <c r="A96" s="91" t="s">
        <v>123</v>
      </c>
      <c r="B96" s="88">
        <v>465.72</v>
      </c>
      <c r="C96" s="90" t="s">
        <v>117</v>
      </c>
      <c r="D96" s="89">
        <v>13</v>
      </c>
      <c r="E96" s="89"/>
      <c r="F96" s="89" t="s">
        <v>116</v>
      </c>
      <c r="G96" s="88">
        <v>35.82</v>
      </c>
    </row>
    <row r="97" spans="1:11" ht="15" thickBot="1" x14ac:dyDescent="0.4">
      <c r="A97" s="91" t="s">
        <v>122</v>
      </c>
      <c r="B97" s="88">
        <v>51.73</v>
      </c>
      <c r="C97" s="90" t="s">
        <v>117</v>
      </c>
      <c r="D97" s="89">
        <v>13</v>
      </c>
      <c r="E97" s="89"/>
      <c r="F97" s="89" t="s">
        <v>116</v>
      </c>
      <c r="G97" s="88">
        <v>3.98</v>
      </c>
    </row>
    <row r="98" spans="1:11" ht="15" thickBot="1" x14ac:dyDescent="0.4">
      <c r="A98" s="91" t="s">
        <v>121</v>
      </c>
      <c r="B98" s="88">
        <v>201.4</v>
      </c>
      <c r="C98" s="90" t="s">
        <v>117</v>
      </c>
      <c r="D98" s="89">
        <v>13</v>
      </c>
      <c r="E98" s="89"/>
      <c r="F98" s="89" t="s">
        <v>116</v>
      </c>
      <c r="G98" s="88">
        <v>15.49</v>
      </c>
      <c r="I98" s="85"/>
      <c r="J98" s="85"/>
      <c r="K98" s="85"/>
    </row>
    <row r="99" spans="1:11" ht="26.5" thickBot="1" x14ac:dyDescent="0.4">
      <c r="A99" s="91" t="s">
        <v>120</v>
      </c>
      <c r="B99" s="88">
        <v>56.2</v>
      </c>
      <c r="C99" s="90" t="s">
        <v>117</v>
      </c>
      <c r="D99" s="89">
        <v>13</v>
      </c>
      <c r="E99" s="89"/>
      <c r="F99" s="89" t="s">
        <v>116</v>
      </c>
      <c r="G99" s="88">
        <v>4.32</v>
      </c>
      <c r="I99" s="85"/>
      <c r="J99" s="85"/>
      <c r="K99" s="85"/>
    </row>
    <row r="100" spans="1:11" ht="15" thickBot="1" x14ac:dyDescent="0.4">
      <c r="A100" s="91" t="s">
        <v>119</v>
      </c>
      <c r="B100" s="88">
        <v>308.92</v>
      </c>
      <c r="C100" s="90" t="s">
        <v>117</v>
      </c>
      <c r="D100" s="89">
        <v>13</v>
      </c>
      <c r="E100" s="89"/>
      <c r="F100" s="89" t="s">
        <v>116</v>
      </c>
      <c r="G100" s="88">
        <v>23.76</v>
      </c>
    </row>
    <row r="101" spans="1:11" ht="15" thickBot="1" x14ac:dyDescent="0.4">
      <c r="A101" s="91" t="s">
        <v>118</v>
      </c>
      <c r="B101" s="88">
        <v>48.96</v>
      </c>
      <c r="C101" s="90" t="s">
        <v>117</v>
      </c>
      <c r="D101" s="89">
        <v>13</v>
      </c>
      <c r="E101" s="89"/>
      <c r="F101" s="89" t="s">
        <v>116</v>
      </c>
      <c r="G101" s="88">
        <v>3.76</v>
      </c>
    </row>
    <row r="102" spans="1:11" ht="15" thickBot="1" x14ac:dyDescent="0.4">
      <c r="A102" s="87" t="s">
        <v>115</v>
      </c>
      <c r="B102" s="576">
        <f>SUM(G92:G101)</f>
        <v>231.20999999999995</v>
      </c>
      <c r="C102" s="577"/>
      <c r="D102" s="577"/>
      <c r="E102" s="577"/>
      <c r="F102" s="577"/>
      <c r="G102" s="578"/>
    </row>
  </sheetData>
  <sheetProtection sheet="1" objects="1" scenarios="1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30"/>
  <sheetViews>
    <sheetView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3" style="281" customWidth="1"/>
    <col min="2" max="2" width="11.453125" style="280"/>
    <col min="3" max="3" width="9" style="280" customWidth="1"/>
    <col min="4" max="4" width="11.453125" style="280"/>
    <col min="5" max="5" width="20.81640625" style="280" customWidth="1"/>
    <col min="6" max="6" width="17.26953125" style="280" bestFit="1" customWidth="1"/>
    <col min="7" max="7" width="20" style="280" customWidth="1"/>
    <col min="8" max="8" width="13.1796875" style="280" customWidth="1"/>
    <col min="9" max="9" width="11.453125" style="280"/>
    <col min="10" max="10" width="21.26953125" style="280" customWidth="1"/>
    <col min="11" max="11" width="19.81640625" style="280" customWidth="1"/>
    <col min="12" max="12" width="17.81640625" style="280" customWidth="1"/>
    <col min="13" max="13" width="14.1796875" style="280" bestFit="1" customWidth="1"/>
    <col min="14" max="14" width="31.7265625" style="280" customWidth="1"/>
    <col min="15" max="15" width="16.453125" style="280" customWidth="1"/>
    <col min="16" max="17" width="14.6328125" style="280" customWidth="1"/>
    <col min="18" max="16384" width="11.453125" style="462"/>
  </cols>
  <sheetData>
    <row r="1" spans="1:17" ht="9" customHeight="1" x14ac:dyDescent="0.35">
      <c r="A1" s="457"/>
      <c r="B1" s="462"/>
      <c r="C1" s="462"/>
      <c r="D1" s="462"/>
      <c r="E1" s="462"/>
      <c r="F1" s="462"/>
      <c r="G1" s="462"/>
      <c r="H1" s="462"/>
      <c r="I1" s="462"/>
      <c r="J1" s="462"/>
      <c r="K1" s="462"/>
      <c r="L1" s="462"/>
      <c r="M1" s="462"/>
      <c r="N1" s="462"/>
      <c r="O1" s="462"/>
      <c r="P1" s="462"/>
      <c r="Q1" s="462"/>
    </row>
    <row r="2" spans="1:17" x14ac:dyDescent="0.35">
      <c r="A2" s="457"/>
      <c r="B2" s="284" t="s">
        <v>296</v>
      </c>
      <c r="C2" s="462"/>
      <c r="D2" s="285">
        <v>46052.984398148146</v>
      </c>
      <c r="E2" s="462"/>
      <c r="F2" s="462"/>
      <c r="G2" s="462"/>
      <c r="H2" s="462"/>
      <c r="I2" s="462"/>
      <c r="J2" s="462"/>
      <c r="K2" s="462"/>
      <c r="L2" s="462"/>
      <c r="M2" s="462"/>
      <c r="N2" s="462"/>
      <c r="O2" s="462"/>
      <c r="P2" s="462"/>
      <c r="Q2" s="462"/>
    </row>
    <row r="3" spans="1:17" ht="8.25" customHeight="1" x14ac:dyDescent="0.35">
      <c r="A3" s="457"/>
      <c r="B3" s="462"/>
      <c r="C3" s="462"/>
      <c r="D3" s="462"/>
      <c r="E3" s="462"/>
      <c r="F3" s="462"/>
      <c r="G3" s="462"/>
      <c r="H3" s="462"/>
      <c r="I3" s="462"/>
      <c r="J3" s="462"/>
      <c r="K3" s="462"/>
      <c r="L3" s="462"/>
      <c r="M3" s="462"/>
      <c r="N3" s="462"/>
      <c r="O3" s="462"/>
      <c r="P3" s="462"/>
      <c r="Q3" s="462"/>
    </row>
    <row r="4" spans="1:17" ht="18.5" x14ac:dyDescent="0.35">
      <c r="A4" s="457"/>
      <c r="B4" s="462"/>
      <c r="C4" s="462"/>
      <c r="D4" s="584" t="s">
        <v>19</v>
      </c>
      <c r="E4" s="525"/>
      <c r="F4" s="526"/>
      <c r="G4" s="584" t="s">
        <v>295</v>
      </c>
      <c r="H4" s="525"/>
      <c r="I4" s="525"/>
      <c r="J4" s="526"/>
      <c r="K4" s="584" t="s">
        <v>294</v>
      </c>
      <c r="L4" s="526"/>
      <c r="M4" s="462"/>
      <c r="N4" s="462"/>
      <c r="O4" s="462"/>
      <c r="P4" s="462"/>
      <c r="Q4" s="462"/>
    </row>
    <row r="5" spans="1:17" ht="36" customHeight="1" x14ac:dyDescent="0.35">
      <c r="A5" s="286" t="s">
        <v>481</v>
      </c>
      <c r="B5" s="287" t="s">
        <v>293</v>
      </c>
      <c r="C5" s="287" t="s">
        <v>292</v>
      </c>
      <c r="D5" s="287" t="s">
        <v>291</v>
      </c>
      <c r="E5" s="287" t="s">
        <v>290</v>
      </c>
      <c r="F5" s="287" t="s">
        <v>289</v>
      </c>
      <c r="G5" s="288" t="s">
        <v>288</v>
      </c>
      <c r="H5" s="287" t="s">
        <v>287</v>
      </c>
      <c r="I5" s="287" t="s">
        <v>286</v>
      </c>
      <c r="J5" s="287" t="s">
        <v>285</v>
      </c>
      <c r="K5" s="287" t="s">
        <v>284</v>
      </c>
      <c r="L5" s="287" t="s">
        <v>283</v>
      </c>
      <c r="M5" s="287" t="s">
        <v>282</v>
      </c>
      <c r="N5" s="287" t="s">
        <v>281</v>
      </c>
      <c r="O5" s="289" t="s">
        <v>280</v>
      </c>
      <c r="P5" s="289" t="s">
        <v>516</v>
      </c>
      <c r="Q5" s="289" t="s">
        <v>479</v>
      </c>
    </row>
    <row r="6" spans="1:17" x14ac:dyDescent="0.35">
      <c r="A6" s="290" t="s">
        <v>482</v>
      </c>
      <c r="B6" s="291">
        <v>1</v>
      </c>
      <c r="C6" s="283" t="s">
        <v>230</v>
      </c>
      <c r="D6" s="292" t="s">
        <v>212</v>
      </c>
      <c r="E6" s="292" t="s">
        <v>279</v>
      </c>
      <c r="F6" s="292" t="s">
        <v>278</v>
      </c>
      <c r="G6" s="292" t="s">
        <v>277</v>
      </c>
      <c r="H6" s="291" t="s">
        <v>276</v>
      </c>
      <c r="I6" s="291">
        <v>14797</v>
      </c>
      <c r="J6" s="292" t="s">
        <v>275</v>
      </c>
      <c r="K6" s="292"/>
      <c r="L6" s="292" t="s">
        <v>274</v>
      </c>
      <c r="M6" s="293"/>
      <c r="N6" s="292"/>
      <c r="O6" s="292" t="s">
        <v>503</v>
      </c>
      <c r="P6" s="293"/>
      <c r="Q6" s="293"/>
    </row>
    <row r="7" spans="1:17" x14ac:dyDescent="0.35">
      <c r="A7" s="300" t="s">
        <v>483</v>
      </c>
      <c r="B7" s="298">
        <v>2</v>
      </c>
      <c r="C7" s="294" t="s">
        <v>230</v>
      </c>
      <c r="D7" s="301" t="s">
        <v>216</v>
      </c>
      <c r="E7" s="301" t="s">
        <v>343</v>
      </c>
      <c r="F7" s="301" t="s">
        <v>273</v>
      </c>
      <c r="G7" s="301" t="s">
        <v>270</v>
      </c>
      <c r="H7" s="298">
        <v>29</v>
      </c>
      <c r="I7" s="298">
        <v>14478</v>
      </c>
      <c r="J7" s="301" t="s">
        <v>217</v>
      </c>
      <c r="K7" s="301"/>
      <c r="L7" s="301"/>
      <c r="M7" s="302"/>
      <c r="N7" s="301"/>
      <c r="O7" s="301" t="s">
        <v>503</v>
      </c>
      <c r="P7" s="302"/>
      <c r="Q7" s="302"/>
    </row>
    <row r="8" spans="1:17" x14ac:dyDescent="0.35">
      <c r="A8" s="290" t="s">
        <v>484</v>
      </c>
      <c r="B8" s="291">
        <v>2</v>
      </c>
      <c r="C8" s="283" t="s">
        <v>230</v>
      </c>
      <c r="D8" s="292" t="s">
        <v>212</v>
      </c>
      <c r="E8" s="292" t="s">
        <v>272</v>
      </c>
      <c r="F8" s="292" t="s">
        <v>271</v>
      </c>
      <c r="G8" s="292" t="s">
        <v>270</v>
      </c>
      <c r="H8" s="291">
        <v>29</v>
      </c>
      <c r="I8" s="291">
        <v>14478</v>
      </c>
      <c r="J8" s="292" t="s">
        <v>217</v>
      </c>
      <c r="K8" s="292" t="str">
        <f>IF(K7=0,"",K7)</f>
        <v/>
      </c>
      <c r="L8" s="292" t="s">
        <v>269</v>
      </c>
      <c r="M8" s="293"/>
      <c r="N8" s="292"/>
      <c r="O8" s="292" t="s">
        <v>503</v>
      </c>
      <c r="P8" s="293"/>
      <c r="Q8" s="293"/>
    </row>
    <row r="9" spans="1:17" x14ac:dyDescent="0.35">
      <c r="A9" s="300" t="s">
        <v>485</v>
      </c>
      <c r="B9" s="298">
        <v>3</v>
      </c>
      <c r="C9" s="294" t="s">
        <v>230</v>
      </c>
      <c r="D9" s="301" t="s">
        <v>216</v>
      </c>
      <c r="E9" s="301" t="s">
        <v>264</v>
      </c>
      <c r="F9" s="301" t="s">
        <v>268</v>
      </c>
      <c r="G9" s="301" t="s">
        <v>267</v>
      </c>
      <c r="H9" s="298">
        <v>62</v>
      </c>
      <c r="I9" s="298">
        <v>13409</v>
      </c>
      <c r="J9" s="301" t="s">
        <v>225</v>
      </c>
      <c r="K9" s="308" t="s">
        <v>266</v>
      </c>
      <c r="L9" s="308" t="s">
        <v>266</v>
      </c>
      <c r="M9" s="302"/>
      <c r="N9" s="317" t="s">
        <v>265</v>
      </c>
      <c r="O9" s="308" t="s">
        <v>305</v>
      </c>
      <c r="P9" s="302"/>
      <c r="Q9" s="305"/>
    </row>
    <row r="10" spans="1:17" x14ac:dyDescent="0.35">
      <c r="A10" s="290" t="s">
        <v>486</v>
      </c>
      <c r="B10" s="291">
        <v>4</v>
      </c>
      <c r="C10" s="283" t="s">
        <v>230</v>
      </c>
      <c r="D10" s="292" t="s">
        <v>216</v>
      </c>
      <c r="E10" s="292" t="s">
        <v>264</v>
      </c>
      <c r="F10" s="292" t="s">
        <v>263</v>
      </c>
      <c r="G10" s="292" t="s">
        <v>242</v>
      </c>
      <c r="H10" s="291">
        <v>11</v>
      </c>
      <c r="I10" s="291">
        <v>12057</v>
      </c>
      <c r="J10" s="292" t="s">
        <v>225</v>
      </c>
      <c r="K10" s="292" t="s">
        <v>262</v>
      </c>
      <c r="L10" s="292" t="s">
        <v>261</v>
      </c>
      <c r="M10" s="293" t="s">
        <v>260</v>
      </c>
      <c r="N10" s="292" t="s">
        <v>259</v>
      </c>
      <c r="O10" s="292" t="s">
        <v>258</v>
      </c>
      <c r="P10" s="293"/>
      <c r="Q10" s="293"/>
    </row>
    <row r="11" spans="1:17" x14ac:dyDescent="0.35">
      <c r="A11" s="300" t="s">
        <v>487</v>
      </c>
      <c r="B11" s="298">
        <v>5</v>
      </c>
      <c r="C11" s="294" t="s">
        <v>230</v>
      </c>
      <c r="D11" s="301" t="s">
        <v>216</v>
      </c>
      <c r="E11" s="301" t="s">
        <v>251</v>
      </c>
      <c r="F11" s="301" t="s">
        <v>257</v>
      </c>
      <c r="G11" s="301" t="s">
        <v>249</v>
      </c>
      <c r="H11" s="298">
        <v>79</v>
      </c>
      <c r="I11" s="298">
        <v>12057</v>
      </c>
      <c r="J11" s="301" t="s">
        <v>225</v>
      </c>
      <c r="K11" s="301" t="s">
        <v>256</v>
      </c>
      <c r="L11" s="301" t="s">
        <v>255</v>
      </c>
      <c r="M11" s="302" t="s">
        <v>254</v>
      </c>
      <c r="N11" s="301" t="s">
        <v>253</v>
      </c>
      <c r="O11" s="301" t="s">
        <v>252</v>
      </c>
      <c r="P11" s="302"/>
      <c r="Q11" s="302"/>
    </row>
    <row r="12" spans="1:17" x14ac:dyDescent="0.35">
      <c r="A12" s="290" t="s">
        <v>488</v>
      </c>
      <c r="B12" s="291">
        <v>5</v>
      </c>
      <c r="C12" s="283" t="s">
        <v>230</v>
      </c>
      <c r="D12" s="292" t="s">
        <v>212</v>
      </c>
      <c r="E12" s="292" t="s">
        <v>251</v>
      </c>
      <c r="F12" s="292" t="s">
        <v>250</v>
      </c>
      <c r="G12" s="292" t="s">
        <v>249</v>
      </c>
      <c r="H12" s="291">
        <v>79</v>
      </c>
      <c r="I12" s="291">
        <v>12057</v>
      </c>
      <c r="J12" s="292" t="s">
        <v>225</v>
      </c>
      <c r="K12" s="292" t="s">
        <v>248</v>
      </c>
      <c r="L12" s="292" t="s">
        <v>247</v>
      </c>
      <c r="M12" s="293" t="s">
        <v>246</v>
      </c>
      <c r="N12" s="292" t="s">
        <v>245</v>
      </c>
      <c r="O12" s="292" t="s">
        <v>504</v>
      </c>
      <c r="P12" s="293"/>
      <c r="Q12" s="293"/>
    </row>
    <row r="13" spans="1:17" x14ac:dyDescent="0.35">
      <c r="A13" s="300" t="s">
        <v>489</v>
      </c>
      <c r="B13" s="298">
        <v>6</v>
      </c>
      <c r="C13" s="294" t="s">
        <v>230</v>
      </c>
      <c r="D13" s="301" t="s">
        <v>216</v>
      </c>
      <c r="E13" s="301" t="s">
        <v>244</v>
      </c>
      <c r="F13" s="301" t="s">
        <v>243</v>
      </c>
      <c r="G13" s="301" t="s">
        <v>242</v>
      </c>
      <c r="H13" s="298">
        <v>11</v>
      </c>
      <c r="I13" s="298">
        <v>12057</v>
      </c>
      <c r="J13" s="301" t="s">
        <v>225</v>
      </c>
      <c r="K13" s="301" t="s">
        <v>241</v>
      </c>
      <c r="L13" s="301" t="s">
        <v>240</v>
      </c>
      <c r="M13" s="302" t="s">
        <v>239</v>
      </c>
      <c r="N13" s="301" t="s">
        <v>238</v>
      </c>
      <c r="O13" s="301" t="s">
        <v>301</v>
      </c>
      <c r="P13" s="302"/>
      <c r="Q13" s="302"/>
    </row>
    <row r="14" spans="1:17" x14ac:dyDescent="0.35">
      <c r="A14" s="290" t="s">
        <v>490</v>
      </c>
      <c r="B14" s="291">
        <v>7</v>
      </c>
      <c r="C14" s="283" t="s">
        <v>230</v>
      </c>
      <c r="D14" s="292" t="s">
        <v>216</v>
      </c>
      <c r="E14" s="292" t="s">
        <v>237</v>
      </c>
      <c r="F14" s="292" t="s">
        <v>236</v>
      </c>
      <c r="G14" s="292" t="s">
        <v>235</v>
      </c>
      <c r="H14" s="291">
        <v>64</v>
      </c>
      <c r="I14" s="291">
        <v>13409</v>
      </c>
      <c r="J14" s="292" t="s">
        <v>225</v>
      </c>
      <c r="K14" s="292" t="s">
        <v>234</v>
      </c>
      <c r="L14" s="292" t="s">
        <v>233</v>
      </c>
      <c r="M14" s="293"/>
      <c r="N14" s="292"/>
      <c r="O14" s="292" t="s">
        <v>503</v>
      </c>
      <c r="P14" s="293"/>
      <c r="Q14" s="293"/>
    </row>
    <row r="15" spans="1:17" x14ac:dyDescent="0.35">
      <c r="A15" s="300" t="s">
        <v>491</v>
      </c>
      <c r="B15" s="298">
        <v>7</v>
      </c>
      <c r="C15" s="294" t="s">
        <v>230</v>
      </c>
      <c r="D15" s="301" t="s">
        <v>212</v>
      </c>
      <c r="E15" s="301" t="s">
        <v>237</v>
      </c>
      <c r="F15" s="301" t="s">
        <v>232</v>
      </c>
      <c r="G15" s="301" t="s">
        <v>235</v>
      </c>
      <c r="H15" s="298">
        <v>64</v>
      </c>
      <c r="I15" s="298">
        <v>13409</v>
      </c>
      <c r="J15" s="301" t="s">
        <v>225</v>
      </c>
      <c r="K15" s="301" t="str">
        <f>IF(K14=0,"",K14)</f>
        <v>+49-30-252035990</v>
      </c>
      <c r="L15" s="301" t="s">
        <v>231</v>
      </c>
      <c r="M15" s="302"/>
      <c r="N15" s="301"/>
      <c r="O15" s="301" t="s">
        <v>503</v>
      </c>
      <c r="P15" s="302"/>
      <c r="Q15" s="302"/>
    </row>
    <row r="16" spans="1:17" x14ac:dyDescent="0.35">
      <c r="A16" s="290" t="s">
        <v>492</v>
      </c>
      <c r="B16" s="291">
        <v>8</v>
      </c>
      <c r="C16" s="283" t="s">
        <v>230</v>
      </c>
      <c r="D16" s="292" t="s">
        <v>216</v>
      </c>
      <c r="E16" s="292" t="s">
        <v>347</v>
      </c>
      <c r="F16" s="292" t="s">
        <v>348</v>
      </c>
      <c r="G16" s="292" t="s">
        <v>368</v>
      </c>
      <c r="H16" s="291">
        <v>1</v>
      </c>
      <c r="I16" s="291">
        <v>10717</v>
      </c>
      <c r="J16" s="292" t="s">
        <v>225</v>
      </c>
      <c r="K16" s="292"/>
      <c r="L16" s="292"/>
      <c r="M16" s="293"/>
      <c r="N16" s="292"/>
      <c r="O16" s="292" t="s">
        <v>503</v>
      </c>
      <c r="P16" s="293"/>
      <c r="Q16" s="293"/>
    </row>
    <row r="17" spans="1:17" x14ac:dyDescent="0.35">
      <c r="A17" s="300" t="s">
        <v>493</v>
      </c>
      <c r="B17" s="298">
        <v>8</v>
      </c>
      <c r="C17" s="294" t="s">
        <v>230</v>
      </c>
      <c r="D17" s="301" t="s">
        <v>212</v>
      </c>
      <c r="E17" s="301" t="s">
        <v>347</v>
      </c>
      <c r="F17" s="301" t="s">
        <v>352</v>
      </c>
      <c r="G17" s="301" t="s">
        <v>368</v>
      </c>
      <c r="H17" s="298">
        <v>1</v>
      </c>
      <c r="I17" s="298">
        <v>10717</v>
      </c>
      <c r="J17" s="301" t="s">
        <v>225</v>
      </c>
      <c r="K17" s="301"/>
      <c r="L17" s="301"/>
      <c r="M17" s="302"/>
      <c r="N17" s="301"/>
      <c r="O17" s="301" t="s">
        <v>503</v>
      </c>
      <c r="P17" s="302"/>
      <c r="Q17" s="302"/>
    </row>
    <row r="18" spans="1:17" x14ac:dyDescent="0.35">
      <c r="A18" s="290" t="s">
        <v>494</v>
      </c>
      <c r="B18" s="291">
        <v>9</v>
      </c>
      <c r="C18" s="283" t="s">
        <v>230</v>
      </c>
      <c r="D18" s="292" t="s">
        <v>216</v>
      </c>
      <c r="E18" s="292" t="s">
        <v>229</v>
      </c>
      <c r="F18" s="292" t="s">
        <v>228</v>
      </c>
      <c r="G18" s="292" t="s">
        <v>227</v>
      </c>
      <c r="H18" s="291">
        <v>42</v>
      </c>
      <c r="I18" s="291">
        <v>13409</v>
      </c>
      <c r="J18" s="292" t="s">
        <v>225</v>
      </c>
      <c r="K18" s="292"/>
      <c r="L18" s="292" t="s">
        <v>226</v>
      </c>
      <c r="M18" s="293"/>
      <c r="N18" s="292"/>
      <c r="O18" s="292" t="s">
        <v>503</v>
      </c>
      <c r="P18" s="293"/>
      <c r="Q18" s="293"/>
    </row>
    <row r="19" spans="1:17" x14ac:dyDescent="0.35">
      <c r="A19" s="300" t="s">
        <v>534</v>
      </c>
      <c r="B19" s="298">
        <v>9</v>
      </c>
      <c r="C19" s="294" t="s">
        <v>230</v>
      </c>
      <c r="D19" s="301" t="s">
        <v>212</v>
      </c>
      <c r="E19" s="301" t="s">
        <v>528</v>
      </c>
      <c r="F19" s="301" t="s">
        <v>529</v>
      </c>
      <c r="G19" s="301" t="s">
        <v>535</v>
      </c>
      <c r="H19" s="298">
        <v>88</v>
      </c>
      <c r="I19" s="298">
        <v>32445</v>
      </c>
      <c r="J19" s="301" t="s">
        <v>536</v>
      </c>
      <c r="K19" s="301"/>
      <c r="L19" s="301"/>
      <c r="M19" s="302"/>
      <c r="N19" s="301"/>
      <c r="O19" s="301" t="s">
        <v>504</v>
      </c>
      <c r="P19" s="302">
        <v>46050</v>
      </c>
      <c r="Q19" s="302"/>
    </row>
    <row r="20" spans="1:17" x14ac:dyDescent="0.35">
      <c r="A20" s="290" t="s">
        <v>495</v>
      </c>
      <c r="B20" s="291">
        <v>10</v>
      </c>
      <c r="C20" s="283" t="s">
        <v>213</v>
      </c>
      <c r="D20" s="292" t="s">
        <v>216</v>
      </c>
      <c r="E20" s="292" t="s">
        <v>362</v>
      </c>
      <c r="F20" s="292" t="s">
        <v>361</v>
      </c>
      <c r="G20" s="292" t="s">
        <v>365</v>
      </c>
      <c r="H20" s="291">
        <v>6</v>
      </c>
      <c r="I20" s="291">
        <v>14974</v>
      </c>
      <c r="J20" s="292" t="s">
        <v>366</v>
      </c>
      <c r="K20" s="292"/>
      <c r="L20" s="292"/>
      <c r="M20" s="293"/>
      <c r="N20" s="292"/>
      <c r="O20" s="292" t="s">
        <v>503</v>
      </c>
      <c r="P20" s="293"/>
      <c r="Q20" s="293"/>
    </row>
    <row r="21" spans="1:17" x14ac:dyDescent="0.35">
      <c r="A21" s="300" t="s">
        <v>496</v>
      </c>
      <c r="B21" s="298">
        <v>10</v>
      </c>
      <c r="C21" s="294" t="s">
        <v>213</v>
      </c>
      <c r="D21" s="301" t="s">
        <v>212</v>
      </c>
      <c r="E21" s="301" t="s">
        <v>364</v>
      </c>
      <c r="F21" s="301" t="s">
        <v>363</v>
      </c>
      <c r="G21" s="301" t="s">
        <v>365</v>
      </c>
      <c r="H21" s="298">
        <v>6</v>
      </c>
      <c r="I21" s="298">
        <v>14974</v>
      </c>
      <c r="J21" s="301" t="s">
        <v>366</v>
      </c>
      <c r="K21" s="301"/>
      <c r="L21" s="301"/>
      <c r="M21" s="302"/>
      <c r="N21" s="301"/>
      <c r="O21" s="301" t="s">
        <v>503</v>
      </c>
      <c r="P21" s="302"/>
      <c r="Q21" s="302"/>
    </row>
    <row r="22" spans="1:17" x14ac:dyDescent="0.35">
      <c r="A22" s="290" t="s">
        <v>497</v>
      </c>
      <c r="B22" s="291">
        <v>11</v>
      </c>
      <c r="C22" s="283" t="s">
        <v>213</v>
      </c>
      <c r="D22" s="292" t="s">
        <v>216</v>
      </c>
      <c r="E22" s="292" t="s">
        <v>224</v>
      </c>
      <c r="F22" s="292" t="s">
        <v>223</v>
      </c>
      <c r="G22" s="292" t="s">
        <v>222</v>
      </c>
      <c r="H22" s="291">
        <v>2</v>
      </c>
      <c r="I22" s="291">
        <v>12529</v>
      </c>
      <c r="J22" s="292" t="s">
        <v>221</v>
      </c>
      <c r="K22" s="292" t="s">
        <v>220</v>
      </c>
      <c r="L22" s="292" t="s">
        <v>219</v>
      </c>
      <c r="M22" s="293"/>
      <c r="N22" s="292"/>
      <c r="O22" s="292" t="s">
        <v>503</v>
      </c>
      <c r="P22" s="293"/>
      <c r="Q22" s="293"/>
    </row>
    <row r="23" spans="1:17" x14ac:dyDescent="0.35">
      <c r="A23" s="300" t="s">
        <v>498</v>
      </c>
      <c r="B23" s="298">
        <v>11</v>
      </c>
      <c r="C23" s="294" t="s">
        <v>213</v>
      </c>
      <c r="D23" s="301" t="s">
        <v>212</v>
      </c>
      <c r="E23" s="301" t="s">
        <v>224</v>
      </c>
      <c r="F23" s="301" t="s">
        <v>210</v>
      </c>
      <c r="G23" s="301" t="s">
        <v>222</v>
      </c>
      <c r="H23" s="298">
        <v>2</v>
      </c>
      <c r="I23" s="298">
        <v>12529</v>
      </c>
      <c r="J23" s="301" t="s">
        <v>221</v>
      </c>
      <c r="K23" s="301" t="str">
        <f>IF(K22=0,"",K22)</f>
        <v>+49-3327-7255023</v>
      </c>
      <c r="L23" s="301" t="s">
        <v>218</v>
      </c>
      <c r="M23" s="302"/>
      <c r="N23" s="301"/>
      <c r="O23" s="301" t="s">
        <v>503</v>
      </c>
      <c r="P23" s="302"/>
      <c r="Q23" s="302"/>
    </row>
    <row r="24" spans="1:17" x14ac:dyDescent="0.35">
      <c r="A24" s="290" t="s">
        <v>499</v>
      </c>
      <c r="B24" s="291">
        <v>12</v>
      </c>
      <c r="C24" s="283" t="s">
        <v>213</v>
      </c>
      <c r="D24" s="292" t="s">
        <v>216</v>
      </c>
      <c r="E24" s="292" t="s">
        <v>356</v>
      </c>
      <c r="F24" s="292" t="s">
        <v>357</v>
      </c>
      <c r="G24" s="292" t="s">
        <v>367</v>
      </c>
      <c r="H24" s="291">
        <v>18</v>
      </c>
      <c r="I24" s="291">
        <v>14480</v>
      </c>
      <c r="J24" s="292" t="s">
        <v>217</v>
      </c>
      <c r="K24" s="292"/>
      <c r="L24" s="292"/>
      <c r="M24" s="293"/>
      <c r="N24" s="292"/>
      <c r="O24" s="292" t="s">
        <v>503</v>
      </c>
      <c r="P24" s="293"/>
      <c r="Q24" s="293"/>
    </row>
    <row r="25" spans="1:17" x14ac:dyDescent="0.35">
      <c r="A25" s="300" t="s">
        <v>500</v>
      </c>
      <c r="B25" s="298">
        <v>12</v>
      </c>
      <c r="C25" s="294" t="s">
        <v>213</v>
      </c>
      <c r="D25" s="301" t="s">
        <v>212</v>
      </c>
      <c r="E25" s="301" t="s">
        <v>349</v>
      </c>
      <c r="F25" s="301" t="s">
        <v>350</v>
      </c>
      <c r="G25" s="301" t="s">
        <v>367</v>
      </c>
      <c r="H25" s="298">
        <v>18</v>
      </c>
      <c r="I25" s="298">
        <v>14480</v>
      </c>
      <c r="J25" s="301" t="s">
        <v>217</v>
      </c>
      <c r="K25" s="301"/>
      <c r="L25" s="301"/>
      <c r="M25" s="302"/>
      <c r="N25" s="301"/>
      <c r="O25" s="301" t="s">
        <v>503</v>
      </c>
      <c r="P25" s="302"/>
      <c r="Q25" s="302"/>
    </row>
    <row r="26" spans="1:17" x14ac:dyDescent="0.35">
      <c r="A26" s="290" t="s">
        <v>542</v>
      </c>
      <c r="B26" s="291">
        <v>13</v>
      </c>
      <c r="C26" s="283" t="s">
        <v>213</v>
      </c>
      <c r="D26" s="292" t="s">
        <v>216</v>
      </c>
      <c r="E26" s="292" t="s">
        <v>211</v>
      </c>
      <c r="F26" s="292" t="s">
        <v>215</v>
      </c>
      <c r="G26" s="292" t="s">
        <v>209</v>
      </c>
      <c r="H26" s="291">
        <v>18</v>
      </c>
      <c r="I26" s="291">
        <v>14542</v>
      </c>
      <c r="J26" s="292" t="s">
        <v>200</v>
      </c>
      <c r="K26" s="292"/>
      <c r="L26" s="292"/>
      <c r="M26" s="293"/>
      <c r="N26" s="292"/>
      <c r="O26" s="292" t="s">
        <v>214</v>
      </c>
      <c r="P26" s="293">
        <v>46052</v>
      </c>
      <c r="Q26" s="293"/>
    </row>
    <row r="27" spans="1:17" x14ac:dyDescent="0.35">
      <c r="A27" s="300" t="s">
        <v>501</v>
      </c>
      <c r="B27" s="298">
        <v>13</v>
      </c>
      <c r="C27" s="294" t="s">
        <v>213</v>
      </c>
      <c r="D27" s="301" t="s">
        <v>212</v>
      </c>
      <c r="E27" s="301" t="s">
        <v>211</v>
      </c>
      <c r="F27" s="301" t="s">
        <v>210</v>
      </c>
      <c r="G27" s="301" t="s">
        <v>209</v>
      </c>
      <c r="H27" s="298">
        <v>18</v>
      </c>
      <c r="I27" s="298">
        <v>14542</v>
      </c>
      <c r="J27" s="301" t="s">
        <v>200</v>
      </c>
      <c r="K27" s="301" t="s">
        <v>208</v>
      </c>
      <c r="L27" s="301" t="s">
        <v>207</v>
      </c>
      <c r="M27" s="302"/>
      <c r="N27" s="301"/>
      <c r="O27" s="301" t="s">
        <v>503</v>
      </c>
      <c r="P27" s="302">
        <v>45950</v>
      </c>
      <c r="Q27" s="302"/>
    </row>
    <row r="28" spans="1:17" x14ac:dyDescent="0.35">
      <c r="A28" s="290" t="s">
        <v>542</v>
      </c>
      <c r="B28" s="291">
        <v>14</v>
      </c>
      <c r="C28" s="283" t="s">
        <v>213</v>
      </c>
      <c r="D28" s="292" t="s">
        <v>216</v>
      </c>
      <c r="E28" s="292" t="s">
        <v>211</v>
      </c>
      <c r="F28" s="292" t="s">
        <v>215</v>
      </c>
      <c r="G28" s="292" t="s">
        <v>209</v>
      </c>
      <c r="H28" s="291">
        <v>18</v>
      </c>
      <c r="I28" s="291">
        <v>14542</v>
      </c>
      <c r="J28" s="292" t="s">
        <v>200</v>
      </c>
      <c r="K28" s="292"/>
      <c r="L28" s="292"/>
      <c r="M28" s="293"/>
      <c r="N28" s="292"/>
      <c r="O28" s="292" t="s">
        <v>214</v>
      </c>
      <c r="P28" s="293">
        <v>46052</v>
      </c>
      <c r="Q28" s="293"/>
    </row>
    <row r="29" spans="1:17" x14ac:dyDescent="0.35">
      <c r="A29" s="300" t="s">
        <v>501</v>
      </c>
      <c r="B29" s="298">
        <v>14</v>
      </c>
      <c r="C29" s="294" t="s">
        <v>213</v>
      </c>
      <c r="D29" s="301" t="s">
        <v>212</v>
      </c>
      <c r="E29" s="301" t="s">
        <v>211</v>
      </c>
      <c r="F29" s="301" t="s">
        <v>210</v>
      </c>
      <c r="G29" s="301" t="s">
        <v>209</v>
      </c>
      <c r="H29" s="298">
        <v>18</v>
      </c>
      <c r="I29" s="298">
        <v>14542</v>
      </c>
      <c r="J29" s="301" t="s">
        <v>200</v>
      </c>
      <c r="K29" s="301" t="s">
        <v>208</v>
      </c>
      <c r="L29" s="301" t="s">
        <v>207</v>
      </c>
      <c r="M29" s="302"/>
      <c r="N29" s="301"/>
      <c r="O29" s="301" t="s">
        <v>503</v>
      </c>
      <c r="P29" s="302"/>
      <c r="Q29" s="302"/>
    </row>
    <row r="30" spans="1:17" x14ac:dyDescent="0.35">
      <c r="A30" s="290" t="s">
        <v>502</v>
      </c>
      <c r="B30" s="291" t="s">
        <v>206</v>
      </c>
      <c r="C30" s="283" t="s">
        <v>205</v>
      </c>
      <c r="D30" s="292" t="s">
        <v>203</v>
      </c>
      <c r="E30" s="292" t="s">
        <v>204</v>
      </c>
      <c r="F30" s="292" t="s">
        <v>203</v>
      </c>
      <c r="G30" s="292" t="s">
        <v>202</v>
      </c>
      <c r="H30" s="291" t="s">
        <v>201</v>
      </c>
      <c r="I30" s="291">
        <v>14543</v>
      </c>
      <c r="J30" s="292" t="s">
        <v>200</v>
      </c>
      <c r="K30" s="309"/>
      <c r="L30" s="309"/>
      <c r="M30" s="293"/>
      <c r="N30" s="309"/>
      <c r="O30" s="309" t="s">
        <v>206</v>
      </c>
      <c r="P30" s="293"/>
      <c r="Q30" s="304"/>
    </row>
    <row r="31" spans="1:17" x14ac:dyDescent="0.35">
      <c r="A31" s="318"/>
      <c r="B31" s="303"/>
      <c r="D31" s="303"/>
      <c r="O31" s="303"/>
    </row>
    <row r="32" spans="1:17" x14ac:dyDescent="0.35">
      <c r="A32" s="318"/>
      <c r="B32" s="303"/>
      <c r="D32" s="303"/>
      <c r="O32" s="303"/>
    </row>
    <row r="33" spans="1:15" x14ac:dyDescent="0.35">
      <c r="A33" s="318"/>
      <c r="B33" s="303"/>
      <c r="D33" s="303"/>
      <c r="O33" s="303"/>
    </row>
    <row r="34" spans="1:15" x14ac:dyDescent="0.35">
      <c r="A34" s="318"/>
      <c r="B34" s="303"/>
      <c r="D34" s="303"/>
      <c r="O34" s="303"/>
    </row>
    <row r="35" spans="1:15" x14ac:dyDescent="0.35">
      <c r="A35" s="318"/>
      <c r="B35" s="303"/>
      <c r="D35" s="303"/>
      <c r="O35" s="303"/>
    </row>
    <row r="36" spans="1:15" x14ac:dyDescent="0.35">
      <c r="A36" s="318"/>
      <c r="B36" s="303"/>
      <c r="D36" s="303"/>
      <c r="O36" s="303"/>
    </row>
    <row r="37" spans="1:15" x14ac:dyDescent="0.35">
      <c r="A37" s="318"/>
      <c r="B37" s="303"/>
      <c r="D37" s="303"/>
      <c r="O37" s="303"/>
    </row>
    <row r="38" spans="1:15" x14ac:dyDescent="0.35">
      <c r="A38" s="318"/>
      <c r="B38" s="303"/>
      <c r="D38" s="303"/>
      <c r="O38" s="303"/>
    </row>
    <row r="39" spans="1:15" x14ac:dyDescent="0.35">
      <c r="A39" s="318"/>
      <c r="B39" s="303"/>
      <c r="D39" s="303"/>
      <c r="O39" s="303"/>
    </row>
    <row r="40" spans="1:15" x14ac:dyDescent="0.35">
      <c r="A40" s="318"/>
      <c r="B40" s="303"/>
      <c r="D40" s="303"/>
      <c r="O40" s="303"/>
    </row>
    <row r="41" spans="1:15" x14ac:dyDescent="0.35">
      <c r="A41" s="318"/>
      <c r="B41" s="303"/>
      <c r="D41" s="303"/>
      <c r="O41" s="303"/>
    </row>
    <row r="42" spans="1:15" x14ac:dyDescent="0.35">
      <c r="A42" s="318"/>
      <c r="B42" s="303"/>
      <c r="D42" s="303"/>
      <c r="O42" s="303"/>
    </row>
    <row r="43" spans="1:15" x14ac:dyDescent="0.35">
      <c r="A43" s="318"/>
      <c r="B43" s="303"/>
      <c r="D43" s="303"/>
      <c r="O43" s="303"/>
    </row>
    <row r="44" spans="1:15" x14ac:dyDescent="0.35">
      <c r="A44" s="318"/>
      <c r="B44" s="303"/>
      <c r="D44" s="303"/>
      <c r="O44" s="303"/>
    </row>
    <row r="45" spans="1:15" x14ac:dyDescent="0.35">
      <c r="A45" s="318"/>
      <c r="B45" s="303"/>
      <c r="D45" s="303"/>
      <c r="O45" s="303"/>
    </row>
    <row r="46" spans="1:15" x14ac:dyDescent="0.35">
      <c r="A46" s="318"/>
      <c r="B46" s="303"/>
      <c r="D46" s="303"/>
      <c r="O46" s="303"/>
    </row>
    <row r="47" spans="1:15" x14ac:dyDescent="0.35">
      <c r="A47" s="318"/>
      <c r="B47" s="303"/>
      <c r="D47" s="303"/>
      <c r="O47" s="303"/>
    </row>
    <row r="48" spans="1:15" x14ac:dyDescent="0.35">
      <c r="A48" s="318"/>
      <c r="B48" s="303"/>
      <c r="D48" s="303"/>
      <c r="O48" s="303"/>
    </row>
    <row r="49" spans="1:15" x14ac:dyDescent="0.35">
      <c r="A49" s="318"/>
      <c r="B49" s="303"/>
      <c r="D49" s="303"/>
      <c r="O49" s="303"/>
    </row>
    <row r="50" spans="1:15" x14ac:dyDescent="0.35">
      <c r="A50" s="318"/>
      <c r="B50" s="303"/>
      <c r="D50" s="303"/>
      <c r="O50" s="303"/>
    </row>
    <row r="51" spans="1:15" x14ac:dyDescent="0.35">
      <c r="A51" s="318"/>
      <c r="B51" s="303"/>
      <c r="D51" s="303"/>
      <c r="O51" s="303"/>
    </row>
    <row r="52" spans="1:15" x14ac:dyDescent="0.35">
      <c r="A52" s="318"/>
      <c r="B52" s="303"/>
      <c r="D52" s="303"/>
      <c r="O52" s="303"/>
    </row>
    <row r="53" spans="1:15" x14ac:dyDescent="0.35">
      <c r="A53" s="318"/>
      <c r="B53" s="303"/>
      <c r="D53" s="303"/>
      <c r="O53" s="303"/>
    </row>
    <row r="54" spans="1:15" x14ac:dyDescent="0.35">
      <c r="A54" s="318"/>
      <c r="B54" s="303"/>
      <c r="D54" s="303"/>
      <c r="O54" s="303"/>
    </row>
    <row r="55" spans="1:15" x14ac:dyDescent="0.35">
      <c r="A55" s="318"/>
      <c r="B55" s="303"/>
      <c r="D55" s="303"/>
      <c r="O55" s="303"/>
    </row>
    <row r="56" spans="1:15" x14ac:dyDescent="0.35">
      <c r="A56" s="318"/>
      <c r="B56" s="303"/>
      <c r="D56" s="303"/>
      <c r="O56" s="303"/>
    </row>
    <row r="57" spans="1:15" x14ac:dyDescent="0.35">
      <c r="A57" s="318"/>
      <c r="B57" s="303"/>
      <c r="D57" s="303"/>
      <c r="O57" s="303"/>
    </row>
    <row r="58" spans="1:15" x14ac:dyDescent="0.35">
      <c r="A58" s="318"/>
      <c r="B58" s="303"/>
      <c r="D58" s="303"/>
      <c r="O58" s="303"/>
    </row>
    <row r="59" spans="1:15" x14ac:dyDescent="0.35">
      <c r="A59" s="318"/>
      <c r="B59" s="303"/>
      <c r="D59" s="303"/>
      <c r="O59" s="303"/>
    </row>
    <row r="60" spans="1:15" x14ac:dyDescent="0.35">
      <c r="A60" s="318"/>
      <c r="B60" s="303"/>
      <c r="D60" s="303"/>
      <c r="O60" s="303"/>
    </row>
    <row r="61" spans="1:15" x14ac:dyDescent="0.35">
      <c r="A61" s="318"/>
      <c r="B61" s="303"/>
      <c r="D61" s="303"/>
      <c r="O61" s="303"/>
    </row>
    <row r="62" spans="1:15" x14ac:dyDescent="0.35">
      <c r="A62" s="318"/>
      <c r="B62" s="303"/>
      <c r="D62" s="303"/>
      <c r="O62" s="303"/>
    </row>
    <row r="63" spans="1:15" x14ac:dyDescent="0.35">
      <c r="A63" s="318"/>
      <c r="B63" s="303"/>
      <c r="D63" s="303"/>
      <c r="O63" s="303"/>
    </row>
    <row r="64" spans="1:15" x14ac:dyDescent="0.35">
      <c r="A64" s="318"/>
      <c r="B64" s="303"/>
      <c r="D64" s="303"/>
      <c r="O64" s="303"/>
    </row>
    <row r="65" spans="1:15" x14ac:dyDescent="0.35">
      <c r="A65" s="318"/>
      <c r="B65" s="303"/>
      <c r="D65" s="303"/>
      <c r="O65" s="303"/>
    </row>
    <row r="66" spans="1:15" x14ac:dyDescent="0.35">
      <c r="A66" s="318"/>
      <c r="B66" s="303"/>
      <c r="D66" s="303"/>
      <c r="O66" s="303"/>
    </row>
    <row r="67" spans="1:15" x14ac:dyDescent="0.35">
      <c r="A67" s="318"/>
      <c r="B67" s="303"/>
      <c r="D67" s="303"/>
      <c r="O67" s="303"/>
    </row>
    <row r="68" spans="1:15" x14ac:dyDescent="0.35">
      <c r="A68" s="318"/>
      <c r="B68" s="303"/>
      <c r="D68" s="303"/>
      <c r="O68" s="303"/>
    </row>
    <row r="69" spans="1:15" x14ac:dyDescent="0.35">
      <c r="A69" s="318"/>
      <c r="B69" s="303"/>
      <c r="D69" s="303"/>
      <c r="O69" s="303"/>
    </row>
    <row r="70" spans="1:15" x14ac:dyDescent="0.35">
      <c r="A70" s="318"/>
      <c r="B70" s="303"/>
      <c r="D70" s="303"/>
      <c r="O70" s="303"/>
    </row>
    <row r="71" spans="1:15" x14ac:dyDescent="0.35">
      <c r="A71" s="318"/>
      <c r="B71" s="303"/>
      <c r="D71" s="303"/>
      <c r="O71" s="303"/>
    </row>
    <row r="72" spans="1:15" x14ac:dyDescent="0.35">
      <c r="A72" s="318"/>
      <c r="B72" s="303"/>
      <c r="D72" s="303"/>
      <c r="O72" s="303"/>
    </row>
    <row r="73" spans="1:15" x14ac:dyDescent="0.35">
      <c r="A73" s="318"/>
      <c r="B73" s="303"/>
      <c r="D73" s="303"/>
      <c r="O73" s="303"/>
    </row>
    <row r="74" spans="1:15" x14ac:dyDescent="0.35">
      <c r="A74" s="318"/>
      <c r="B74" s="303"/>
      <c r="D74" s="303"/>
      <c r="O74" s="303"/>
    </row>
    <row r="75" spans="1:15" x14ac:dyDescent="0.35">
      <c r="A75" s="318"/>
      <c r="B75" s="303"/>
      <c r="D75" s="303"/>
      <c r="O75" s="303"/>
    </row>
    <row r="76" spans="1:15" x14ac:dyDescent="0.35">
      <c r="A76" s="318"/>
      <c r="B76" s="303"/>
      <c r="D76" s="303"/>
      <c r="O76" s="303"/>
    </row>
    <row r="77" spans="1:15" x14ac:dyDescent="0.35">
      <c r="A77" s="318"/>
      <c r="B77" s="303"/>
      <c r="D77" s="303"/>
      <c r="O77" s="303"/>
    </row>
    <row r="78" spans="1:15" x14ac:dyDescent="0.35">
      <c r="A78" s="318"/>
      <c r="B78" s="303"/>
      <c r="D78" s="303"/>
      <c r="O78" s="303"/>
    </row>
    <row r="79" spans="1:15" x14ac:dyDescent="0.35">
      <c r="A79" s="318"/>
      <c r="B79" s="303"/>
      <c r="D79" s="303"/>
      <c r="O79" s="303"/>
    </row>
    <row r="80" spans="1:15" x14ac:dyDescent="0.35">
      <c r="A80" s="318"/>
      <c r="B80" s="303"/>
      <c r="D80" s="303"/>
      <c r="O80" s="303"/>
    </row>
    <row r="81" spans="1:15" x14ac:dyDescent="0.35">
      <c r="A81" s="318"/>
      <c r="B81" s="303"/>
      <c r="D81" s="303"/>
      <c r="O81" s="303"/>
    </row>
    <row r="82" spans="1:15" x14ac:dyDescent="0.35">
      <c r="A82" s="318"/>
      <c r="B82" s="303"/>
      <c r="D82" s="303"/>
      <c r="O82" s="303"/>
    </row>
    <row r="83" spans="1:15" x14ac:dyDescent="0.35">
      <c r="A83" s="318"/>
      <c r="B83" s="303"/>
      <c r="D83" s="303"/>
      <c r="O83" s="303"/>
    </row>
    <row r="84" spans="1:15" x14ac:dyDescent="0.35">
      <c r="A84" s="318"/>
      <c r="B84" s="303"/>
      <c r="D84" s="303"/>
      <c r="O84" s="303"/>
    </row>
    <row r="85" spans="1:15" x14ac:dyDescent="0.35">
      <c r="A85" s="318"/>
      <c r="B85" s="303"/>
      <c r="D85" s="303"/>
      <c r="O85" s="303"/>
    </row>
    <row r="86" spans="1:15" x14ac:dyDescent="0.35">
      <c r="A86" s="318"/>
      <c r="B86" s="303"/>
      <c r="D86" s="303"/>
      <c r="O86" s="303"/>
    </row>
    <row r="87" spans="1:15" x14ac:dyDescent="0.35">
      <c r="A87" s="318"/>
      <c r="B87" s="303"/>
      <c r="D87" s="303"/>
      <c r="O87" s="303"/>
    </row>
    <row r="88" spans="1:15" x14ac:dyDescent="0.35">
      <c r="A88" s="318"/>
      <c r="B88" s="303"/>
      <c r="D88" s="303"/>
      <c r="O88" s="303"/>
    </row>
    <row r="89" spans="1:15" x14ac:dyDescent="0.35">
      <c r="A89" s="318"/>
      <c r="B89" s="303"/>
      <c r="D89" s="303"/>
      <c r="O89" s="303"/>
    </row>
    <row r="90" spans="1:15" x14ac:dyDescent="0.35">
      <c r="A90" s="318"/>
      <c r="B90" s="303"/>
      <c r="D90" s="303"/>
      <c r="O90" s="303"/>
    </row>
    <row r="91" spans="1:15" x14ac:dyDescent="0.35">
      <c r="A91" s="318"/>
      <c r="B91" s="303"/>
      <c r="D91" s="303"/>
      <c r="O91" s="303"/>
    </row>
    <row r="92" spans="1:15" x14ac:dyDescent="0.35">
      <c r="A92" s="318"/>
      <c r="B92" s="303"/>
      <c r="D92" s="303"/>
      <c r="O92" s="303"/>
    </row>
    <row r="93" spans="1:15" x14ac:dyDescent="0.35">
      <c r="A93" s="318"/>
      <c r="B93" s="303"/>
      <c r="D93" s="303"/>
      <c r="O93" s="303"/>
    </row>
    <row r="94" spans="1:15" x14ac:dyDescent="0.35">
      <c r="A94" s="318"/>
      <c r="B94" s="303"/>
      <c r="D94" s="303"/>
      <c r="O94" s="303"/>
    </row>
    <row r="95" spans="1:15" x14ac:dyDescent="0.35">
      <c r="A95" s="318"/>
      <c r="B95" s="303"/>
      <c r="D95" s="303"/>
      <c r="O95" s="303"/>
    </row>
    <row r="96" spans="1:15" x14ac:dyDescent="0.35">
      <c r="A96" s="318"/>
      <c r="B96" s="303"/>
      <c r="D96" s="303"/>
      <c r="O96" s="303"/>
    </row>
    <row r="97" spans="1:15" x14ac:dyDescent="0.35">
      <c r="A97" s="318"/>
      <c r="B97" s="303"/>
      <c r="D97" s="303"/>
      <c r="O97" s="303"/>
    </row>
    <row r="98" spans="1:15" x14ac:dyDescent="0.35">
      <c r="A98" s="318"/>
      <c r="B98" s="303"/>
      <c r="D98" s="303"/>
      <c r="O98" s="303"/>
    </row>
    <row r="99" spans="1:15" x14ac:dyDescent="0.35">
      <c r="A99" s="318"/>
      <c r="B99" s="303"/>
      <c r="D99" s="303"/>
      <c r="O99" s="303"/>
    </row>
    <row r="100" spans="1:15" x14ac:dyDescent="0.35">
      <c r="A100" s="318"/>
      <c r="B100" s="303"/>
      <c r="D100" s="303"/>
      <c r="O100" s="303"/>
    </row>
    <row r="101" spans="1:15" x14ac:dyDescent="0.35">
      <c r="A101" s="318"/>
      <c r="B101" s="303"/>
      <c r="D101" s="303"/>
      <c r="O101" s="303"/>
    </row>
    <row r="102" spans="1:15" x14ac:dyDescent="0.35">
      <c r="A102" s="318"/>
      <c r="B102" s="303"/>
      <c r="D102" s="303"/>
      <c r="O102" s="303"/>
    </row>
    <row r="103" spans="1:15" x14ac:dyDescent="0.35">
      <c r="A103" s="318"/>
      <c r="B103" s="303"/>
      <c r="D103" s="303"/>
      <c r="O103" s="303"/>
    </row>
    <row r="104" spans="1:15" x14ac:dyDescent="0.35">
      <c r="A104" s="318"/>
      <c r="B104" s="303"/>
      <c r="D104" s="303"/>
      <c r="O104" s="303"/>
    </row>
    <row r="105" spans="1:15" x14ac:dyDescent="0.35">
      <c r="A105" s="318"/>
      <c r="B105" s="303"/>
      <c r="D105" s="303"/>
      <c r="O105" s="303"/>
    </row>
    <row r="106" spans="1:15" x14ac:dyDescent="0.35">
      <c r="A106" s="318"/>
      <c r="B106" s="303"/>
      <c r="D106" s="303"/>
      <c r="O106" s="303"/>
    </row>
    <row r="107" spans="1:15" x14ac:dyDescent="0.35">
      <c r="A107" s="318"/>
      <c r="B107" s="303"/>
      <c r="D107" s="303"/>
      <c r="O107" s="303"/>
    </row>
    <row r="108" spans="1:15" x14ac:dyDescent="0.35">
      <c r="A108" s="318"/>
      <c r="B108" s="303"/>
      <c r="D108" s="303"/>
      <c r="O108" s="303"/>
    </row>
    <row r="109" spans="1:15" x14ac:dyDescent="0.35">
      <c r="A109" s="318"/>
      <c r="B109" s="303"/>
      <c r="D109" s="303"/>
      <c r="O109" s="303"/>
    </row>
    <row r="110" spans="1:15" x14ac:dyDescent="0.35">
      <c r="A110" s="318"/>
      <c r="B110" s="303"/>
      <c r="D110" s="303"/>
      <c r="O110" s="303"/>
    </row>
    <row r="111" spans="1:15" x14ac:dyDescent="0.35">
      <c r="A111" s="318"/>
      <c r="B111" s="303"/>
      <c r="D111" s="303"/>
      <c r="O111" s="303"/>
    </row>
    <row r="112" spans="1:15" x14ac:dyDescent="0.35">
      <c r="A112" s="318"/>
      <c r="B112" s="303"/>
      <c r="D112" s="303"/>
      <c r="O112" s="303"/>
    </row>
    <row r="113" spans="1:15" x14ac:dyDescent="0.35">
      <c r="A113" s="318"/>
      <c r="B113" s="303"/>
      <c r="D113" s="303"/>
      <c r="O113" s="303"/>
    </row>
    <row r="114" spans="1:15" x14ac:dyDescent="0.35">
      <c r="A114" s="318"/>
      <c r="B114" s="303"/>
      <c r="D114" s="303"/>
      <c r="O114" s="303"/>
    </row>
    <row r="115" spans="1:15" x14ac:dyDescent="0.35">
      <c r="A115" s="318"/>
      <c r="B115" s="303"/>
      <c r="D115" s="303"/>
      <c r="O115" s="303"/>
    </row>
    <row r="116" spans="1:15" x14ac:dyDescent="0.35">
      <c r="A116" s="318"/>
      <c r="B116" s="303"/>
      <c r="D116" s="303"/>
      <c r="O116" s="303"/>
    </row>
    <row r="117" spans="1:15" x14ac:dyDescent="0.35">
      <c r="A117" s="318"/>
      <c r="B117" s="303"/>
      <c r="D117" s="303"/>
      <c r="O117" s="303"/>
    </row>
    <row r="118" spans="1:15" x14ac:dyDescent="0.35">
      <c r="A118" s="318"/>
      <c r="B118" s="303"/>
      <c r="D118" s="303"/>
      <c r="O118" s="303"/>
    </row>
    <row r="119" spans="1:15" x14ac:dyDescent="0.35">
      <c r="A119" s="318"/>
      <c r="B119" s="303"/>
      <c r="D119" s="303"/>
      <c r="O119" s="303"/>
    </row>
    <row r="120" spans="1:15" x14ac:dyDescent="0.35">
      <c r="A120" s="318"/>
      <c r="B120" s="303"/>
      <c r="D120" s="303"/>
      <c r="O120" s="303"/>
    </row>
    <row r="121" spans="1:15" x14ac:dyDescent="0.35">
      <c r="A121" s="318"/>
      <c r="B121" s="303"/>
      <c r="D121" s="303"/>
      <c r="O121" s="303"/>
    </row>
    <row r="122" spans="1:15" x14ac:dyDescent="0.35">
      <c r="A122" s="318"/>
      <c r="B122" s="303"/>
      <c r="D122" s="303"/>
      <c r="O122" s="303"/>
    </row>
    <row r="123" spans="1:15" x14ac:dyDescent="0.35">
      <c r="A123" s="318"/>
      <c r="B123" s="303"/>
      <c r="D123" s="303"/>
      <c r="O123" s="303"/>
    </row>
    <row r="124" spans="1:15" x14ac:dyDescent="0.35">
      <c r="A124" s="318"/>
      <c r="B124" s="303"/>
      <c r="D124" s="303"/>
      <c r="O124" s="303"/>
    </row>
    <row r="125" spans="1:15" x14ac:dyDescent="0.35">
      <c r="A125" s="318"/>
      <c r="B125" s="303"/>
      <c r="D125" s="303"/>
      <c r="O125" s="303"/>
    </row>
    <row r="126" spans="1:15" x14ac:dyDescent="0.35">
      <c r="A126" s="318"/>
      <c r="B126" s="303"/>
      <c r="D126" s="303"/>
      <c r="O126" s="303"/>
    </row>
    <row r="127" spans="1:15" x14ac:dyDescent="0.35">
      <c r="A127" s="318"/>
      <c r="B127" s="303"/>
      <c r="D127" s="303"/>
      <c r="O127" s="303"/>
    </row>
    <row r="128" spans="1:15" x14ac:dyDescent="0.35">
      <c r="A128" s="318"/>
      <c r="B128" s="303"/>
      <c r="D128" s="303"/>
      <c r="O128" s="303"/>
    </row>
    <row r="129" spans="1:15" x14ac:dyDescent="0.35">
      <c r="A129" s="318"/>
      <c r="B129" s="303"/>
      <c r="D129" s="303"/>
      <c r="O129" s="303"/>
    </row>
    <row r="130" spans="1:15" x14ac:dyDescent="0.35">
      <c r="A130" s="318"/>
      <c r="B130" s="303"/>
      <c r="D130" s="303"/>
      <c r="O130" s="303"/>
    </row>
    <row r="131" spans="1:15" x14ac:dyDescent="0.35">
      <c r="A131" s="318"/>
      <c r="B131" s="303"/>
      <c r="D131" s="303"/>
      <c r="O131" s="303"/>
    </row>
    <row r="132" spans="1:15" x14ac:dyDescent="0.35">
      <c r="A132" s="318"/>
      <c r="B132" s="303"/>
      <c r="D132" s="303"/>
      <c r="O132" s="303"/>
    </row>
    <row r="133" spans="1:15" x14ac:dyDescent="0.35">
      <c r="A133" s="318"/>
      <c r="B133" s="303"/>
      <c r="D133" s="303"/>
      <c r="O133" s="303"/>
    </row>
    <row r="134" spans="1:15" x14ac:dyDescent="0.35">
      <c r="A134" s="318"/>
      <c r="B134" s="303"/>
      <c r="D134" s="303"/>
      <c r="O134" s="303"/>
    </row>
    <row r="135" spans="1:15" x14ac:dyDescent="0.35">
      <c r="A135" s="318"/>
      <c r="B135" s="303"/>
      <c r="D135" s="303"/>
      <c r="O135" s="303"/>
    </row>
    <row r="136" spans="1:15" x14ac:dyDescent="0.35">
      <c r="A136" s="318"/>
      <c r="B136" s="303"/>
      <c r="D136" s="303"/>
      <c r="O136" s="303"/>
    </row>
    <row r="137" spans="1:15" x14ac:dyDescent="0.35">
      <c r="A137" s="318"/>
      <c r="B137" s="303"/>
      <c r="D137" s="303"/>
      <c r="O137" s="303"/>
    </row>
    <row r="138" spans="1:15" x14ac:dyDescent="0.35">
      <c r="A138" s="318"/>
      <c r="B138" s="303"/>
      <c r="D138" s="303"/>
      <c r="O138" s="303"/>
    </row>
    <row r="139" spans="1:15" x14ac:dyDescent="0.35">
      <c r="A139" s="318"/>
      <c r="B139" s="303"/>
      <c r="D139" s="303"/>
      <c r="O139" s="303"/>
    </row>
    <row r="140" spans="1:15" x14ac:dyDescent="0.35">
      <c r="A140" s="318"/>
      <c r="B140" s="303"/>
      <c r="D140" s="303"/>
      <c r="O140" s="303"/>
    </row>
    <row r="141" spans="1:15" x14ac:dyDescent="0.35">
      <c r="A141" s="318"/>
      <c r="B141" s="303"/>
      <c r="D141" s="303"/>
      <c r="O141" s="303"/>
    </row>
    <row r="142" spans="1:15" x14ac:dyDescent="0.35">
      <c r="A142" s="318"/>
      <c r="B142" s="303"/>
      <c r="D142" s="303"/>
      <c r="O142" s="303"/>
    </row>
    <row r="143" spans="1:15" x14ac:dyDescent="0.35">
      <c r="A143" s="318"/>
      <c r="B143" s="303"/>
      <c r="D143" s="303"/>
      <c r="O143" s="303"/>
    </row>
    <row r="144" spans="1:15" x14ac:dyDescent="0.35">
      <c r="A144" s="318"/>
      <c r="B144" s="303"/>
      <c r="D144" s="303"/>
      <c r="O144" s="303"/>
    </row>
    <row r="145" spans="1:15" x14ac:dyDescent="0.35">
      <c r="A145" s="318"/>
      <c r="B145" s="303"/>
      <c r="D145" s="303"/>
      <c r="O145" s="303"/>
    </row>
    <row r="146" spans="1:15" x14ac:dyDescent="0.35">
      <c r="A146" s="318"/>
      <c r="B146" s="303"/>
      <c r="D146" s="303"/>
      <c r="O146" s="303"/>
    </row>
    <row r="147" spans="1:15" x14ac:dyDescent="0.35">
      <c r="A147" s="318"/>
      <c r="B147" s="303"/>
      <c r="D147" s="303"/>
      <c r="O147" s="303"/>
    </row>
    <row r="148" spans="1:15" x14ac:dyDescent="0.35">
      <c r="A148" s="318"/>
      <c r="B148" s="303"/>
      <c r="D148" s="303"/>
      <c r="O148" s="303"/>
    </row>
    <row r="149" spans="1:15" x14ac:dyDescent="0.35">
      <c r="A149" s="318"/>
      <c r="B149" s="303"/>
      <c r="D149" s="303"/>
      <c r="O149" s="303"/>
    </row>
    <row r="150" spans="1:15" x14ac:dyDescent="0.35">
      <c r="A150" s="318"/>
      <c r="B150" s="303"/>
      <c r="D150" s="303"/>
      <c r="O150" s="303"/>
    </row>
    <row r="151" spans="1:15" x14ac:dyDescent="0.35">
      <c r="A151" s="318"/>
      <c r="B151" s="303"/>
      <c r="D151" s="303"/>
      <c r="O151" s="303"/>
    </row>
    <row r="152" spans="1:15" x14ac:dyDescent="0.35">
      <c r="A152" s="318"/>
      <c r="B152" s="303"/>
      <c r="D152" s="303"/>
      <c r="O152" s="303"/>
    </row>
    <row r="153" spans="1:15" x14ac:dyDescent="0.35">
      <c r="A153" s="318"/>
      <c r="B153" s="303"/>
      <c r="D153" s="303"/>
      <c r="O153" s="303"/>
    </row>
    <row r="154" spans="1:15" x14ac:dyDescent="0.35">
      <c r="A154" s="318"/>
      <c r="B154" s="303"/>
      <c r="D154" s="303"/>
      <c r="O154" s="303"/>
    </row>
    <row r="155" spans="1:15" x14ac:dyDescent="0.35">
      <c r="A155" s="318"/>
      <c r="B155" s="303"/>
      <c r="D155" s="303"/>
      <c r="O155" s="303"/>
    </row>
    <row r="156" spans="1:15" x14ac:dyDescent="0.35">
      <c r="A156" s="318"/>
      <c r="B156" s="303"/>
      <c r="D156" s="303"/>
      <c r="O156" s="303"/>
    </row>
    <row r="157" spans="1:15" x14ac:dyDescent="0.35">
      <c r="A157" s="318"/>
      <c r="B157" s="303"/>
      <c r="D157" s="303"/>
      <c r="O157" s="303"/>
    </row>
    <row r="158" spans="1:15" x14ac:dyDescent="0.35">
      <c r="A158" s="318"/>
      <c r="B158" s="303"/>
      <c r="D158" s="303"/>
      <c r="O158" s="303"/>
    </row>
    <row r="159" spans="1:15" x14ac:dyDescent="0.35">
      <c r="A159" s="318"/>
      <c r="B159" s="303"/>
      <c r="D159" s="303"/>
      <c r="O159" s="303"/>
    </row>
    <row r="160" spans="1:15" x14ac:dyDescent="0.35">
      <c r="A160" s="318"/>
      <c r="B160" s="303"/>
      <c r="D160" s="303"/>
      <c r="O160" s="303"/>
    </row>
    <row r="161" spans="1:15" x14ac:dyDescent="0.35">
      <c r="A161" s="318"/>
      <c r="B161" s="303"/>
      <c r="D161" s="303"/>
      <c r="O161" s="303"/>
    </row>
    <row r="162" spans="1:15" x14ac:dyDescent="0.35">
      <c r="A162" s="318"/>
      <c r="B162" s="303"/>
      <c r="D162" s="303"/>
      <c r="O162" s="303"/>
    </row>
    <row r="163" spans="1:15" x14ac:dyDescent="0.35">
      <c r="A163" s="318"/>
      <c r="B163" s="303"/>
      <c r="D163" s="303"/>
      <c r="O163" s="303"/>
    </row>
    <row r="164" spans="1:15" x14ac:dyDescent="0.35">
      <c r="A164" s="318"/>
      <c r="B164" s="303"/>
      <c r="D164" s="303"/>
      <c r="O164" s="303"/>
    </row>
    <row r="165" spans="1:15" x14ac:dyDescent="0.35">
      <c r="A165" s="318"/>
      <c r="B165" s="303"/>
      <c r="D165" s="303"/>
      <c r="O165" s="303"/>
    </row>
    <row r="166" spans="1:15" x14ac:dyDescent="0.35">
      <c r="A166" s="318"/>
      <c r="B166" s="303"/>
      <c r="D166" s="303"/>
      <c r="O166" s="303"/>
    </row>
    <row r="167" spans="1:15" x14ac:dyDescent="0.35">
      <c r="A167" s="318"/>
      <c r="B167" s="303"/>
      <c r="D167" s="303"/>
      <c r="O167" s="303"/>
    </row>
    <row r="168" spans="1:15" x14ac:dyDescent="0.35">
      <c r="A168" s="318"/>
      <c r="B168" s="303"/>
      <c r="D168" s="303"/>
      <c r="O168" s="303"/>
    </row>
    <row r="169" spans="1:15" x14ac:dyDescent="0.35">
      <c r="A169" s="318"/>
      <c r="B169" s="303"/>
      <c r="D169" s="303"/>
      <c r="O169" s="303"/>
    </row>
    <row r="170" spans="1:15" x14ac:dyDescent="0.35">
      <c r="A170" s="318"/>
      <c r="B170" s="303"/>
      <c r="D170" s="303"/>
      <c r="O170" s="303"/>
    </row>
    <row r="171" spans="1:15" x14ac:dyDescent="0.35">
      <c r="A171" s="318"/>
      <c r="B171" s="303"/>
      <c r="D171" s="303"/>
      <c r="O171" s="303"/>
    </row>
    <row r="172" spans="1:15" x14ac:dyDescent="0.35">
      <c r="A172" s="318"/>
      <c r="B172" s="303"/>
      <c r="D172" s="303"/>
      <c r="O172" s="303"/>
    </row>
    <row r="173" spans="1:15" x14ac:dyDescent="0.35">
      <c r="A173" s="318"/>
      <c r="B173" s="303"/>
      <c r="D173" s="303"/>
      <c r="O173" s="303"/>
    </row>
    <row r="174" spans="1:15" x14ac:dyDescent="0.35">
      <c r="A174" s="318"/>
      <c r="B174" s="303"/>
      <c r="D174" s="303"/>
      <c r="O174" s="303"/>
    </row>
    <row r="175" spans="1:15" x14ac:dyDescent="0.35">
      <c r="A175" s="318"/>
      <c r="B175" s="303"/>
      <c r="D175" s="303"/>
      <c r="O175" s="303"/>
    </row>
    <row r="176" spans="1:15" x14ac:dyDescent="0.35">
      <c r="A176" s="318"/>
      <c r="B176" s="303"/>
      <c r="D176" s="303"/>
      <c r="O176" s="303"/>
    </row>
    <row r="177" spans="1:15" x14ac:dyDescent="0.35">
      <c r="A177" s="318"/>
      <c r="B177" s="303"/>
      <c r="D177" s="303"/>
      <c r="O177" s="303"/>
    </row>
    <row r="178" spans="1:15" x14ac:dyDescent="0.35">
      <c r="A178" s="318"/>
      <c r="B178" s="303"/>
      <c r="D178" s="303"/>
      <c r="O178" s="303"/>
    </row>
    <row r="179" spans="1:15" x14ac:dyDescent="0.35">
      <c r="A179" s="318"/>
      <c r="B179" s="303"/>
      <c r="D179" s="303"/>
      <c r="O179" s="303"/>
    </row>
    <row r="180" spans="1:15" x14ac:dyDescent="0.35">
      <c r="A180" s="318"/>
      <c r="B180" s="303"/>
      <c r="D180" s="303"/>
      <c r="O180" s="303"/>
    </row>
    <row r="181" spans="1:15" x14ac:dyDescent="0.35">
      <c r="A181" s="318"/>
      <c r="B181" s="303"/>
      <c r="D181" s="303"/>
      <c r="O181" s="303"/>
    </row>
    <row r="182" spans="1:15" x14ac:dyDescent="0.35">
      <c r="A182" s="318"/>
      <c r="B182" s="303"/>
      <c r="D182" s="303"/>
      <c r="O182" s="303"/>
    </row>
    <row r="183" spans="1:15" x14ac:dyDescent="0.35">
      <c r="A183" s="318"/>
      <c r="B183" s="303"/>
      <c r="D183" s="303"/>
      <c r="O183" s="303"/>
    </row>
    <row r="184" spans="1:15" x14ac:dyDescent="0.35">
      <c r="A184" s="318"/>
      <c r="B184" s="303"/>
      <c r="D184" s="303"/>
      <c r="O184" s="303"/>
    </row>
    <row r="185" spans="1:15" x14ac:dyDescent="0.35">
      <c r="A185" s="318"/>
      <c r="B185" s="303"/>
      <c r="D185" s="303"/>
      <c r="O185" s="303"/>
    </row>
    <row r="186" spans="1:15" x14ac:dyDescent="0.35">
      <c r="A186" s="318"/>
      <c r="B186" s="303"/>
      <c r="D186" s="303"/>
      <c r="O186" s="303"/>
    </row>
    <row r="187" spans="1:15" x14ac:dyDescent="0.35">
      <c r="A187" s="318"/>
      <c r="B187" s="303"/>
      <c r="D187" s="303"/>
      <c r="O187" s="303"/>
    </row>
    <row r="188" spans="1:15" x14ac:dyDescent="0.35">
      <c r="A188" s="318"/>
      <c r="B188" s="303"/>
      <c r="D188" s="303"/>
      <c r="O188" s="303"/>
    </row>
    <row r="189" spans="1:15" x14ac:dyDescent="0.35">
      <c r="A189" s="318"/>
      <c r="B189" s="303"/>
      <c r="D189" s="303"/>
      <c r="O189" s="303"/>
    </row>
    <row r="190" spans="1:15" x14ac:dyDescent="0.35">
      <c r="A190" s="318"/>
      <c r="B190" s="303"/>
      <c r="D190" s="303"/>
      <c r="O190" s="303"/>
    </row>
    <row r="191" spans="1:15" x14ac:dyDescent="0.35">
      <c r="A191" s="318"/>
      <c r="B191" s="303"/>
      <c r="D191" s="303"/>
      <c r="O191" s="303"/>
    </row>
    <row r="192" spans="1:15" x14ac:dyDescent="0.35">
      <c r="A192" s="318"/>
      <c r="B192" s="303"/>
      <c r="D192" s="303"/>
      <c r="O192" s="303"/>
    </row>
    <row r="193" spans="1:15" x14ac:dyDescent="0.35">
      <c r="A193" s="318"/>
      <c r="B193" s="303"/>
      <c r="D193" s="303"/>
      <c r="O193" s="303"/>
    </row>
    <row r="194" spans="1:15" x14ac:dyDescent="0.35">
      <c r="A194" s="318"/>
      <c r="B194" s="303"/>
      <c r="D194" s="303"/>
      <c r="O194" s="303"/>
    </row>
    <row r="195" spans="1:15" x14ac:dyDescent="0.35">
      <c r="A195" s="318"/>
      <c r="B195" s="303"/>
      <c r="D195" s="303"/>
      <c r="O195" s="303"/>
    </row>
    <row r="196" spans="1:15" x14ac:dyDescent="0.35">
      <c r="A196" s="318"/>
      <c r="B196" s="303"/>
      <c r="D196" s="303"/>
      <c r="O196" s="303"/>
    </row>
    <row r="197" spans="1:15" x14ac:dyDescent="0.35">
      <c r="A197" s="318"/>
      <c r="B197" s="303"/>
      <c r="D197" s="303"/>
      <c r="O197" s="303"/>
    </row>
    <row r="198" spans="1:15" x14ac:dyDescent="0.35">
      <c r="A198" s="318"/>
      <c r="B198" s="303"/>
      <c r="D198" s="303"/>
      <c r="O198" s="303"/>
    </row>
    <row r="199" spans="1:15" x14ac:dyDescent="0.35">
      <c r="A199" s="318"/>
      <c r="B199" s="303"/>
      <c r="D199" s="303"/>
      <c r="O199" s="303"/>
    </row>
    <row r="200" spans="1:15" x14ac:dyDescent="0.35">
      <c r="A200" s="318"/>
      <c r="B200" s="303"/>
      <c r="D200" s="303"/>
      <c r="O200" s="303"/>
    </row>
    <row r="201" spans="1:15" x14ac:dyDescent="0.35">
      <c r="A201" s="318"/>
      <c r="B201" s="303"/>
      <c r="D201" s="303"/>
      <c r="O201" s="303"/>
    </row>
    <row r="202" spans="1:15" x14ac:dyDescent="0.35">
      <c r="A202" s="318"/>
      <c r="B202" s="303"/>
      <c r="D202" s="303"/>
      <c r="O202" s="303"/>
    </row>
    <row r="203" spans="1:15" x14ac:dyDescent="0.35">
      <c r="A203" s="318"/>
      <c r="B203" s="303"/>
      <c r="D203" s="303"/>
      <c r="O203" s="303"/>
    </row>
    <row r="204" spans="1:15" x14ac:dyDescent="0.35">
      <c r="A204" s="318"/>
      <c r="B204" s="303"/>
      <c r="D204" s="303"/>
      <c r="O204" s="303"/>
    </row>
    <row r="205" spans="1:15" x14ac:dyDescent="0.35">
      <c r="A205" s="318"/>
      <c r="B205" s="303"/>
      <c r="D205" s="303"/>
      <c r="O205" s="303"/>
    </row>
    <row r="206" spans="1:15" x14ac:dyDescent="0.35">
      <c r="A206" s="318"/>
      <c r="B206" s="303"/>
      <c r="D206" s="303"/>
      <c r="O206" s="303"/>
    </row>
    <row r="207" spans="1:15" x14ac:dyDescent="0.35">
      <c r="A207" s="318"/>
      <c r="B207" s="303"/>
      <c r="D207" s="303"/>
      <c r="O207" s="303"/>
    </row>
    <row r="208" spans="1:15" x14ac:dyDescent="0.35">
      <c r="A208" s="318"/>
      <c r="B208" s="303"/>
      <c r="D208" s="303"/>
      <c r="O208" s="303"/>
    </row>
    <row r="209" spans="1:15" x14ac:dyDescent="0.35">
      <c r="A209" s="318"/>
      <c r="B209" s="303"/>
      <c r="D209" s="303"/>
      <c r="O209" s="303"/>
    </row>
    <row r="210" spans="1:15" x14ac:dyDescent="0.35">
      <c r="A210" s="318"/>
      <c r="B210" s="303"/>
      <c r="D210" s="303"/>
      <c r="O210" s="303"/>
    </row>
    <row r="211" spans="1:15" x14ac:dyDescent="0.35">
      <c r="A211" s="318"/>
      <c r="B211" s="303"/>
      <c r="D211" s="303"/>
      <c r="O211" s="303"/>
    </row>
    <row r="212" spans="1:15" x14ac:dyDescent="0.35">
      <c r="A212" s="318"/>
      <c r="B212" s="303"/>
      <c r="D212" s="303"/>
      <c r="O212" s="303"/>
    </row>
    <row r="213" spans="1:15" x14ac:dyDescent="0.35">
      <c r="A213" s="318"/>
      <c r="B213" s="303"/>
      <c r="D213" s="303"/>
      <c r="O213" s="303"/>
    </row>
    <row r="214" spans="1:15" x14ac:dyDescent="0.35">
      <c r="A214" s="318"/>
      <c r="B214" s="303"/>
      <c r="D214" s="303"/>
      <c r="O214" s="303"/>
    </row>
    <row r="215" spans="1:15" x14ac:dyDescent="0.35">
      <c r="A215" s="318"/>
      <c r="B215" s="303"/>
      <c r="D215" s="303"/>
      <c r="O215" s="303"/>
    </row>
    <row r="216" spans="1:15" x14ac:dyDescent="0.35">
      <c r="A216" s="318"/>
      <c r="B216" s="303"/>
      <c r="D216" s="303"/>
      <c r="O216" s="303"/>
    </row>
    <row r="217" spans="1:15" x14ac:dyDescent="0.35">
      <c r="A217" s="318"/>
      <c r="B217" s="303"/>
      <c r="D217" s="303"/>
      <c r="O217" s="303"/>
    </row>
    <row r="218" spans="1:15" x14ac:dyDescent="0.35">
      <c r="A218" s="318"/>
      <c r="B218" s="303"/>
      <c r="D218" s="303"/>
      <c r="O218" s="303"/>
    </row>
    <row r="219" spans="1:15" x14ac:dyDescent="0.35">
      <c r="A219" s="318"/>
      <c r="B219" s="303"/>
      <c r="D219" s="303"/>
      <c r="O219" s="303"/>
    </row>
    <row r="220" spans="1:15" x14ac:dyDescent="0.35">
      <c r="A220" s="318"/>
      <c r="B220" s="303"/>
      <c r="D220" s="303"/>
      <c r="O220" s="303"/>
    </row>
    <row r="221" spans="1:15" x14ac:dyDescent="0.35">
      <c r="A221" s="318"/>
      <c r="B221" s="303"/>
      <c r="D221" s="303"/>
      <c r="O221" s="303"/>
    </row>
    <row r="222" spans="1:15" x14ac:dyDescent="0.35">
      <c r="A222" s="318"/>
      <c r="B222" s="303"/>
      <c r="D222" s="303"/>
      <c r="O222" s="303"/>
    </row>
    <row r="223" spans="1:15" x14ac:dyDescent="0.35">
      <c r="A223" s="318"/>
      <c r="B223" s="303"/>
      <c r="D223" s="303"/>
      <c r="O223" s="303"/>
    </row>
    <row r="224" spans="1:15" x14ac:dyDescent="0.35">
      <c r="A224" s="318"/>
      <c r="B224" s="303"/>
      <c r="D224" s="303"/>
      <c r="O224" s="303"/>
    </row>
    <row r="225" spans="1:15" x14ac:dyDescent="0.35">
      <c r="A225" s="318"/>
      <c r="B225" s="303"/>
      <c r="D225" s="303"/>
      <c r="O225" s="303"/>
    </row>
    <row r="226" spans="1:15" x14ac:dyDescent="0.35">
      <c r="A226" s="318"/>
      <c r="B226" s="303"/>
      <c r="D226" s="303"/>
      <c r="O226" s="303"/>
    </row>
    <row r="227" spans="1:15" x14ac:dyDescent="0.35">
      <c r="A227" s="318"/>
      <c r="B227" s="303"/>
      <c r="D227" s="303"/>
      <c r="O227" s="303"/>
    </row>
    <row r="228" spans="1:15" x14ac:dyDescent="0.35">
      <c r="A228" s="318"/>
      <c r="B228" s="303"/>
      <c r="D228" s="303"/>
      <c r="O228" s="303"/>
    </row>
    <row r="229" spans="1:15" x14ac:dyDescent="0.35">
      <c r="A229" s="318"/>
      <c r="B229" s="303"/>
      <c r="D229" s="303"/>
      <c r="O229" s="303"/>
    </row>
    <row r="230" spans="1:15" x14ac:dyDescent="0.35">
      <c r="A230" s="318"/>
      <c r="B230" s="303"/>
      <c r="D230" s="303"/>
      <c r="O230" s="303"/>
    </row>
    <row r="231" spans="1:15" x14ac:dyDescent="0.35">
      <c r="A231" s="318"/>
      <c r="B231" s="303"/>
      <c r="D231" s="303"/>
      <c r="O231" s="303"/>
    </row>
    <row r="232" spans="1:15" x14ac:dyDescent="0.35">
      <c r="A232" s="318"/>
      <c r="B232" s="303"/>
      <c r="D232" s="303"/>
      <c r="O232" s="303"/>
    </row>
    <row r="233" spans="1:15" x14ac:dyDescent="0.35">
      <c r="A233" s="318"/>
      <c r="B233" s="303"/>
      <c r="D233" s="303"/>
      <c r="O233" s="303"/>
    </row>
    <row r="234" spans="1:15" x14ac:dyDescent="0.35">
      <c r="A234" s="318"/>
      <c r="B234" s="303"/>
      <c r="D234" s="303"/>
      <c r="O234" s="303"/>
    </row>
    <row r="235" spans="1:15" x14ac:dyDescent="0.35">
      <c r="A235" s="318"/>
      <c r="B235" s="303"/>
      <c r="D235" s="303"/>
      <c r="O235" s="303"/>
    </row>
    <row r="236" spans="1:15" x14ac:dyDescent="0.35">
      <c r="A236" s="318"/>
      <c r="B236" s="303"/>
      <c r="D236" s="303"/>
      <c r="O236" s="303"/>
    </row>
    <row r="237" spans="1:15" x14ac:dyDescent="0.35">
      <c r="A237" s="318"/>
      <c r="B237" s="303"/>
      <c r="D237" s="303"/>
      <c r="O237" s="303"/>
    </row>
    <row r="238" spans="1:15" x14ac:dyDescent="0.35">
      <c r="A238" s="318"/>
      <c r="B238" s="303"/>
      <c r="D238" s="303"/>
      <c r="O238" s="303"/>
    </row>
    <row r="239" spans="1:15" x14ac:dyDescent="0.35">
      <c r="A239" s="318"/>
      <c r="B239" s="303"/>
      <c r="D239" s="303"/>
      <c r="O239" s="303"/>
    </row>
    <row r="240" spans="1:15" x14ac:dyDescent="0.35">
      <c r="A240" s="318"/>
      <c r="B240" s="303"/>
      <c r="D240" s="303"/>
      <c r="O240" s="303"/>
    </row>
    <row r="241" spans="1:15" x14ac:dyDescent="0.35">
      <c r="A241" s="318"/>
      <c r="B241" s="303"/>
      <c r="D241" s="303"/>
      <c r="O241" s="303"/>
    </row>
    <row r="242" spans="1:15" x14ac:dyDescent="0.35">
      <c r="A242" s="318"/>
      <c r="B242" s="303"/>
      <c r="D242" s="303"/>
      <c r="O242" s="303"/>
    </row>
    <row r="243" spans="1:15" x14ac:dyDescent="0.35">
      <c r="A243" s="318"/>
      <c r="B243" s="303"/>
      <c r="D243" s="303"/>
      <c r="O243" s="303"/>
    </row>
    <row r="244" spans="1:15" x14ac:dyDescent="0.35">
      <c r="A244" s="318"/>
      <c r="B244" s="303"/>
      <c r="D244" s="303"/>
      <c r="O244" s="303"/>
    </row>
    <row r="245" spans="1:15" x14ac:dyDescent="0.35">
      <c r="A245" s="318"/>
      <c r="B245" s="303"/>
      <c r="D245" s="303"/>
      <c r="O245" s="303"/>
    </row>
    <row r="246" spans="1:15" x14ac:dyDescent="0.35">
      <c r="A246" s="318"/>
      <c r="B246" s="303"/>
      <c r="D246" s="303"/>
      <c r="O246" s="303"/>
    </row>
    <row r="247" spans="1:15" x14ac:dyDescent="0.35">
      <c r="A247" s="318"/>
      <c r="B247" s="303"/>
      <c r="D247" s="303"/>
      <c r="O247" s="303"/>
    </row>
    <row r="248" spans="1:15" x14ac:dyDescent="0.35">
      <c r="A248" s="318"/>
      <c r="B248" s="303"/>
      <c r="D248" s="303"/>
      <c r="O248" s="303"/>
    </row>
    <row r="249" spans="1:15" x14ac:dyDescent="0.35">
      <c r="A249" s="318"/>
      <c r="B249" s="303"/>
      <c r="D249" s="303"/>
      <c r="O249" s="303"/>
    </row>
    <row r="250" spans="1:15" x14ac:dyDescent="0.35">
      <c r="A250" s="318"/>
      <c r="B250" s="303"/>
      <c r="D250" s="303"/>
      <c r="O250" s="303"/>
    </row>
    <row r="251" spans="1:15" x14ac:dyDescent="0.35">
      <c r="A251" s="318"/>
      <c r="B251" s="303"/>
      <c r="D251" s="303"/>
      <c r="O251" s="303"/>
    </row>
    <row r="252" spans="1:15" x14ac:dyDescent="0.35">
      <c r="A252" s="318"/>
      <c r="B252" s="303"/>
      <c r="D252" s="303"/>
      <c r="O252" s="303"/>
    </row>
    <row r="253" spans="1:15" x14ac:dyDescent="0.35">
      <c r="A253" s="318"/>
      <c r="B253" s="303"/>
      <c r="D253" s="303"/>
      <c r="O253" s="303"/>
    </row>
    <row r="254" spans="1:15" x14ac:dyDescent="0.35">
      <c r="A254" s="318"/>
      <c r="B254" s="303"/>
      <c r="D254" s="303"/>
      <c r="O254" s="303"/>
    </row>
    <row r="255" spans="1:15" x14ac:dyDescent="0.35">
      <c r="A255" s="318"/>
      <c r="B255" s="303"/>
      <c r="D255" s="303"/>
      <c r="O255" s="303"/>
    </row>
    <row r="256" spans="1:15" x14ac:dyDescent="0.35">
      <c r="A256" s="318"/>
      <c r="B256" s="303"/>
      <c r="D256" s="303"/>
      <c r="O256" s="303"/>
    </row>
    <row r="257" spans="1:15" x14ac:dyDescent="0.35">
      <c r="A257" s="318"/>
      <c r="B257" s="303"/>
      <c r="D257" s="303"/>
      <c r="O257" s="303"/>
    </row>
    <row r="258" spans="1:15" x14ac:dyDescent="0.35">
      <c r="A258" s="318"/>
      <c r="B258" s="303"/>
      <c r="D258" s="303"/>
      <c r="O258" s="303"/>
    </row>
    <row r="259" spans="1:15" x14ac:dyDescent="0.35">
      <c r="A259" s="318"/>
      <c r="B259" s="303"/>
      <c r="D259" s="303"/>
      <c r="O259" s="303"/>
    </row>
    <row r="260" spans="1:15" x14ac:dyDescent="0.35">
      <c r="A260" s="318"/>
      <c r="B260" s="303"/>
      <c r="D260" s="303"/>
      <c r="O260" s="303"/>
    </row>
    <row r="261" spans="1:15" x14ac:dyDescent="0.35">
      <c r="A261" s="318"/>
      <c r="B261" s="303"/>
      <c r="D261" s="303"/>
      <c r="O261" s="303"/>
    </row>
    <row r="262" spans="1:15" x14ac:dyDescent="0.35">
      <c r="A262" s="318"/>
      <c r="B262" s="303"/>
      <c r="D262" s="303"/>
      <c r="O262" s="303"/>
    </row>
    <row r="263" spans="1:15" x14ac:dyDescent="0.35">
      <c r="A263" s="318"/>
      <c r="B263" s="303"/>
      <c r="D263" s="303"/>
      <c r="O263" s="303"/>
    </row>
    <row r="264" spans="1:15" x14ac:dyDescent="0.35">
      <c r="A264" s="318"/>
      <c r="B264" s="303"/>
      <c r="D264" s="303"/>
      <c r="O264" s="303"/>
    </row>
    <row r="265" spans="1:15" x14ac:dyDescent="0.35">
      <c r="A265" s="318"/>
      <c r="B265" s="303"/>
      <c r="D265" s="303"/>
      <c r="O265" s="303"/>
    </row>
    <row r="266" spans="1:15" x14ac:dyDescent="0.35">
      <c r="A266" s="318"/>
      <c r="B266" s="303"/>
      <c r="D266" s="303"/>
      <c r="O266" s="303"/>
    </row>
    <row r="267" spans="1:15" x14ac:dyDescent="0.35">
      <c r="A267" s="318"/>
      <c r="B267" s="303"/>
      <c r="D267" s="303"/>
      <c r="O267" s="303"/>
    </row>
    <row r="268" spans="1:15" x14ac:dyDescent="0.35">
      <c r="A268" s="318"/>
      <c r="B268" s="303"/>
      <c r="D268" s="303"/>
      <c r="O268" s="303"/>
    </row>
    <row r="269" spans="1:15" x14ac:dyDescent="0.35">
      <c r="A269" s="318"/>
      <c r="B269" s="303"/>
      <c r="D269" s="303"/>
      <c r="O269" s="303"/>
    </row>
    <row r="270" spans="1:15" x14ac:dyDescent="0.35">
      <c r="A270" s="318"/>
      <c r="B270" s="303"/>
      <c r="D270" s="303"/>
      <c r="O270" s="303"/>
    </row>
    <row r="271" spans="1:15" x14ac:dyDescent="0.35">
      <c r="A271" s="318"/>
      <c r="B271" s="303"/>
      <c r="D271" s="303"/>
      <c r="O271" s="303"/>
    </row>
    <row r="272" spans="1:15" x14ac:dyDescent="0.35">
      <c r="A272" s="318"/>
      <c r="B272" s="303"/>
      <c r="D272" s="303"/>
      <c r="O272" s="303"/>
    </row>
    <row r="273" spans="1:15" x14ac:dyDescent="0.35">
      <c r="A273" s="318"/>
      <c r="B273" s="303"/>
      <c r="D273" s="303"/>
      <c r="O273" s="303"/>
    </row>
    <row r="274" spans="1:15" x14ac:dyDescent="0.35">
      <c r="A274" s="318"/>
      <c r="B274" s="303"/>
      <c r="D274" s="303"/>
      <c r="O274" s="303"/>
    </row>
    <row r="275" spans="1:15" x14ac:dyDescent="0.35">
      <c r="A275" s="318"/>
      <c r="B275" s="303"/>
      <c r="D275" s="303"/>
      <c r="O275" s="303"/>
    </row>
    <row r="276" spans="1:15" x14ac:dyDescent="0.35">
      <c r="A276" s="318"/>
      <c r="B276" s="303"/>
      <c r="D276" s="303"/>
      <c r="O276" s="303"/>
    </row>
    <row r="277" spans="1:15" x14ac:dyDescent="0.35">
      <c r="A277" s="318"/>
      <c r="B277" s="303"/>
      <c r="D277" s="303"/>
      <c r="O277" s="303"/>
    </row>
    <row r="278" spans="1:15" x14ac:dyDescent="0.35">
      <c r="A278" s="318"/>
      <c r="B278" s="303"/>
      <c r="D278" s="303"/>
      <c r="O278" s="303"/>
    </row>
    <row r="279" spans="1:15" x14ac:dyDescent="0.35">
      <c r="A279" s="318"/>
      <c r="B279" s="303"/>
      <c r="D279" s="303"/>
      <c r="O279" s="303"/>
    </row>
    <row r="280" spans="1:15" x14ac:dyDescent="0.35">
      <c r="A280" s="318"/>
      <c r="B280" s="303"/>
      <c r="D280" s="303"/>
      <c r="O280" s="303"/>
    </row>
    <row r="281" spans="1:15" x14ac:dyDescent="0.35">
      <c r="A281" s="318"/>
      <c r="B281" s="303"/>
      <c r="D281" s="303"/>
      <c r="O281" s="303"/>
    </row>
    <row r="282" spans="1:15" x14ac:dyDescent="0.35">
      <c r="A282" s="318"/>
      <c r="B282" s="303"/>
      <c r="D282" s="303"/>
      <c r="O282" s="303"/>
    </row>
    <row r="283" spans="1:15" x14ac:dyDescent="0.35">
      <c r="A283" s="318"/>
      <c r="B283" s="303"/>
      <c r="D283" s="303"/>
      <c r="O283" s="303"/>
    </row>
    <row r="284" spans="1:15" x14ac:dyDescent="0.35">
      <c r="A284" s="318"/>
      <c r="B284" s="303"/>
      <c r="D284" s="303"/>
      <c r="O284" s="303"/>
    </row>
    <row r="285" spans="1:15" x14ac:dyDescent="0.35">
      <c r="A285" s="318"/>
      <c r="B285" s="303"/>
      <c r="D285" s="303"/>
      <c r="O285" s="303"/>
    </row>
    <row r="286" spans="1:15" x14ac:dyDescent="0.35">
      <c r="A286" s="318"/>
      <c r="B286" s="303"/>
      <c r="D286" s="303"/>
      <c r="O286" s="303"/>
    </row>
    <row r="287" spans="1:15" x14ac:dyDescent="0.35">
      <c r="A287" s="318"/>
      <c r="B287" s="303"/>
      <c r="D287" s="303"/>
      <c r="O287" s="303"/>
    </row>
    <row r="288" spans="1:15" x14ac:dyDescent="0.35">
      <c r="A288" s="318"/>
      <c r="B288" s="303"/>
      <c r="D288" s="303"/>
      <c r="O288" s="303"/>
    </row>
    <row r="289" spans="1:15" x14ac:dyDescent="0.35">
      <c r="A289" s="318"/>
      <c r="B289" s="303"/>
      <c r="D289" s="303"/>
      <c r="O289" s="303"/>
    </row>
    <row r="290" spans="1:15" x14ac:dyDescent="0.35">
      <c r="A290" s="318"/>
      <c r="B290" s="303"/>
      <c r="D290" s="303"/>
      <c r="O290" s="303"/>
    </row>
    <row r="291" spans="1:15" x14ac:dyDescent="0.35">
      <c r="A291" s="318"/>
      <c r="B291" s="303"/>
      <c r="D291" s="303"/>
      <c r="O291" s="303"/>
    </row>
    <row r="292" spans="1:15" x14ac:dyDescent="0.35">
      <c r="A292" s="318"/>
      <c r="B292" s="303"/>
      <c r="D292" s="303"/>
      <c r="O292" s="303"/>
    </row>
    <row r="293" spans="1:15" x14ac:dyDescent="0.35">
      <c r="A293" s="318"/>
      <c r="B293" s="303"/>
      <c r="D293" s="303"/>
      <c r="O293" s="303"/>
    </row>
    <row r="294" spans="1:15" x14ac:dyDescent="0.35">
      <c r="A294" s="318"/>
      <c r="B294" s="303"/>
      <c r="D294" s="303"/>
      <c r="O294" s="303"/>
    </row>
    <row r="295" spans="1:15" x14ac:dyDescent="0.35">
      <c r="A295" s="318"/>
      <c r="B295" s="303"/>
      <c r="D295" s="303"/>
      <c r="O295" s="303"/>
    </row>
    <row r="296" spans="1:15" x14ac:dyDescent="0.35">
      <c r="A296" s="318"/>
      <c r="B296" s="303"/>
      <c r="D296" s="303"/>
      <c r="O296" s="303"/>
    </row>
    <row r="297" spans="1:15" x14ac:dyDescent="0.35">
      <c r="A297" s="318"/>
      <c r="B297" s="303"/>
      <c r="D297" s="303"/>
      <c r="O297" s="303"/>
    </row>
    <row r="298" spans="1:15" x14ac:dyDescent="0.35">
      <c r="A298" s="318"/>
      <c r="B298" s="303"/>
      <c r="D298" s="303"/>
      <c r="O298" s="303"/>
    </row>
    <row r="299" spans="1:15" x14ac:dyDescent="0.35">
      <c r="A299" s="318"/>
      <c r="B299" s="303"/>
      <c r="D299" s="303"/>
      <c r="O299" s="303"/>
    </row>
    <row r="300" spans="1:15" x14ac:dyDescent="0.35">
      <c r="A300" s="318"/>
      <c r="B300" s="303"/>
      <c r="D300" s="303"/>
      <c r="O300" s="303"/>
    </row>
    <row r="301" spans="1:15" x14ac:dyDescent="0.35">
      <c r="A301" s="318"/>
      <c r="B301" s="303"/>
      <c r="D301" s="303"/>
      <c r="O301" s="303"/>
    </row>
    <row r="302" spans="1:15" x14ac:dyDescent="0.35">
      <c r="A302" s="318"/>
      <c r="B302" s="303"/>
      <c r="D302" s="303"/>
      <c r="O302" s="303"/>
    </row>
    <row r="303" spans="1:15" x14ac:dyDescent="0.35">
      <c r="A303" s="318"/>
      <c r="B303" s="303"/>
      <c r="D303" s="303"/>
      <c r="O303" s="303"/>
    </row>
    <row r="304" spans="1:15" x14ac:dyDescent="0.35">
      <c r="A304" s="318"/>
      <c r="B304" s="303"/>
      <c r="D304" s="303"/>
      <c r="O304" s="303"/>
    </row>
    <row r="305" spans="1:15" x14ac:dyDescent="0.35">
      <c r="A305" s="318"/>
      <c r="B305" s="303"/>
      <c r="D305" s="303"/>
      <c r="O305" s="303"/>
    </row>
    <row r="306" spans="1:15" x14ac:dyDescent="0.35">
      <c r="A306" s="318"/>
      <c r="B306" s="303"/>
      <c r="D306" s="303"/>
      <c r="O306" s="303"/>
    </row>
    <row r="307" spans="1:15" x14ac:dyDescent="0.35">
      <c r="A307" s="318"/>
      <c r="B307" s="303"/>
      <c r="D307" s="303"/>
      <c r="O307" s="303"/>
    </row>
    <row r="308" spans="1:15" x14ac:dyDescent="0.35">
      <c r="A308" s="318"/>
      <c r="B308" s="303"/>
      <c r="D308" s="303"/>
      <c r="O308" s="303"/>
    </row>
    <row r="309" spans="1:15" x14ac:dyDescent="0.35">
      <c r="A309" s="318"/>
      <c r="B309" s="303"/>
      <c r="D309" s="303"/>
      <c r="O309" s="303"/>
    </row>
    <row r="310" spans="1:15" x14ac:dyDescent="0.35">
      <c r="A310" s="318"/>
      <c r="B310" s="303"/>
      <c r="D310" s="303"/>
      <c r="O310" s="303"/>
    </row>
    <row r="311" spans="1:15" x14ac:dyDescent="0.35">
      <c r="A311" s="318"/>
      <c r="B311" s="303"/>
      <c r="D311" s="303"/>
      <c r="O311" s="303"/>
    </row>
    <row r="312" spans="1:15" x14ac:dyDescent="0.35">
      <c r="A312" s="318"/>
      <c r="B312" s="303"/>
      <c r="D312" s="303"/>
      <c r="O312" s="303"/>
    </row>
    <row r="313" spans="1:15" x14ac:dyDescent="0.35">
      <c r="A313" s="318"/>
      <c r="B313" s="303"/>
      <c r="D313" s="303"/>
      <c r="O313" s="303"/>
    </row>
    <row r="314" spans="1:15" x14ac:dyDescent="0.35">
      <c r="A314" s="318"/>
      <c r="B314" s="303"/>
      <c r="D314" s="303"/>
      <c r="O314" s="303"/>
    </row>
    <row r="315" spans="1:15" x14ac:dyDescent="0.35">
      <c r="A315" s="318"/>
      <c r="B315" s="303"/>
      <c r="D315" s="303"/>
      <c r="O315" s="303"/>
    </row>
    <row r="316" spans="1:15" x14ac:dyDescent="0.35">
      <c r="A316" s="318"/>
      <c r="B316" s="303"/>
      <c r="D316" s="303"/>
      <c r="O316" s="303"/>
    </row>
    <row r="317" spans="1:15" x14ac:dyDescent="0.35">
      <c r="A317" s="318"/>
      <c r="B317" s="303"/>
      <c r="D317" s="303"/>
      <c r="O317" s="303"/>
    </row>
    <row r="318" spans="1:15" x14ac:dyDescent="0.35">
      <c r="A318" s="318"/>
      <c r="B318" s="303"/>
      <c r="D318" s="303"/>
      <c r="O318" s="303"/>
    </row>
    <row r="319" spans="1:15" x14ac:dyDescent="0.35">
      <c r="A319" s="318"/>
      <c r="B319" s="303"/>
      <c r="D319" s="303"/>
      <c r="O319" s="303"/>
    </row>
    <row r="320" spans="1:15" x14ac:dyDescent="0.35">
      <c r="A320" s="318"/>
      <c r="B320" s="303"/>
      <c r="D320" s="303"/>
      <c r="O320" s="303"/>
    </row>
    <row r="321" spans="1:15" x14ac:dyDescent="0.35">
      <c r="A321" s="318"/>
      <c r="B321" s="303"/>
      <c r="D321" s="303"/>
      <c r="O321" s="303"/>
    </row>
    <row r="322" spans="1:15" x14ac:dyDescent="0.35">
      <c r="A322" s="318"/>
      <c r="B322" s="303"/>
      <c r="D322" s="303"/>
      <c r="O322" s="303"/>
    </row>
    <row r="323" spans="1:15" x14ac:dyDescent="0.35">
      <c r="A323" s="318"/>
      <c r="B323" s="303"/>
      <c r="D323" s="303"/>
      <c r="O323" s="303"/>
    </row>
    <row r="324" spans="1:15" x14ac:dyDescent="0.35">
      <c r="A324" s="318"/>
      <c r="B324" s="303"/>
      <c r="D324" s="303"/>
      <c r="O324" s="303"/>
    </row>
    <row r="325" spans="1:15" x14ac:dyDescent="0.35">
      <c r="A325" s="318"/>
      <c r="B325" s="303"/>
      <c r="D325" s="303"/>
      <c r="O325" s="303"/>
    </row>
    <row r="326" spans="1:15" x14ac:dyDescent="0.35">
      <c r="A326" s="318"/>
      <c r="B326" s="303"/>
      <c r="D326" s="303"/>
      <c r="O326" s="303"/>
    </row>
    <row r="327" spans="1:15" x14ac:dyDescent="0.35">
      <c r="A327" s="318"/>
      <c r="B327" s="303"/>
      <c r="D327" s="303"/>
      <c r="O327" s="303"/>
    </row>
    <row r="328" spans="1:15" x14ac:dyDescent="0.35">
      <c r="A328" s="318"/>
      <c r="B328" s="303"/>
      <c r="D328" s="303"/>
      <c r="O328" s="303"/>
    </row>
    <row r="329" spans="1:15" x14ac:dyDescent="0.35">
      <c r="A329" s="318"/>
      <c r="B329" s="303"/>
      <c r="D329" s="303"/>
      <c r="O329" s="303"/>
    </row>
    <row r="330" spans="1:15" x14ac:dyDescent="0.35">
      <c r="A330" s="318"/>
      <c r="B330" s="303"/>
      <c r="D330" s="303"/>
      <c r="O330" s="303"/>
    </row>
    <row r="331" spans="1:15" x14ac:dyDescent="0.35">
      <c r="A331" s="318"/>
      <c r="B331" s="303"/>
      <c r="D331" s="303"/>
      <c r="O331" s="303"/>
    </row>
    <row r="332" spans="1:15" x14ac:dyDescent="0.35">
      <c r="A332" s="318"/>
      <c r="B332" s="303"/>
      <c r="D332" s="303"/>
      <c r="O332" s="303"/>
    </row>
    <row r="333" spans="1:15" x14ac:dyDescent="0.35">
      <c r="A333" s="318"/>
      <c r="B333" s="303"/>
      <c r="D333" s="303"/>
      <c r="O333" s="303"/>
    </row>
    <row r="334" spans="1:15" x14ac:dyDescent="0.35">
      <c r="A334" s="318"/>
      <c r="B334" s="303"/>
      <c r="D334" s="303"/>
      <c r="O334" s="303"/>
    </row>
    <row r="335" spans="1:15" x14ac:dyDescent="0.35">
      <c r="A335" s="318"/>
      <c r="B335" s="303"/>
      <c r="D335" s="303"/>
      <c r="O335" s="303"/>
    </row>
    <row r="336" spans="1:15" x14ac:dyDescent="0.35">
      <c r="A336" s="318"/>
      <c r="B336" s="303"/>
      <c r="D336" s="303"/>
      <c r="O336" s="303"/>
    </row>
    <row r="337" spans="1:15" x14ac:dyDescent="0.35">
      <c r="A337" s="318"/>
      <c r="B337" s="303"/>
      <c r="D337" s="303"/>
      <c r="O337" s="303"/>
    </row>
    <row r="338" spans="1:15" x14ac:dyDescent="0.35">
      <c r="A338" s="318"/>
      <c r="B338" s="303"/>
      <c r="D338" s="303"/>
      <c r="O338" s="303"/>
    </row>
    <row r="339" spans="1:15" x14ac:dyDescent="0.35">
      <c r="A339" s="318"/>
      <c r="B339" s="303"/>
      <c r="D339" s="303"/>
      <c r="O339" s="303"/>
    </row>
    <row r="340" spans="1:15" x14ac:dyDescent="0.35">
      <c r="A340" s="318"/>
      <c r="B340" s="303"/>
      <c r="D340" s="303"/>
      <c r="O340" s="303"/>
    </row>
    <row r="341" spans="1:15" x14ac:dyDescent="0.35">
      <c r="A341" s="318"/>
      <c r="B341" s="303"/>
      <c r="D341" s="303"/>
      <c r="O341" s="303"/>
    </row>
    <row r="342" spans="1:15" x14ac:dyDescent="0.35">
      <c r="A342" s="318"/>
      <c r="B342" s="303"/>
      <c r="D342" s="303"/>
      <c r="O342" s="303"/>
    </row>
    <row r="343" spans="1:15" x14ac:dyDescent="0.35">
      <c r="A343" s="318"/>
      <c r="B343" s="303"/>
      <c r="D343" s="303"/>
      <c r="O343" s="303"/>
    </row>
    <row r="344" spans="1:15" x14ac:dyDescent="0.35">
      <c r="A344" s="318"/>
      <c r="B344" s="303"/>
      <c r="D344" s="303"/>
      <c r="O344" s="303"/>
    </row>
    <row r="345" spans="1:15" x14ac:dyDescent="0.35">
      <c r="A345" s="318"/>
      <c r="B345" s="303"/>
      <c r="D345" s="303"/>
      <c r="O345" s="303"/>
    </row>
    <row r="346" spans="1:15" x14ac:dyDescent="0.35">
      <c r="A346" s="318"/>
      <c r="B346" s="303"/>
      <c r="D346" s="303"/>
      <c r="O346" s="303"/>
    </row>
    <row r="347" spans="1:15" x14ac:dyDescent="0.35">
      <c r="A347" s="318"/>
      <c r="B347" s="303"/>
      <c r="D347" s="303"/>
      <c r="O347" s="303"/>
    </row>
    <row r="348" spans="1:15" x14ac:dyDescent="0.35">
      <c r="A348" s="318"/>
      <c r="B348" s="303"/>
      <c r="D348" s="303"/>
      <c r="O348" s="303"/>
    </row>
    <row r="349" spans="1:15" x14ac:dyDescent="0.35">
      <c r="A349" s="318"/>
      <c r="B349" s="303"/>
      <c r="D349" s="303"/>
      <c r="O349" s="303"/>
    </row>
    <row r="350" spans="1:15" x14ac:dyDescent="0.35">
      <c r="A350" s="318"/>
      <c r="B350" s="303"/>
      <c r="D350" s="303"/>
      <c r="O350" s="303"/>
    </row>
    <row r="351" spans="1:15" x14ac:dyDescent="0.35">
      <c r="A351" s="318"/>
      <c r="B351" s="303"/>
      <c r="D351" s="303"/>
      <c r="O351" s="303"/>
    </row>
    <row r="352" spans="1:15" x14ac:dyDescent="0.35">
      <c r="A352" s="318"/>
      <c r="B352" s="303"/>
      <c r="D352" s="303"/>
      <c r="O352" s="303"/>
    </row>
    <row r="353" spans="1:15" x14ac:dyDescent="0.35">
      <c r="A353" s="318"/>
      <c r="B353" s="303"/>
      <c r="D353" s="303"/>
      <c r="O353" s="303"/>
    </row>
    <row r="354" spans="1:15" x14ac:dyDescent="0.35">
      <c r="A354" s="318"/>
      <c r="B354" s="303"/>
      <c r="D354" s="303"/>
      <c r="O354" s="303"/>
    </row>
    <row r="355" spans="1:15" x14ac:dyDescent="0.35">
      <c r="A355" s="318"/>
      <c r="B355" s="303"/>
      <c r="D355" s="303"/>
      <c r="O355" s="303"/>
    </row>
    <row r="356" spans="1:15" x14ac:dyDescent="0.35">
      <c r="A356" s="318"/>
      <c r="B356" s="303"/>
      <c r="D356" s="303"/>
      <c r="O356" s="303"/>
    </row>
    <row r="357" spans="1:15" x14ac:dyDescent="0.35">
      <c r="A357" s="318"/>
      <c r="B357" s="303"/>
      <c r="D357" s="303"/>
      <c r="O357" s="303"/>
    </row>
    <row r="358" spans="1:15" x14ac:dyDescent="0.35">
      <c r="A358" s="318"/>
      <c r="B358" s="303"/>
      <c r="D358" s="303"/>
      <c r="O358" s="303"/>
    </row>
    <row r="359" spans="1:15" x14ac:dyDescent="0.35">
      <c r="A359" s="318"/>
      <c r="B359" s="303"/>
      <c r="D359" s="303"/>
      <c r="O359" s="303"/>
    </row>
    <row r="360" spans="1:15" x14ac:dyDescent="0.35">
      <c r="A360" s="318"/>
      <c r="B360" s="303"/>
      <c r="D360" s="303"/>
      <c r="O360" s="303"/>
    </row>
    <row r="361" spans="1:15" x14ac:dyDescent="0.35">
      <c r="A361" s="318"/>
      <c r="B361" s="303"/>
      <c r="D361" s="303"/>
      <c r="O361" s="303"/>
    </row>
    <row r="362" spans="1:15" x14ac:dyDescent="0.35">
      <c r="A362" s="318"/>
      <c r="B362" s="303"/>
      <c r="D362" s="303"/>
      <c r="O362" s="303"/>
    </row>
    <row r="363" spans="1:15" x14ac:dyDescent="0.35">
      <c r="A363" s="318"/>
      <c r="B363" s="303"/>
      <c r="D363" s="303"/>
      <c r="O363" s="303"/>
    </row>
    <row r="364" spans="1:15" x14ac:dyDescent="0.35">
      <c r="A364" s="318"/>
      <c r="B364" s="303"/>
      <c r="D364" s="303"/>
      <c r="O364" s="303"/>
    </row>
    <row r="365" spans="1:15" x14ac:dyDescent="0.35">
      <c r="A365" s="318"/>
      <c r="B365" s="303"/>
      <c r="D365" s="303"/>
      <c r="O365" s="303"/>
    </row>
    <row r="366" spans="1:15" x14ac:dyDescent="0.35">
      <c r="A366" s="318"/>
      <c r="B366" s="303"/>
      <c r="D366" s="303"/>
      <c r="O366" s="303"/>
    </row>
    <row r="367" spans="1:15" x14ac:dyDescent="0.35">
      <c r="A367" s="318"/>
      <c r="B367" s="303"/>
      <c r="D367" s="303"/>
      <c r="O367" s="303"/>
    </row>
    <row r="368" spans="1:15" x14ac:dyDescent="0.35">
      <c r="A368" s="318"/>
      <c r="B368" s="303"/>
      <c r="D368" s="303"/>
      <c r="O368" s="303"/>
    </row>
    <row r="369" spans="1:15" x14ac:dyDescent="0.35">
      <c r="A369" s="318"/>
      <c r="B369" s="303"/>
      <c r="D369" s="303"/>
      <c r="O369" s="303"/>
    </row>
    <row r="370" spans="1:15" x14ac:dyDescent="0.35">
      <c r="A370" s="318"/>
      <c r="B370" s="303"/>
      <c r="D370" s="303"/>
      <c r="O370" s="303"/>
    </row>
    <row r="371" spans="1:15" x14ac:dyDescent="0.35">
      <c r="A371" s="318"/>
      <c r="B371" s="303"/>
      <c r="D371" s="303"/>
      <c r="O371" s="303"/>
    </row>
    <row r="372" spans="1:15" x14ac:dyDescent="0.35">
      <c r="A372" s="318"/>
      <c r="B372" s="303"/>
      <c r="D372" s="303"/>
      <c r="O372" s="303"/>
    </row>
    <row r="373" spans="1:15" x14ac:dyDescent="0.35">
      <c r="A373" s="318"/>
      <c r="B373" s="303"/>
      <c r="D373" s="303"/>
      <c r="O373" s="303"/>
    </row>
    <row r="374" spans="1:15" x14ac:dyDescent="0.35">
      <c r="A374" s="318"/>
      <c r="B374" s="303"/>
      <c r="D374" s="303"/>
      <c r="O374" s="303"/>
    </row>
    <row r="375" spans="1:15" x14ac:dyDescent="0.35">
      <c r="A375" s="318"/>
      <c r="B375" s="303"/>
      <c r="D375" s="303"/>
      <c r="O375" s="303"/>
    </row>
    <row r="376" spans="1:15" x14ac:dyDescent="0.35">
      <c r="A376" s="318"/>
      <c r="B376" s="303"/>
      <c r="D376" s="303"/>
      <c r="O376" s="303"/>
    </row>
    <row r="377" spans="1:15" x14ac:dyDescent="0.35">
      <c r="A377" s="318"/>
      <c r="B377" s="303"/>
      <c r="D377" s="303"/>
      <c r="O377" s="303"/>
    </row>
    <row r="378" spans="1:15" x14ac:dyDescent="0.35">
      <c r="A378" s="318"/>
      <c r="B378" s="303"/>
      <c r="D378" s="303"/>
      <c r="O378" s="303"/>
    </row>
    <row r="379" spans="1:15" x14ac:dyDescent="0.35">
      <c r="A379" s="318"/>
      <c r="B379" s="303"/>
      <c r="D379" s="303"/>
      <c r="O379" s="303"/>
    </row>
    <row r="380" spans="1:15" x14ac:dyDescent="0.35">
      <c r="A380" s="318"/>
      <c r="B380" s="303"/>
      <c r="D380" s="303"/>
      <c r="O380" s="303"/>
    </row>
    <row r="381" spans="1:15" x14ac:dyDescent="0.35">
      <c r="A381" s="318"/>
      <c r="B381" s="303"/>
      <c r="D381" s="303"/>
      <c r="O381" s="303"/>
    </row>
    <row r="382" spans="1:15" x14ac:dyDescent="0.35">
      <c r="A382" s="318"/>
      <c r="B382" s="303"/>
      <c r="D382" s="303"/>
      <c r="O382" s="303"/>
    </row>
    <row r="383" spans="1:15" x14ac:dyDescent="0.35">
      <c r="A383" s="318"/>
      <c r="B383" s="303"/>
      <c r="D383" s="303"/>
      <c r="O383" s="303"/>
    </row>
    <row r="384" spans="1:15" x14ac:dyDescent="0.35">
      <c r="A384" s="318"/>
      <c r="B384" s="303"/>
      <c r="D384" s="303"/>
      <c r="O384" s="303"/>
    </row>
    <row r="385" spans="1:15" x14ac:dyDescent="0.35">
      <c r="A385" s="318"/>
      <c r="B385" s="303"/>
      <c r="D385" s="303"/>
      <c r="O385" s="303"/>
    </row>
    <row r="386" spans="1:15" x14ac:dyDescent="0.35">
      <c r="A386" s="318"/>
      <c r="B386" s="303"/>
      <c r="D386" s="303"/>
      <c r="O386" s="303"/>
    </row>
    <row r="387" spans="1:15" x14ac:dyDescent="0.35">
      <c r="A387" s="318"/>
      <c r="B387" s="303"/>
      <c r="D387" s="303"/>
      <c r="O387" s="303"/>
    </row>
    <row r="388" spans="1:15" x14ac:dyDescent="0.35">
      <c r="A388" s="318"/>
      <c r="B388" s="303"/>
      <c r="D388" s="303"/>
      <c r="O388" s="303"/>
    </row>
    <row r="389" spans="1:15" x14ac:dyDescent="0.35">
      <c r="A389" s="318"/>
      <c r="B389" s="303"/>
      <c r="D389" s="303"/>
      <c r="O389" s="303"/>
    </row>
    <row r="390" spans="1:15" x14ac:dyDescent="0.35">
      <c r="A390" s="318"/>
      <c r="B390" s="303"/>
      <c r="D390" s="303"/>
      <c r="O390" s="303"/>
    </row>
    <row r="391" spans="1:15" x14ac:dyDescent="0.35">
      <c r="A391" s="318"/>
      <c r="B391" s="303"/>
      <c r="D391" s="303"/>
      <c r="O391" s="303"/>
    </row>
    <row r="392" spans="1:15" x14ac:dyDescent="0.35">
      <c r="A392" s="318"/>
      <c r="B392" s="303"/>
      <c r="D392" s="303"/>
      <c r="O392" s="303"/>
    </row>
    <row r="393" spans="1:15" x14ac:dyDescent="0.35">
      <c r="A393" s="318"/>
      <c r="B393" s="303"/>
      <c r="D393" s="303"/>
      <c r="O393" s="303"/>
    </row>
    <row r="394" spans="1:15" x14ac:dyDescent="0.35">
      <c r="A394" s="318"/>
      <c r="B394" s="303"/>
      <c r="D394" s="303"/>
      <c r="O394" s="303"/>
    </row>
    <row r="395" spans="1:15" x14ac:dyDescent="0.35">
      <c r="A395" s="318"/>
      <c r="B395" s="303"/>
      <c r="D395" s="303"/>
      <c r="O395" s="303"/>
    </row>
    <row r="396" spans="1:15" x14ac:dyDescent="0.35">
      <c r="A396" s="318"/>
      <c r="B396" s="303"/>
      <c r="D396" s="303"/>
      <c r="O396" s="303"/>
    </row>
    <row r="397" spans="1:15" x14ac:dyDescent="0.35">
      <c r="A397" s="318"/>
      <c r="B397" s="303"/>
      <c r="D397" s="303"/>
      <c r="O397" s="303"/>
    </row>
    <row r="398" spans="1:15" x14ac:dyDescent="0.35">
      <c r="A398" s="318"/>
      <c r="B398" s="303"/>
      <c r="D398" s="303"/>
      <c r="O398" s="303"/>
    </row>
    <row r="399" spans="1:15" x14ac:dyDescent="0.35">
      <c r="A399" s="318"/>
      <c r="B399" s="303"/>
      <c r="D399" s="303"/>
      <c r="O399" s="303"/>
    </row>
    <row r="400" spans="1:15" x14ac:dyDescent="0.35">
      <c r="A400" s="318"/>
      <c r="B400" s="303"/>
      <c r="D400" s="303"/>
      <c r="O400" s="303"/>
    </row>
    <row r="401" spans="1:15" x14ac:dyDescent="0.35">
      <c r="A401" s="318"/>
      <c r="B401" s="303"/>
      <c r="D401" s="303"/>
      <c r="O401" s="303"/>
    </row>
    <row r="402" spans="1:15" x14ac:dyDescent="0.35">
      <c r="A402" s="318"/>
      <c r="B402" s="303"/>
      <c r="D402" s="303"/>
      <c r="O402" s="303"/>
    </row>
    <row r="403" spans="1:15" x14ac:dyDescent="0.35">
      <c r="A403" s="318"/>
      <c r="B403" s="303"/>
      <c r="D403" s="303"/>
      <c r="O403" s="303"/>
    </row>
    <row r="404" spans="1:15" x14ac:dyDescent="0.35">
      <c r="A404" s="318"/>
      <c r="B404" s="303"/>
      <c r="D404" s="303"/>
      <c r="O404" s="303"/>
    </row>
    <row r="405" spans="1:15" x14ac:dyDescent="0.35">
      <c r="A405" s="318"/>
      <c r="B405" s="303"/>
      <c r="D405" s="303"/>
      <c r="O405" s="303"/>
    </row>
    <row r="406" spans="1:15" x14ac:dyDescent="0.35">
      <c r="A406" s="318"/>
      <c r="B406" s="303"/>
      <c r="D406" s="303"/>
      <c r="O406" s="303"/>
    </row>
    <row r="407" spans="1:15" x14ac:dyDescent="0.35">
      <c r="A407" s="318"/>
      <c r="B407" s="303"/>
      <c r="D407" s="303"/>
      <c r="O407" s="303"/>
    </row>
    <row r="408" spans="1:15" x14ac:dyDescent="0.35">
      <c r="A408" s="318"/>
      <c r="B408" s="303"/>
      <c r="D408" s="303"/>
      <c r="O408" s="303"/>
    </row>
    <row r="409" spans="1:15" x14ac:dyDescent="0.35">
      <c r="A409" s="318"/>
      <c r="B409" s="303"/>
      <c r="D409" s="303"/>
      <c r="O409" s="303"/>
    </row>
    <row r="410" spans="1:15" x14ac:dyDescent="0.35">
      <c r="A410" s="318"/>
      <c r="B410" s="303"/>
      <c r="D410" s="303"/>
      <c r="O410" s="303"/>
    </row>
    <row r="411" spans="1:15" x14ac:dyDescent="0.35">
      <c r="A411" s="318"/>
      <c r="B411" s="303"/>
      <c r="D411" s="303"/>
      <c r="O411" s="303"/>
    </row>
    <row r="412" spans="1:15" x14ac:dyDescent="0.35">
      <c r="A412" s="318"/>
      <c r="B412" s="303"/>
      <c r="D412" s="303"/>
      <c r="O412" s="303"/>
    </row>
    <row r="413" spans="1:15" x14ac:dyDescent="0.35">
      <c r="A413" s="318"/>
      <c r="B413" s="303"/>
      <c r="D413" s="303"/>
      <c r="O413" s="303"/>
    </row>
    <row r="414" spans="1:15" x14ac:dyDescent="0.35">
      <c r="A414" s="318"/>
      <c r="B414" s="303"/>
      <c r="D414" s="303"/>
      <c r="O414" s="303"/>
    </row>
    <row r="415" spans="1:15" x14ac:dyDescent="0.35">
      <c r="A415" s="318"/>
      <c r="B415" s="303"/>
      <c r="D415" s="303"/>
      <c r="O415" s="303"/>
    </row>
    <row r="416" spans="1:15" x14ac:dyDescent="0.35">
      <c r="A416" s="318"/>
      <c r="B416" s="303"/>
      <c r="D416" s="303"/>
      <c r="O416" s="303"/>
    </row>
    <row r="417" spans="1:15" x14ac:dyDescent="0.35">
      <c r="A417" s="318"/>
      <c r="B417" s="303"/>
      <c r="D417" s="303"/>
      <c r="O417" s="303"/>
    </row>
    <row r="418" spans="1:15" x14ac:dyDescent="0.35">
      <c r="A418" s="318"/>
      <c r="B418" s="303"/>
      <c r="D418" s="303"/>
      <c r="O418" s="303"/>
    </row>
    <row r="419" spans="1:15" x14ac:dyDescent="0.35">
      <c r="A419" s="318"/>
      <c r="B419" s="303"/>
      <c r="D419" s="303"/>
      <c r="O419" s="303"/>
    </row>
    <row r="420" spans="1:15" x14ac:dyDescent="0.35">
      <c r="A420" s="318"/>
      <c r="B420" s="303"/>
      <c r="D420" s="303"/>
      <c r="O420" s="303"/>
    </row>
    <row r="421" spans="1:15" x14ac:dyDescent="0.35">
      <c r="A421" s="318"/>
      <c r="B421" s="303"/>
      <c r="D421" s="303"/>
      <c r="O421" s="303"/>
    </row>
    <row r="422" spans="1:15" x14ac:dyDescent="0.35">
      <c r="A422" s="318"/>
      <c r="B422" s="303"/>
      <c r="D422" s="303"/>
      <c r="O422" s="303"/>
    </row>
    <row r="423" spans="1:15" x14ac:dyDescent="0.35">
      <c r="A423" s="318"/>
      <c r="B423" s="303"/>
      <c r="D423" s="303"/>
      <c r="O423" s="303"/>
    </row>
    <row r="424" spans="1:15" x14ac:dyDescent="0.35">
      <c r="A424" s="318"/>
      <c r="B424" s="303"/>
      <c r="D424" s="303"/>
      <c r="O424" s="303"/>
    </row>
    <row r="425" spans="1:15" x14ac:dyDescent="0.35">
      <c r="A425" s="318"/>
      <c r="B425" s="303"/>
      <c r="D425" s="303"/>
      <c r="O425" s="303"/>
    </row>
    <row r="426" spans="1:15" x14ac:dyDescent="0.35">
      <c r="A426" s="318"/>
      <c r="B426" s="303"/>
      <c r="D426" s="303"/>
      <c r="O426" s="303"/>
    </row>
    <row r="427" spans="1:15" x14ac:dyDescent="0.35">
      <c r="A427" s="318"/>
      <c r="B427" s="303"/>
      <c r="D427" s="303"/>
      <c r="O427" s="303"/>
    </row>
    <row r="428" spans="1:15" x14ac:dyDescent="0.35">
      <c r="A428" s="318"/>
      <c r="B428" s="303"/>
      <c r="D428" s="303"/>
      <c r="O428" s="303"/>
    </row>
    <row r="429" spans="1:15" x14ac:dyDescent="0.35">
      <c r="A429" s="318"/>
      <c r="B429" s="303"/>
      <c r="D429" s="303"/>
      <c r="O429" s="303"/>
    </row>
    <row r="430" spans="1:15" x14ac:dyDescent="0.35">
      <c r="A430" s="318"/>
      <c r="B430" s="303"/>
      <c r="D430" s="303"/>
      <c r="O430" s="303"/>
    </row>
    <row r="431" spans="1:15" x14ac:dyDescent="0.35">
      <c r="A431" s="318"/>
      <c r="B431" s="303"/>
      <c r="D431" s="303"/>
      <c r="O431" s="303"/>
    </row>
    <row r="432" spans="1:15" x14ac:dyDescent="0.35">
      <c r="A432" s="318"/>
      <c r="B432" s="303"/>
      <c r="D432" s="303"/>
      <c r="O432" s="303"/>
    </row>
    <row r="433" spans="1:15" x14ac:dyDescent="0.35">
      <c r="A433" s="318"/>
      <c r="B433" s="303"/>
      <c r="D433" s="303"/>
      <c r="O433" s="303"/>
    </row>
    <row r="434" spans="1:15" x14ac:dyDescent="0.35">
      <c r="A434" s="318"/>
      <c r="B434" s="303"/>
      <c r="D434" s="303"/>
      <c r="O434" s="303"/>
    </row>
    <row r="435" spans="1:15" x14ac:dyDescent="0.35">
      <c r="A435" s="318"/>
      <c r="B435" s="303"/>
      <c r="D435" s="303"/>
      <c r="O435" s="303"/>
    </row>
    <row r="436" spans="1:15" x14ac:dyDescent="0.35">
      <c r="A436" s="318"/>
      <c r="B436" s="303"/>
      <c r="D436" s="303"/>
      <c r="O436" s="303"/>
    </row>
    <row r="437" spans="1:15" x14ac:dyDescent="0.35">
      <c r="A437" s="318"/>
      <c r="B437" s="303"/>
      <c r="D437" s="303"/>
      <c r="O437" s="303"/>
    </row>
    <row r="438" spans="1:15" x14ac:dyDescent="0.35">
      <c r="A438" s="318"/>
      <c r="B438" s="303"/>
      <c r="D438" s="303"/>
      <c r="O438" s="303"/>
    </row>
    <row r="439" spans="1:15" x14ac:dyDescent="0.35">
      <c r="A439" s="318"/>
      <c r="B439" s="303"/>
      <c r="D439" s="303"/>
      <c r="O439" s="303"/>
    </row>
    <row r="440" spans="1:15" x14ac:dyDescent="0.35">
      <c r="A440" s="318"/>
      <c r="B440" s="303"/>
      <c r="D440" s="303"/>
      <c r="O440" s="303"/>
    </row>
    <row r="441" spans="1:15" x14ac:dyDescent="0.35">
      <c r="A441" s="318"/>
      <c r="B441" s="303"/>
      <c r="D441" s="303"/>
      <c r="O441" s="303"/>
    </row>
    <row r="442" spans="1:15" x14ac:dyDescent="0.35">
      <c r="A442" s="318"/>
      <c r="B442" s="303"/>
      <c r="D442" s="303"/>
      <c r="O442" s="303"/>
    </row>
    <row r="443" spans="1:15" x14ac:dyDescent="0.35">
      <c r="A443" s="318"/>
      <c r="B443" s="303"/>
      <c r="D443" s="303"/>
      <c r="O443" s="303"/>
    </row>
    <row r="444" spans="1:15" x14ac:dyDescent="0.35">
      <c r="A444" s="318"/>
      <c r="B444" s="303"/>
      <c r="D444" s="303"/>
      <c r="O444" s="303"/>
    </row>
    <row r="445" spans="1:15" x14ac:dyDescent="0.35">
      <c r="A445" s="318"/>
      <c r="B445" s="303"/>
      <c r="D445" s="303"/>
      <c r="O445" s="303"/>
    </row>
    <row r="446" spans="1:15" x14ac:dyDescent="0.35">
      <c r="A446" s="318"/>
      <c r="B446" s="303"/>
      <c r="D446" s="303"/>
      <c r="O446" s="303"/>
    </row>
    <row r="447" spans="1:15" x14ac:dyDescent="0.35">
      <c r="A447" s="318"/>
      <c r="B447" s="303"/>
      <c r="D447" s="303"/>
      <c r="O447" s="303"/>
    </row>
    <row r="448" spans="1:15" x14ac:dyDescent="0.35">
      <c r="A448" s="318"/>
      <c r="B448" s="303"/>
      <c r="D448" s="303"/>
      <c r="O448" s="303"/>
    </row>
    <row r="449" spans="1:15" x14ac:dyDescent="0.35">
      <c r="A449" s="318"/>
      <c r="B449" s="303"/>
      <c r="D449" s="303"/>
      <c r="O449" s="303"/>
    </row>
    <row r="450" spans="1:15" x14ac:dyDescent="0.35">
      <c r="A450" s="318"/>
      <c r="B450" s="303"/>
      <c r="D450" s="303"/>
      <c r="O450" s="303"/>
    </row>
    <row r="451" spans="1:15" x14ac:dyDescent="0.35">
      <c r="A451" s="318"/>
      <c r="B451" s="303"/>
      <c r="D451" s="303"/>
      <c r="O451" s="303"/>
    </row>
    <row r="452" spans="1:15" x14ac:dyDescent="0.35">
      <c r="A452" s="318"/>
      <c r="B452" s="303"/>
      <c r="D452" s="303"/>
      <c r="O452" s="303"/>
    </row>
    <row r="453" spans="1:15" x14ac:dyDescent="0.35">
      <c r="A453" s="318"/>
      <c r="B453" s="303"/>
      <c r="D453" s="303"/>
      <c r="O453" s="303"/>
    </row>
    <row r="454" spans="1:15" x14ac:dyDescent="0.35">
      <c r="A454" s="318"/>
      <c r="B454" s="303"/>
      <c r="D454" s="303"/>
      <c r="O454" s="303"/>
    </row>
    <row r="455" spans="1:15" x14ac:dyDescent="0.35">
      <c r="A455" s="318"/>
      <c r="B455" s="303"/>
      <c r="D455" s="303"/>
      <c r="O455" s="303"/>
    </row>
    <row r="456" spans="1:15" x14ac:dyDescent="0.35">
      <c r="A456" s="318"/>
      <c r="B456" s="303"/>
      <c r="D456" s="303"/>
      <c r="O456" s="303"/>
    </row>
    <row r="457" spans="1:15" x14ac:dyDescent="0.35">
      <c r="A457" s="318"/>
      <c r="B457" s="303"/>
      <c r="D457" s="303"/>
      <c r="O457" s="303"/>
    </row>
    <row r="458" spans="1:15" x14ac:dyDescent="0.35">
      <c r="A458" s="318"/>
      <c r="B458" s="303"/>
      <c r="D458" s="303"/>
      <c r="O458" s="303"/>
    </row>
    <row r="459" spans="1:15" x14ac:dyDescent="0.35">
      <c r="A459" s="318"/>
      <c r="B459" s="303"/>
      <c r="D459" s="303"/>
      <c r="O459" s="303"/>
    </row>
    <row r="460" spans="1:15" x14ac:dyDescent="0.35">
      <c r="A460" s="318"/>
      <c r="B460" s="303"/>
      <c r="D460" s="303"/>
      <c r="O460" s="303"/>
    </row>
    <row r="461" spans="1:15" x14ac:dyDescent="0.35">
      <c r="A461" s="318"/>
      <c r="B461" s="303"/>
      <c r="D461" s="303"/>
      <c r="O461" s="303"/>
    </row>
    <row r="462" spans="1:15" x14ac:dyDescent="0.35">
      <c r="A462" s="318"/>
      <c r="B462" s="303"/>
      <c r="D462" s="303"/>
      <c r="O462" s="303"/>
    </row>
    <row r="463" spans="1:15" x14ac:dyDescent="0.35">
      <c r="A463" s="318"/>
      <c r="B463" s="303"/>
      <c r="D463" s="303"/>
      <c r="O463" s="303"/>
    </row>
    <row r="464" spans="1:15" x14ac:dyDescent="0.35">
      <c r="A464" s="318"/>
      <c r="B464" s="303"/>
      <c r="D464" s="303"/>
      <c r="O464" s="303"/>
    </row>
    <row r="465" spans="1:15" x14ac:dyDescent="0.35">
      <c r="A465" s="318"/>
      <c r="B465" s="303"/>
      <c r="D465" s="303"/>
      <c r="O465" s="303"/>
    </row>
    <row r="466" spans="1:15" x14ac:dyDescent="0.35">
      <c r="A466" s="318"/>
      <c r="B466" s="303"/>
      <c r="D466" s="303"/>
      <c r="O466" s="303"/>
    </row>
    <row r="467" spans="1:15" x14ac:dyDescent="0.35">
      <c r="A467" s="318"/>
      <c r="B467" s="303"/>
      <c r="D467" s="303"/>
      <c r="O467" s="303"/>
    </row>
    <row r="468" spans="1:15" x14ac:dyDescent="0.35">
      <c r="A468" s="318"/>
      <c r="B468" s="303"/>
      <c r="D468" s="303"/>
      <c r="O468" s="303"/>
    </row>
    <row r="469" spans="1:15" x14ac:dyDescent="0.35">
      <c r="A469" s="318"/>
      <c r="B469" s="303"/>
      <c r="D469" s="303"/>
      <c r="O469" s="303"/>
    </row>
    <row r="470" spans="1:15" x14ac:dyDescent="0.35">
      <c r="A470" s="318"/>
      <c r="B470" s="303"/>
      <c r="D470" s="303"/>
      <c r="O470" s="303"/>
    </row>
    <row r="471" spans="1:15" x14ac:dyDescent="0.35">
      <c r="A471" s="318"/>
      <c r="B471" s="303"/>
      <c r="D471" s="303"/>
      <c r="O471" s="303"/>
    </row>
    <row r="472" spans="1:15" x14ac:dyDescent="0.35">
      <c r="A472" s="318"/>
      <c r="B472" s="303"/>
      <c r="D472" s="303"/>
      <c r="O472" s="303"/>
    </row>
    <row r="473" spans="1:15" x14ac:dyDescent="0.35">
      <c r="A473" s="318"/>
      <c r="B473" s="303"/>
      <c r="D473" s="303"/>
      <c r="O473" s="303"/>
    </row>
    <row r="474" spans="1:15" x14ac:dyDescent="0.35">
      <c r="A474" s="318"/>
      <c r="B474" s="303"/>
      <c r="D474" s="303"/>
      <c r="O474" s="303"/>
    </row>
    <row r="475" spans="1:15" x14ac:dyDescent="0.35">
      <c r="A475" s="318"/>
      <c r="B475" s="303"/>
      <c r="D475" s="303"/>
      <c r="O475" s="303"/>
    </row>
    <row r="476" spans="1:15" x14ac:dyDescent="0.35">
      <c r="A476" s="318"/>
      <c r="B476" s="303"/>
      <c r="D476" s="303"/>
      <c r="O476" s="303"/>
    </row>
    <row r="477" spans="1:15" x14ac:dyDescent="0.35">
      <c r="A477" s="318"/>
      <c r="B477" s="303"/>
      <c r="D477" s="303"/>
      <c r="O477" s="303"/>
    </row>
    <row r="478" spans="1:15" x14ac:dyDescent="0.35">
      <c r="A478" s="318"/>
      <c r="B478" s="303"/>
      <c r="D478" s="303"/>
      <c r="O478" s="303"/>
    </row>
    <row r="479" spans="1:15" x14ac:dyDescent="0.35">
      <c r="A479" s="318"/>
      <c r="B479" s="303"/>
      <c r="D479" s="303"/>
      <c r="O479" s="303"/>
    </row>
    <row r="480" spans="1:15" x14ac:dyDescent="0.35">
      <c r="A480" s="318"/>
      <c r="B480" s="303"/>
      <c r="D480" s="303"/>
      <c r="O480" s="303"/>
    </row>
    <row r="481" spans="1:15" x14ac:dyDescent="0.35">
      <c r="A481" s="318"/>
      <c r="B481" s="303"/>
      <c r="D481" s="303"/>
      <c r="O481" s="303"/>
    </row>
    <row r="482" spans="1:15" x14ac:dyDescent="0.35">
      <c r="A482" s="318"/>
      <c r="B482" s="303"/>
      <c r="D482" s="303"/>
      <c r="O482" s="303"/>
    </row>
    <row r="483" spans="1:15" x14ac:dyDescent="0.35">
      <c r="A483" s="318"/>
      <c r="B483" s="303"/>
      <c r="D483" s="303"/>
      <c r="O483" s="303"/>
    </row>
    <row r="484" spans="1:15" x14ac:dyDescent="0.35">
      <c r="A484" s="318"/>
      <c r="B484" s="303"/>
      <c r="D484" s="303"/>
      <c r="O484" s="303"/>
    </row>
    <row r="485" spans="1:15" x14ac:dyDescent="0.35">
      <c r="A485" s="318"/>
      <c r="B485" s="303"/>
      <c r="D485" s="303"/>
      <c r="O485" s="303"/>
    </row>
    <row r="486" spans="1:15" x14ac:dyDescent="0.35">
      <c r="A486" s="318"/>
      <c r="B486" s="303"/>
      <c r="D486" s="303"/>
      <c r="O486" s="303"/>
    </row>
    <row r="487" spans="1:15" x14ac:dyDescent="0.35">
      <c r="A487" s="318"/>
      <c r="B487" s="303"/>
      <c r="D487" s="303"/>
      <c r="O487" s="303"/>
    </row>
    <row r="488" spans="1:15" x14ac:dyDescent="0.35">
      <c r="A488" s="318"/>
      <c r="B488" s="303"/>
      <c r="D488" s="303"/>
      <c r="O488" s="303"/>
    </row>
    <row r="489" spans="1:15" x14ac:dyDescent="0.35">
      <c r="A489" s="318"/>
      <c r="B489" s="303"/>
      <c r="D489" s="303"/>
      <c r="O489" s="303"/>
    </row>
    <row r="490" spans="1:15" x14ac:dyDescent="0.35">
      <c r="A490" s="318"/>
      <c r="B490" s="303"/>
      <c r="D490" s="303"/>
      <c r="O490" s="303"/>
    </row>
    <row r="491" spans="1:15" x14ac:dyDescent="0.35">
      <c r="A491" s="318"/>
      <c r="B491" s="303"/>
      <c r="D491" s="303"/>
      <c r="O491" s="303"/>
    </row>
    <row r="492" spans="1:15" x14ac:dyDescent="0.35">
      <c r="A492" s="318"/>
      <c r="B492" s="303"/>
      <c r="D492" s="303"/>
      <c r="O492" s="303"/>
    </row>
    <row r="493" spans="1:15" x14ac:dyDescent="0.35">
      <c r="A493" s="318"/>
      <c r="B493" s="303"/>
      <c r="D493" s="303"/>
      <c r="O493" s="303"/>
    </row>
    <row r="494" spans="1:15" x14ac:dyDescent="0.35">
      <c r="A494" s="318"/>
      <c r="B494" s="303"/>
      <c r="D494" s="303"/>
      <c r="O494" s="303"/>
    </row>
    <row r="495" spans="1:15" x14ac:dyDescent="0.35">
      <c r="A495" s="318"/>
      <c r="B495" s="303"/>
      <c r="D495" s="303"/>
      <c r="O495" s="303"/>
    </row>
    <row r="496" spans="1:15" x14ac:dyDescent="0.35">
      <c r="A496" s="318"/>
      <c r="B496" s="303"/>
      <c r="D496" s="303"/>
      <c r="O496" s="303"/>
    </row>
    <row r="497" spans="1:15" x14ac:dyDescent="0.35">
      <c r="A497" s="318"/>
      <c r="B497" s="303"/>
      <c r="D497" s="303"/>
      <c r="O497" s="303"/>
    </row>
    <row r="498" spans="1:15" x14ac:dyDescent="0.35">
      <c r="A498" s="318"/>
      <c r="B498" s="303"/>
      <c r="D498" s="303"/>
      <c r="O498" s="303"/>
    </row>
    <row r="499" spans="1:15" x14ac:dyDescent="0.35">
      <c r="A499" s="318"/>
      <c r="B499" s="303"/>
      <c r="D499" s="303"/>
      <c r="O499" s="303"/>
    </row>
    <row r="500" spans="1:15" x14ac:dyDescent="0.35">
      <c r="A500" s="318"/>
      <c r="B500" s="303"/>
      <c r="D500" s="303"/>
      <c r="O500" s="303"/>
    </row>
    <row r="501" spans="1:15" x14ac:dyDescent="0.35">
      <c r="A501" s="318"/>
      <c r="B501" s="303"/>
      <c r="D501" s="303"/>
      <c r="O501" s="303"/>
    </row>
    <row r="502" spans="1:15" x14ac:dyDescent="0.35">
      <c r="A502" s="318"/>
      <c r="B502" s="303"/>
      <c r="D502" s="303"/>
      <c r="O502" s="303"/>
    </row>
    <row r="503" spans="1:15" x14ac:dyDescent="0.35">
      <c r="A503" s="318"/>
      <c r="B503" s="303"/>
      <c r="D503" s="303"/>
      <c r="O503" s="303"/>
    </row>
    <row r="504" spans="1:15" x14ac:dyDescent="0.35">
      <c r="A504" s="318"/>
      <c r="B504" s="303"/>
      <c r="D504" s="303"/>
      <c r="O504" s="303"/>
    </row>
    <row r="505" spans="1:15" x14ac:dyDescent="0.35">
      <c r="A505" s="318"/>
      <c r="B505" s="303"/>
      <c r="D505" s="303"/>
      <c r="O505" s="303"/>
    </row>
    <row r="506" spans="1:15" x14ac:dyDescent="0.35">
      <c r="A506" s="318"/>
      <c r="B506" s="303"/>
      <c r="D506" s="303"/>
      <c r="O506" s="303"/>
    </row>
    <row r="507" spans="1:15" x14ac:dyDescent="0.35">
      <c r="A507" s="318"/>
      <c r="B507" s="303"/>
      <c r="D507" s="303"/>
      <c r="O507" s="303"/>
    </row>
    <row r="508" spans="1:15" x14ac:dyDescent="0.35">
      <c r="A508" s="318"/>
      <c r="B508" s="303"/>
      <c r="D508" s="303"/>
      <c r="O508" s="303"/>
    </row>
    <row r="509" spans="1:15" x14ac:dyDescent="0.35">
      <c r="A509" s="318"/>
      <c r="B509" s="303"/>
      <c r="D509" s="303"/>
      <c r="O509" s="303"/>
    </row>
    <row r="510" spans="1:15" x14ac:dyDescent="0.35">
      <c r="A510" s="318"/>
      <c r="B510" s="303"/>
      <c r="D510" s="303"/>
      <c r="O510" s="303"/>
    </row>
    <row r="511" spans="1:15" x14ac:dyDescent="0.35">
      <c r="A511" s="318"/>
      <c r="B511" s="303"/>
      <c r="D511" s="303"/>
      <c r="O511" s="303"/>
    </row>
    <row r="512" spans="1:15" x14ac:dyDescent="0.35">
      <c r="A512" s="318"/>
      <c r="B512" s="303"/>
      <c r="D512" s="303"/>
      <c r="O512" s="303"/>
    </row>
    <row r="513" spans="1:15" x14ac:dyDescent="0.35">
      <c r="A513" s="318"/>
      <c r="B513" s="303"/>
      <c r="D513" s="303"/>
      <c r="O513" s="303"/>
    </row>
    <row r="514" spans="1:15" x14ac:dyDescent="0.35">
      <c r="A514" s="318"/>
      <c r="B514" s="303"/>
      <c r="D514" s="303"/>
      <c r="O514" s="303"/>
    </row>
    <row r="515" spans="1:15" x14ac:dyDescent="0.35">
      <c r="A515" s="318"/>
      <c r="B515" s="303"/>
      <c r="D515" s="303"/>
      <c r="O515" s="303"/>
    </row>
    <row r="516" spans="1:15" x14ac:dyDescent="0.35">
      <c r="A516" s="318"/>
      <c r="B516" s="303"/>
      <c r="D516" s="303"/>
      <c r="O516" s="303"/>
    </row>
    <row r="517" spans="1:15" x14ac:dyDescent="0.35">
      <c r="A517" s="318"/>
      <c r="B517" s="303"/>
      <c r="D517" s="303"/>
      <c r="O517" s="303"/>
    </row>
    <row r="518" spans="1:15" x14ac:dyDescent="0.35">
      <c r="A518" s="318"/>
      <c r="B518" s="303"/>
      <c r="D518" s="303"/>
      <c r="O518" s="303"/>
    </row>
    <row r="519" spans="1:15" x14ac:dyDescent="0.35">
      <c r="A519" s="318"/>
      <c r="B519" s="303"/>
      <c r="D519" s="303"/>
      <c r="O519" s="303"/>
    </row>
    <row r="520" spans="1:15" x14ac:dyDescent="0.35">
      <c r="A520" s="318"/>
      <c r="B520" s="303"/>
      <c r="D520" s="303"/>
      <c r="O520" s="303"/>
    </row>
    <row r="521" spans="1:15" x14ac:dyDescent="0.35">
      <c r="A521" s="318"/>
      <c r="B521" s="303"/>
      <c r="D521" s="303"/>
      <c r="O521" s="303"/>
    </row>
    <row r="522" spans="1:15" x14ac:dyDescent="0.35">
      <c r="A522" s="318"/>
      <c r="B522" s="303"/>
      <c r="D522" s="303"/>
      <c r="O522" s="303"/>
    </row>
    <row r="523" spans="1:15" x14ac:dyDescent="0.35">
      <c r="A523" s="318"/>
      <c r="B523" s="303"/>
      <c r="D523" s="303"/>
      <c r="O523" s="303"/>
    </row>
    <row r="524" spans="1:15" x14ac:dyDescent="0.35">
      <c r="A524" s="318"/>
      <c r="B524" s="303"/>
      <c r="D524" s="303"/>
      <c r="O524" s="303"/>
    </row>
    <row r="525" spans="1:15" x14ac:dyDescent="0.35">
      <c r="A525" s="318"/>
      <c r="B525" s="303"/>
      <c r="D525" s="303"/>
      <c r="O525" s="303"/>
    </row>
    <row r="526" spans="1:15" x14ac:dyDescent="0.35">
      <c r="A526" s="318"/>
      <c r="B526" s="303"/>
      <c r="D526" s="303"/>
      <c r="O526" s="303"/>
    </row>
    <row r="527" spans="1:15" x14ac:dyDescent="0.35">
      <c r="A527" s="318"/>
      <c r="B527" s="303"/>
      <c r="D527" s="303"/>
      <c r="O527" s="303"/>
    </row>
    <row r="528" spans="1:15" x14ac:dyDescent="0.35">
      <c r="A528" s="318"/>
      <c r="B528" s="303"/>
      <c r="D528" s="303"/>
      <c r="O528" s="303"/>
    </row>
    <row r="529" spans="1:15" x14ac:dyDescent="0.35">
      <c r="A529" s="318"/>
      <c r="B529" s="303"/>
      <c r="D529" s="303"/>
      <c r="O529" s="303"/>
    </row>
    <row r="530" spans="1:15" x14ac:dyDescent="0.35">
      <c r="A530" s="318"/>
      <c r="B530" s="303"/>
      <c r="D530" s="303"/>
      <c r="O530" s="303"/>
    </row>
    <row r="531" spans="1:15" x14ac:dyDescent="0.35">
      <c r="A531" s="318"/>
      <c r="B531" s="303"/>
      <c r="D531" s="303"/>
      <c r="O531" s="303"/>
    </row>
    <row r="532" spans="1:15" x14ac:dyDescent="0.35">
      <c r="A532" s="318"/>
      <c r="B532" s="303"/>
      <c r="D532" s="303"/>
      <c r="O532" s="303"/>
    </row>
    <row r="533" spans="1:15" x14ac:dyDescent="0.35">
      <c r="A533" s="318"/>
      <c r="B533" s="303"/>
      <c r="D533" s="303"/>
      <c r="O533" s="303"/>
    </row>
    <row r="534" spans="1:15" x14ac:dyDescent="0.35">
      <c r="A534" s="318"/>
      <c r="B534" s="303"/>
      <c r="D534" s="303"/>
      <c r="O534" s="303"/>
    </row>
    <row r="535" spans="1:15" x14ac:dyDescent="0.35">
      <c r="A535" s="318"/>
      <c r="B535" s="303"/>
      <c r="D535" s="303"/>
      <c r="O535" s="303"/>
    </row>
    <row r="536" spans="1:15" x14ac:dyDescent="0.35">
      <c r="A536" s="318"/>
      <c r="B536" s="303"/>
      <c r="D536" s="303"/>
      <c r="O536" s="303"/>
    </row>
    <row r="537" spans="1:15" x14ac:dyDescent="0.35">
      <c r="A537" s="318"/>
      <c r="B537" s="303"/>
      <c r="D537" s="303"/>
      <c r="O537" s="303"/>
    </row>
    <row r="538" spans="1:15" x14ac:dyDescent="0.35">
      <c r="A538" s="318"/>
      <c r="B538" s="303"/>
      <c r="D538" s="303"/>
      <c r="O538" s="303"/>
    </row>
    <row r="539" spans="1:15" x14ac:dyDescent="0.35">
      <c r="A539" s="318"/>
      <c r="B539" s="303"/>
      <c r="D539" s="303"/>
      <c r="O539" s="303"/>
    </row>
    <row r="540" spans="1:15" x14ac:dyDescent="0.35">
      <c r="A540" s="318"/>
      <c r="B540" s="303"/>
      <c r="D540" s="303"/>
      <c r="O540" s="303"/>
    </row>
    <row r="541" spans="1:15" x14ac:dyDescent="0.35">
      <c r="A541" s="318"/>
      <c r="B541" s="303"/>
      <c r="D541" s="303"/>
      <c r="O541" s="303"/>
    </row>
    <row r="542" spans="1:15" x14ac:dyDescent="0.35">
      <c r="A542" s="318"/>
      <c r="B542" s="303"/>
      <c r="D542" s="303"/>
      <c r="O542" s="303"/>
    </row>
    <row r="543" spans="1:15" x14ac:dyDescent="0.35">
      <c r="A543" s="318"/>
      <c r="B543" s="303"/>
      <c r="D543" s="303"/>
      <c r="O543" s="303"/>
    </row>
    <row r="544" spans="1:15" x14ac:dyDescent="0.35">
      <c r="A544" s="318"/>
      <c r="B544" s="303"/>
      <c r="D544" s="303"/>
      <c r="O544" s="303"/>
    </row>
    <row r="545" spans="1:15" x14ac:dyDescent="0.35">
      <c r="A545" s="318"/>
      <c r="B545" s="303"/>
      <c r="D545" s="303"/>
      <c r="O545" s="303"/>
    </row>
    <row r="546" spans="1:15" x14ac:dyDescent="0.35">
      <c r="A546" s="318"/>
      <c r="B546" s="303"/>
      <c r="D546" s="303"/>
      <c r="O546" s="303"/>
    </row>
    <row r="547" spans="1:15" x14ac:dyDescent="0.35">
      <c r="A547" s="318"/>
      <c r="B547" s="303"/>
      <c r="D547" s="303"/>
      <c r="O547" s="303"/>
    </row>
    <row r="548" spans="1:15" x14ac:dyDescent="0.35">
      <c r="A548" s="318"/>
      <c r="B548" s="303"/>
      <c r="D548" s="303"/>
      <c r="O548" s="303"/>
    </row>
    <row r="549" spans="1:15" x14ac:dyDescent="0.35">
      <c r="A549" s="318"/>
      <c r="B549" s="303"/>
      <c r="D549" s="303"/>
      <c r="O549" s="303"/>
    </row>
    <row r="550" spans="1:15" x14ac:dyDescent="0.35">
      <c r="A550" s="318"/>
      <c r="B550" s="303"/>
      <c r="D550" s="303"/>
      <c r="O550" s="303"/>
    </row>
    <row r="551" spans="1:15" x14ac:dyDescent="0.35">
      <c r="A551" s="318"/>
      <c r="B551" s="303"/>
      <c r="D551" s="303"/>
      <c r="O551" s="303"/>
    </row>
    <row r="552" spans="1:15" x14ac:dyDescent="0.35">
      <c r="A552" s="318"/>
      <c r="B552" s="303"/>
      <c r="D552" s="303"/>
      <c r="O552" s="303"/>
    </row>
    <row r="553" spans="1:15" x14ac:dyDescent="0.35">
      <c r="A553" s="318"/>
      <c r="B553" s="303"/>
      <c r="D553" s="303"/>
      <c r="O553" s="303"/>
    </row>
    <row r="554" spans="1:15" x14ac:dyDescent="0.35">
      <c r="A554" s="318"/>
      <c r="B554" s="303"/>
      <c r="D554" s="303"/>
      <c r="O554" s="303"/>
    </row>
    <row r="555" spans="1:15" x14ac:dyDescent="0.35">
      <c r="A555" s="318"/>
      <c r="B555" s="303"/>
      <c r="D555" s="303"/>
      <c r="O555" s="303"/>
    </row>
    <row r="556" spans="1:15" x14ac:dyDescent="0.35">
      <c r="A556" s="318"/>
      <c r="B556" s="303"/>
      <c r="D556" s="303"/>
      <c r="O556" s="303"/>
    </row>
    <row r="557" spans="1:15" x14ac:dyDescent="0.35">
      <c r="A557" s="318"/>
      <c r="B557" s="303"/>
      <c r="D557" s="303"/>
      <c r="O557" s="303"/>
    </row>
    <row r="558" spans="1:15" x14ac:dyDescent="0.35">
      <c r="A558" s="318"/>
      <c r="B558" s="303"/>
      <c r="D558" s="303"/>
      <c r="O558" s="303"/>
    </row>
    <row r="559" spans="1:15" x14ac:dyDescent="0.35">
      <c r="A559" s="318"/>
      <c r="B559" s="303"/>
      <c r="D559" s="303"/>
      <c r="O559" s="303"/>
    </row>
    <row r="560" spans="1:15" x14ac:dyDescent="0.35">
      <c r="A560" s="318"/>
      <c r="B560" s="303"/>
      <c r="D560" s="303"/>
      <c r="O560" s="303"/>
    </row>
    <row r="561" spans="1:15" x14ac:dyDescent="0.35">
      <c r="A561" s="318"/>
      <c r="B561" s="303"/>
      <c r="D561" s="303"/>
      <c r="O561" s="303"/>
    </row>
    <row r="562" spans="1:15" x14ac:dyDescent="0.35">
      <c r="A562" s="318"/>
      <c r="B562" s="303"/>
      <c r="D562" s="303"/>
      <c r="O562" s="303"/>
    </row>
    <row r="563" spans="1:15" x14ac:dyDescent="0.35">
      <c r="A563" s="318"/>
      <c r="B563" s="303"/>
      <c r="D563" s="303"/>
      <c r="O563" s="303"/>
    </row>
    <row r="564" spans="1:15" x14ac:dyDescent="0.35">
      <c r="A564" s="318"/>
      <c r="B564" s="303"/>
      <c r="D564" s="303"/>
      <c r="O564" s="303"/>
    </row>
    <row r="565" spans="1:15" x14ac:dyDescent="0.35">
      <c r="A565" s="318"/>
      <c r="B565" s="303"/>
      <c r="D565" s="303"/>
      <c r="O565" s="303"/>
    </row>
    <row r="566" spans="1:15" x14ac:dyDescent="0.35">
      <c r="A566" s="318"/>
      <c r="B566" s="303"/>
      <c r="D566" s="303"/>
      <c r="O566" s="303"/>
    </row>
    <row r="567" spans="1:15" x14ac:dyDescent="0.35">
      <c r="A567" s="318"/>
      <c r="B567" s="303"/>
      <c r="D567" s="303"/>
      <c r="O567" s="303"/>
    </row>
    <row r="568" spans="1:15" x14ac:dyDescent="0.35">
      <c r="A568" s="318"/>
      <c r="B568" s="303"/>
      <c r="D568" s="303"/>
      <c r="O568" s="303"/>
    </row>
    <row r="569" spans="1:15" x14ac:dyDescent="0.35">
      <c r="A569" s="318"/>
      <c r="B569" s="303"/>
      <c r="D569" s="303"/>
      <c r="O569" s="303"/>
    </row>
    <row r="570" spans="1:15" x14ac:dyDescent="0.35">
      <c r="A570" s="318"/>
      <c r="B570" s="303"/>
      <c r="D570" s="303"/>
      <c r="O570" s="303"/>
    </row>
    <row r="571" spans="1:15" x14ac:dyDescent="0.35">
      <c r="A571" s="318"/>
      <c r="B571" s="303"/>
      <c r="D571" s="303"/>
      <c r="O571" s="303"/>
    </row>
    <row r="572" spans="1:15" x14ac:dyDescent="0.35">
      <c r="A572" s="318"/>
      <c r="B572" s="303"/>
      <c r="D572" s="303"/>
      <c r="O572" s="303"/>
    </row>
    <row r="573" spans="1:15" x14ac:dyDescent="0.35">
      <c r="A573" s="318"/>
      <c r="B573" s="303"/>
      <c r="D573" s="303"/>
      <c r="O573" s="303"/>
    </row>
    <row r="574" spans="1:15" x14ac:dyDescent="0.35">
      <c r="A574" s="318"/>
      <c r="B574" s="303"/>
      <c r="D574" s="303"/>
      <c r="O574" s="303"/>
    </row>
    <row r="575" spans="1:15" x14ac:dyDescent="0.35">
      <c r="A575" s="318"/>
      <c r="B575" s="303"/>
      <c r="D575" s="303"/>
      <c r="O575" s="303"/>
    </row>
    <row r="576" spans="1:15" x14ac:dyDescent="0.35">
      <c r="A576" s="318"/>
      <c r="B576" s="303"/>
      <c r="D576" s="303"/>
      <c r="O576" s="303"/>
    </row>
    <row r="577" spans="1:15" x14ac:dyDescent="0.35">
      <c r="A577" s="318"/>
      <c r="B577" s="303"/>
      <c r="D577" s="303"/>
      <c r="O577" s="303"/>
    </row>
    <row r="578" spans="1:15" x14ac:dyDescent="0.35">
      <c r="A578" s="318"/>
      <c r="B578" s="303"/>
      <c r="D578" s="303"/>
      <c r="O578" s="303"/>
    </row>
    <row r="579" spans="1:15" x14ac:dyDescent="0.35">
      <c r="A579" s="318"/>
      <c r="B579" s="303"/>
      <c r="D579" s="303"/>
      <c r="O579" s="303"/>
    </row>
    <row r="580" spans="1:15" x14ac:dyDescent="0.35">
      <c r="A580" s="318"/>
      <c r="B580" s="303"/>
      <c r="D580" s="303"/>
      <c r="O580" s="303"/>
    </row>
    <row r="581" spans="1:15" x14ac:dyDescent="0.35">
      <c r="A581" s="318"/>
      <c r="B581" s="303"/>
      <c r="D581" s="303"/>
      <c r="O581" s="303"/>
    </row>
    <row r="582" spans="1:15" x14ac:dyDescent="0.35">
      <c r="A582" s="318"/>
      <c r="B582" s="303"/>
      <c r="D582" s="303"/>
      <c r="O582" s="303"/>
    </row>
    <row r="583" spans="1:15" x14ac:dyDescent="0.35">
      <c r="A583" s="318"/>
      <c r="B583" s="303"/>
      <c r="D583" s="303"/>
      <c r="O583" s="303"/>
    </row>
    <row r="584" spans="1:15" x14ac:dyDescent="0.35">
      <c r="A584" s="318"/>
      <c r="B584" s="303"/>
      <c r="D584" s="303"/>
      <c r="O584" s="303"/>
    </row>
    <row r="585" spans="1:15" x14ac:dyDescent="0.35">
      <c r="A585" s="318"/>
      <c r="B585" s="303"/>
      <c r="D585" s="303"/>
      <c r="O585" s="303"/>
    </row>
    <row r="586" spans="1:15" x14ac:dyDescent="0.35">
      <c r="A586" s="318"/>
      <c r="B586" s="303"/>
      <c r="D586" s="303"/>
      <c r="O586" s="303"/>
    </row>
    <row r="587" spans="1:15" x14ac:dyDescent="0.35">
      <c r="A587" s="318"/>
      <c r="B587" s="303"/>
      <c r="D587" s="303"/>
      <c r="O587" s="303"/>
    </row>
    <row r="588" spans="1:15" x14ac:dyDescent="0.35">
      <c r="A588" s="318"/>
      <c r="B588" s="303"/>
      <c r="D588" s="303"/>
      <c r="O588" s="303"/>
    </row>
    <row r="589" spans="1:15" x14ac:dyDescent="0.35">
      <c r="A589" s="318"/>
      <c r="B589" s="303"/>
      <c r="D589" s="303"/>
      <c r="O589" s="303"/>
    </row>
    <row r="590" spans="1:15" x14ac:dyDescent="0.35">
      <c r="A590" s="318"/>
      <c r="B590" s="303"/>
      <c r="D590" s="303"/>
      <c r="O590" s="303"/>
    </row>
    <row r="591" spans="1:15" x14ac:dyDescent="0.35">
      <c r="A591" s="318"/>
      <c r="B591" s="303"/>
      <c r="D591" s="303"/>
      <c r="O591" s="303"/>
    </row>
    <row r="592" spans="1:15" x14ac:dyDescent="0.35">
      <c r="A592" s="318"/>
      <c r="B592" s="303"/>
      <c r="D592" s="303"/>
      <c r="O592" s="303"/>
    </row>
    <row r="593" spans="1:15" x14ac:dyDescent="0.35">
      <c r="A593" s="318"/>
      <c r="B593" s="303"/>
      <c r="D593" s="303"/>
      <c r="O593" s="303"/>
    </row>
    <row r="594" spans="1:15" x14ac:dyDescent="0.35">
      <c r="A594" s="318"/>
      <c r="B594" s="303"/>
      <c r="D594" s="303"/>
      <c r="O594" s="303"/>
    </row>
    <row r="595" spans="1:15" x14ac:dyDescent="0.35">
      <c r="A595" s="318"/>
      <c r="B595" s="303"/>
      <c r="D595" s="303"/>
      <c r="O595" s="303"/>
    </row>
    <row r="596" spans="1:15" x14ac:dyDescent="0.35">
      <c r="A596" s="318"/>
      <c r="B596" s="303"/>
      <c r="D596" s="303"/>
      <c r="O596" s="303"/>
    </row>
    <row r="597" spans="1:15" x14ac:dyDescent="0.35">
      <c r="A597" s="318"/>
      <c r="B597" s="303"/>
      <c r="D597" s="303"/>
      <c r="O597" s="303"/>
    </row>
    <row r="598" spans="1:15" x14ac:dyDescent="0.35">
      <c r="A598" s="318"/>
      <c r="B598" s="303"/>
      <c r="D598" s="303"/>
      <c r="O598" s="303"/>
    </row>
    <row r="599" spans="1:15" x14ac:dyDescent="0.35">
      <c r="A599" s="318"/>
      <c r="B599" s="303"/>
      <c r="D599" s="303"/>
      <c r="O599" s="303"/>
    </row>
    <row r="600" spans="1:15" x14ac:dyDescent="0.35">
      <c r="A600" s="318"/>
      <c r="B600" s="303"/>
      <c r="D600" s="303"/>
      <c r="O600" s="303"/>
    </row>
    <row r="601" spans="1:15" x14ac:dyDescent="0.35">
      <c r="A601" s="318"/>
      <c r="B601" s="303"/>
      <c r="D601" s="303"/>
      <c r="O601" s="303"/>
    </row>
    <row r="602" spans="1:15" x14ac:dyDescent="0.35">
      <c r="A602" s="318"/>
      <c r="B602" s="303"/>
      <c r="D602" s="303"/>
      <c r="O602" s="303"/>
    </row>
    <row r="603" spans="1:15" x14ac:dyDescent="0.35">
      <c r="A603" s="318"/>
      <c r="B603" s="303"/>
      <c r="D603" s="303"/>
      <c r="O603" s="303"/>
    </row>
    <row r="604" spans="1:15" x14ac:dyDescent="0.35">
      <c r="A604" s="318"/>
      <c r="B604" s="303"/>
      <c r="D604" s="303"/>
      <c r="O604" s="303"/>
    </row>
    <row r="605" spans="1:15" x14ac:dyDescent="0.35">
      <c r="A605" s="318"/>
      <c r="B605" s="303"/>
      <c r="D605" s="303"/>
      <c r="O605" s="303"/>
    </row>
    <row r="606" spans="1:15" x14ac:dyDescent="0.35">
      <c r="A606" s="318"/>
      <c r="B606" s="303"/>
      <c r="D606" s="303"/>
      <c r="O606" s="303"/>
    </row>
    <row r="607" spans="1:15" x14ac:dyDescent="0.35">
      <c r="A607" s="318"/>
      <c r="B607" s="303"/>
      <c r="D607" s="303"/>
      <c r="O607" s="303"/>
    </row>
    <row r="608" spans="1:15" x14ac:dyDescent="0.35">
      <c r="A608" s="318"/>
      <c r="B608" s="303"/>
      <c r="D608" s="303"/>
      <c r="O608" s="303"/>
    </row>
    <row r="609" spans="1:15" x14ac:dyDescent="0.35">
      <c r="A609" s="318"/>
      <c r="B609" s="303"/>
      <c r="D609" s="303"/>
      <c r="O609" s="303"/>
    </row>
    <row r="610" spans="1:15" x14ac:dyDescent="0.35">
      <c r="A610" s="318"/>
      <c r="B610" s="303"/>
      <c r="D610" s="303"/>
      <c r="O610" s="303"/>
    </row>
    <row r="611" spans="1:15" x14ac:dyDescent="0.35">
      <c r="A611" s="318"/>
      <c r="B611" s="303"/>
      <c r="D611" s="303"/>
      <c r="O611" s="303"/>
    </row>
    <row r="612" spans="1:15" x14ac:dyDescent="0.35">
      <c r="A612" s="318"/>
      <c r="B612" s="303"/>
      <c r="D612" s="303"/>
      <c r="O612" s="303"/>
    </row>
    <row r="613" spans="1:15" x14ac:dyDescent="0.35">
      <c r="A613" s="318"/>
      <c r="B613" s="303"/>
      <c r="D613" s="303"/>
      <c r="O613" s="303"/>
    </row>
    <row r="614" spans="1:15" x14ac:dyDescent="0.35">
      <c r="A614" s="318"/>
      <c r="B614" s="303"/>
      <c r="D614" s="303"/>
      <c r="O614" s="303"/>
    </row>
    <row r="615" spans="1:15" x14ac:dyDescent="0.35">
      <c r="A615" s="318"/>
      <c r="B615" s="303"/>
      <c r="D615" s="303"/>
      <c r="O615" s="303"/>
    </row>
    <row r="616" spans="1:15" x14ac:dyDescent="0.35">
      <c r="A616" s="318"/>
      <c r="B616" s="303"/>
      <c r="D616" s="303"/>
      <c r="O616" s="303"/>
    </row>
    <row r="617" spans="1:15" x14ac:dyDescent="0.35">
      <c r="A617" s="318"/>
      <c r="B617" s="303"/>
      <c r="D617" s="303"/>
      <c r="O617" s="303"/>
    </row>
    <row r="618" spans="1:15" x14ac:dyDescent="0.35">
      <c r="A618" s="318"/>
      <c r="B618" s="303"/>
      <c r="D618" s="303"/>
      <c r="O618" s="303"/>
    </row>
    <row r="619" spans="1:15" x14ac:dyDescent="0.35">
      <c r="A619" s="318"/>
      <c r="B619" s="303"/>
      <c r="D619" s="303"/>
      <c r="O619" s="303"/>
    </row>
    <row r="620" spans="1:15" x14ac:dyDescent="0.35">
      <c r="A620" s="318"/>
      <c r="B620" s="303"/>
      <c r="D620" s="303"/>
      <c r="O620" s="303"/>
    </row>
    <row r="621" spans="1:15" x14ac:dyDescent="0.35">
      <c r="A621" s="318"/>
      <c r="B621" s="303"/>
      <c r="D621" s="303"/>
      <c r="O621" s="303"/>
    </row>
    <row r="622" spans="1:15" x14ac:dyDescent="0.35">
      <c r="A622" s="318"/>
      <c r="B622" s="303"/>
      <c r="D622" s="303"/>
      <c r="O622" s="303"/>
    </row>
    <row r="623" spans="1:15" x14ac:dyDescent="0.35">
      <c r="A623" s="318"/>
      <c r="B623" s="303"/>
      <c r="D623" s="303"/>
      <c r="O623" s="303"/>
    </row>
    <row r="624" spans="1:15" x14ac:dyDescent="0.35">
      <c r="A624" s="318"/>
      <c r="B624" s="303"/>
      <c r="D624" s="303"/>
      <c r="O624" s="303"/>
    </row>
    <row r="625" spans="1:15" x14ac:dyDescent="0.35">
      <c r="A625" s="318"/>
      <c r="B625" s="303"/>
      <c r="D625" s="303"/>
      <c r="O625" s="303"/>
    </row>
    <row r="626" spans="1:15" x14ac:dyDescent="0.35">
      <c r="A626" s="318"/>
      <c r="B626" s="303"/>
      <c r="D626" s="303"/>
      <c r="O626" s="303"/>
    </row>
    <row r="627" spans="1:15" x14ac:dyDescent="0.35">
      <c r="A627" s="318"/>
      <c r="B627" s="303"/>
      <c r="D627" s="303"/>
      <c r="O627" s="303"/>
    </row>
    <row r="628" spans="1:15" x14ac:dyDescent="0.35">
      <c r="A628" s="318"/>
      <c r="B628" s="303"/>
      <c r="D628" s="303"/>
      <c r="O628" s="303"/>
    </row>
    <row r="629" spans="1:15" x14ac:dyDescent="0.35">
      <c r="A629" s="318"/>
      <c r="B629" s="303"/>
      <c r="D629" s="303"/>
      <c r="O629" s="303"/>
    </row>
    <row r="630" spans="1:15" x14ac:dyDescent="0.35">
      <c r="A630" s="318"/>
      <c r="B630" s="303"/>
      <c r="D630" s="303"/>
      <c r="O630" s="303"/>
    </row>
    <row r="631" spans="1:15" x14ac:dyDescent="0.35">
      <c r="A631" s="318"/>
      <c r="B631" s="303"/>
      <c r="D631" s="303"/>
      <c r="O631" s="303"/>
    </row>
    <row r="632" spans="1:15" x14ac:dyDescent="0.35">
      <c r="A632" s="318"/>
      <c r="B632" s="303"/>
      <c r="D632" s="303"/>
      <c r="O632" s="303"/>
    </row>
    <row r="633" spans="1:15" x14ac:dyDescent="0.35">
      <c r="A633" s="318"/>
      <c r="B633" s="303"/>
      <c r="D633" s="303"/>
      <c r="O633" s="303"/>
    </row>
    <row r="634" spans="1:15" x14ac:dyDescent="0.35">
      <c r="A634" s="318"/>
      <c r="B634" s="303"/>
      <c r="D634" s="303"/>
      <c r="O634" s="303"/>
    </row>
    <row r="635" spans="1:15" x14ac:dyDescent="0.35">
      <c r="A635" s="318"/>
      <c r="B635" s="303"/>
      <c r="D635" s="303"/>
      <c r="O635" s="303"/>
    </row>
    <row r="636" spans="1:15" x14ac:dyDescent="0.35">
      <c r="A636" s="318"/>
      <c r="B636" s="303"/>
      <c r="D636" s="303"/>
      <c r="O636" s="303"/>
    </row>
    <row r="637" spans="1:15" x14ac:dyDescent="0.35">
      <c r="A637" s="318"/>
      <c r="B637" s="303"/>
      <c r="D637" s="303"/>
      <c r="O637" s="303"/>
    </row>
    <row r="638" spans="1:15" x14ac:dyDescent="0.35">
      <c r="A638" s="318"/>
      <c r="B638" s="303"/>
      <c r="D638" s="303"/>
      <c r="O638" s="303"/>
    </row>
    <row r="639" spans="1:15" x14ac:dyDescent="0.35">
      <c r="A639" s="318"/>
      <c r="B639" s="303"/>
      <c r="D639" s="303"/>
      <c r="O639" s="303"/>
    </row>
    <row r="640" spans="1:15" x14ac:dyDescent="0.35">
      <c r="A640" s="318"/>
      <c r="B640" s="303"/>
      <c r="D640" s="303"/>
      <c r="O640" s="303"/>
    </row>
    <row r="641" spans="1:15" x14ac:dyDescent="0.35">
      <c r="A641" s="318"/>
      <c r="B641" s="303"/>
      <c r="D641" s="303"/>
      <c r="O641" s="303"/>
    </row>
    <row r="642" spans="1:15" x14ac:dyDescent="0.35">
      <c r="A642" s="318"/>
      <c r="B642" s="303"/>
      <c r="D642" s="303"/>
      <c r="O642" s="303"/>
    </row>
    <row r="643" spans="1:15" x14ac:dyDescent="0.35">
      <c r="A643" s="318"/>
      <c r="B643" s="303"/>
      <c r="D643" s="303"/>
      <c r="O643" s="303"/>
    </row>
    <row r="644" spans="1:15" x14ac:dyDescent="0.35">
      <c r="A644" s="318"/>
      <c r="B644" s="303"/>
      <c r="D644" s="303"/>
      <c r="O644" s="303"/>
    </row>
    <row r="645" spans="1:15" x14ac:dyDescent="0.35">
      <c r="A645" s="318"/>
      <c r="B645" s="303"/>
      <c r="D645" s="303"/>
      <c r="O645" s="303"/>
    </row>
    <row r="646" spans="1:15" x14ac:dyDescent="0.35">
      <c r="A646" s="318"/>
      <c r="B646" s="303"/>
      <c r="D646" s="303"/>
      <c r="O646" s="303"/>
    </row>
    <row r="647" spans="1:15" x14ac:dyDescent="0.35">
      <c r="A647" s="318"/>
      <c r="B647" s="303"/>
      <c r="D647" s="303"/>
      <c r="O647" s="303"/>
    </row>
    <row r="648" spans="1:15" x14ac:dyDescent="0.35">
      <c r="A648" s="318"/>
      <c r="B648" s="303"/>
      <c r="D648" s="303"/>
      <c r="O648" s="303"/>
    </row>
    <row r="649" spans="1:15" x14ac:dyDescent="0.35">
      <c r="A649" s="318"/>
      <c r="B649" s="303"/>
      <c r="D649" s="303"/>
      <c r="O649" s="303"/>
    </row>
    <row r="650" spans="1:15" x14ac:dyDescent="0.35">
      <c r="A650" s="318"/>
      <c r="B650" s="303"/>
      <c r="D650" s="303"/>
      <c r="O650" s="303"/>
    </row>
    <row r="651" spans="1:15" x14ac:dyDescent="0.35">
      <c r="A651" s="318"/>
      <c r="B651" s="303"/>
      <c r="D651" s="303"/>
      <c r="O651" s="303"/>
    </row>
    <row r="652" spans="1:15" x14ac:dyDescent="0.35">
      <c r="A652" s="318"/>
      <c r="B652" s="303"/>
      <c r="D652" s="303"/>
      <c r="O652" s="303"/>
    </row>
    <row r="653" spans="1:15" x14ac:dyDescent="0.35">
      <c r="A653" s="318"/>
      <c r="B653" s="303"/>
      <c r="D653" s="303"/>
      <c r="O653" s="303"/>
    </row>
    <row r="654" spans="1:15" x14ac:dyDescent="0.35">
      <c r="A654" s="318"/>
      <c r="B654" s="303"/>
      <c r="D654" s="303"/>
      <c r="O654" s="303"/>
    </row>
    <row r="655" spans="1:15" x14ac:dyDescent="0.35">
      <c r="A655" s="318"/>
      <c r="B655" s="303"/>
      <c r="D655" s="303"/>
      <c r="O655" s="303"/>
    </row>
    <row r="656" spans="1:15" x14ac:dyDescent="0.35">
      <c r="A656" s="318"/>
      <c r="B656" s="303"/>
      <c r="D656" s="303"/>
      <c r="O656" s="303"/>
    </row>
    <row r="657" spans="1:15" x14ac:dyDescent="0.35">
      <c r="A657" s="318"/>
      <c r="B657" s="303"/>
      <c r="D657" s="303"/>
      <c r="O657" s="303"/>
    </row>
    <row r="658" spans="1:15" x14ac:dyDescent="0.35">
      <c r="A658" s="318"/>
      <c r="B658" s="303"/>
      <c r="D658" s="303"/>
      <c r="O658" s="303"/>
    </row>
    <row r="659" spans="1:15" x14ac:dyDescent="0.35">
      <c r="A659" s="318"/>
      <c r="B659" s="303"/>
      <c r="D659" s="303"/>
      <c r="O659" s="303"/>
    </row>
    <row r="660" spans="1:15" x14ac:dyDescent="0.35">
      <c r="A660" s="318"/>
      <c r="B660" s="303"/>
      <c r="D660" s="303"/>
      <c r="O660" s="303"/>
    </row>
    <row r="661" spans="1:15" x14ac:dyDescent="0.35">
      <c r="A661" s="318"/>
      <c r="B661" s="303"/>
      <c r="D661" s="303"/>
      <c r="O661" s="303"/>
    </row>
    <row r="662" spans="1:15" x14ac:dyDescent="0.35">
      <c r="A662" s="318"/>
      <c r="B662" s="303"/>
      <c r="D662" s="303"/>
      <c r="O662" s="303"/>
    </row>
    <row r="663" spans="1:15" x14ac:dyDescent="0.35">
      <c r="A663" s="318"/>
      <c r="B663" s="303"/>
      <c r="D663" s="303"/>
      <c r="O663" s="303"/>
    </row>
    <row r="664" spans="1:15" x14ac:dyDescent="0.35">
      <c r="A664" s="318"/>
      <c r="B664" s="303"/>
      <c r="D664" s="303"/>
      <c r="O664" s="303"/>
    </row>
    <row r="665" spans="1:15" x14ac:dyDescent="0.35">
      <c r="A665" s="318"/>
      <c r="B665" s="303"/>
      <c r="D665" s="303"/>
      <c r="O665" s="303"/>
    </row>
    <row r="666" spans="1:15" x14ac:dyDescent="0.35">
      <c r="A666" s="318"/>
      <c r="B666" s="303"/>
      <c r="D666" s="303"/>
      <c r="O666" s="303"/>
    </row>
    <row r="667" spans="1:15" x14ac:dyDescent="0.35">
      <c r="A667" s="318"/>
      <c r="B667" s="303"/>
      <c r="D667" s="303"/>
      <c r="O667" s="303"/>
    </row>
    <row r="668" spans="1:15" x14ac:dyDescent="0.35">
      <c r="A668" s="318"/>
      <c r="B668" s="303"/>
      <c r="D668" s="303"/>
      <c r="O668" s="303"/>
    </row>
    <row r="669" spans="1:15" x14ac:dyDescent="0.35">
      <c r="A669" s="318"/>
      <c r="B669" s="303"/>
      <c r="D669" s="303"/>
      <c r="O669" s="303"/>
    </row>
    <row r="670" spans="1:15" x14ac:dyDescent="0.35">
      <c r="A670" s="318"/>
      <c r="B670" s="303"/>
      <c r="D670" s="303"/>
      <c r="O670" s="303"/>
    </row>
    <row r="671" spans="1:15" x14ac:dyDescent="0.35">
      <c r="A671" s="318"/>
      <c r="B671" s="303"/>
      <c r="D671" s="303"/>
      <c r="O671" s="303"/>
    </row>
    <row r="672" spans="1:15" x14ac:dyDescent="0.35">
      <c r="A672" s="318"/>
      <c r="B672" s="303"/>
      <c r="D672" s="303"/>
      <c r="O672" s="303"/>
    </row>
    <row r="673" spans="1:15" x14ac:dyDescent="0.35">
      <c r="A673" s="318"/>
      <c r="B673" s="303"/>
      <c r="D673" s="303"/>
      <c r="O673" s="303"/>
    </row>
    <row r="674" spans="1:15" x14ac:dyDescent="0.35">
      <c r="A674" s="318"/>
      <c r="B674" s="303"/>
      <c r="D674" s="303"/>
      <c r="O674" s="303"/>
    </row>
    <row r="675" spans="1:15" x14ac:dyDescent="0.35">
      <c r="A675" s="318"/>
      <c r="B675" s="303"/>
      <c r="D675" s="303"/>
      <c r="O675" s="303"/>
    </row>
    <row r="676" spans="1:15" x14ac:dyDescent="0.35">
      <c r="A676" s="318"/>
      <c r="B676" s="303"/>
      <c r="D676" s="303"/>
      <c r="O676" s="303"/>
    </row>
    <row r="677" spans="1:15" x14ac:dyDescent="0.35">
      <c r="A677" s="318"/>
      <c r="B677" s="303"/>
      <c r="D677" s="303"/>
      <c r="O677" s="303"/>
    </row>
    <row r="678" spans="1:15" x14ac:dyDescent="0.35">
      <c r="A678" s="318"/>
      <c r="B678" s="303"/>
      <c r="D678" s="303"/>
      <c r="O678" s="303"/>
    </row>
    <row r="679" spans="1:15" x14ac:dyDescent="0.35">
      <c r="A679" s="318"/>
      <c r="B679" s="303"/>
      <c r="D679" s="303"/>
      <c r="O679" s="303"/>
    </row>
    <row r="680" spans="1:15" x14ac:dyDescent="0.35">
      <c r="A680" s="318"/>
      <c r="B680" s="303"/>
      <c r="D680" s="303"/>
      <c r="O680" s="303"/>
    </row>
    <row r="681" spans="1:15" x14ac:dyDescent="0.35">
      <c r="A681" s="318"/>
      <c r="B681" s="303"/>
      <c r="D681" s="303"/>
      <c r="O681" s="303"/>
    </row>
    <row r="682" spans="1:15" x14ac:dyDescent="0.35">
      <c r="A682" s="318"/>
      <c r="B682" s="303"/>
      <c r="D682" s="303"/>
      <c r="O682" s="303"/>
    </row>
    <row r="683" spans="1:15" x14ac:dyDescent="0.35">
      <c r="A683" s="318"/>
      <c r="B683" s="303"/>
      <c r="D683" s="303"/>
      <c r="O683" s="303"/>
    </row>
    <row r="684" spans="1:15" x14ac:dyDescent="0.35">
      <c r="A684" s="318"/>
      <c r="B684" s="303"/>
      <c r="D684" s="303"/>
      <c r="O684" s="303"/>
    </row>
    <row r="685" spans="1:15" x14ac:dyDescent="0.35">
      <c r="A685" s="318"/>
      <c r="B685" s="303"/>
      <c r="D685" s="303"/>
      <c r="O685" s="303"/>
    </row>
    <row r="686" spans="1:15" x14ac:dyDescent="0.35">
      <c r="A686" s="318"/>
      <c r="B686" s="303"/>
      <c r="D686" s="303"/>
      <c r="O686" s="303"/>
    </row>
    <row r="687" spans="1:15" x14ac:dyDescent="0.35">
      <c r="A687" s="318"/>
      <c r="B687" s="303"/>
      <c r="D687" s="303"/>
      <c r="O687" s="303"/>
    </row>
    <row r="688" spans="1:15" x14ac:dyDescent="0.35">
      <c r="A688" s="318"/>
      <c r="B688" s="303"/>
      <c r="D688" s="303"/>
      <c r="O688" s="303"/>
    </row>
    <row r="689" spans="1:15" x14ac:dyDescent="0.35">
      <c r="A689" s="318"/>
      <c r="B689" s="303"/>
      <c r="D689" s="303"/>
      <c r="O689" s="303"/>
    </row>
    <row r="690" spans="1:15" x14ac:dyDescent="0.35">
      <c r="A690" s="318"/>
      <c r="B690" s="303"/>
      <c r="D690" s="303"/>
      <c r="O690" s="303"/>
    </row>
    <row r="691" spans="1:15" x14ac:dyDescent="0.35">
      <c r="A691" s="318"/>
      <c r="B691" s="303"/>
      <c r="D691" s="303"/>
      <c r="O691" s="303"/>
    </row>
    <row r="692" spans="1:15" x14ac:dyDescent="0.35">
      <c r="A692" s="318"/>
      <c r="B692" s="303"/>
      <c r="D692" s="303"/>
      <c r="O692" s="303"/>
    </row>
    <row r="693" spans="1:15" x14ac:dyDescent="0.35">
      <c r="A693" s="318"/>
      <c r="B693" s="303"/>
      <c r="D693" s="303"/>
      <c r="O693" s="303"/>
    </row>
    <row r="694" spans="1:15" x14ac:dyDescent="0.35">
      <c r="A694" s="318"/>
      <c r="B694" s="303"/>
      <c r="D694" s="303"/>
      <c r="O694" s="303"/>
    </row>
    <row r="695" spans="1:15" x14ac:dyDescent="0.35">
      <c r="A695" s="318"/>
      <c r="B695" s="303"/>
      <c r="D695" s="303"/>
      <c r="O695" s="303"/>
    </row>
    <row r="696" spans="1:15" x14ac:dyDescent="0.35">
      <c r="A696" s="318"/>
      <c r="B696" s="303"/>
      <c r="D696" s="303"/>
      <c r="O696" s="303"/>
    </row>
    <row r="697" spans="1:15" x14ac:dyDescent="0.35">
      <c r="A697" s="318"/>
      <c r="B697" s="303"/>
      <c r="D697" s="303"/>
      <c r="O697" s="303"/>
    </row>
    <row r="698" spans="1:15" x14ac:dyDescent="0.35">
      <c r="A698" s="318"/>
      <c r="B698" s="303"/>
      <c r="D698" s="303"/>
      <c r="O698" s="303"/>
    </row>
    <row r="699" spans="1:15" x14ac:dyDescent="0.35">
      <c r="A699" s="318"/>
      <c r="B699" s="303"/>
      <c r="D699" s="303"/>
      <c r="O699" s="303"/>
    </row>
    <row r="700" spans="1:15" x14ac:dyDescent="0.35">
      <c r="A700" s="318"/>
      <c r="B700" s="303"/>
      <c r="D700" s="303"/>
      <c r="O700" s="303"/>
    </row>
    <row r="701" spans="1:15" x14ac:dyDescent="0.35">
      <c r="A701" s="318"/>
      <c r="B701" s="303"/>
      <c r="D701" s="303"/>
      <c r="O701" s="303"/>
    </row>
    <row r="702" spans="1:15" x14ac:dyDescent="0.35">
      <c r="A702" s="318"/>
      <c r="B702" s="303"/>
      <c r="D702" s="303"/>
      <c r="O702" s="303"/>
    </row>
    <row r="703" spans="1:15" x14ac:dyDescent="0.35">
      <c r="A703" s="318"/>
      <c r="B703" s="303"/>
      <c r="D703" s="303"/>
      <c r="O703" s="303"/>
    </row>
    <row r="704" spans="1:15" x14ac:dyDescent="0.35">
      <c r="A704" s="318"/>
      <c r="B704" s="303"/>
      <c r="D704" s="303"/>
      <c r="O704" s="303"/>
    </row>
    <row r="705" spans="1:15" x14ac:dyDescent="0.35">
      <c r="A705" s="318"/>
      <c r="B705" s="303"/>
      <c r="D705" s="303"/>
      <c r="O705" s="303"/>
    </row>
    <row r="706" spans="1:15" x14ac:dyDescent="0.35">
      <c r="A706" s="318"/>
      <c r="B706" s="303"/>
      <c r="D706" s="303"/>
      <c r="O706" s="303"/>
    </row>
    <row r="707" spans="1:15" x14ac:dyDescent="0.35">
      <c r="A707" s="318"/>
      <c r="B707" s="303"/>
      <c r="D707" s="303"/>
      <c r="O707" s="303"/>
    </row>
    <row r="708" spans="1:15" x14ac:dyDescent="0.35">
      <c r="A708" s="318"/>
      <c r="B708" s="303"/>
      <c r="D708" s="303"/>
      <c r="O708" s="303"/>
    </row>
    <row r="709" spans="1:15" x14ac:dyDescent="0.35">
      <c r="A709" s="318"/>
      <c r="B709" s="303"/>
      <c r="D709" s="303"/>
      <c r="O709" s="303"/>
    </row>
    <row r="710" spans="1:15" x14ac:dyDescent="0.35">
      <c r="A710" s="318"/>
      <c r="B710" s="303"/>
      <c r="D710" s="303"/>
      <c r="O710" s="303"/>
    </row>
    <row r="711" spans="1:15" x14ac:dyDescent="0.35">
      <c r="A711" s="318"/>
      <c r="B711" s="303"/>
      <c r="D711" s="303"/>
      <c r="O711" s="303"/>
    </row>
    <row r="712" spans="1:15" x14ac:dyDescent="0.35">
      <c r="A712" s="318"/>
      <c r="B712" s="303"/>
      <c r="D712" s="303"/>
      <c r="O712" s="303"/>
    </row>
    <row r="713" spans="1:15" x14ac:dyDescent="0.35">
      <c r="A713" s="318"/>
      <c r="B713" s="303"/>
      <c r="D713" s="303"/>
      <c r="O713" s="303"/>
    </row>
    <row r="714" spans="1:15" x14ac:dyDescent="0.35">
      <c r="A714" s="318"/>
      <c r="B714" s="303"/>
      <c r="D714" s="303"/>
      <c r="O714" s="303"/>
    </row>
    <row r="715" spans="1:15" x14ac:dyDescent="0.35">
      <c r="A715" s="318"/>
      <c r="B715" s="303"/>
      <c r="D715" s="303"/>
      <c r="O715" s="303"/>
    </row>
    <row r="716" spans="1:15" x14ac:dyDescent="0.35">
      <c r="A716" s="318"/>
      <c r="B716" s="303"/>
      <c r="D716" s="303"/>
      <c r="O716" s="303"/>
    </row>
    <row r="717" spans="1:15" x14ac:dyDescent="0.35">
      <c r="A717" s="318"/>
      <c r="B717" s="303"/>
      <c r="D717" s="303"/>
      <c r="O717" s="303"/>
    </row>
    <row r="718" spans="1:15" x14ac:dyDescent="0.35">
      <c r="A718" s="318"/>
      <c r="B718" s="303"/>
      <c r="D718" s="303"/>
      <c r="O718" s="303"/>
    </row>
    <row r="719" spans="1:15" x14ac:dyDescent="0.35">
      <c r="A719" s="318"/>
      <c r="B719" s="303"/>
      <c r="D719" s="303"/>
      <c r="O719" s="303"/>
    </row>
    <row r="720" spans="1:15" x14ac:dyDescent="0.35">
      <c r="A720" s="318"/>
      <c r="B720" s="303"/>
      <c r="D720" s="303"/>
      <c r="O720" s="303"/>
    </row>
    <row r="721" spans="1:15" x14ac:dyDescent="0.35">
      <c r="A721" s="318"/>
      <c r="B721" s="303"/>
      <c r="D721" s="303"/>
      <c r="O721" s="303"/>
    </row>
    <row r="722" spans="1:15" x14ac:dyDescent="0.35">
      <c r="A722" s="318"/>
      <c r="B722" s="303"/>
      <c r="D722" s="303"/>
      <c r="O722" s="303"/>
    </row>
    <row r="723" spans="1:15" x14ac:dyDescent="0.35">
      <c r="A723" s="318"/>
      <c r="B723" s="303"/>
      <c r="D723" s="303"/>
      <c r="O723" s="303"/>
    </row>
    <row r="724" spans="1:15" x14ac:dyDescent="0.35">
      <c r="A724" s="318"/>
      <c r="B724" s="303"/>
      <c r="D724" s="303"/>
      <c r="O724" s="303"/>
    </row>
    <row r="725" spans="1:15" x14ac:dyDescent="0.35">
      <c r="A725" s="318"/>
      <c r="B725" s="303"/>
      <c r="D725" s="303"/>
      <c r="O725" s="303"/>
    </row>
    <row r="726" spans="1:15" x14ac:dyDescent="0.35">
      <c r="A726" s="318"/>
      <c r="B726" s="303"/>
      <c r="D726" s="303"/>
      <c r="O726" s="303"/>
    </row>
    <row r="727" spans="1:15" x14ac:dyDescent="0.35">
      <c r="A727" s="318"/>
      <c r="B727" s="303"/>
      <c r="D727" s="303"/>
      <c r="O727" s="303"/>
    </row>
    <row r="728" spans="1:15" x14ac:dyDescent="0.35">
      <c r="A728" s="318"/>
      <c r="B728" s="303"/>
      <c r="D728" s="303"/>
      <c r="O728" s="303"/>
    </row>
    <row r="729" spans="1:15" x14ac:dyDescent="0.35">
      <c r="A729" s="318"/>
      <c r="B729" s="303"/>
      <c r="D729" s="303"/>
      <c r="O729" s="303"/>
    </row>
    <row r="730" spans="1:15" x14ac:dyDescent="0.35">
      <c r="A730" s="318"/>
      <c r="B730" s="303"/>
      <c r="D730" s="303"/>
      <c r="O730" s="303"/>
    </row>
    <row r="731" spans="1:15" x14ac:dyDescent="0.35">
      <c r="A731" s="318"/>
      <c r="B731" s="303"/>
      <c r="D731" s="303"/>
      <c r="O731" s="303"/>
    </row>
    <row r="732" spans="1:15" x14ac:dyDescent="0.35">
      <c r="A732" s="318"/>
      <c r="B732" s="303"/>
      <c r="D732" s="303"/>
      <c r="O732" s="303"/>
    </row>
    <row r="733" spans="1:15" x14ac:dyDescent="0.35">
      <c r="A733" s="318"/>
      <c r="B733" s="303"/>
      <c r="D733" s="303"/>
      <c r="O733" s="303"/>
    </row>
    <row r="734" spans="1:15" x14ac:dyDescent="0.35">
      <c r="A734" s="318"/>
      <c r="B734" s="303"/>
      <c r="D734" s="303"/>
      <c r="O734" s="303"/>
    </row>
    <row r="735" spans="1:15" x14ac:dyDescent="0.35">
      <c r="A735" s="318"/>
      <c r="B735" s="303"/>
      <c r="D735" s="303"/>
      <c r="O735" s="303"/>
    </row>
    <row r="736" spans="1:15" x14ac:dyDescent="0.35">
      <c r="A736" s="318"/>
      <c r="B736" s="303"/>
      <c r="D736" s="303"/>
      <c r="O736" s="303"/>
    </row>
    <row r="737" spans="1:15" x14ac:dyDescent="0.35">
      <c r="A737" s="318"/>
      <c r="B737" s="303"/>
      <c r="D737" s="303"/>
      <c r="O737" s="303"/>
    </row>
    <row r="738" spans="1:15" x14ac:dyDescent="0.35">
      <c r="A738" s="318"/>
      <c r="B738" s="303"/>
      <c r="D738" s="303"/>
      <c r="O738" s="303"/>
    </row>
    <row r="739" spans="1:15" x14ac:dyDescent="0.35">
      <c r="A739" s="318"/>
      <c r="B739" s="303"/>
      <c r="D739" s="303"/>
      <c r="O739" s="303"/>
    </row>
    <row r="740" spans="1:15" x14ac:dyDescent="0.35">
      <c r="A740" s="318"/>
      <c r="B740" s="303"/>
      <c r="D740" s="303"/>
      <c r="O740" s="303"/>
    </row>
    <row r="741" spans="1:15" x14ac:dyDescent="0.35">
      <c r="A741" s="318"/>
      <c r="B741" s="303"/>
      <c r="D741" s="303"/>
      <c r="O741" s="303"/>
    </row>
    <row r="742" spans="1:15" x14ac:dyDescent="0.35">
      <c r="A742" s="318"/>
      <c r="B742" s="303"/>
      <c r="D742" s="303"/>
      <c r="O742" s="303"/>
    </row>
    <row r="743" spans="1:15" x14ac:dyDescent="0.35">
      <c r="A743" s="318"/>
      <c r="B743" s="303"/>
      <c r="D743" s="303"/>
      <c r="O743" s="303"/>
    </row>
    <row r="744" spans="1:15" x14ac:dyDescent="0.35">
      <c r="A744" s="318"/>
      <c r="B744" s="303"/>
      <c r="D744" s="303"/>
      <c r="O744" s="303"/>
    </row>
    <row r="745" spans="1:15" x14ac:dyDescent="0.35">
      <c r="A745" s="318"/>
      <c r="B745" s="303"/>
      <c r="D745" s="303"/>
      <c r="O745" s="303"/>
    </row>
    <row r="746" spans="1:15" x14ac:dyDescent="0.35">
      <c r="A746" s="318"/>
      <c r="B746" s="303"/>
      <c r="D746" s="303"/>
      <c r="O746" s="303"/>
    </row>
    <row r="747" spans="1:15" x14ac:dyDescent="0.35">
      <c r="A747" s="318"/>
      <c r="B747" s="303"/>
      <c r="D747" s="303"/>
      <c r="O747" s="303"/>
    </row>
    <row r="748" spans="1:15" x14ac:dyDescent="0.35">
      <c r="A748" s="318"/>
      <c r="B748" s="303"/>
      <c r="D748" s="303"/>
      <c r="O748" s="303"/>
    </row>
    <row r="749" spans="1:15" x14ac:dyDescent="0.35">
      <c r="A749" s="318"/>
      <c r="B749" s="303"/>
      <c r="D749" s="303"/>
      <c r="O749" s="303"/>
    </row>
    <row r="750" spans="1:15" x14ac:dyDescent="0.35">
      <c r="A750" s="318"/>
      <c r="B750" s="303"/>
      <c r="D750" s="303"/>
      <c r="O750" s="303"/>
    </row>
    <row r="751" spans="1:15" x14ac:dyDescent="0.35">
      <c r="A751" s="318"/>
      <c r="B751" s="303"/>
      <c r="D751" s="303"/>
      <c r="O751" s="303"/>
    </row>
    <row r="752" spans="1:15" x14ac:dyDescent="0.35">
      <c r="A752" s="318"/>
      <c r="B752" s="303"/>
      <c r="D752" s="303"/>
      <c r="O752" s="303"/>
    </row>
    <row r="753" spans="1:15" x14ac:dyDescent="0.35">
      <c r="A753" s="318"/>
      <c r="B753" s="303"/>
      <c r="D753" s="303"/>
      <c r="O753" s="303"/>
    </row>
    <row r="754" spans="1:15" x14ac:dyDescent="0.35">
      <c r="A754" s="318"/>
      <c r="B754" s="303"/>
      <c r="D754" s="303"/>
      <c r="O754" s="303"/>
    </row>
    <row r="755" spans="1:15" x14ac:dyDescent="0.35">
      <c r="A755" s="318"/>
      <c r="B755" s="303"/>
      <c r="D755" s="303"/>
      <c r="O755" s="303"/>
    </row>
    <row r="756" spans="1:15" x14ac:dyDescent="0.35">
      <c r="A756" s="318"/>
      <c r="B756" s="303"/>
      <c r="D756" s="303"/>
      <c r="O756" s="303"/>
    </row>
    <row r="757" spans="1:15" x14ac:dyDescent="0.35">
      <c r="A757" s="318"/>
      <c r="B757" s="303"/>
      <c r="D757" s="303"/>
      <c r="O757" s="303"/>
    </row>
    <row r="758" spans="1:15" x14ac:dyDescent="0.35">
      <c r="A758" s="318"/>
      <c r="B758" s="303"/>
      <c r="D758" s="303"/>
      <c r="O758" s="303"/>
    </row>
    <row r="759" spans="1:15" x14ac:dyDescent="0.35">
      <c r="A759" s="318"/>
      <c r="B759" s="303"/>
      <c r="D759" s="303"/>
      <c r="O759" s="303"/>
    </row>
    <row r="760" spans="1:15" x14ac:dyDescent="0.35">
      <c r="A760" s="318"/>
      <c r="B760" s="303"/>
      <c r="D760" s="303"/>
      <c r="O760" s="303"/>
    </row>
    <row r="761" spans="1:15" x14ac:dyDescent="0.35">
      <c r="A761" s="318"/>
      <c r="B761" s="303"/>
      <c r="D761" s="303"/>
      <c r="O761" s="303"/>
    </row>
    <row r="762" spans="1:15" x14ac:dyDescent="0.35">
      <c r="A762" s="318"/>
      <c r="B762" s="303"/>
      <c r="D762" s="303"/>
      <c r="O762" s="303"/>
    </row>
    <row r="763" spans="1:15" x14ac:dyDescent="0.35">
      <c r="A763" s="318"/>
      <c r="B763" s="303"/>
      <c r="D763" s="303"/>
      <c r="O763" s="303"/>
    </row>
    <row r="764" spans="1:15" x14ac:dyDescent="0.35">
      <c r="A764" s="318"/>
      <c r="B764" s="303"/>
      <c r="D764" s="303"/>
      <c r="O764" s="303"/>
    </row>
    <row r="765" spans="1:15" x14ac:dyDescent="0.35">
      <c r="A765" s="318"/>
      <c r="B765" s="303"/>
      <c r="D765" s="303"/>
      <c r="O765" s="303"/>
    </row>
    <row r="766" spans="1:15" x14ac:dyDescent="0.35">
      <c r="A766" s="318"/>
      <c r="B766" s="303"/>
      <c r="D766" s="303"/>
      <c r="O766" s="303"/>
    </row>
    <row r="767" spans="1:15" x14ac:dyDescent="0.35">
      <c r="A767" s="318"/>
      <c r="B767" s="303"/>
      <c r="D767" s="303"/>
      <c r="O767" s="303"/>
    </row>
    <row r="768" spans="1:15" x14ac:dyDescent="0.35">
      <c r="A768" s="318"/>
      <c r="B768" s="303"/>
      <c r="D768" s="303"/>
      <c r="O768" s="303"/>
    </row>
    <row r="769" spans="1:15" x14ac:dyDescent="0.35">
      <c r="A769" s="318"/>
      <c r="B769" s="303"/>
      <c r="D769" s="303"/>
      <c r="O769" s="303"/>
    </row>
    <row r="770" spans="1:15" x14ac:dyDescent="0.35">
      <c r="A770" s="318"/>
      <c r="B770" s="303"/>
      <c r="D770" s="303"/>
      <c r="O770" s="303"/>
    </row>
    <row r="771" spans="1:15" x14ac:dyDescent="0.35">
      <c r="A771" s="318"/>
      <c r="B771" s="303"/>
      <c r="D771" s="303"/>
      <c r="O771" s="303"/>
    </row>
    <row r="772" spans="1:15" x14ac:dyDescent="0.35">
      <c r="A772" s="318"/>
      <c r="B772" s="303"/>
      <c r="D772" s="303"/>
      <c r="O772" s="303"/>
    </row>
    <row r="773" spans="1:15" x14ac:dyDescent="0.35">
      <c r="A773" s="318"/>
      <c r="B773" s="303"/>
      <c r="D773" s="303"/>
      <c r="O773" s="303"/>
    </row>
    <row r="774" spans="1:15" x14ac:dyDescent="0.35">
      <c r="A774" s="318"/>
      <c r="B774" s="303"/>
      <c r="D774" s="303"/>
      <c r="O774" s="303"/>
    </row>
    <row r="775" spans="1:15" x14ac:dyDescent="0.35">
      <c r="A775" s="318"/>
      <c r="B775" s="303"/>
      <c r="D775" s="303"/>
      <c r="O775" s="303"/>
    </row>
    <row r="776" spans="1:15" x14ac:dyDescent="0.35">
      <c r="A776" s="318"/>
      <c r="B776" s="303"/>
      <c r="D776" s="303"/>
      <c r="O776" s="303"/>
    </row>
    <row r="777" spans="1:15" x14ac:dyDescent="0.35">
      <c r="A777" s="318"/>
      <c r="B777" s="303"/>
      <c r="D777" s="303"/>
      <c r="O777" s="303"/>
    </row>
    <row r="778" spans="1:15" x14ac:dyDescent="0.35">
      <c r="A778" s="318"/>
      <c r="B778" s="303"/>
      <c r="D778" s="303"/>
      <c r="O778" s="303"/>
    </row>
    <row r="779" spans="1:15" x14ac:dyDescent="0.35">
      <c r="A779" s="318"/>
      <c r="B779" s="303"/>
      <c r="D779" s="303"/>
      <c r="O779" s="303"/>
    </row>
    <row r="780" spans="1:15" x14ac:dyDescent="0.35">
      <c r="A780" s="318"/>
      <c r="B780" s="303"/>
      <c r="D780" s="303"/>
      <c r="O780" s="303"/>
    </row>
    <row r="781" spans="1:15" x14ac:dyDescent="0.35">
      <c r="A781" s="318"/>
      <c r="B781" s="303"/>
      <c r="D781" s="303"/>
      <c r="O781" s="303"/>
    </row>
    <row r="782" spans="1:15" x14ac:dyDescent="0.35">
      <c r="A782" s="318"/>
      <c r="B782" s="303"/>
      <c r="D782" s="303"/>
      <c r="O782" s="303"/>
    </row>
    <row r="783" spans="1:15" x14ac:dyDescent="0.35">
      <c r="A783" s="318"/>
      <c r="B783" s="303"/>
      <c r="D783" s="303"/>
      <c r="O783" s="303"/>
    </row>
    <row r="784" spans="1:15" x14ac:dyDescent="0.35">
      <c r="A784" s="318"/>
      <c r="B784" s="303"/>
      <c r="D784" s="303"/>
      <c r="O784" s="303"/>
    </row>
    <row r="785" spans="1:15" x14ac:dyDescent="0.35">
      <c r="A785" s="318"/>
      <c r="B785" s="303"/>
      <c r="D785" s="303"/>
      <c r="O785" s="303"/>
    </row>
    <row r="786" spans="1:15" x14ac:dyDescent="0.35">
      <c r="A786" s="318"/>
      <c r="B786" s="303"/>
      <c r="D786" s="303"/>
      <c r="O786" s="303"/>
    </row>
    <row r="787" spans="1:15" x14ac:dyDescent="0.35">
      <c r="A787" s="318"/>
      <c r="B787" s="303"/>
      <c r="D787" s="303"/>
      <c r="O787" s="303"/>
    </row>
    <row r="788" spans="1:15" x14ac:dyDescent="0.35">
      <c r="A788" s="318"/>
      <c r="B788" s="303"/>
      <c r="D788" s="303"/>
      <c r="O788" s="303"/>
    </row>
    <row r="789" spans="1:15" x14ac:dyDescent="0.35">
      <c r="A789" s="318"/>
      <c r="B789" s="303"/>
      <c r="D789" s="303"/>
      <c r="O789" s="303"/>
    </row>
    <row r="790" spans="1:15" x14ac:dyDescent="0.35">
      <c r="A790" s="318"/>
      <c r="B790" s="303"/>
      <c r="D790" s="303"/>
      <c r="O790" s="303"/>
    </row>
    <row r="791" spans="1:15" x14ac:dyDescent="0.35">
      <c r="A791" s="318"/>
      <c r="B791" s="303"/>
      <c r="D791" s="303"/>
      <c r="O791" s="303"/>
    </row>
    <row r="792" spans="1:15" x14ac:dyDescent="0.35">
      <c r="A792" s="318"/>
      <c r="B792" s="303"/>
      <c r="D792" s="303"/>
      <c r="O792" s="303"/>
    </row>
    <row r="793" spans="1:15" x14ac:dyDescent="0.35">
      <c r="A793" s="318"/>
      <c r="B793" s="303"/>
      <c r="D793" s="303"/>
      <c r="O793" s="303"/>
    </row>
    <row r="794" spans="1:15" x14ac:dyDescent="0.35">
      <c r="A794" s="318"/>
      <c r="B794" s="303"/>
      <c r="D794" s="303"/>
      <c r="O794" s="303"/>
    </row>
    <row r="795" spans="1:15" x14ac:dyDescent="0.35">
      <c r="A795" s="318"/>
      <c r="B795" s="303"/>
      <c r="D795" s="303"/>
      <c r="O795" s="303"/>
    </row>
    <row r="796" spans="1:15" x14ac:dyDescent="0.35">
      <c r="A796" s="318"/>
      <c r="B796" s="303"/>
      <c r="D796" s="303"/>
      <c r="O796" s="303"/>
    </row>
    <row r="797" spans="1:15" x14ac:dyDescent="0.35">
      <c r="A797" s="318"/>
      <c r="B797" s="303"/>
      <c r="D797" s="303"/>
      <c r="O797" s="303"/>
    </row>
    <row r="798" spans="1:15" x14ac:dyDescent="0.35">
      <c r="A798" s="318"/>
      <c r="B798" s="303"/>
      <c r="D798" s="303"/>
      <c r="O798" s="303"/>
    </row>
    <row r="799" spans="1:15" x14ac:dyDescent="0.35">
      <c r="A799" s="318"/>
      <c r="B799" s="303"/>
      <c r="D799" s="303"/>
      <c r="O799" s="303"/>
    </row>
    <row r="800" spans="1:15" x14ac:dyDescent="0.35">
      <c r="A800" s="318"/>
      <c r="B800" s="303"/>
      <c r="D800" s="303"/>
      <c r="O800" s="303"/>
    </row>
    <row r="801" spans="1:15" x14ac:dyDescent="0.35">
      <c r="A801" s="318"/>
      <c r="B801" s="303"/>
      <c r="D801" s="303"/>
      <c r="O801" s="303"/>
    </row>
    <row r="802" spans="1:15" x14ac:dyDescent="0.35">
      <c r="A802" s="318"/>
      <c r="B802" s="303"/>
      <c r="D802" s="303"/>
      <c r="O802" s="303"/>
    </row>
    <row r="803" spans="1:15" x14ac:dyDescent="0.35">
      <c r="A803" s="318"/>
      <c r="B803" s="303"/>
      <c r="D803" s="303"/>
      <c r="O803" s="303"/>
    </row>
    <row r="804" spans="1:15" x14ac:dyDescent="0.35">
      <c r="A804" s="318"/>
      <c r="B804" s="303"/>
      <c r="D804" s="303"/>
      <c r="O804" s="303"/>
    </row>
    <row r="805" spans="1:15" x14ac:dyDescent="0.35">
      <c r="A805" s="318"/>
      <c r="B805" s="303"/>
      <c r="D805" s="303"/>
      <c r="O805" s="303"/>
    </row>
    <row r="806" spans="1:15" x14ac:dyDescent="0.35">
      <c r="A806" s="318"/>
      <c r="B806" s="303"/>
      <c r="D806" s="303"/>
      <c r="O806" s="303"/>
    </row>
    <row r="807" spans="1:15" x14ac:dyDescent="0.35">
      <c r="A807" s="318"/>
      <c r="B807" s="303"/>
      <c r="D807" s="303"/>
      <c r="O807" s="303"/>
    </row>
    <row r="808" spans="1:15" x14ac:dyDescent="0.35">
      <c r="A808" s="318"/>
      <c r="B808" s="303"/>
      <c r="D808" s="303"/>
      <c r="O808" s="303"/>
    </row>
    <row r="809" spans="1:15" x14ac:dyDescent="0.35">
      <c r="A809" s="318"/>
      <c r="B809" s="303"/>
      <c r="D809" s="303"/>
      <c r="O809" s="303"/>
    </row>
    <row r="810" spans="1:15" x14ac:dyDescent="0.35">
      <c r="A810" s="318"/>
      <c r="B810" s="303"/>
      <c r="D810" s="303"/>
      <c r="O810" s="303"/>
    </row>
    <row r="811" spans="1:15" x14ac:dyDescent="0.35">
      <c r="A811" s="318"/>
      <c r="B811" s="303"/>
      <c r="D811" s="303"/>
      <c r="O811" s="303"/>
    </row>
    <row r="812" spans="1:15" x14ac:dyDescent="0.35">
      <c r="A812" s="318"/>
      <c r="B812" s="303"/>
      <c r="D812" s="303"/>
      <c r="O812" s="303"/>
    </row>
    <row r="813" spans="1:15" x14ac:dyDescent="0.35">
      <c r="A813" s="318"/>
      <c r="B813" s="303"/>
      <c r="D813" s="303"/>
      <c r="O813" s="303"/>
    </row>
    <row r="814" spans="1:15" x14ac:dyDescent="0.35">
      <c r="A814" s="318"/>
      <c r="B814" s="303"/>
      <c r="D814" s="303"/>
      <c r="O814" s="303"/>
    </row>
    <row r="815" spans="1:15" x14ac:dyDescent="0.35">
      <c r="A815" s="318"/>
      <c r="B815" s="303"/>
      <c r="D815" s="303"/>
      <c r="O815" s="303"/>
    </row>
    <row r="816" spans="1:15" x14ac:dyDescent="0.35">
      <c r="A816" s="318"/>
      <c r="B816" s="303"/>
      <c r="D816" s="303"/>
      <c r="O816" s="303"/>
    </row>
    <row r="817" spans="1:15" x14ac:dyDescent="0.35">
      <c r="A817" s="318"/>
      <c r="B817" s="303"/>
      <c r="D817" s="303"/>
      <c r="O817" s="303"/>
    </row>
    <row r="818" spans="1:15" x14ac:dyDescent="0.35">
      <c r="A818" s="318"/>
      <c r="B818" s="303"/>
      <c r="D818" s="303"/>
      <c r="O818" s="303"/>
    </row>
    <row r="819" spans="1:15" x14ac:dyDescent="0.35">
      <c r="A819" s="318"/>
      <c r="B819" s="303"/>
      <c r="D819" s="303"/>
      <c r="O819" s="303"/>
    </row>
    <row r="820" spans="1:15" x14ac:dyDescent="0.35">
      <c r="A820" s="318"/>
      <c r="B820" s="303"/>
      <c r="D820" s="303"/>
      <c r="O820" s="303"/>
    </row>
    <row r="821" spans="1:15" x14ac:dyDescent="0.35">
      <c r="A821" s="318"/>
      <c r="B821" s="303"/>
      <c r="D821" s="303"/>
      <c r="O821" s="303"/>
    </row>
    <row r="822" spans="1:15" x14ac:dyDescent="0.35">
      <c r="A822" s="318"/>
      <c r="B822" s="303"/>
      <c r="D822" s="303"/>
      <c r="O822" s="303"/>
    </row>
    <row r="823" spans="1:15" x14ac:dyDescent="0.35">
      <c r="A823" s="318"/>
      <c r="B823" s="303"/>
      <c r="D823" s="303"/>
      <c r="O823" s="303"/>
    </row>
    <row r="824" spans="1:15" x14ac:dyDescent="0.35">
      <c r="A824" s="318"/>
      <c r="B824" s="303"/>
      <c r="D824" s="303"/>
      <c r="O824" s="303"/>
    </row>
    <row r="825" spans="1:15" x14ac:dyDescent="0.35">
      <c r="A825" s="318"/>
      <c r="B825" s="303"/>
      <c r="D825" s="303"/>
      <c r="O825" s="303"/>
    </row>
    <row r="826" spans="1:15" x14ac:dyDescent="0.35">
      <c r="A826" s="318"/>
      <c r="B826" s="303"/>
      <c r="D826" s="303"/>
      <c r="O826" s="303"/>
    </row>
    <row r="827" spans="1:15" x14ac:dyDescent="0.35">
      <c r="A827" s="318"/>
      <c r="B827" s="303"/>
      <c r="D827" s="303"/>
      <c r="O827" s="303"/>
    </row>
    <row r="828" spans="1:15" x14ac:dyDescent="0.35">
      <c r="A828" s="318"/>
      <c r="B828" s="303"/>
      <c r="D828" s="303"/>
      <c r="O828" s="303"/>
    </row>
    <row r="829" spans="1:15" x14ac:dyDescent="0.35">
      <c r="A829" s="318"/>
      <c r="B829" s="303"/>
      <c r="D829" s="303"/>
      <c r="O829" s="303"/>
    </row>
    <row r="830" spans="1:15" x14ac:dyDescent="0.35">
      <c r="A830" s="318"/>
      <c r="B830" s="303"/>
      <c r="D830" s="303"/>
      <c r="O830" s="303"/>
    </row>
    <row r="831" spans="1:15" x14ac:dyDescent="0.35">
      <c r="A831" s="318"/>
      <c r="B831" s="303"/>
      <c r="D831" s="303"/>
      <c r="O831" s="303"/>
    </row>
    <row r="832" spans="1:15" x14ac:dyDescent="0.35">
      <c r="A832" s="318"/>
      <c r="B832" s="303"/>
      <c r="D832" s="303"/>
      <c r="O832" s="303"/>
    </row>
    <row r="833" spans="1:15" x14ac:dyDescent="0.35">
      <c r="A833" s="318"/>
      <c r="B833" s="303"/>
      <c r="D833" s="303"/>
      <c r="O833" s="303"/>
    </row>
    <row r="834" spans="1:15" x14ac:dyDescent="0.35">
      <c r="A834" s="318"/>
      <c r="B834" s="303"/>
      <c r="D834" s="303"/>
      <c r="O834" s="303"/>
    </row>
    <row r="835" spans="1:15" x14ac:dyDescent="0.35">
      <c r="A835" s="318"/>
      <c r="B835" s="303"/>
      <c r="D835" s="303"/>
      <c r="O835" s="303"/>
    </row>
    <row r="836" spans="1:15" x14ac:dyDescent="0.35">
      <c r="A836" s="318"/>
      <c r="B836" s="303"/>
      <c r="D836" s="303"/>
      <c r="O836" s="303"/>
    </row>
    <row r="837" spans="1:15" x14ac:dyDescent="0.35">
      <c r="A837" s="318"/>
      <c r="B837" s="303"/>
      <c r="D837" s="303"/>
      <c r="O837" s="303"/>
    </row>
    <row r="838" spans="1:15" x14ac:dyDescent="0.35">
      <c r="A838" s="318"/>
      <c r="B838" s="303"/>
      <c r="D838" s="303"/>
      <c r="O838" s="303"/>
    </row>
    <row r="839" spans="1:15" x14ac:dyDescent="0.35">
      <c r="A839" s="318"/>
      <c r="B839" s="303"/>
      <c r="D839" s="303"/>
      <c r="O839" s="303"/>
    </row>
    <row r="840" spans="1:15" x14ac:dyDescent="0.35">
      <c r="A840" s="318"/>
      <c r="B840" s="303"/>
      <c r="D840" s="303"/>
      <c r="O840" s="303"/>
    </row>
    <row r="841" spans="1:15" x14ac:dyDescent="0.35">
      <c r="A841" s="318"/>
      <c r="B841" s="303"/>
      <c r="D841" s="303"/>
      <c r="O841" s="303"/>
    </row>
    <row r="842" spans="1:15" x14ac:dyDescent="0.35">
      <c r="A842" s="318"/>
      <c r="B842" s="303"/>
      <c r="D842" s="303"/>
      <c r="O842" s="303"/>
    </row>
    <row r="843" spans="1:15" x14ac:dyDescent="0.35">
      <c r="A843" s="318"/>
      <c r="B843" s="303"/>
      <c r="D843" s="303"/>
      <c r="O843" s="303"/>
    </row>
    <row r="844" spans="1:15" x14ac:dyDescent="0.35">
      <c r="A844" s="318"/>
      <c r="B844" s="303"/>
      <c r="D844" s="303"/>
      <c r="O844" s="303"/>
    </row>
    <row r="845" spans="1:15" x14ac:dyDescent="0.35">
      <c r="A845" s="318"/>
      <c r="B845" s="303"/>
      <c r="D845" s="303"/>
      <c r="O845" s="303"/>
    </row>
    <row r="846" spans="1:15" x14ac:dyDescent="0.35">
      <c r="A846" s="318"/>
      <c r="B846" s="303"/>
      <c r="D846" s="303"/>
      <c r="O846" s="303"/>
    </row>
    <row r="847" spans="1:15" x14ac:dyDescent="0.35">
      <c r="A847" s="318"/>
      <c r="B847" s="303"/>
      <c r="D847" s="303"/>
      <c r="O847" s="303"/>
    </row>
    <row r="848" spans="1:15" x14ac:dyDescent="0.35">
      <c r="A848" s="318"/>
      <c r="B848" s="303"/>
      <c r="D848" s="303"/>
      <c r="O848" s="303"/>
    </row>
    <row r="849" spans="1:15" x14ac:dyDescent="0.35">
      <c r="A849" s="318"/>
      <c r="B849" s="303"/>
      <c r="D849" s="303"/>
      <c r="O849" s="303"/>
    </row>
    <row r="850" spans="1:15" x14ac:dyDescent="0.35">
      <c r="A850" s="318"/>
      <c r="B850" s="303"/>
      <c r="D850" s="303"/>
      <c r="O850" s="303"/>
    </row>
    <row r="851" spans="1:15" x14ac:dyDescent="0.35">
      <c r="A851" s="318"/>
      <c r="B851" s="303"/>
      <c r="D851" s="303"/>
      <c r="O851" s="303"/>
    </row>
    <row r="852" spans="1:15" x14ac:dyDescent="0.35">
      <c r="A852" s="318"/>
      <c r="B852" s="303"/>
      <c r="D852" s="303"/>
      <c r="O852" s="303"/>
    </row>
    <row r="853" spans="1:15" x14ac:dyDescent="0.35">
      <c r="A853" s="318"/>
      <c r="B853" s="303"/>
      <c r="D853" s="303"/>
      <c r="O853" s="303"/>
    </row>
    <row r="854" spans="1:15" x14ac:dyDescent="0.35">
      <c r="A854" s="318"/>
      <c r="B854" s="303"/>
      <c r="D854" s="303"/>
      <c r="O854" s="303"/>
    </row>
    <row r="855" spans="1:15" x14ac:dyDescent="0.35">
      <c r="A855" s="318"/>
      <c r="B855" s="303"/>
      <c r="D855" s="303"/>
      <c r="O855" s="303"/>
    </row>
    <row r="856" spans="1:15" x14ac:dyDescent="0.35">
      <c r="A856" s="318"/>
      <c r="B856" s="303"/>
      <c r="D856" s="303"/>
      <c r="O856" s="303"/>
    </row>
    <row r="857" spans="1:15" x14ac:dyDescent="0.35">
      <c r="A857" s="318"/>
      <c r="B857" s="303"/>
      <c r="D857" s="303"/>
      <c r="O857" s="303"/>
    </row>
    <row r="858" spans="1:15" x14ac:dyDescent="0.35">
      <c r="A858" s="318"/>
      <c r="B858" s="303"/>
      <c r="D858" s="303"/>
      <c r="O858" s="303"/>
    </row>
    <row r="859" spans="1:15" x14ac:dyDescent="0.35">
      <c r="A859" s="318"/>
      <c r="B859" s="303"/>
      <c r="D859" s="303"/>
      <c r="O859" s="303"/>
    </row>
    <row r="860" spans="1:15" x14ac:dyDescent="0.35">
      <c r="A860" s="318"/>
      <c r="B860" s="303"/>
      <c r="D860" s="303"/>
      <c r="O860" s="303"/>
    </row>
    <row r="861" spans="1:15" x14ac:dyDescent="0.35">
      <c r="A861" s="318"/>
      <c r="B861" s="303"/>
      <c r="D861" s="303"/>
      <c r="O861" s="303"/>
    </row>
    <row r="862" spans="1:15" x14ac:dyDescent="0.35">
      <c r="A862" s="318"/>
      <c r="B862" s="303"/>
      <c r="D862" s="303"/>
      <c r="O862" s="303"/>
    </row>
    <row r="863" spans="1:15" x14ac:dyDescent="0.35">
      <c r="A863" s="318"/>
      <c r="B863" s="303"/>
      <c r="D863" s="303"/>
      <c r="O863" s="303"/>
    </row>
    <row r="864" spans="1:15" x14ac:dyDescent="0.35">
      <c r="A864" s="318"/>
      <c r="B864" s="303"/>
      <c r="D864" s="303"/>
      <c r="O864" s="303"/>
    </row>
    <row r="865" spans="1:15" x14ac:dyDescent="0.35">
      <c r="A865" s="318"/>
      <c r="B865" s="303"/>
      <c r="D865" s="303"/>
      <c r="O865" s="303"/>
    </row>
    <row r="866" spans="1:15" x14ac:dyDescent="0.35">
      <c r="A866" s="318"/>
      <c r="B866" s="303"/>
      <c r="D866" s="303"/>
      <c r="O866" s="303"/>
    </row>
    <row r="867" spans="1:15" x14ac:dyDescent="0.35">
      <c r="A867" s="318"/>
      <c r="B867" s="303"/>
      <c r="D867" s="303"/>
      <c r="O867" s="303"/>
    </row>
    <row r="868" spans="1:15" x14ac:dyDescent="0.35">
      <c r="A868" s="318"/>
      <c r="B868" s="303"/>
      <c r="D868" s="303"/>
      <c r="O868" s="303"/>
    </row>
    <row r="869" spans="1:15" x14ac:dyDescent="0.35">
      <c r="A869" s="318"/>
      <c r="B869" s="303"/>
      <c r="D869" s="303"/>
      <c r="O869" s="303"/>
    </row>
    <row r="870" spans="1:15" x14ac:dyDescent="0.35">
      <c r="A870" s="318"/>
      <c r="B870" s="303"/>
      <c r="D870" s="303"/>
      <c r="O870" s="303"/>
    </row>
    <row r="871" spans="1:15" x14ac:dyDescent="0.35">
      <c r="A871" s="318"/>
      <c r="B871" s="303"/>
      <c r="D871" s="303"/>
      <c r="O871" s="303"/>
    </row>
    <row r="872" spans="1:15" x14ac:dyDescent="0.35">
      <c r="A872" s="318"/>
      <c r="B872" s="303"/>
      <c r="D872" s="303"/>
      <c r="O872" s="303"/>
    </row>
    <row r="873" spans="1:15" x14ac:dyDescent="0.35">
      <c r="A873" s="318"/>
      <c r="B873" s="303"/>
      <c r="D873" s="303"/>
      <c r="O873" s="303"/>
    </row>
    <row r="874" spans="1:15" x14ac:dyDescent="0.35">
      <c r="A874" s="318"/>
      <c r="B874" s="303"/>
      <c r="D874" s="303"/>
      <c r="O874" s="303"/>
    </row>
    <row r="875" spans="1:15" x14ac:dyDescent="0.35">
      <c r="A875" s="318"/>
      <c r="B875" s="303"/>
      <c r="D875" s="303"/>
      <c r="O875" s="303"/>
    </row>
    <row r="876" spans="1:15" x14ac:dyDescent="0.35">
      <c r="A876" s="318"/>
      <c r="B876" s="303"/>
      <c r="D876" s="303"/>
      <c r="O876" s="303"/>
    </row>
    <row r="877" spans="1:15" x14ac:dyDescent="0.35">
      <c r="A877" s="318"/>
      <c r="B877" s="303"/>
      <c r="D877" s="303"/>
      <c r="O877" s="303"/>
    </row>
    <row r="878" spans="1:15" x14ac:dyDescent="0.35">
      <c r="A878" s="318"/>
      <c r="B878" s="303"/>
      <c r="D878" s="303"/>
      <c r="O878" s="303"/>
    </row>
    <row r="879" spans="1:15" x14ac:dyDescent="0.35">
      <c r="A879" s="318"/>
      <c r="B879" s="303"/>
      <c r="D879" s="303"/>
      <c r="O879" s="303"/>
    </row>
    <row r="880" spans="1:15" x14ac:dyDescent="0.35">
      <c r="A880" s="318"/>
      <c r="B880" s="303"/>
      <c r="D880" s="303"/>
      <c r="O880" s="303"/>
    </row>
    <row r="881" spans="1:15" x14ac:dyDescent="0.35">
      <c r="A881" s="318"/>
      <c r="B881" s="303"/>
      <c r="D881" s="303"/>
      <c r="O881" s="303"/>
    </row>
    <row r="882" spans="1:15" x14ac:dyDescent="0.35">
      <c r="A882" s="318"/>
      <c r="B882" s="303"/>
      <c r="D882" s="303"/>
      <c r="O882" s="303"/>
    </row>
    <row r="883" spans="1:15" x14ac:dyDescent="0.35">
      <c r="A883" s="318"/>
      <c r="B883" s="303"/>
      <c r="D883" s="303"/>
      <c r="O883" s="303"/>
    </row>
    <row r="884" spans="1:15" x14ac:dyDescent="0.35">
      <c r="A884" s="318"/>
      <c r="B884" s="303"/>
      <c r="D884" s="303"/>
      <c r="O884" s="303"/>
    </row>
    <row r="885" spans="1:15" x14ac:dyDescent="0.35">
      <c r="A885" s="318"/>
      <c r="B885" s="303"/>
      <c r="D885" s="303"/>
      <c r="O885" s="303"/>
    </row>
    <row r="886" spans="1:15" x14ac:dyDescent="0.35">
      <c r="A886" s="318"/>
      <c r="B886" s="303"/>
      <c r="D886" s="303"/>
      <c r="O886" s="303"/>
    </row>
    <row r="887" spans="1:15" x14ac:dyDescent="0.35">
      <c r="A887" s="318"/>
      <c r="B887" s="303"/>
      <c r="D887" s="303"/>
      <c r="O887" s="303"/>
    </row>
    <row r="888" spans="1:15" x14ac:dyDescent="0.35">
      <c r="A888" s="318"/>
      <c r="B888" s="303"/>
      <c r="D888" s="303"/>
      <c r="O888" s="303"/>
    </row>
    <row r="889" spans="1:15" x14ac:dyDescent="0.35">
      <c r="A889" s="318"/>
      <c r="B889" s="303"/>
      <c r="D889" s="303"/>
      <c r="O889" s="303"/>
    </row>
    <row r="890" spans="1:15" x14ac:dyDescent="0.35">
      <c r="A890" s="318"/>
      <c r="B890" s="303"/>
      <c r="D890" s="303"/>
      <c r="O890" s="303"/>
    </row>
    <row r="891" spans="1:15" x14ac:dyDescent="0.35">
      <c r="A891" s="318"/>
      <c r="B891" s="303"/>
      <c r="D891" s="303"/>
      <c r="O891" s="303"/>
    </row>
    <row r="892" spans="1:15" x14ac:dyDescent="0.35">
      <c r="A892" s="318"/>
      <c r="B892" s="303"/>
      <c r="D892" s="303"/>
      <c r="O892" s="303"/>
    </row>
    <row r="893" spans="1:15" x14ac:dyDescent="0.35">
      <c r="A893" s="318"/>
      <c r="B893" s="303"/>
      <c r="D893" s="303"/>
      <c r="O893" s="303"/>
    </row>
    <row r="894" spans="1:15" x14ac:dyDescent="0.35">
      <c r="A894" s="318"/>
      <c r="B894" s="303"/>
      <c r="D894" s="303"/>
      <c r="O894" s="303"/>
    </row>
    <row r="895" spans="1:15" x14ac:dyDescent="0.35">
      <c r="A895" s="318"/>
      <c r="B895" s="303"/>
      <c r="D895" s="303"/>
      <c r="O895" s="303"/>
    </row>
    <row r="896" spans="1:15" x14ac:dyDescent="0.35">
      <c r="A896" s="318"/>
      <c r="B896" s="303"/>
      <c r="D896" s="303"/>
      <c r="O896" s="303"/>
    </row>
    <row r="897" spans="1:15" x14ac:dyDescent="0.35">
      <c r="A897" s="318"/>
      <c r="B897" s="303"/>
      <c r="D897" s="303"/>
      <c r="O897" s="303"/>
    </row>
    <row r="898" spans="1:15" x14ac:dyDescent="0.35">
      <c r="A898" s="318"/>
      <c r="B898" s="303"/>
      <c r="D898" s="303"/>
      <c r="O898" s="303"/>
    </row>
    <row r="899" spans="1:15" x14ac:dyDescent="0.35">
      <c r="A899" s="318"/>
      <c r="B899" s="303"/>
      <c r="D899" s="303"/>
      <c r="O899" s="303"/>
    </row>
    <row r="900" spans="1:15" x14ac:dyDescent="0.35">
      <c r="A900" s="318"/>
      <c r="B900" s="303"/>
      <c r="D900" s="303"/>
      <c r="O900" s="303"/>
    </row>
    <row r="901" spans="1:15" x14ac:dyDescent="0.35">
      <c r="A901" s="318"/>
      <c r="B901" s="303"/>
      <c r="D901" s="303"/>
      <c r="O901" s="303"/>
    </row>
    <row r="902" spans="1:15" x14ac:dyDescent="0.35">
      <c r="A902" s="318"/>
      <c r="B902" s="303"/>
      <c r="D902" s="303"/>
      <c r="O902" s="303"/>
    </row>
    <row r="903" spans="1:15" x14ac:dyDescent="0.35">
      <c r="A903" s="318"/>
      <c r="B903" s="303"/>
      <c r="D903" s="303"/>
      <c r="O903" s="303"/>
    </row>
    <row r="904" spans="1:15" x14ac:dyDescent="0.35">
      <c r="A904" s="318"/>
      <c r="B904" s="303"/>
      <c r="D904" s="303"/>
      <c r="O904" s="303"/>
    </row>
    <row r="905" spans="1:15" x14ac:dyDescent="0.35">
      <c r="A905" s="318"/>
      <c r="B905" s="303"/>
      <c r="D905" s="303"/>
      <c r="O905" s="303"/>
    </row>
    <row r="906" spans="1:15" x14ac:dyDescent="0.35">
      <c r="A906" s="318"/>
      <c r="B906" s="303"/>
      <c r="D906" s="303"/>
      <c r="O906" s="303"/>
    </row>
    <row r="907" spans="1:15" x14ac:dyDescent="0.35">
      <c r="A907" s="318"/>
      <c r="B907" s="303"/>
      <c r="D907" s="303"/>
      <c r="O907" s="303"/>
    </row>
    <row r="908" spans="1:15" x14ac:dyDescent="0.35">
      <c r="A908" s="318"/>
      <c r="B908" s="303"/>
      <c r="D908" s="303"/>
      <c r="O908" s="303"/>
    </row>
    <row r="909" spans="1:15" x14ac:dyDescent="0.35">
      <c r="A909" s="318"/>
      <c r="B909" s="303"/>
      <c r="D909" s="303"/>
      <c r="O909" s="303"/>
    </row>
    <row r="910" spans="1:15" x14ac:dyDescent="0.35">
      <c r="A910" s="318"/>
      <c r="B910" s="303"/>
      <c r="D910" s="303"/>
      <c r="O910" s="303"/>
    </row>
    <row r="911" spans="1:15" x14ac:dyDescent="0.35">
      <c r="A911" s="318"/>
      <c r="B911" s="303"/>
      <c r="D911" s="303"/>
      <c r="O911" s="303"/>
    </row>
    <row r="912" spans="1:15" x14ac:dyDescent="0.35">
      <c r="A912" s="318"/>
      <c r="B912" s="303"/>
      <c r="D912" s="303"/>
      <c r="O912" s="303"/>
    </row>
    <row r="913" spans="1:15" x14ac:dyDescent="0.35">
      <c r="A913" s="318"/>
      <c r="B913" s="303"/>
      <c r="D913" s="303"/>
      <c r="O913" s="303"/>
    </row>
    <row r="914" spans="1:15" x14ac:dyDescent="0.35">
      <c r="A914" s="318"/>
      <c r="B914" s="303"/>
      <c r="D914" s="303"/>
      <c r="O914" s="303"/>
    </row>
    <row r="915" spans="1:15" x14ac:dyDescent="0.35">
      <c r="A915" s="318"/>
      <c r="B915" s="303"/>
      <c r="D915" s="303"/>
      <c r="O915" s="303"/>
    </row>
    <row r="916" spans="1:15" x14ac:dyDescent="0.35">
      <c r="A916" s="318"/>
      <c r="B916" s="303"/>
      <c r="D916" s="303"/>
      <c r="O916" s="303"/>
    </row>
    <row r="917" spans="1:15" x14ac:dyDescent="0.35">
      <c r="A917" s="318"/>
      <c r="B917" s="303"/>
      <c r="D917" s="303"/>
      <c r="O917" s="303"/>
    </row>
    <row r="918" spans="1:15" x14ac:dyDescent="0.35">
      <c r="A918" s="318"/>
      <c r="B918" s="303"/>
      <c r="D918" s="303"/>
      <c r="O918" s="303"/>
    </row>
    <row r="919" spans="1:15" x14ac:dyDescent="0.35">
      <c r="A919" s="318"/>
      <c r="B919" s="303"/>
      <c r="D919" s="303"/>
      <c r="O919" s="303"/>
    </row>
    <row r="920" spans="1:15" x14ac:dyDescent="0.35">
      <c r="A920" s="318"/>
      <c r="B920" s="303"/>
      <c r="D920" s="303"/>
      <c r="O920" s="303"/>
    </row>
    <row r="921" spans="1:15" x14ac:dyDescent="0.35">
      <c r="A921" s="318"/>
      <c r="B921" s="303"/>
      <c r="D921" s="303"/>
      <c r="O921" s="303"/>
    </row>
    <row r="922" spans="1:15" x14ac:dyDescent="0.35">
      <c r="A922" s="318"/>
      <c r="B922" s="303"/>
      <c r="D922" s="303"/>
      <c r="O922" s="303"/>
    </row>
    <row r="923" spans="1:15" x14ac:dyDescent="0.35">
      <c r="A923" s="318"/>
      <c r="B923" s="303"/>
      <c r="D923" s="303"/>
      <c r="O923" s="303"/>
    </row>
    <row r="924" spans="1:15" x14ac:dyDescent="0.35">
      <c r="A924" s="318"/>
      <c r="B924" s="303"/>
      <c r="D924" s="303"/>
      <c r="O924" s="303"/>
    </row>
    <row r="925" spans="1:15" x14ac:dyDescent="0.35">
      <c r="A925" s="318"/>
      <c r="B925" s="303"/>
      <c r="D925" s="303"/>
      <c r="O925" s="303"/>
    </row>
    <row r="926" spans="1:15" x14ac:dyDescent="0.35">
      <c r="A926" s="318"/>
      <c r="B926" s="303"/>
      <c r="D926" s="303"/>
      <c r="O926" s="303"/>
    </row>
    <row r="927" spans="1:15" x14ac:dyDescent="0.35">
      <c r="A927" s="318"/>
      <c r="B927" s="303"/>
      <c r="D927" s="303"/>
      <c r="O927" s="303"/>
    </row>
    <row r="928" spans="1:15" x14ac:dyDescent="0.35">
      <c r="A928" s="318"/>
      <c r="B928" s="303"/>
      <c r="D928" s="303"/>
      <c r="O928" s="303"/>
    </row>
    <row r="929" spans="1:15" x14ac:dyDescent="0.35">
      <c r="A929" s="318"/>
      <c r="B929" s="303"/>
      <c r="D929" s="303"/>
      <c r="O929" s="303"/>
    </row>
    <row r="930" spans="1:15" x14ac:dyDescent="0.35">
      <c r="A930" s="318"/>
      <c r="B930" s="303"/>
      <c r="D930" s="303"/>
      <c r="O930" s="303"/>
    </row>
    <row r="931" spans="1:15" x14ac:dyDescent="0.35">
      <c r="A931" s="318"/>
      <c r="B931" s="303"/>
      <c r="D931" s="303"/>
      <c r="O931" s="303"/>
    </row>
    <row r="932" spans="1:15" x14ac:dyDescent="0.35">
      <c r="A932" s="318"/>
      <c r="B932" s="303"/>
      <c r="D932" s="303"/>
      <c r="O932" s="303"/>
    </row>
    <row r="933" spans="1:15" x14ac:dyDescent="0.35">
      <c r="A933" s="318"/>
      <c r="B933" s="303"/>
      <c r="D933" s="303"/>
      <c r="O933" s="303"/>
    </row>
    <row r="934" spans="1:15" x14ac:dyDescent="0.35">
      <c r="A934" s="318"/>
      <c r="B934" s="303"/>
      <c r="D934" s="303"/>
      <c r="O934" s="303"/>
    </row>
    <row r="935" spans="1:15" x14ac:dyDescent="0.35">
      <c r="A935" s="318"/>
      <c r="B935" s="303"/>
      <c r="D935" s="303"/>
      <c r="O935" s="303"/>
    </row>
    <row r="936" spans="1:15" x14ac:dyDescent="0.35">
      <c r="A936" s="318"/>
      <c r="B936" s="303"/>
      <c r="D936" s="303"/>
      <c r="O936" s="303"/>
    </row>
    <row r="937" spans="1:15" x14ac:dyDescent="0.35">
      <c r="A937" s="318"/>
      <c r="B937" s="303"/>
      <c r="D937" s="303"/>
      <c r="O937" s="303"/>
    </row>
    <row r="938" spans="1:15" x14ac:dyDescent="0.35">
      <c r="A938" s="318"/>
      <c r="B938" s="303"/>
      <c r="D938" s="303"/>
      <c r="O938" s="303"/>
    </row>
    <row r="939" spans="1:15" x14ac:dyDescent="0.35">
      <c r="A939" s="318"/>
      <c r="B939" s="303"/>
      <c r="D939" s="303"/>
      <c r="O939" s="303"/>
    </row>
    <row r="940" spans="1:15" x14ac:dyDescent="0.35">
      <c r="A940" s="318"/>
      <c r="B940" s="303"/>
      <c r="D940" s="303"/>
      <c r="O940" s="303"/>
    </row>
    <row r="941" spans="1:15" x14ac:dyDescent="0.35">
      <c r="A941" s="318"/>
      <c r="B941" s="303"/>
      <c r="D941" s="303"/>
      <c r="O941" s="303"/>
    </row>
    <row r="942" spans="1:15" x14ac:dyDescent="0.35">
      <c r="A942" s="318"/>
      <c r="B942" s="303"/>
      <c r="D942" s="303"/>
      <c r="O942" s="303"/>
    </row>
    <row r="943" spans="1:15" x14ac:dyDescent="0.35">
      <c r="A943" s="318"/>
      <c r="B943" s="303"/>
      <c r="D943" s="303"/>
      <c r="O943" s="303"/>
    </row>
    <row r="944" spans="1:15" x14ac:dyDescent="0.35">
      <c r="A944" s="318"/>
      <c r="B944" s="303"/>
      <c r="D944" s="303"/>
      <c r="O944" s="303"/>
    </row>
    <row r="945" spans="1:15" x14ac:dyDescent="0.35">
      <c r="A945" s="318"/>
      <c r="B945" s="303"/>
      <c r="D945" s="303"/>
      <c r="O945" s="303"/>
    </row>
    <row r="946" spans="1:15" x14ac:dyDescent="0.35">
      <c r="A946" s="318"/>
      <c r="B946" s="303"/>
      <c r="D946" s="303"/>
      <c r="O946" s="303"/>
    </row>
    <row r="947" spans="1:15" x14ac:dyDescent="0.35">
      <c r="A947" s="318"/>
      <c r="B947" s="303"/>
      <c r="D947" s="303"/>
      <c r="O947" s="303"/>
    </row>
    <row r="948" spans="1:15" x14ac:dyDescent="0.35">
      <c r="A948" s="318"/>
      <c r="B948" s="303"/>
      <c r="D948" s="303"/>
      <c r="O948" s="303"/>
    </row>
    <row r="949" spans="1:15" x14ac:dyDescent="0.35">
      <c r="A949" s="318"/>
      <c r="B949" s="303"/>
      <c r="D949" s="303"/>
      <c r="O949" s="303"/>
    </row>
    <row r="950" spans="1:15" x14ac:dyDescent="0.35">
      <c r="A950" s="318"/>
      <c r="B950" s="303"/>
      <c r="D950" s="303"/>
      <c r="O950" s="303"/>
    </row>
    <row r="951" spans="1:15" x14ac:dyDescent="0.35">
      <c r="A951" s="318"/>
      <c r="B951" s="303"/>
      <c r="D951" s="303"/>
      <c r="O951" s="303"/>
    </row>
    <row r="952" spans="1:15" x14ac:dyDescent="0.35">
      <c r="A952" s="318"/>
      <c r="B952" s="303"/>
      <c r="D952" s="303"/>
      <c r="O952" s="303"/>
    </row>
    <row r="953" spans="1:15" x14ac:dyDescent="0.35">
      <c r="A953" s="318"/>
      <c r="B953" s="303"/>
      <c r="D953" s="303"/>
      <c r="O953" s="303"/>
    </row>
    <row r="954" spans="1:15" x14ac:dyDescent="0.35">
      <c r="A954" s="318"/>
      <c r="B954" s="303"/>
      <c r="D954" s="303"/>
      <c r="O954" s="303"/>
    </row>
    <row r="955" spans="1:15" x14ac:dyDescent="0.35">
      <c r="A955" s="318"/>
      <c r="B955" s="303"/>
      <c r="D955" s="303"/>
      <c r="O955" s="303"/>
    </row>
    <row r="956" spans="1:15" x14ac:dyDescent="0.35">
      <c r="A956" s="318"/>
      <c r="B956" s="303"/>
      <c r="D956" s="303"/>
      <c r="O956" s="303"/>
    </row>
    <row r="957" spans="1:15" x14ac:dyDescent="0.35">
      <c r="A957" s="318"/>
      <c r="B957" s="303"/>
      <c r="D957" s="303"/>
      <c r="O957" s="303"/>
    </row>
    <row r="958" spans="1:15" x14ac:dyDescent="0.35">
      <c r="A958" s="318"/>
      <c r="B958" s="303"/>
      <c r="D958" s="303"/>
      <c r="O958" s="303"/>
    </row>
    <row r="959" spans="1:15" x14ac:dyDescent="0.35">
      <c r="A959" s="318"/>
      <c r="B959" s="303"/>
      <c r="D959" s="303"/>
      <c r="O959" s="303"/>
    </row>
    <row r="960" spans="1:15" x14ac:dyDescent="0.35">
      <c r="A960" s="318"/>
      <c r="B960" s="303"/>
      <c r="D960" s="303"/>
      <c r="O960" s="303"/>
    </row>
    <row r="961" spans="1:15" x14ac:dyDescent="0.35">
      <c r="A961" s="318"/>
      <c r="B961" s="303"/>
      <c r="D961" s="303"/>
      <c r="O961" s="303"/>
    </row>
    <row r="962" spans="1:15" x14ac:dyDescent="0.35">
      <c r="A962" s="318"/>
      <c r="B962" s="303"/>
      <c r="D962" s="303"/>
      <c r="O962" s="303"/>
    </row>
    <row r="963" spans="1:15" x14ac:dyDescent="0.35">
      <c r="A963" s="318"/>
      <c r="B963" s="303"/>
      <c r="D963" s="303"/>
      <c r="O963" s="303"/>
    </row>
    <row r="964" spans="1:15" x14ac:dyDescent="0.35">
      <c r="A964" s="318"/>
      <c r="B964" s="303"/>
      <c r="D964" s="303"/>
      <c r="O964" s="303"/>
    </row>
    <row r="965" spans="1:15" x14ac:dyDescent="0.35">
      <c r="A965" s="318"/>
      <c r="B965" s="303"/>
      <c r="D965" s="303"/>
      <c r="O965" s="303"/>
    </row>
    <row r="966" spans="1:15" x14ac:dyDescent="0.35">
      <c r="A966" s="318"/>
      <c r="B966" s="303"/>
      <c r="D966" s="303"/>
      <c r="O966" s="303"/>
    </row>
    <row r="967" spans="1:15" x14ac:dyDescent="0.35">
      <c r="A967" s="318"/>
      <c r="B967" s="303"/>
      <c r="D967" s="303"/>
      <c r="O967" s="303"/>
    </row>
    <row r="968" spans="1:15" x14ac:dyDescent="0.35">
      <c r="A968" s="318"/>
      <c r="B968" s="303"/>
      <c r="D968" s="303"/>
      <c r="O968" s="303"/>
    </row>
    <row r="969" spans="1:15" x14ac:dyDescent="0.35">
      <c r="A969" s="318"/>
      <c r="B969" s="303"/>
      <c r="D969" s="303"/>
      <c r="O969" s="303"/>
    </row>
    <row r="970" spans="1:15" x14ac:dyDescent="0.35">
      <c r="A970" s="318"/>
      <c r="B970" s="303"/>
      <c r="D970" s="303"/>
      <c r="O970" s="303"/>
    </row>
    <row r="971" spans="1:15" x14ac:dyDescent="0.35">
      <c r="A971" s="318"/>
      <c r="B971" s="303"/>
      <c r="D971" s="303"/>
      <c r="O971" s="303"/>
    </row>
    <row r="972" spans="1:15" x14ac:dyDescent="0.35">
      <c r="A972" s="318"/>
      <c r="B972" s="303"/>
      <c r="D972" s="303"/>
      <c r="O972" s="303"/>
    </row>
    <row r="973" spans="1:15" x14ac:dyDescent="0.35">
      <c r="A973" s="318"/>
      <c r="B973" s="303"/>
      <c r="D973" s="303"/>
      <c r="O973" s="303"/>
    </row>
    <row r="974" spans="1:15" x14ac:dyDescent="0.35">
      <c r="A974" s="318"/>
      <c r="B974" s="303"/>
      <c r="D974" s="303"/>
      <c r="O974" s="303"/>
    </row>
    <row r="975" spans="1:15" x14ac:dyDescent="0.35">
      <c r="A975" s="318"/>
      <c r="B975" s="303"/>
      <c r="D975" s="303"/>
      <c r="O975" s="303"/>
    </row>
    <row r="976" spans="1:15" x14ac:dyDescent="0.35">
      <c r="A976" s="318"/>
      <c r="B976" s="303"/>
      <c r="D976" s="303"/>
      <c r="O976" s="303"/>
    </row>
    <row r="977" spans="1:15" x14ac:dyDescent="0.35">
      <c r="A977" s="318"/>
      <c r="B977" s="303"/>
      <c r="D977" s="303"/>
      <c r="O977" s="303"/>
    </row>
    <row r="978" spans="1:15" x14ac:dyDescent="0.35">
      <c r="A978" s="318"/>
      <c r="B978" s="303"/>
      <c r="D978" s="303"/>
      <c r="O978" s="303"/>
    </row>
    <row r="979" spans="1:15" x14ac:dyDescent="0.35">
      <c r="A979" s="318"/>
      <c r="B979" s="303"/>
      <c r="D979" s="303"/>
      <c r="O979" s="303"/>
    </row>
    <row r="980" spans="1:15" x14ac:dyDescent="0.35">
      <c r="A980" s="318"/>
      <c r="B980" s="303"/>
      <c r="D980" s="303"/>
      <c r="O980" s="303"/>
    </row>
    <row r="981" spans="1:15" x14ac:dyDescent="0.35">
      <c r="A981" s="318"/>
      <c r="B981" s="303"/>
      <c r="D981" s="303"/>
      <c r="O981" s="303"/>
    </row>
    <row r="982" spans="1:15" x14ac:dyDescent="0.35">
      <c r="A982" s="318"/>
      <c r="B982" s="303"/>
      <c r="D982" s="303"/>
      <c r="O982" s="303"/>
    </row>
    <row r="983" spans="1:15" x14ac:dyDescent="0.35">
      <c r="A983" s="318"/>
      <c r="B983" s="303"/>
      <c r="D983" s="303"/>
      <c r="O983" s="303"/>
    </row>
    <row r="984" spans="1:15" x14ac:dyDescent="0.35">
      <c r="A984" s="318"/>
      <c r="B984" s="303"/>
      <c r="D984" s="303"/>
      <c r="O984" s="303"/>
    </row>
    <row r="985" spans="1:15" x14ac:dyDescent="0.35">
      <c r="A985" s="318"/>
      <c r="B985" s="303"/>
      <c r="D985" s="303"/>
      <c r="O985" s="303"/>
    </row>
    <row r="986" spans="1:15" x14ac:dyDescent="0.35">
      <c r="A986" s="318"/>
      <c r="B986" s="303"/>
      <c r="D986" s="303"/>
      <c r="O986" s="303"/>
    </row>
    <row r="987" spans="1:15" x14ac:dyDescent="0.35">
      <c r="A987" s="318"/>
      <c r="B987" s="303"/>
      <c r="D987" s="303"/>
      <c r="O987" s="303"/>
    </row>
    <row r="988" spans="1:15" x14ac:dyDescent="0.35">
      <c r="A988" s="318"/>
      <c r="B988" s="303"/>
      <c r="D988" s="303"/>
      <c r="O988" s="303"/>
    </row>
    <row r="989" spans="1:15" x14ac:dyDescent="0.35">
      <c r="A989" s="318"/>
      <c r="B989" s="303"/>
      <c r="D989" s="303"/>
      <c r="O989" s="303"/>
    </row>
    <row r="990" spans="1:15" x14ac:dyDescent="0.35">
      <c r="A990" s="318"/>
      <c r="B990" s="303"/>
      <c r="D990" s="303"/>
      <c r="O990" s="303"/>
    </row>
    <row r="991" spans="1:15" x14ac:dyDescent="0.35">
      <c r="A991" s="318"/>
      <c r="B991" s="303"/>
      <c r="D991" s="303"/>
      <c r="O991" s="303"/>
    </row>
    <row r="992" spans="1:15" x14ac:dyDescent="0.35">
      <c r="A992" s="318"/>
      <c r="B992" s="303"/>
      <c r="D992" s="303"/>
      <c r="O992" s="303"/>
    </row>
    <row r="993" spans="1:15" x14ac:dyDescent="0.35">
      <c r="A993" s="318"/>
      <c r="B993" s="303"/>
      <c r="D993" s="303"/>
      <c r="O993" s="303"/>
    </row>
    <row r="994" spans="1:15" x14ac:dyDescent="0.35">
      <c r="A994" s="318"/>
      <c r="B994" s="303"/>
      <c r="D994" s="303"/>
      <c r="O994" s="303"/>
    </row>
    <row r="995" spans="1:15" x14ac:dyDescent="0.35">
      <c r="A995" s="318"/>
      <c r="B995" s="303"/>
      <c r="D995" s="303"/>
      <c r="O995" s="303"/>
    </row>
    <row r="996" spans="1:15" x14ac:dyDescent="0.35">
      <c r="A996" s="318"/>
      <c r="B996" s="303"/>
      <c r="D996" s="303"/>
      <c r="O996" s="303"/>
    </row>
    <row r="997" spans="1:15" x14ac:dyDescent="0.35">
      <c r="A997" s="318"/>
      <c r="B997" s="303"/>
      <c r="D997" s="303"/>
      <c r="O997" s="303"/>
    </row>
    <row r="998" spans="1:15" x14ac:dyDescent="0.35">
      <c r="A998" s="318"/>
      <c r="B998" s="303"/>
      <c r="D998" s="303"/>
      <c r="O998" s="303"/>
    </row>
    <row r="999" spans="1:15" x14ac:dyDescent="0.35">
      <c r="A999" s="318"/>
      <c r="B999" s="303"/>
      <c r="D999" s="303"/>
      <c r="O999" s="303"/>
    </row>
    <row r="1000" spans="1:15" x14ac:dyDescent="0.35">
      <c r="A1000" s="318"/>
      <c r="B1000" s="303"/>
      <c r="D1000" s="303"/>
      <c r="O1000" s="303"/>
    </row>
    <row r="1001" spans="1:15" x14ac:dyDescent="0.35">
      <c r="A1001" s="318"/>
    </row>
    <row r="1002" spans="1:15" x14ac:dyDescent="0.35">
      <c r="A1002" s="318"/>
    </row>
    <row r="1003" spans="1:15" x14ac:dyDescent="0.35">
      <c r="A1003" s="318"/>
    </row>
    <row r="1004" spans="1:15" x14ac:dyDescent="0.35">
      <c r="A1004" s="318"/>
    </row>
    <row r="1005" spans="1:15" x14ac:dyDescent="0.35">
      <c r="A1005" s="318"/>
    </row>
    <row r="1006" spans="1:15" x14ac:dyDescent="0.35">
      <c r="A1006" s="318"/>
    </row>
    <row r="1007" spans="1:15" x14ac:dyDescent="0.35">
      <c r="A1007" s="318"/>
    </row>
    <row r="1008" spans="1:15" x14ac:dyDescent="0.35">
      <c r="A1008" s="318"/>
    </row>
    <row r="1009" spans="1:1" x14ac:dyDescent="0.35">
      <c r="A1009" s="318"/>
    </row>
    <row r="1010" spans="1:1" x14ac:dyDescent="0.35">
      <c r="A1010" s="318"/>
    </row>
    <row r="1011" spans="1:1" x14ac:dyDescent="0.35">
      <c r="A1011" s="318"/>
    </row>
    <row r="1012" spans="1:1" x14ac:dyDescent="0.35">
      <c r="A1012" s="318"/>
    </row>
    <row r="1013" spans="1:1" x14ac:dyDescent="0.35">
      <c r="A1013" s="318"/>
    </row>
    <row r="1014" spans="1:1" x14ac:dyDescent="0.35">
      <c r="A1014" s="318"/>
    </row>
    <row r="1015" spans="1:1" x14ac:dyDescent="0.35">
      <c r="A1015" s="318"/>
    </row>
    <row r="1016" spans="1:1" x14ac:dyDescent="0.35">
      <c r="A1016" s="318"/>
    </row>
    <row r="1017" spans="1:1" x14ac:dyDescent="0.35">
      <c r="A1017" s="318"/>
    </row>
    <row r="1018" spans="1:1" x14ac:dyDescent="0.35">
      <c r="A1018" s="318"/>
    </row>
    <row r="1019" spans="1:1" x14ac:dyDescent="0.35">
      <c r="A1019" s="318"/>
    </row>
    <row r="1020" spans="1:1" x14ac:dyDescent="0.35">
      <c r="A1020" s="318"/>
    </row>
    <row r="1021" spans="1:1" x14ac:dyDescent="0.35">
      <c r="A1021" s="318"/>
    </row>
    <row r="1022" spans="1:1" x14ac:dyDescent="0.35">
      <c r="A1022" s="318"/>
    </row>
    <row r="1023" spans="1:1" x14ac:dyDescent="0.35">
      <c r="A1023" s="318"/>
    </row>
    <row r="1024" spans="1:1" x14ac:dyDescent="0.35">
      <c r="A1024" s="318"/>
    </row>
    <row r="1025" spans="1:1" x14ac:dyDescent="0.35">
      <c r="A1025" s="318"/>
    </row>
    <row r="1026" spans="1:1" x14ac:dyDescent="0.35">
      <c r="A1026" s="318"/>
    </row>
    <row r="1027" spans="1:1" x14ac:dyDescent="0.35">
      <c r="A1027" s="318"/>
    </row>
    <row r="1028" spans="1:1" x14ac:dyDescent="0.35">
      <c r="A1028" s="318"/>
    </row>
    <row r="1029" spans="1:1" x14ac:dyDescent="0.35">
      <c r="A1029" s="318"/>
    </row>
    <row r="1030" spans="1:1" x14ac:dyDescent="0.35">
      <c r="A1030" s="318"/>
    </row>
  </sheetData>
  <sheetProtection sheet="1" objects="1" scenarios="1" selectLockedCells="1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dataValidations count="2">
    <dataValidation type="list" allowBlank="1" showInputMessage="1" showErrorMessage="1" errorTitle="Ungültiger Wert" error="Bitte wählen Sie einen Wert aus der Liste." sqref="B6:B1000" xr:uid="{D69D4899-A0EE-4B83-8237-801456E54098}">
      <formula1>#REF!</formula1>
    </dataValidation>
    <dataValidation type="list" allowBlank="1" showInputMessage="1" showErrorMessage="1" errorTitle="Ungültiger Wert" error="Bitte wählen Sie einen Wert aus der Liste." sqref="O6:O1000 C6:D1000" xr:uid="{94168C06-9B90-4A00-A9FC-6FE8F4F5C9E9}">
      <formula1>#REF!</formula1>
    </dataValidation>
  </dataValidation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5"/>
  <sheetViews>
    <sheetView zoomScale="90" zoomScaleNormal="90" workbookViewId="0">
      <selection activeCell="F9" sqref="F9"/>
    </sheetView>
  </sheetViews>
  <sheetFormatPr baseColWidth="10" defaultRowHeight="14.5" x14ac:dyDescent="0.35"/>
  <cols>
    <col min="1" max="1" width="8.26953125" style="280" bestFit="1" customWidth="1"/>
    <col min="2" max="2" width="20.81640625" style="280" bestFit="1" customWidth="1"/>
    <col min="3" max="3" width="20.26953125" style="280" bestFit="1" customWidth="1"/>
    <col min="4" max="4" width="14.81640625" style="280" bestFit="1" customWidth="1"/>
    <col min="5" max="5" width="25.81640625" style="282" bestFit="1" customWidth="1"/>
    <col min="6" max="6" width="19.81640625" style="280" bestFit="1" customWidth="1"/>
    <col min="7" max="7" width="21.7265625" style="280" bestFit="1" customWidth="1"/>
    <col min="8" max="8" width="15.1796875" style="280" bestFit="1" customWidth="1"/>
    <col min="9" max="9" width="22.7265625" style="280" bestFit="1" customWidth="1"/>
    <col min="10" max="10" width="17.54296875" style="280" bestFit="1" customWidth="1"/>
    <col min="11" max="11" width="23.08984375" style="462" customWidth="1"/>
    <col min="12" max="16384" width="10.90625" style="462"/>
  </cols>
  <sheetData>
    <row r="1" spans="1:10" x14ac:dyDescent="0.35">
      <c r="A1" s="462"/>
      <c r="B1" s="462"/>
      <c r="C1" s="462"/>
      <c r="D1" s="462"/>
      <c r="E1" s="272"/>
      <c r="F1" s="462"/>
      <c r="G1" s="462"/>
      <c r="H1" s="462"/>
      <c r="I1" s="462"/>
      <c r="J1" s="462"/>
    </row>
    <row r="2" spans="1:10" x14ac:dyDescent="0.35">
      <c r="A2" s="462"/>
      <c r="B2" s="462"/>
      <c r="C2" s="462"/>
      <c r="D2" s="462"/>
      <c r="E2" s="272"/>
      <c r="F2" s="462"/>
      <c r="G2" s="462"/>
      <c r="H2" s="462"/>
      <c r="I2" s="462"/>
      <c r="J2" s="462"/>
    </row>
    <row r="3" spans="1:10" ht="16" x14ac:dyDescent="0.35">
      <c r="A3" s="310" t="s">
        <v>293</v>
      </c>
      <c r="B3" s="311" t="s">
        <v>512</v>
      </c>
      <c r="C3" s="311" t="s">
        <v>531</v>
      </c>
      <c r="D3" s="311" t="s">
        <v>513</v>
      </c>
      <c r="E3" s="311" t="s">
        <v>524</v>
      </c>
      <c r="F3" s="311" t="s">
        <v>522</v>
      </c>
      <c r="G3" s="311" t="s">
        <v>523</v>
      </c>
      <c r="H3" s="311" t="s">
        <v>395</v>
      </c>
      <c r="I3" s="310" t="s">
        <v>525</v>
      </c>
      <c r="J3" s="314" t="s">
        <v>517</v>
      </c>
    </row>
    <row r="4" spans="1:10" x14ac:dyDescent="0.35">
      <c r="A4" s="283">
        <v>14</v>
      </c>
      <c r="B4" s="295"/>
      <c r="C4" s="295" t="s">
        <v>510</v>
      </c>
      <c r="D4" s="306">
        <v>46039</v>
      </c>
      <c r="E4" s="295"/>
      <c r="F4" s="295"/>
      <c r="G4" s="295"/>
      <c r="H4" s="295"/>
      <c r="I4" s="312"/>
      <c r="J4" s="315"/>
    </row>
    <row r="5" spans="1:10" x14ac:dyDescent="0.35">
      <c r="A5" s="294">
        <v>14</v>
      </c>
      <c r="B5" s="297"/>
      <c r="C5" s="297" t="s">
        <v>511</v>
      </c>
      <c r="D5" s="307">
        <v>46039</v>
      </c>
      <c r="E5" s="297"/>
      <c r="F5" s="297"/>
      <c r="G5" s="297"/>
      <c r="H5" s="297"/>
      <c r="I5" s="313"/>
      <c r="J5" s="316"/>
    </row>
    <row r="6" spans="1:10" x14ac:dyDescent="0.35">
      <c r="A6" s="283">
        <v>14</v>
      </c>
      <c r="B6" s="295"/>
      <c r="C6" s="295" t="s">
        <v>514</v>
      </c>
      <c r="D6" s="306">
        <v>46040</v>
      </c>
      <c r="E6" s="295"/>
      <c r="F6" s="295"/>
      <c r="G6" s="295"/>
      <c r="H6" s="295"/>
      <c r="I6" s="312"/>
      <c r="J6" s="315"/>
    </row>
    <row r="7" spans="1:10" x14ac:dyDescent="0.35">
      <c r="A7" s="294">
        <v>14</v>
      </c>
      <c r="B7" s="297" t="s">
        <v>519</v>
      </c>
      <c r="C7" s="297" t="s">
        <v>520</v>
      </c>
      <c r="D7" s="307">
        <v>46049</v>
      </c>
      <c r="E7" s="297" t="s">
        <v>521</v>
      </c>
      <c r="F7" s="297"/>
      <c r="G7" s="297"/>
      <c r="H7" s="297"/>
      <c r="I7" s="313"/>
      <c r="J7" s="316"/>
    </row>
    <row r="8" spans="1:10" x14ac:dyDescent="0.35">
      <c r="A8" s="283">
        <v>14</v>
      </c>
      <c r="B8" s="295" t="s">
        <v>526</v>
      </c>
      <c r="C8" s="295" t="s">
        <v>518</v>
      </c>
      <c r="D8" s="306">
        <v>46037</v>
      </c>
      <c r="E8" s="295" t="s">
        <v>521</v>
      </c>
      <c r="F8" s="295" t="s">
        <v>538</v>
      </c>
      <c r="G8" s="295" t="s">
        <v>527</v>
      </c>
      <c r="H8" s="295"/>
      <c r="I8" s="283"/>
      <c r="J8" s="315">
        <v>46050.835590277777</v>
      </c>
    </row>
    <row r="9" spans="1:10" x14ac:dyDescent="0.35">
      <c r="A9" s="294">
        <v>9</v>
      </c>
      <c r="B9" s="297" t="s">
        <v>527</v>
      </c>
      <c r="C9" s="297" t="s">
        <v>538</v>
      </c>
      <c r="D9" s="307">
        <v>46050</v>
      </c>
      <c r="E9" s="297" t="s">
        <v>533</v>
      </c>
      <c r="F9" s="297"/>
      <c r="G9" s="297"/>
      <c r="H9" s="297"/>
      <c r="I9" s="294"/>
      <c r="J9" s="316">
        <v>46050.923506944448</v>
      </c>
    </row>
    <row r="10" spans="1:10" x14ac:dyDescent="0.35">
      <c r="A10" s="283">
        <v>14</v>
      </c>
      <c r="B10" s="295" t="s">
        <v>534</v>
      </c>
      <c r="C10" s="295" t="s">
        <v>530</v>
      </c>
      <c r="D10" s="306">
        <v>46050</v>
      </c>
      <c r="E10" s="295" t="s">
        <v>521</v>
      </c>
      <c r="F10" s="295" t="s">
        <v>530</v>
      </c>
      <c r="G10" s="295" t="s">
        <v>534</v>
      </c>
      <c r="H10" s="295"/>
      <c r="I10" s="283"/>
      <c r="J10" s="315">
        <v>46050.938194444447</v>
      </c>
    </row>
    <row r="11" spans="1:10" x14ac:dyDescent="0.35">
      <c r="A11" s="294">
        <v>14</v>
      </c>
      <c r="B11" s="297" t="s">
        <v>532</v>
      </c>
      <c r="C11" s="297" t="s">
        <v>537</v>
      </c>
      <c r="D11" s="307">
        <v>46050</v>
      </c>
      <c r="E11" s="297" t="s">
        <v>521</v>
      </c>
      <c r="F11" s="297" t="s">
        <v>530</v>
      </c>
      <c r="G11" s="297" t="s">
        <v>534</v>
      </c>
      <c r="H11" s="297"/>
      <c r="I11" s="294"/>
      <c r="J11" s="316">
        <v>46050.951886574076</v>
      </c>
    </row>
    <row r="12" spans="1:10" x14ac:dyDescent="0.35">
      <c r="A12" s="283">
        <v>14</v>
      </c>
      <c r="B12" s="295" t="s">
        <v>534</v>
      </c>
      <c r="C12" s="295" t="s">
        <v>530</v>
      </c>
      <c r="D12" s="306">
        <v>46052</v>
      </c>
      <c r="E12" s="295" t="s">
        <v>539</v>
      </c>
      <c r="F12" s="295"/>
      <c r="G12" s="295"/>
      <c r="H12" s="295"/>
      <c r="I12" s="283"/>
      <c r="J12" s="315">
        <v>46052.939456018517</v>
      </c>
    </row>
    <row r="13" spans="1:10" x14ac:dyDescent="0.35">
      <c r="A13" s="294">
        <v>13</v>
      </c>
      <c r="B13" s="297" t="s">
        <v>501</v>
      </c>
      <c r="C13" s="297" t="s">
        <v>383</v>
      </c>
      <c r="D13" s="307">
        <v>46052</v>
      </c>
      <c r="E13" s="297" t="s">
        <v>540</v>
      </c>
      <c r="F13" s="297"/>
      <c r="G13" s="297"/>
      <c r="H13" s="297" t="s">
        <v>541</v>
      </c>
      <c r="I13" s="294"/>
      <c r="J13" s="316">
        <v>46052.948483796295</v>
      </c>
    </row>
    <row r="14" spans="1:10" x14ac:dyDescent="0.35">
      <c r="A14" s="283">
        <v>13</v>
      </c>
      <c r="B14" s="295" t="s">
        <v>542</v>
      </c>
      <c r="C14" s="295" t="s">
        <v>543</v>
      </c>
      <c r="D14" s="306">
        <v>46052</v>
      </c>
      <c r="E14" s="295" t="s">
        <v>540</v>
      </c>
      <c r="F14" s="295"/>
      <c r="G14" s="295"/>
      <c r="H14" s="295" t="s">
        <v>541</v>
      </c>
      <c r="I14" s="283"/>
      <c r="J14" s="315">
        <v>46052.975868055553</v>
      </c>
    </row>
    <row r="15" spans="1:10" x14ac:dyDescent="0.35">
      <c r="A15" s="294">
        <v>3</v>
      </c>
      <c r="B15" s="297" t="s">
        <v>485</v>
      </c>
      <c r="C15" s="297" t="s">
        <v>544</v>
      </c>
      <c r="D15" s="307">
        <v>46052</v>
      </c>
      <c r="E15" s="297" t="s">
        <v>545</v>
      </c>
      <c r="F15" s="297"/>
      <c r="G15" s="297"/>
      <c r="H15" s="297"/>
      <c r="I15" s="294"/>
      <c r="J15" s="316">
        <v>46052.976412037038</v>
      </c>
    </row>
  </sheetData>
  <sheetProtection sheet="1" objects="1" scenarios="1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H57"/>
  <sheetViews>
    <sheetView workbookViewId="0">
      <selection activeCell="C8" sqref="C8"/>
    </sheetView>
  </sheetViews>
  <sheetFormatPr baseColWidth="10" defaultRowHeight="14.5" x14ac:dyDescent="0.35"/>
  <cols>
    <col min="1" max="1" width="3.1796875" style="268" customWidth="1"/>
    <col min="2" max="2" width="35.81640625" style="268" bestFit="1" customWidth="1"/>
    <col min="3" max="3" width="14.6328125" style="268" customWidth="1"/>
    <col min="4" max="4" width="12.6328125" style="268" customWidth="1"/>
    <col min="5" max="8" width="14.6328125" style="268" customWidth="1"/>
    <col min="9" max="16384" width="10.90625" style="268"/>
  </cols>
  <sheetData>
    <row r="1" spans="2:8" x14ac:dyDescent="0.35">
      <c r="C1" s="448"/>
    </row>
    <row r="2" spans="2:8" ht="21" x14ac:dyDescent="0.35">
      <c r="B2" s="585" t="s">
        <v>795</v>
      </c>
      <c r="C2" s="586"/>
      <c r="D2" s="586"/>
      <c r="E2" s="586"/>
      <c r="F2" s="586"/>
      <c r="G2" s="586"/>
      <c r="H2" s="587"/>
    </row>
    <row r="3" spans="2:8" ht="36" customHeight="1" x14ac:dyDescent="0.35">
      <c r="B3" s="496" t="s">
        <v>794</v>
      </c>
      <c r="C3" s="497" t="s">
        <v>790</v>
      </c>
      <c r="D3" s="497" t="s">
        <v>791</v>
      </c>
      <c r="E3" s="497" t="s">
        <v>797</v>
      </c>
      <c r="F3" s="497" t="s">
        <v>792</v>
      </c>
      <c r="G3" s="497" t="s">
        <v>793</v>
      </c>
      <c r="H3" s="498" t="s">
        <v>798</v>
      </c>
    </row>
    <row r="4" spans="2:8" x14ac:dyDescent="0.35">
      <c r="B4" s="449" t="s">
        <v>306</v>
      </c>
      <c r="C4" s="499">
        <v>7.5</v>
      </c>
      <c r="D4" s="500">
        <v>5</v>
      </c>
      <c r="E4" s="501"/>
      <c r="F4" s="500">
        <v>10</v>
      </c>
      <c r="G4" s="500">
        <v>0</v>
      </c>
      <c r="H4" s="499">
        <v>2.5</v>
      </c>
    </row>
    <row r="5" spans="2:8" x14ac:dyDescent="0.35">
      <c r="B5" s="419" t="s">
        <v>419</v>
      </c>
      <c r="C5" s="502">
        <v>108.63</v>
      </c>
      <c r="D5" s="503"/>
      <c r="E5" s="504" t="s">
        <v>796</v>
      </c>
      <c r="F5" s="503">
        <v>10</v>
      </c>
      <c r="G5" s="503">
        <v>0</v>
      </c>
      <c r="H5" s="502">
        <v>2.5</v>
      </c>
    </row>
    <row r="6" spans="2:8" x14ac:dyDescent="0.35">
      <c r="B6" s="449" t="s">
        <v>415</v>
      </c>
      <c r="C6" s="499">
        <v>15</v>
      </c>
      <c r="D6" s="500">
        <v>5</v>
      </c>
      <c r="E6" s="501"/>
      <c r="F6" s="500">
        <v>5</v>
      </c>
      <c r="G6" s="500">
        <v>0</v>
      </c>
      <c r="H6" s="499">
        <v>2.5</v>
      </c>
    </row>
    <row r="7" spans="2:8" x14ac:dyDescent="0.35">
      <c r="B7" s="419" t="s">
        <v>440</v>
      </c>
      <c r="C7" s="502">
        <v>6</v>
      </c>
      <c r="D7" s="503"/>
      <c r="E7" s="504"/>
      <c r="F7" s="503"/>
      <c r="G7" s="503"/>
      <c r="H7" s="502"/>
    </row>
    <row r="8" spans="2:8" x14ac:dyDescent="0.35">
      <c r="B8" s="417"/>
      <c r="C8" s="490"/>
      <c r="D8" s="491"/>
      <c r="E8" s="492"/>
      <c r="F8" s="491"/>
      <c r="G8" s="491"/>
      <c r="H8" s="490"/>
    </row>
    <row r="9" spans="2:8" x14ac:dyDescent="0.35">
      <c r="B9" s="442"/>
      <c r="C9" s="493"/>
      <c r="D9" s="494"/>
      <c r="E9" s="495"/>
      <c r="F9" s="494"/>
      <c r="G9" s="494"/>
      <c r="H9" s="493"/>
    </row>
    <row r="10" spans="2:8" x14ac:dyDescent="0.35">
      <c r="B10" s="442"/>
      <c r="C10" s="493"/>
      <c r="D10" s="494"/>
      <c r="E10" s="495"/>
      <c r="F10" s="494"/>
      <c r="G10" s="494"/>
      <c r="H10" s="493"/>
    </row>
    <row r="11" spans="2:8" x14ac:dyDescent="0.35">
      <c r="B11" s="442"/>
      <c r="C11" s="493"/>
      <c r="D11" s="494"/>
      <c r="E11" s="495"/>
      <c r="F11" s="494"/>
      <c r="G11" s="494"/>
      <c r="H11" s="493"/>
    </row>
    <row r="12" spans="2:8" x14ac:dyDescent="0.35">
      <c r="B12" s="442"/>
      <c r="C12" s="493"/>
      <c r="D12" s="494"/>
      <c r="E12" s="495"/>
      <c r="F12" s="494"/>
      <c r="G12" s="494"/>
      <c r="H12" s="493"/>
    </row>
    <row r="13" spans="2:8" x14ac:dyDescent="0.35">
      <c r="B13" s="442"/>
      <c r="C13" s="493"/>
      <c r="D13" s="494"/>
      <c r="E13" s="495"/>
      <c r="F13" s="494"/>
      <c r="G13" s="494"/>
      <c r="H13" s="493"/>
    </row>
    <row r="14" spans="2:8" x14ac:dyDescent="0.35">
      <c r="B14" s="442"/>
      <c r="C14" s="493"/>
      <c r="D14" s="494"/>
      <c r="E14" s="495"/>
      <c r="F14" s="494"/>
      <c r="G14" s="494"/>
      <c r="H14" s="493"/>
    </row>
    <row r="15" spans="2:8" x14ac:dyDescent="0.35">
      <c r="B15" s="442"/>
      <c r="C15" s="493"/>
      <c r="D15" s="494"/>
      <c r="E15" s="495"/>
      <c r="F15" s="494"/>
      <c r="G15" s="494"/>
      <c r="H15" s="493"/>
    </row>
    <row r="16" spans="2:8" x14ac:dyDescent="0.35">
      <c r="B16" s="442"/>
      <c r="C16" s="493"/>
      <c r="D16" s="494"/>
      <c r="E16" s="495"/>
      <c r="F16" s="494"/>
      <c r="G16" s="494"/>
      <c r="H16" s="493"/>
    </row>
    <row r="17" spans="2:8" x14ac:dyDescent="0.35">
      <c r="B17" s="442"/>
      <c r="C17" s="493"/>
      <c r="D17" s="494"/>
      <c r="E17" s="495"/>
      <c r="F17" s="494"/>
      <c r="G17" s="494"/>
      <c r="H17" s="493"/>
    </row>
    <row r="18" spans="2:8" x14ac:dyDescent="0.35">
      <c r="B18" s="442"/>
      <c r="C18" s="493"/>
      <c r="D18" s="494"/>
      <c r="E18" s="495"/>
      <c r="F18" s="494"/>
      <c r="G18" s="494"/>
      <c r="H18" s="493"/>
    </row>
    <row r="19" spans="2:8" x14ac:dyDescent="0.35">
      <c r="B19" s="442"/>
      <c r="C19" s="493"/>
      <c r="D19" s="494"/>
      <c r="E19" s="495"/>
      <c r="F19" s="494"/>
      <c r="G19" s="494"/>
      <c r="H19" s="493"/>
    </row>
    <row r="20" spans="2:8" x14ac:dyDescent="0.35">
      <c r="B20" s="442"/>
      <c r="C20" s="493"/>
      <c r="D20" s="494"/>
      <c r="E20" s="495"/>
      <c r="F20" s="494"/>
      <c r="G20" s="494"/>
      <c r="H20" s="493"/>
    </row>
    <row r="21" spans="2:8" x14ac:dyDescent="0.35">
      <c r="B21" s="442"/>
      <c r="C21" s="493"/>
      <c r="D21" s="494"/>
      <c r="E21" s="495"/>
      <c r="F21" s="494"/>
      <c r="G21" s="494"/>
      <c r="H21" s="493"/>
    </row>
    <row r="22" spans="2:8" x14ac:dyDescent="0.35">
      <c r="B22" s="442"/>
      <c r="C22" s="493"/>
      <c r="D22" s="494"/>
      <c r="E22" s="495"/>
      <c r="F22" s="494"/>
      <c r="G22" s="494"/>
      <c r="H22" s="493"/>
    </row>
    <row r="23" spans="2:8" x14ac:dyDescent="0.35">
      <c r="B23" s="442"/>
      <c r="C23" s="493"/>
      <c r="D23" s="494"/>
      <c r="E23" s="495"/>
      <c r="F23" s="494"/>
      <c r="G23" s="494"/>
      <c r="H23" s="493"/>
    </row>
    <row r="24" spans="2:8" x14ac:dyDescent="0.35">
      <c r="B24" s="442"/>
      <c r="C24" s="493"/>
      <c r="D24" s="494"/>
      <c r="E24" s="495"/>
      <c r="F24" s="494"/>
      <c r="G24" s="494"/>
      <c r="H24" s="493"/>
    </row>
    <row r="25" spans="2:8" x14ac:dyDescent="0.35">
      <c r="B25" s="442"/>
      <c r="C25" s="493"/>
      <c r="D25" s="494"/>
      <c r="E25" s="495"/>
      <c r="F25" s="494"/>
      <c r="G25" s="494"/>
      <c r="H25" s="493"/>
    </row>
    <row r="26" spans="2:8" x14ac:dyDescent="0.35">
      <c r="B26" s="442"/>
      <c r="C26" s="493"/>
      <c r="D26" s="494"/>
      <c r="E26" s="495"/>
      <c r="F26" s="494"/>
      <c r="G26" s="494"/>
      <c r="H26" s="493"/>
    </row>
    <row r="27" spans="2:8" x14ac:dyDescent="0.35">
      <c r="B27" s="442"/>
      <c r="C27" s="493"/>
      <c r="D27" s="494"/>
      <c r="E27" s="495"/>
      <c r="F27" s="494"/>
      <c r="G27" s="494"/>
      <c r="H27" s="493"/>
    </row>
    <row r="28" spans="2:8" x14ac:dyDescent="0.35">
      <c r="B28" s="442"/>
      <c r="C28" s="493"/>
      <c r="D28" s="494"/>
      <c r="E28" s="495"/>
      <c r="F28" s="494"/>
      <c r="G28" s="494"/>
      <c r="H28" s="493"/>
    </row>
    <row r="29" spans="2:8" x14ac:dyDescent="0.35">
      <c r="B29" s="442"/>
      <c r="C29" s="493"/>
      <c r="D29" s="494"/>
      <c r="E29" s="495"/>
      <c r="F29" s="494"/>
      <c r="G29" s="494"/>
      <c r="H29" s="493"/>
    </row>
    <row r="30" spans="2:8" x14ac:dyDescent="0.35">
      <c r="B30" s="442"/>
      <c r="C30" s="493"/>
      <c r="D30" s="494"/>
      <c r="E30" s="495"/>
      <c r="F30" s="494"/>
      <c r="G30" s="494"/>
      <c r="H30" s="493"/>
    </row>
    <row r="31" spans="2:8" x14ac:dyDescent="0.35">
      <c r="B31" s="442"/>
      <c r="C31" s="493"/>
      <c r="D31" s="494"/>
      <c r="E31" s="495"/>
      <c r="F31" s="494"/>
      <c r="G31" s="494"/>
      <c r="H31" s="493"/>
    </row>
    <row r="32" spans="2:8" x14ac:dyDescent="0.35">
      <c r="B32" s="442"/>
      <c r="C32" s="493"/>
      <c r="D32" s="494"/>
      <c r="E32" s="495"/>
      <c r="F32" s="494"/>
      <c r="G32" s="494"/>
      <c r="H32" s="493"/>
    </row>
    <row r="33" spans="2:8" x14ac:dyDescent="0.35">
      <c r="B33" s="442"/>
      <c r="C33" s="493"/>
      <c r="D33" s="494"/>
      <c r="E33" s="495"/>
      <c r="F33" s="494"/>
      <c r="G33" s="494"/>
      <c r="H33" s="493"/>
    </row>
    <row r="34" spans="2:8" x14ac:dyDescent="0.35">
      <c r="B34" s="442"/>
      <c r="C34" s="493"/>
      <c r="D34" s="494"/>
      <c r="E34" s="495"/>
      <c r="F34" s="494"/>
      <c r="G34" s="494"/>
      <c r="H34" s="493"/>
    </row>
    <row r="35" spans="2:8" x14ac:dyDescent="0.35">
      <c r="B35" s="442"/>
      <c r="C35" s="493"/>
      <c r="D35" s="494"/>
      <c r="E35" s="495"/>
      <c r="F35" s="494"/>
      <c r="G35" s="494"/>
      <c r="H35" s="493"/>
    </row>
    <row r="36" spans="2:8" x14ac:dyDescent="0.35">
      <c r="B36" s="442"/>
      <c r="C36" s="493"/>
      <c r="D36" s="494"/>
      <c r="E36" s="495"/>
      <c r="F36" s="494"/>
      <c r="G36" s="494"/>
      <c r="H36" s="493"/>
    </row>
    <row r="37" spans="2:8" x14ac:dyDescent="0.35">
      <c r="B37" s="442"/>
      <c r="C37" s="493"/>
      <c r="D37" s="494"/>
      <c r="E37" s="495"/>
      <c r="F37" s="494"/>
      <c r="G37" s="494"/>
      <c r="H37" s="493"/>
    </row>
    <row r="38" spans="2:8" x14ac:dyDescent="0.35">
      <c r="B38" s="442"/>
      <c r="C38" s="493"/>
      <c r="D38" s="494"/>
      <c r="E38" s="495"/>
      <c r="F38" s="494"/>
      <c r="G38" s="494"/>
      <c r="H38" s="493"/>
    </row>
    <row r="39" spans="2:8" x14ac:dyDescent="0.35">
      <c r="B39" s="442"/>
      <c r="C39" s="493"/>
      <c r="D39" s="494"/>
      <c r="E39" s="495"/>
      <c r="F39" s="494"/>
      <c r="G39" s="494"/>
      <c r="H39" s="493"/>
    </row>
    <row r="40" spans="2:8" x14ac:dyDescent="0.35">
      <c r="B40" s="442"/>
      <c r="C40" s="493"/>
      <c r="D40" s="494"/>
      <c r="E40" s="495"/>
      <c r="F40" s="494"/>
      <c r="G40" s="494"/>
      <c r="H40" s="493"/>
    </row>
    <row r="41" spans="2:8" x14ac:dyDescent="0.35">
      <c r="B41" s="442"/>
      <c r="C41" s="493"/>
      <c r="D41" s="494"/>
      <c r="E41" s="495"/>
      <c r="F41" s="494"/>
      <c r="G41" s="494"/>
      <c r="H41" s="493"/>
    </row>
    <row r="42" spans="2:8" x14ac:dyDescent="0.35">
      <c r="B42" s="442"/>
      <c r="C42" s="493"/>
      <c r="D42" s="494"/>
      <c r="E42" s="495"/>
      <c r="F42" s="494"/>
      <c r="G42" s="494"/>
      <c r="H42" s="493"/>
    </row>
    <row r="43" spans="2:8" x14ac:dyDescent="0.35">
      <c r="B43" s="442"/>
      <c r="C43" s="493"/>
      <c r="D43" s="494"/>
      <c r="E43" s="495"/>
      <c r="F43" s="494"/>
      <c r="G43" s="494"/>
      <c r="H43" s="493"/>
    </row>
    <row r="44" spans="2:8" x14ac:dyDescent="0.35">
      <c r="B44" s="442"/>
      <c r="C44" s="493"/>
      <c r="D44" s="494"/>
      <c r="E44" s="495"/>
      <c r="F44" s="494"/>
      <c r="G44" s="494"/>
      <c r="H44" s="493"/>
    </row>
    <row r="45" spans="2:8" x14ac:dyDescent="0.35">
      <c r="B45" s="442"/>
      <c r="C45" s="493"/>
      <c r="D45" s="494"/>
      <c r="E45" s="495"/>
      <c r="F45" s="494"/>
      <c r="G45" s="494"/>
      <c r="H45" s="493"/>
    </row>
    <row r="46" spans="2:8" x14ac:dyDescent="0.35">
      <c r="B46" s="442"/>
      <c r="C46" s="493"/>
      <c r="D46" s="494"/>
      <c r="E46" s="495"/>
      <c r="F46" s="494"/>
      <c r="G46" s="494"/>
      <c r="H46" s="493"/>
    </row>
    <row r="47" spans="2:8" x14ac:dyDescent="0.35">
      <c r="B47" s="442"/>
      <c r="C47" s="493"/>
      <c r="D47" s="494"/>
      <c r="E47" s="495"/>
      <c r="F47" s="494"/>
      <c r="G47" s="494"/>
      <c r="H47" s="493"/>
    </row>
    <row r="48" spans="2:8" x14ac:dyDescent="0.35">
      <c r="B48" s="442"/>
      <c r="C48" s="493"/>
      <c r="D48" s="494"/>
      <c r="E48" s="495"/>
      <c r="F48" s="494"/>
      <c r="G48" s="494"/>
      <c r="H48" s="493"/>
    </row>
    <row r="49" spans="2:8" x14ac:dyDescent="0.35">
      <c r="B49" s="442"/>
      <c r="C49" s="493"/>
      <c r="D49" s="494"/>
      <c r="E49" s="495"/>
      <c r="F49" s="494"/>
      <c r="G49" s="494"/>
      <c r="H49" s="493"/>
    </row>
    <row r="50" spans="2:8" x14ac:dyDescent="0.35">
      <c r="B50" s="442"/>
      <c r="C50" s="493"/>
      <c r="D50" s="494"/>
      <c r="E50" s="495"/>
      <c r="F50" s="494"/>
      <c r="G50" s="494"/>
      <c r="H50" s="493"/>
    </row>
    <row r="51" spans="2:8" x14ac:dyDescent="0.35">
      <c r="B51" s="442"/>
      <c r="C51" s="493"/>
      <c r="D51" s="494"/>
      <c r="E51" s="495"/>
      <c r="F51" s="494"/>
      <c r="G51" s="494"/>
      <c r="H51" s="493"/>
    </row>
    <row r="52" spans="2:8" x14ac:dyDescent="0.35">
      <c r="B52" s="442"/>
      <c r="C52" s="493"/>
      <c r="D52" s="494"/>
      <c r="E52" s="495"/>
      <c r="F52" s="494"/>
      <c r="G52" s="494"/>
      <c r="H52" s="493"/>
    </row>
    <row r="53" spans="2:8" x14ac:dyDescent="0.35">
      <c r="B53" s="442"/>
      <c r="C53" s="493"/>
      <c r="D53" s="494"/>
      <c r="E53" s="495"/>
      <c r="F53" s="494"/>
      <c r="G53" s="494"/>
      <c r="H53" s="493"/>
    </row>
    <row r="54" spans="2:8" x14ac:dyDescent="0.35">
      <c r="B54" s="442"/>
      <c r="C54" s="493"/>
      <c r="D54" s="494"/>
      <c r="E54" s="495"/>
      <c r="F54" s="494"/>
      <c r="G54" s="494"/>
      <c r="H54" s="493"/>
    </row>
    <row r="55" spans="2:8" x14ac:dyDescent="0.35">
      <c r="B55" s="442"/>
      <c r="C55" s="493"/>
      <c r="D55" s="494"/>
      <c r="E55" s="495"/>
      <c r="F55" s="494"/>
      <c r="G55" s="494"/>
      <c r="H55" s="493"/>
    </row>
    <row r="56" spans="2:8" x14ac:dyDescent="0.35">
      <c r="B56" s="442"/>
      <c r="C56" s="493"/>
      <c r="D56" s="494"/>
      <c r="E56" s="495"/>
      <c r="F56" s="494"/>
      <c r="G56" s="494"/>
      <c r="H56" s="493"/>
    </row>
    <row r="57" spans="2:8" x14ac:dyDescent="0.35">
      <c r="B57" s="442"/>
      <c r="C57" s="493"/>
      <c r="D57" s="494"/>
      <c r="E57" s="495"/>
      <c r="F57" s="494"/>
      <c r="G57" s="494"/>
      <c r="H57" s="493"/>
    </row>
  </sheetData>
  <sheetProtection sheet="1" objects="1" scenarios="1" selectLockedCells="1"/>
  <mergeCells count="1">
    <mergeCell ref="B2:H2"/>
  </mergeCells>
  <dataValidations count="2">
    <dataValidation type="list" allowBlank="1" showErrorMessage="1" sqref="D4:D8" xr:uid="{EFB1D033-F665-4944-B7ED-15DE6C405D1C}">
      <formula1>"1,2,3,4,5,6,7,8,9,10,11,12,13,14,15,16,17,18,19,20,21,22,23,24,25,26,27,28,29,30,31"</formula1>
    </dataValidation>
    <dataValidation type="list" allowBlank="1" showErrorMessage="1" sqref="F4:G8" xr:uid="{480A0DD7-B589-44F0-9755-3426DFE88741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EEF18F2D-6DEB-4B9C-AF3F-3ED8877E6509}">
          <x14:formula1>
            <xm:f>Daten!$J$4:$J$60</xm:f>
          </x14:formula1>
          <xm:sqref>B4:B8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AH1000"/>
  <sheetViews>
    <sheetView tabSelected="1" zoomScale="80" zoomScaleNormal="80" workbookViewId="0">
      <pane ySplit="3" topLeftCell="A4" activePane="bottomLeft" state="frozen"/>
      <selection activeCell="F1" sqref="F1"/>
      <selection pane="bottomLeft" activeCell="L8" sqref="L8"/>
    </sheetView>
  </sheetViews>
  <sheetFormatPr baseColWidth="10" defaultColWidth="11.453125" defaultRowHeight="14.5" x14ac:dyDescent="0.35"/>
  <cols>
    <col min="1" max="1" width="3.54296875" style="462" customWidth="1"/>
    <col min="2" max="2" width="20.54296875" style="272" bestFit="1" customWidth="1"/>
    <col min="3" max="3" width="3.54296875" style="462" customWidth="1"/>
    <col min="4" max="4" width="16.1796875" style="272" hidden="1" customWidth="1"/>
    <col min="5" max="5" width="3.54296875" style="462" hidden="1" customWidth="1"/>
    <col min="6" max="6" width="9.54296875" style="457" hidden="1" customWidth="1"/>
    <col min="7" max="7" width="3.54296875" style="462" hidden="1" customWidth="1"/>
    <col min="8" max="8" width="6.54296875" style="272" hidden="1" customWidth="1"/>
    <col min="9" max="9" width="3.54296875" style="462" hidden="1" customWidth="1"/>
    <col min="10" max="10" width="38.7265625" style="272" bestFit="1" customWidth="1"/>
    <col min="11" max="11" width="12.6328125" style="457" customWidth="1"/>
    <col min="12" max="12" width="27.81640625" style="267" bestFit="1" customWidth="1"/>
    <col min="13" max="13" width="9.453125" style="457" bestFit="1" customWidth="1"/>
    <col min="14" max="14" width="34.453125" style="272" bestFit="1" customWidth="1"/>
    <col min="15" max="15" width="15" style="272" bestFit="1" customWidth="1"/>
    <col min="16" max="16" width="30.54296875" style="272" bestFit="1" customWidth="1"/>
    <col min="17" max="17" width="3.54296875" style="462" customWidth="1"/>
    <col min="18" max="18" width="11.6328125" style="272" customWidth="1"/>
    <col min="19" max="19" width="25.81640625" style="272" bestFit="1" customWidth="1"/>
    <col min="20" max="20" width="36.6328125" style="272" customWidth="1"/>
    <col min="21" max="21" width="28.6328125" style="272" customWidth="1"/>
    <col min="22" max="22" width="9.6328125" style="457" customWidth="1"/>
    <col min="23" max="23" width="20.54296875" style="272" bestFit="1" customWidth="1"/>
    <col min="24" max="24" width="65.6328125" style="272" customWidth="1"/>
    <col min="25" max="25" width="3.453125" style="462" customWidth="1"/>
    <col min="26" max="26" width="32" style="462" hidden="1" customWidth="1"/>
    <col min="27" max="27" width="18.81640625" style="462" hidden="1" customWidth="1"/>
    <col min="28" max="28" width="23.26953125" style="462" hidden="1" customWidth="1"/>
    <col min="29" max="29" width="20.1796875" style="457" bestFit="1" customWidth="1"/>
    <col min="30" max="30" width="21.26953125" style="462" bestFit="1" customWidth="1"/>
    <col min="31" max="31" width="15.453125" style="462" hidden="1" customWidth="1"/>
    <col min="32" max="32" width="37.453125" style="462" bestFit="1" customWidth="1"/>
    <col min="33" max="33" width="38.26953125" style="462" bestFit="1" customWidth="1"/>
    <col min="34" max="34" width="16.6328125" style="462" hidden="1" customWidth="1"/>
    <col min="35" max="16384" width="11.453125" style="462"/>
  </cols>
  <sheetData>
    <row r="1" spans="1:34" ht="22" customHeight="1" x14ac:dyDescent="0.35"/>
    <row r="2" spans="1:34" ht="23" customHeight="1" x14ac:dyDescent="0.35">
      <c r="J2" s="588" t="s">
        <v>768</v>
      </c>
      <c r="K2" s="588"/>
      <c r="L2" s="588"/>
      <c r="M2" s="588"/>
      <c r="N2" s="588"/>
      <c r="O2" s="588"/>
      <c r="P2" s="588"/>
      <c r="R2" s="589" t="s">
        <v>769</v>
      </c>
      <c r="S2" s="590"/>
      <c r="T2" s="590"/>
      <c r="U2" s="590"/>
      <c r="V2" s="590"/>
      <c r="W2" s="590"/>
      <c r="X2" s="591"/>
    </row>
    <row r="3" spans="1:34" ht="74" x14ac:dyDescent="0.35">
      <c r="A3" s="159"/>
      <c r="B3" s="429" t="s">
        <v>308</v>
      </c>
      <c r="C3" s="159"/>
      <c r="D3" s="429" t="s">
        <v>307</v>
      </c>
      <c r="E3" s="159"/>
      <c r="F3" s="430" t="s">
        <v>293</v>
      </c>
      <c r="G3" s="159"/>
      <c r="H3" s="429" t="s">
        <v>292</v>
      </c>
      <c r="I3" s="159"/>
      <c r="J3" s="431" t="s">
        <v>20</v>
      </c>
      <c r="K3" s="430" t="s">
        <v>392</v>
      </c>
      <c r="L3" s="432" t="s">
        <v>393</v>
      </c>
      <c r="M3" s="433" t="s">
        <v>394</v>
      </c>
      <c r="N3" s="429" t="s">
        <v>464</v>
      </c>
      <c r="O3" s="431" t="s">
        <v>406</v>
      </c>
      <c r="P3" s="429" t="s">
        <v>395</v>
      </c>
      <c r="Q3" s="159"/>
      <c r="R3" s="429" t="s">
        <v>372</v>
      </c>
      <c r="S3" s="429" t="s">
        <v>373</v>
      </c>
      <c r="T3" s="429" t="s">
        <v>374</v>
      </c>
      <c r="U3" s="429" t="s">
        <v>375</v>
      </c>
      <c r="V3" s="435" t="s">
        <v>376</v>
      </c>
      <c r="W3" s="429" t="s">
        <v>458</v>
      </c>
      <c r="X3" s="429" t="s">
        <v>377</v>
      </c>
      <c r="Z3" s="429" t="s">
        <v>398</v>
      </c>
      <c r="AA3" s="429" t="s">
        <v>399</v>
      </c>
      <c r="AB3" s="429" t="s">
        <v>509</v>
      </c>
      <c r="AC3" s="429" t="s">
        <v>407</v>
      </c>
      <c r="AD3" s="429" t="s">
        <v>453</v>
      </c>
      <c r="AE3" s="429" t="s">
        <v>465</v>
      </c>
      <c r="AF3" s="429" t="s">
        <v>473</v>
      </c>
      <c r="AG3" s="429" t="s">
        <v>474</v>
      </c>
      <c r="AH3" s="429" t="s">
        <v>770</v>
      </c>
    </row>
    <row r="4" spans="1:34" x14ac:dyDescent="0.35">
      <c r="B4" s="444" t="s">
        <v>305</v>
      </c>
      <c r="C4" s="280"/>
      <c r="D4" s="444" t="s">
        <v>216</v>
      </c>
      <c r="E4" s="280"/>
      <c r="F4" s="446">
        <v>1</v>
      </c>
      <c r="G4" s="280"/>
      <c r="H4" s="444" t="s">
        <v>213</v>
      </c>
      <c r="I4" s="280"/>
      <c r="J4" s="449" t="s">
        <v>390</v>
      </c>
      <c r="K4" s="450" t="s">
        <v>397</v>
      </c>
      <c r="L4" s="592" t="s">
        <v>410</v>
      </c>
      <c r="M4" s="450">
        <v>2</v>
      </c>
      <c r="N4" s="449" t="s">
        <v>10</v>
      </c>
      <c r="O4" s="449" t="s">
        <v>409</v>
      </c>
      <c r="P4" s="451" t="s">
        <v>411</v>
      </c>
      <c r="R4" s="428" t="s">
        <v>482</v>
      </c>
      <c r="S4" s="428" t="s">
        <v>585</v>
      </c>
      <c r="T4" s="428" t="s">
        <v>66</v>
      </c>
      <c r="U4" s="470" t="s">
        <v>609</v>
      </c>
      <c r="V4" s="471">
        <v>1</v>
      </c>
      <c r="W4" s="470" t="s">
        <v>506</v>
      </c>
      <c r="X4" s="472" t="s">
        <v>752</v>
      </c>
      <c r="Z4" s="438" t="s">
        <v>396</v>
      </c>
      <c r="AA4" s="438">
        <v>1</v>
      </c>
      <c r="AB4" s="453" t="s">
        <v>400</v>
      </c>
      <c r="AC4" s="453" t="s">
        <v>402</v>
      </c>
      <c r="AD4" s="453" t="s">
        <v>506</v>
      </c>
      <c r="AE4" s="438">
        <v>0</v>
      </c>
      <c r="AF4" s="437" t="s">
        <v>467</v>
      </c>
      <c r="AG4" s="436">
        <v>0</v>
      </c>
      <c r="AH4" s="488" t="s">
        <v>79</v>
      </c>
    </row>
    <row r="5" spans="1:34" ht="29" x14ac:dyDescent="0.35">
      <c r="B5" s="445" t="s">
        <v>214</v>
      </c>
      <c r="C5" s="280"/>
      <c r="D5" s="445" t="s">
        <v>212</v>
      </c>
      <c r="E5" s="280"/>
      <c r="F5" s="447">
        <v>2</v>
      </c>
      <c r="G5" s="280"/>
      <c r="H5" s="445" t="s">
        <v>230</v>
      </c>
      <c r="I5" s="280"/>
      <c r="J5" s="419" t="s">
        <v>390</v>
      </c>
      <c r="K5" s="421" t="s">
        <v>397</v>
      </c>
      <c r="L5" s="593">
        <v>1312478</v>
      </c>
      <c r="M5" s="421">
        <v>3</v>
      </c>
      <c r="N5" s="419" t="s">
        <v>10</v>
      </c>
      <c r="O5" s="419" t="s">
        <v>409</v>
      </c>
      <c r="P5" s="424" t="s">
        <v>411</v>
      </c>
      <c r="R5" s="427" t="s">
        <v>754</v>
      </c>
      <c r="S5" s="427" t="s">
        <v>576</v>
      </c>
      <c r="T5" s="427" t="s">
        <v>575</v>
      </c>
      <c r="U5" s="472" t="s">
        <v>755</v>
      </c>
      <c r="V5" s="471">
        <v>2</v>
      </c>
      <c r="W5" s="470" t="s">
        <v>506</v>
      </c>
      <c r="X5" s="472" t="s">
        <v>780</v>
      </c>
      <c r="Z5" s="439" t="s">
        <v>397</v>
      </c>
      <c r="AA5" s="439">
        <v>2</v>
      </c>
      <c r="AB5" s="454" t="s">
        <v>401</v>
      </c>
      <c r="AC5" s="454" t="s">
        <v>404</v>
      </c>
      <c r="AD5" s="301" t="s">
        <v>507</v>
      </c>
      <c r="AE5" s="473"/>
      <c r="AF5" s="440" t="s">
        <v>304</v>
      </c>
      <c r="AG5" s="296" t="s">
        <v>472</v>
      </c>
      <c r="AH5" s="489" t="s">
        <v>78</v>
      </c>
    </row>
    <row r="6" spans="1:34" x14ac:dyDescent="0.35">
      <c r="B6" s="444" t="s">
        <v>252</v>
      </c>
      <c r="C6" s="280"/>
      <c r="D6" s="444" t="s">
        <v>303</v>
      </c>
      <c r="E6" s="280"/>
      <c r="F6" s="446">
        <v>3</v>
      </c>
      <c r="G6" s="280"/>
      <c r="H6" s="444" t="s">
        <v>205</v>
      </c>
      <c r="I6" s="280"/>
      <c r="J6" s="449" t="s">
        <v>467</v>
      </c>
      <c r="K6" s="450" t="s">
        <v>396</v>
      </c>
      <c r="L6" s="592" t="s">
        <v>468</v>
      </c>
      <c r="M6" s="450">
        <v>2</v>
      </c>
      <c r="N6" s="449" t="s">
        <v>11</v>
      </c>
      <c r="O6" s="449" t="s">
        <v>409</v>
      </c>
      <c r="P6" s="449" t="s">
        <v>469</v>
      </c>
      <c r="R6" s="428" t="s">
        <v>484</v>
      </c>
      <c r="S6" s="428" t="s">
        <v>611</v>
      </c>
      <c r="T6" s="428" t="s">
        <v>610</v>
      </c>
      <c r="U6" s="470" t="s">
        <v>764</v>
      </c>
      <c r="V6" s="471">
        <v>2</v>
      </c>
      <c r="W6" s="470" t="s">
        <v>506</v>
      </c>
      <c r="X6" s="472" t="s">
        <v>752</v>
      </c>
      <c r="Z6" s="473"/>
      <c r="AA6" s="434">
        <v>3</v>
      </c>
      <c r="AB6" s="418"/>
      <c r="AC6" s="453" t="s">
        <v>405</v>
      </c>
      <c r="AD6" s="455" t="s">
        <v>508</v>
      </c>
      <c r="AE6" s="473"/>
      <c r="AF6" s="437" t="s">
        <v>415</v>
      </c>
      <c r="AG6" s="436" t="s">
        <v>336</v>
      </c>
      <c r="AH6" s="488" t="s">
        <v>77</v>
      </c>
    </row>
    <row r="7" spans="1:34" x14ac:dyDescent="0.35">
      <c r="B7" s="445" t="s">
        <v>301</v>
      </c>
      <c r="C7" s="280"/>
      <c r="D7" s="445" t="s">
        <v>300</v>
      </c>
      <c r="E7" s="280"/>
      <c r="F7" s="447">
        <v>4</v>
      </c>
      <c r="G7" s="280"/>
      <c r="H7" s="417"/>
      <c r="I7" s="280"/>
      <c r="J7" s="419" t="s">
        <v>472</v>
      </c>
      <c r="K7" s="421" t="s">
        <v>397</v>
      </c>
      <c r="L7" s="593" t="s">
        <v>828</v>
      </c>
      <c r="M7" s="421">
        <v>5</v>
      </c>
      <c r="N7" s="419" t="s">
        <v>10</v>
      </c>
      <c r="O7" s="419" t="s">
        <v>409</v>
      </c>
      <c r="P7" s="424" t="s">
        <v>471</v>
      </c>
      <c r="R7" s="427" t="s">
        <v>485</v>
      </c>
      <c r="S7" s="427" t="s">
        <v>584</v>
      </c>
      <c r="T7" s="427" t="s">
        <v>773</v>
      </c>
      <c r="U7" s="470" t="s">
        <v>544</v>
      </c>
      <c r="V7" s="471">
        <v>3</v>
      </c>
      <c r="W7" s="470" t="s">
        <v>506</v>
      </c>
      <c r="X7" s="472" t="s">
        <v>752</v>
      </c>
      <c r="Z7" s="473"/>
      <c r="AA7" s="294">
        <v>4</v>
      </c>
      <c r="AB7" s="441"/>
      <c r="AC7" s="454" t="s">
        <v>403</v>
      </c>
      <c r="AD7" s="301" t="s">
        <v>454</v>
      </c>
      <c r="AE7" s="473"/>
      <c r="AF7" s="440" t="s">
        <v>299</v>
      </c>
      <c r="AG7" s="296" t="s">
        <v>445</v>
      </c>
      <c r="AH7" s="489" t="s">
        <v>76</v>
      </c>
    </row>
    <row r="8" spans="1:34" x14ac:dyDescent="0.35">
      <c r="B8" s="444" t="s">
        <v>503</v>
      </c>
      <c r="C8" s="280"/>
      <c r="D8" s="444" t="s">
        <v>298</v>
      </c>
      <c r="E8" s="280"/>
      <c r="F8" s="446">
        <v>5</v>
      </c>
      <c r="G8" s="280"/>
      <c r="H8" s="442"/>
      <c r="I8" s="280"/>
      <c r="J8" s="449" t="s">
        <v>472</v>
      </c>
      <c r="K8" s="450" t="s">
        <v>397</v>
      </c>
      <c r="L8" s="592" t="s">
        <v>829</v>
      </c>
      <c r="M8" s="450">
        <v>5</v>
      </c>
      <c r="N8" s="449" t="s">
        <v>10</v>
      </c>
      <c r="O8" s="449" t="s">
        <v>409</v>
      </c>
      <c r="P8" s="451" t="s">
        <v>471</v>
      </c>
      <c r="R8" s="428" t="s">
        <v>486</v>
      </c>
      <c r="S8" s="428" t="s">
        <v>574</v>
      </c>
      <c r="T8" s="428" t="s">
        <v>573</v>
      </c>
      <c r="U8" s="470" t="s">
        <v>753</v>
      </c>
      <c r="V8" s="471">
        <v>4</v>
      </c>
      <c r="W8" s="470" t="s">
        <v>506</v>
      </c>
      <c r="X8" s="472" t="s">
        <v>752</v>
      </c>
      <c r="Z8" s="473"/>
      <c r="AA8" s="434">
        <v>5</v>
      </c>
      <c r="AB8" s="441"/>
      <c r="AC8" s="453" t="s">
        <v>408</v>
      </c>
      <c r="AD8" s="455" t="s">
        <v>455</v>
      </c>
      <c r="AE8" s="473"/>
      <c r="AF8" s="437" t="s">
        <v>302</v>
      </c>
      <c r="AG8" s="436" t="s">
        <v>388</v>
      </c>
      <c r="AH8" s="488" t="s">
        <v>75</v>
      </c>
    </row>
    <row r="9" spans="1:34" x14ac:dyDescent="0.35">
      <c r="B9" s="445" t="s">
        <v>504</v>
      </c>
      <c r="C9" s="280"/>
      <c r="D9" s="445" t="s">
        <v>297</v>
      </c>
      <c r="E9" s="280"/>
      <c r="F9" s="447">
        <v>6</v>
      </c>
      <c r="G9" s="280"/>
      <c r="H9" s="442"/>
      <c r="I9" s="280"/>
      <c r="J9" s="419" t="s">
        <v>472</v>
      </c>
      <c r="K9" s="421" t="s">
        <v>397</v>
      </c>
      <c r="L9" s="593" t="s">
        <v>470</v>
      </c>
      <c r="M9" s="421">
        <v>2</v>
      </c>
      <c r="N9" s="419" t="s">
        <v>10</v>
      </c>
      <c r="O9" s="419" t="s">
        <v>409</v>
      </c>
      <c r="P9" s="424" t="s">
        <v>471</v>
      </c>
      <c r="R9" s="427" t="s">
        <v>488</v>
      </c>
      <c r="S9" s="427" t="s">
        <v>601</v>
      </c>
      <c r="T9" s="427" t="s">
        <v>600</v>
      </c>
      <c r="U9" s="470" t="s">
        <v>763</v>
      </c>
      <c r="V9" s="471">
        <v>5</v>
      </c>
      <c r="W9" s="470" t="s">
        <v>507</v>
      </c>
      <c r="X9" s="472" t="s">
        <v>752</v>
      </c>
      <c r="Z9" s="473"/>
      <c r="AA9" s="294">
        <v>6</v>
      </c>
      <c r="AB9" s="441"/>
      <c r="AC9" s="454" t="s">
        <v>409</v>
      </c>
      <c r="AD9" s="301" t="s">
        <v>456</v>
      </c>
      <c r="AE9" s="473"/>
      <c r="AF9" s="440" t="s">
        <v>306</v>
      </c>
      <c r="AG9" s="296" t="s">
        <v>452</v>
      </c>
      <c r="AH9" s="489" t="s">
        <v>74</v>
      </c>
    </row>
    <row r="10" spans="1:34" x14ac:dyDescent="0.35">
      <c r="B10" s="444" t="s">
        <v>480</v>
      </c>
      <c r="C10" s="280"/>
      <c r="D10" s="417"/>
      <c r="E10" s="280"/>
      <c r="F10" s="446">
        <v>7</v>
      </c>
      <c r="G10" s="280"/>
      <c r="H10" s="442"/>
      <c r="I10" s="280"/>
      <c r="J10" s="449" t="s">
        <v>336</v>
      </c>
      <c r="K10" s="450" t="s">
        <v>397</v>
      </c>
      <c r="L10" s="592" t="s">
        <v>412</v>
      </c>
      <c r="M10" s="450">
        <v>2</v>
      </c>
      <c r="N10" s="449" t="s">
        <v>4</v>
      </c>
      <c r="O10" s="449" t="s">
        <v>409</v>
      </c>
      <c r="P10" s="451" t="s">
        <v>413</v>
      </c>
      <c r="R10" s="428" t="s">
        <v>487</v>
      </c>
      <c r="S10" s="428" t="s">
        <v>595</v>
      </c>
      <c r="T10" s="428" t="s">
        <v>594</v>
      </c>
      <c r="U10" s="470" t="s">
        <v>761</v>
      </c>
      <c r="V10" s="471">
        <v>5</v>
      </c>
      <c r="W10" s="470" t="s">
        <v>506</v>
      </c>
      <c r="X10" s="472" t="s">
        <v>752</v>
      </c>
      <c r="Z10" s="473"/>
      <c r="AA10" s="434">
        <v>7</v>
      </c>
      <c r="AB10" s="441"/>
      <c r="AC10" s="418"/>
      <c r="AD10" s="455" t="s">
        <v>765</v>
      </c>
      <c r="AE10" s="473"/>
      <c r="AF10" s="437" t="s">
        <v>419</v>
      </c>
      <c r="AG10" s="436" t="s">
        <v>436</v>
      </c>
      <c r="AH10" s="488" t="s">
        <v>73</v>
      </c>
    </row>
    <row r="11" spans="1:34" x14ac:dyDescent="0.35">
      <c r="B11" s="445" t="s">
        <v>258</v>
      </c>
      <c r="C11" s="280"/>
      <c r="D11" s="442"/>
      <c r="E11" s="280"/>
      <c r="F11" s="447">
        <v>8</v>
      </c>
      <c r="G11" s="280"/>
      <c r="H11" s="442"/>
      <c r="I11" s="280"/>
      <c r="J11" s="419" t="s">
        <v>336</v>
      </c>
      <c r="K11" s="421" t="s">
        <v>397</v>
      </c>
      <c r="L11" s="593" t="s">
        <v>444</v>
      </c>
      <c r="M11" s="421">
        <v>6</v>
      </c>
      <c r="N11" s="419" t="s">
        <v>4</v>
      </c>
      <c r="O11" s="419" t="s">
        <v>409</v>
      </c>
      <c r="P11" s="424" t="s">
        <v>413</v>
      </c>
      <c r="R11" s="427" t="s">
        <v>489</v>
      </c>
      <c r="S11" s="427" t="s">
        <v>593</v>
      </c>
      <c r="T11" s="427" t="s">
        <v>56</v>
      </c>
      <c r="U11" s="470" t="s">
        <v>608</v>
      </c>
      <c r="V11" s="471">
        <v>6</v>
      </c>
      <c r="W11" s="470" t="s">
        <v>506</v>
      </c>
      <c r="X11" s="472" t="s">
        <v>752</v>
      </c>
      <c r="Z11" s="473"/>
      <c r="AA11" s="294">
        <v>8</v>
      </c>
      <c r="AB11" s="441"/>
      <c r="AC11" s="441"/>
      <c r="AD11" s="301" t="s">
        <v>457</v>
      </c>
      <c r="AE11" s="473"/>
      <c r="AF11" s="440" t="s">
        <v>425</v>
      </c>
      <c r="AG11" s="296" t="s">
        <v>440</v>
      </c>
      <c r="AH11" s="489" t="s">
        <v>72</v>
      </c>
    </row>
    <row r="12" spans="1:34" x14ac:dyDescent="0.35">
      <c r="B12" s="444" t="s">
        <v>206</v>
      </c>
      <c r="C12" s="280"/>
      <c r="D12" s="442"/>
      <c r="E12" s="280"/>
      <c r="F12" s="446">
        <v>9</v>
      </c>
      <c r="G12" s="280"/>
      <c r="H12" s="442"/>
      <c r="I12" s="280"/>
      <c r="J12" s="449" t="s">
        <v>335</v>
      </c>
      <c r="K12" s="450" t="s">
        <v>396</v>
      </c>
      <c r="L12" s="592" t="s">
        <v>304</v>
      </c>
      <c r="M12" s="450">
        <v>1</v>
      </c>
      <c r="N12" s="449" t="s">
        <v>11</v>
      </c>
      <c r="O12" s="449" t="s">
        <v>403</v>
      </c>
      <c r="P12" s="451" t="s">
        <v>414</v>
      </c>
      <c r="R12" s="428" t="s">
        <v>490</v>
      </c>
      <c r="S12" s="428" t="s">
        <v>587</v>
      </c>
      <c r="T12" s="428" t="s">
        <v>586</v>
      </c>
      <c r="U12" s="470" t="s">
        <v>758</v>
      </c>
      <c r="V12" s="471">
        <v>7</v>
      </c>
      <c r="W12" s="470" t="s">
        <v>506</v>
      </c>
      <c r="X12" s="472" t="s">
        <v>752</v>
      </c>
      <c r="Z12" s="473"/>
      <c r="AA12" s="434">
        <v>9</v>
      </c>
      <c r="AB12" s="441"/>
      <c r="AC12" s="441"/>
      <c r="AD12" s="418"/>
      <c r="AE12" s="473"/>
      <c r="AF12" s="437" t="s">
        <v>460</v>
      </c>
      <c r="AG12" s="436" t="s">
        <v>423</v>
      </c>
      <c r="AH12" s="488" t="s">
        <v>71</v>
      </c>
    </row>
    <row r="13" spans="1:34" x14ac:dyDescent="0.35">
      <c r="B13" s="417"/>
      <c r="C13" s="280"/>
      <c r="D13" s="442"/>
      <c r="E13" s="280"/>
      <c r="F13" s="447">
        <v>10</v>
      </c>
      <c r="G13" s="280"/>
      <c r="H13" s="442"/>
      <c r="I13" s="280"/>
      <c r="J13" s="419" t="s">
        <v>415</v>
      </c>
      <c r="K13" s="421" t="s">
        <v>396</v>
      </c>
      <c r="L13" s="593" t="s">
        <v>385</v>
      </c>
      <c r="M13" s="421">
        <v>1</v>
      </c>
      <c r="N13" s="419" t="s">
        <v>11</v>
      </c>
      <c r="O13" s="419" t="s">
        <v>402</v>
      </c>
      <c r="P13" s="424"/>
      <c r="R13" s="427" t="s">
        <v>492</v>
      </c>
      <c r="S13" s="427" t="s">
        <v>589</v>
      </c>
      <c r="T13" s="427" t="s">
        <v>588</v>
      </c>
      <c r="U13" s="470" t="s">
        <v>759</v>
      </c>
      <c r="V13" s="471">
        <v>8</v>
      </c>
      <c r="W13" s="470" t="s">
        <v>506</v>
      </c>
      <c r="X13" s="472" t="s">
        <v>752</v>
      </c>
      <c r="Z13" s="473"/>
      <c r="AA13" s="294">
        <v>10</v>
      </c>
      <c r="AB13" s="441"/>
      <c r="AC13" s="441"/>
      <c r="AD13" s="441"/>
      <c r="AE13" s="473"/>
      <c r="AF13" s="473"/>
      <c r="AG13" s="296" t="s">
        <v>391</v>
      </c>
      <c r="AH13" s="489" t="s">
        <v>70</v>
      </c>
    </row>
    <row r="14" spans="1:34" x14ac:dyDescent="0.35">
      <c r="B14" s="442"/>
      <c r="C14" s="280"/>
      <c r="D14" s="442"/>
      <c r="E14" s="280"/>
      <c r="F14" s="446">
        <v>11</v>
      </c>
      <c r="G14" s="280"/>
      <c r="H14" s="442"/>
      <c r="I14" s="280"/>
      <c r="J14" s="449" t="s">
        <v>415</v>
      </c>
      <c r="K14" s="450" t="s">
        <v>396</v>
      </c>
      <c r="L14" s="592" t="s">
        <v>416</v>
      </c>
      <c r="M14" s="450">
        <v>2</v>
      </c>
      <c r="N14" s="449" t="s">
        <v>11</v>
      </c>
      <c r="O14" s="449" t="s">
        <v>402</v>
      </c>
      <c r="P14" s="451"/>
      <c r="R14" s="428" t="s">
        <v>494</v>
      </c>
      <c r="S14" s="428" t="s">
        <v>580</v>
      </c>
      <c r="T14" s="428" t="s">
        <v>51</v>
      </c>
      <c r="U14" s="470" t="s">
        <v>757</v>
      </c>
      <c r="V14" s="471">
        <v>9</v>
      </c>
      <c r="W14" s="470" t="s">
        <v>506</v>
      </c>
      <c r="X14" s="472" t="s">
        <v>752</v>
      </c>
      <c r="Z14" s="473"/>
      <c r="AA14" s="473"/>
      <c r="AB14" s="441"/>
      <c r="AC14" s="441"/>
      <c r="AD14" s="441"/>
      <c r="AE14" s="473"/>
      <c r="AF14" s="473"/>
      <c r="AG14" s="436" t="s">
        <v>451</v>
      </c>
      <c r="AH14" s="488" t="s">
        <v>69</v>
      </c>
    </row>
    <row r="15" spans="1:34" x14ac:dyDescent="0.35">
      <c r="B15" s="442"/>
      <c r="C15" s="280"/>
      <c r="D15" s="442"/>
      <c r="E15" s="280"/>
      <c r="F15" s="447">
        <v>12</v>
      </c>
      <c r="G15" s="280"/>
      <c r="H15" s="442"/>
      <c r="I15" s="280"/>
      <c r="J15" s="419" t="s">
        <v>415</v>
      </c>
      <c r="K15" s="421" t="s">
        <v>396</v>
      </c>
      <c r="L15" s="593" t="s">
        <v>417</v>
      </c>
      <c r="M15" s="421">
        <v>2</v>
      </c>
      <c r="N15" s="419" t="s">
        <v>11</v>
      </c>
      <c r="O15" s="419" t="s">
        <v>402</v>
      </c>
      <c r="P15" s="424"/>
      <c r="R15" s="427" t="s">
        <v>806</v>
      </c>
      <c r="S15" s="427" t="s">
        <v>614</v>
      </c>
      <c r="T15" s="427" t="s">
        <v>613</v>
      </c>
      <c r="U15" s="483" t="s">
        <v>613</v>
      </c>
      <c r="V15" s="482">
        <v>10</v>
      </c>
      <c r="W15" s="483" t="s">
        <v>508</v>
      </c>
      <c r="X15" s="481" t="s">
        <v>807</v>
      </c>
      <c r="Z15" s="473"/>
      <c r="AA15" s="473"/>
      <c r="AB15" s="441"/>
      <c r="AC15" s="441"/>
      <c r="AD15" s="441"/>
      <c r="AE15" s="473"/>
      <c r="AF15" s="473"/>
      <c r="AG15" s="296" t="s">
        <v>389</v>
      </c>
      <c r="AH15" s="489" t="s">
        <v>68</v>
      </c>
    </row>
    <row r="16" spans="1:34" x14ac:dyDescent="0.35">
      <c r="B16" s="442"/>
      <c r="C16" s="280"/>
      <c r="D16" s="442"/>
      <c r="E16" s="280"/>
      <c r="F16" s="446">
        <v>13</v>
      </c>
      <c r="G16" s="280"/>
      <c r="H16" s="442"/>
      <c r="I16" s="280"/>
      <c r="J16" s="449" t="s">
        <v>415</v>
      </c>
      <c r="K16" s="450" t="s">
        <v>396</v>
      </c>
      <c r="L16" s="592" t="s">
        <v>384</v>
      </c>
      <c r="M16" s="450">
        <v>3</v>
      </c>
      <c r="N16" s="449" t="s">
        <v>11</v>
      </c>
      <c r="O16" s="449" t="s">
        <v>402</v>
      </c>
      <c r="P16" s="451"/>
      <c r="R16" s="428" t="s">
        <v>495</v>
      </c>
      <c r="S16" s="428" t="s">
        <v>592</v>
      </c>
      <c r="T16" s="428" t="s">
        <v>591</v>
      </c>
      <c r="U16" s="470" t="s">
        <v>760</v>
      </c>
      <c r="V16" s="471">
        <v>10</v>
      </c>
      <c r="W16" s="470" t="s">
        <v>506</v>
      </c>
      <c r="X16" s="472" t="s">
        <v>752</v>
      </c>
      <c r="Z16" s="473"/>
      <c r="AA16" s="473"/>
      <c r="AB16" s="441"/>
      <c r="AC16" s="441"/>
      <c r="AD16" s="441"/>
      <c r="AE16" s="473"/>
      <c r="AF16" s="473"/>
      <c r="AG16" s="436" t="s">
        <v>12</v>
      </c>
      <c r="AH16" s="418"/>
    </row>
    <row r="17" spans="2:34" ht="29" x14ac:dyDescent="0.35">
      <c r="B17" s="442"/>
      <c r="C17" s="280"/>
      <c r="D17" s="442"/>
      <c r="E17" s="280"/>
      <c r="F17" s="447">
        <v>14</v>
      </c>
      <c r="G17" s="280"/>
      <c r="H17" s="442"/>
      <c r="I17" s="280"/>
      <c r="J17" s="419" t="s">
        <v>445</v>
      </c>
      <c r="K17" s="421" t="s">
        <v>397</v>
      </c>
      <c r="L17" s="593" t="s">
        <v>446</v>
      </c>
      <c r="M17" s="421">
        <v>1</v>
      </c>
      <c r="N17" s="419" t="s">
        <v>10</v>
      </c>
      <c r="O17" s="419" t="s">
        <v>408</v>
      </c>
      <c r="P17" s="424" t="s">
        <v>448</v>
      </c>
      <c r="R17" s="427" t="s">
        <v>771</v>
      </c>
      <c r="S17" s="427" t="s">
        <v>582</v>
      </c>
      <c r="T17" s="427" t="s">
        <v>605</v>
      </c>
      <c r="U17" s="472" t="s">
        <v>772</v>
      </c>
      <c r="V17" s="471">
        <v>11</v>
      </c>
      <c r="W17" s="470" t="s">
        <v>506</v>
      </c>
      <c r="X17" s="472" t="s">
        <v>780</v>
      </c>
      <c r="Z17" s="473"/>
      <c r="AA17" s="473"/>
      <c r="AB17" s="441"/>
      <c r="AC17" s="441"/>
      <c r="AD17" s="441"/>
      <c r="AE17" s="473"/>
      <c r="AF17" s="473"/>
      <c r="AG17" s="296" t="s">
        <v>379</v>
      </c>
      <c r="AH17" s="441"/>
    </row>
    <row r="18" spans="2:34" x14ac:dyDescent="0.35">
      <c r="B18" s="442"/>
      <c r="C18" s="280"/>
      <c r="D18" s="442"/>
      <c r="E18" s="280"/>
      <c r="F18" s="446" t="s">
        <v>206</v>
      </c>
      <c r="G18" s="280"/>
      <c r="H18" s="442"/>
      <c r="I18" s="280"/>
      <c r="J18" s="449" t="s">
        <v>445</v>
      </c>
      <c r="K18" s="450" t="s">
        <v>397</v>
      </c>
      <c r="L18" s="592" t="s">
        <v>447</v>
      </c>
      <c r="M18" s="450">
        <v>1</v>
      </c>
      <c r="N18" s="449" t="s">
        <v>10</v>
      </c>
      <c r="O18" s="449" t="s">
        <v>408</v>
      </c>
      <c r="P18" s="451" t="s">
        <v>448</v>
      </c>
      <c r="R18" s="428" t="s">
        <v>499</v>
      </c>
      <c r="S18" s="428" t="s">
        <v>563</v>
      </c>
      <c r="T18" s="428" t="s">
        <v>562</v>
      </c>
      <c r="U18" s="470" t="s">
        <v>751</v>
      </c>
      <c r="V18" s="471">
        <v>12</v>
      </c>
      <c r="W18" s="470" t="s">
        <v>506</v>
      </c>
      <c r="X18" s="472" t="s">
        <v>752</v>
      </c>
      <c r="Z18" s="473"/>
      <c r="AA18" s="473"/>
      <c r="AB18" s="441"/>
      <c r="AC18" s="441"/>
      <c r="AD18" s="441"/>
      <c r="AE18" s="473"/>
      <c r="AF18" s="473"/>
      <c r="AG18" s="436" t="s">
        <v>459</v>
      </c>
      <c r="AH18" s="441"/>
    </row>
    <row r="19" spans="2:34" x14ac:dyDescent="0.35">
      <c r="B19" s="442"/>
      <c r="C19" s="280"/>
      <c r="D19" s="442"/>
      <c r="E19" s="280"/>
      <c r="F19" s="420"/>
      <c r="G19" s="280"/>
      <c r="H19" s="442"/>
      <c r="I19" s="280"/>
      <c r="J19" s="419" t="s">
        <v>388</v>
      </c>
      <c r="K19" s="421" t="s">
        <v>397</v>
      </c>
      <c r="L19" s="593" t="s">
        <v>337</v>
      </c>
      <c r="M19" s="421">
        <v>4</v>
      </c>
      <c r="N19" s="419" t="s">
        <v>7</v>
      </c>
      <c r="O19" s="419" t="s">
        <v>409</v>
      </c>
      <c r="P19" s="424" t="s">
        <v>413</v>
      </c>
      <c r="R19" s="427" t="s">
        <v>500</v>
      </c>
      <c r="S19" s="427" t="s">
        <v>599</v>
      </c>
      <c r="T19" s="427" t="s">
        <v>598</v>
      </c>
      <c r="U19" s="470" t="s">
        <v>762</v>
      </c>
      <c r="V19" s="471">
        <v>12</v>
      </c>
      <c r="W19" s="470" t="s">
        <v>506</v>
      </c>
      <c r="X19" s="472" t="s">
        <v>752</v>
      </c>
      <c r="Z19" s="473"/>
      <c r="AA19" s="473"/>
      <c r="AB19" s="441"/>
      <c r="AC19" s="441"/>
      <c r="AD19" s="441"/>
      <c r="AE19" s="473"/>
      <c r="AF19" s="473"/>
      <c r="AG19" s="473"/>
      <c r="AH19" s="441"/>
    </row>
    <row r="20" spans="2:34" x14ac:dyDescent="0.35">
      <c r="B20" s="442"/>
      <c r="D20" s="442"/>
      <c r="F20" s="443"/>
      <c r="H20" s="442"/>
      <c r="J20" s="449" t="s">
        <v>299</v>
      </c>
      <c r="K20" s="450" t="s">
        <v>396</v>
      </c>
      <c r="L20" s="592" t="s">
        <v>299</v>
      </c>
      <c r="M20" s="450">
        <v>1</v>
      </c>
      <c r="N20" s="449" t="s">
        <v>11</v>
      </c>
      <c r="O20" s="449" t="s">
        <v>403</v>
      </c>
      <c r="P20" s="451" t="s">
        <v>421</v>
      </c>
      <c r="R20" s="428" t="s">
        <v>501</v>
      </c>
      <c r="S20" s="428" t="s">
        <v>597</v>
      </c>
      <c r="T20" s="428" t="s">
        <v>596</v>
      </c>
      <c r="U20" s="470" t="s">
        <v>383</v>
      </c>
      <c r="V20" s="471" t="s">
        <v>787</v>
      </c>
      <c r="W20" s="470" t="s">
        <v>506</v>
      </c>
      <c r="X20" s="472" t="s">
        <v>752</v>
      </c>
      <c r="Z20" s="473"/>
      <c r="AA20" s="473"/>
      <c r="AB20" s="441"/>
      <c r="AC20" s="441"/>
      <c r="AD20" s="441"/>
      <c r="AE20" s="473"/>
      <c r="AF20" s="473"/>
      <c r="AG20" s="473"/>
      <c r="AH20" s="441"/>
    </row>
    <row r="21" spans="2:34" x14ac:dyDescent="0.35">
      <c r="B21" s="442"/>
      <c r="D21" s="442"/>
      <c r="F21" s="443"/>
      <c r="H21" s="442"/>
      <c r="J21" s="419" t="s">
        <v>452</v>
      </c>
      <c r="K21" s="421" t="s">
        <v>397</v>
      </c>
      <c r="L21" s="593" t="s">
        <v>381</v>
      </c>
      <c r="M21" s="421">
        <v>1</v>
      </c>
      <c r="N21" s="419" t="s">
        <v>5</v>
      </c>
      <c r="O21" s="419" t="s">
        <v>409</v>
      </c>
      <c r="P21" s="424"/>
      <c r="R21" s="427" t="s">
        <v>804</v>
      </c>
      <c r="S21" s="427" t="s">
        <v>571</v>
      </c>
      <c r="T21" s="427" t="s">
        <v>570</v>
      </c>
      <c r="U21" s="470" t="s">
        <v>570</v>
      </c>
      <c r="V21" s="471"/>
      <c r="W21" s="470" t="s">
        <v>455</v>
      </c>
      <c r="X21" s="472" t="s">
        <v>779</v>
      </c>
      <c r="Z21" s="473"/>
      <c r="AA21" s="473"/>
      <c r="AB21" s="441"/>
      <c r="AC21" s="441"/>
      <c r="AD21" s="441"/>
      <c r="AE21" s="473"/>
      <c r="AF21" s="473"/>
      <c r="AG21" s="473"/>
      <c r="AH21" s="441"/>
    </row>
    <row r="22" spans="2:34" x14ac:dyDescent="0.35">
      <c r="B22" s="442"/>
      <c r="D22" s="442"/>
      <c r="F22" s="443"/>
      <c r="H22" s="442"/>
      <c r="J22" s="449" t="s">
        <v>452</v>
      </c>
      <c r="K22" s="450" t="s">
        <v>397</v>
      </c>
      <c r="L22" s="592" t="s">
        <v>382</v>
      </c>
      <c r="M22" s="450">
        <v>2</v>
      </c>
      <c r="N22" s="449" t="s">
        <v>5</v>
      </c>
      <c r="O22" s="449" t="s">
        <v>409</v>
      </c>
      <c r="P22" s="451"/>
      <c r="R22" s="428" t="s">
        <v>805</v>
      </c>
      <c r="S22" s="428" t="s">
        <v>579</v>
      </c>
      <c r="T22" s="428" t="s">
        <v>750</v>
      </c>
      <c r="U22" s="470" t="s">
        <v>750</v>
      </c>
      <c r="V22" s="471"/>
      <c r="W22" s="470" t="s">
        <v>455</v>
      </c>
      <c r="X22" s="472" t="s">
        <v>782</v>
      </c>
      <c r="Z22" s="473"/>
      <c r="AA22" s="473"/>
      <c r="AB22" s="441"/>
      <c r="AC22" s="441"/>
      <c r="AD22" s="441"/>
      <c r="AE22" s="473"/>
      <c r="AF22" s="473"/>
      <c r="AG22" s="473"/>
      <c r="AH22" s="441"/>
    </row>
    <row r="23" spans="2:34" x14ac:dyDescent="0.35">
      <c r="B23" s="442"/>
      <c r="D23" s="442"/>
      <c r="F23" s="443"/>
      <c r="H23" s="442"/>
      <c r="J23" s="419" t="s">
        <v>302</v>
      </c>
      <c r="K23" s="421" t="s">
        <v>396</v>
      </c>
      <c r="L23" s="593" t="s">
        <v>302</v>
      </c>
      <c r="M23" s="421">
        <v>1</v>
      </c>
      <c r="N23" s="419" t="s">
        <v>11</v>
      </c>
      <c r="O23" s="419" t="s">
        <v>403</v>
      </c>
      <c r="P23" s="424" t="s">
        <v>414</v>
      </c>
      <c r="R23" s="427" t="s">
        <v>808</v>
      </c>
      <c r="S23" s="427" t="s">
        <v>603</v>
      </c>
      <c r="T23" s="427" t="s">
        <v>602</v>
      </c>
      <c r="U23" s="470" t="s">
        <v>602</v>
      </c>
      <c r="V23" s="471"/>
      <c r="W23" s="470" t="s">
        <v>455</v>
      </c>
      <c r="X23" s="472" t="s">
        <v>783</v>
      </c>
      <c r="Z23" s="473"/>
      <c r="AA23" s="473"/>
      <c r="AB23" s="441"/>
      <c r="AC23" s="441"/>
      <c r="AD23" s="441"/>
      <c r="AE23" s="473"/>
      <c r="AF23" s="473"/>
      <c r="AG23" s="473"/>
      <c r="AH23" s="441"/>
    </row>
    <row r="24" spans="2:34" x14ac:dyDescent="0.35">
      <c r="B24" s="442"/>
      <c r="D24" s="442"/>
      <c r="F24" s="443"/>
      <c r="H24" s="442"/>
      <c r="J24" s="449" t="s">
        <v>436</v>
      </c>
      <c r="K24" s="450" t="s">
        <v>397</v>
      </c>
      <c r="L24" s="592" t="s">
        <v>437</v>
      </c>
      <c r="M24" s="450">
        <v>3</v>
      </c>
      <c r="N24" s="449" t="s">
        <v>10</v>
      </c>
      <c r="O24" s="449" t="s">
        <v>403</v>
      </c>
      <c r="P24" s="451"/>
      <c r="R24" s="428" t="s">
        <v>809</v>
      </c>
      <c r="S24" s="428" t="s">
        <v>569</v>
      </c>
      <c r="T24" s="428" t="s">
        <v>748</v>
      </c>
      <c r="U24" s="470" t="s">
        <v>748</v>
      </c>
      <c r="V24" s="471"/>
      <c r="W24" s="470" t="s">
        <v>455</v>
      </c>
      <c r="X24" s="472" t="s">
        <v>778</v>
      </c>
      <c r="Z24" s="473"/>
      <c r="AA24" s="473"/>
      <c r="AB24" s="441"/>
      <c r="AC24" s="441"/>
      <c r="AD24" s="441"/>
      <c r="AE24" s="473"/>
      <c r="AF24" s="473"/>
      <c r="AG24" s="473"/>
      <c r="AH24" s="441"/>
    </row>
    <row r="25" spans="2:34" x14ac:dyDescent="0.35">
      <c r="B25" s="442"/>
      <c r="D25" s="442"/>
      <c r="F25" s="443"/>
      <c r="H25" s="442"/>
      <c r="J25" s="419" t="s">
        <v>436</v>
      </c>
      <c r="K25" s="421" t="s">
        <v>397</v>
      </c>
      <c r="L25" s="593" t="s">
        <v>438</v>
      </c>
      <c r="M25" s="421">
        <v>1</v>
      </c>
      <c r="N25" s="419" t="s">
        <v>10</v>
      </c>
      <c r="O25" s="419" t="s">
        <v>403</v>
      </c>
      <c r="P25" s="424"/>
      <c r="R25" s="427" t="s">
        <v>812</v>
      </c>
      <c r="S25" s="427" t="s">
        <v>577</v>
      </c>
      <c r="T25" s="427" t="s">
        <v>749</v>
      </c>
      <c r="U25" s="470" t="s">
        <v>756</v>
      </c>
      <c r="V25" s="471"/>
      <c r="W25" s="470" t="s">
        <v>455</v>
      </c>
      <c r="X25" s="472" t="s">
        <v>781</v>
      </c>
      <c r="Z25" s="473"/>
      <c r="AA25" s="473"/>
      <c r="AB25" s="441"/>
      <c r="AC25" s="441"/>
      <c r="AD25" s="441"/>
      <c r="AE25" s="473"/>
      <c r="AF25" s="473"/>
      <c r="AG25" s="473"/>
      <c r="AH25" s="441"/>
    </row>
    <row r="26" spans="2:34" x14ac:dyDescent="0.35">
      <c r="B26" s="442"/>
      <c r="D26" s="442"/>
      <c r="F26" s="443"/>
      <c r="H26" s="442"/>
      <c r="J26" s="449" t="s">
        <v>436</v>
      </c>
      <c r="K26" s="450" t="s">
        <v>397</v>
      </c>
      <c r="L26" s="592" t="s">
        <v>439</v>
      </c>
      <c r="M26" s="450">
        <v>1</v>
      </c>
      <c r="N26" s="449" t="s">
        <v>10</v>
      </c>
      <c r="O26" s="449" t="s">
        <v>403</v>
      </c>
      <c r="P26" s="451"/>
      <c r="R26" s="428" t="s">
        <v>814</v>
      </c>
      <c r="S26" s="428" t="s">
        <v>617</v>
      </c>
      <c r="T26" s="428" t="s">
        <v>616</v>
      </c>
      <c r="U26" s="470" t="s">
        <v>616</v>
      </c>
      <c r="V26" s="471"/>
      <c r="W26" s="470" t="s">
        <v>455</v>
      </c>
      <c r="X26" s="472" t="s">
        <v>784</v>
      </c>
      <c r="Z26" s="473"/>
      <c r="AA26" s="473"/>
      <c r="AB26" s="441"/>
      <c r="AC26" s="441"/>
      <c r="AD26" s="441"/>
      <c r="AE26" s="473"/>
      <c r="AF26" s="473"/>
      <c r="AG26" s="473"/>
      <c r="AH26" s="441"/>
    </row>
    <row r="27" spans="2:34" x14ac:dyDescent="0.35">
      <c r="B27" s="442"/>
      <c r="D27" s="442"/>
      <c r="F27" s="443"/>
      <c r="H27" s="442"/>
      <c r="J27" s="419" t="s">
        <v>440</v>
      </c>
      <c r="K27" s="421" t="s">
        <v>397</v>
      </c>
      <c r="L27" s="593" t="s">
        <v>441</v>
      </c>
      <c r="M27" s="421">
        <v>2</v>
      </c>
      <c r="N27" s="419" t="s">
        <v>10</v>
      </c>
      <c r="O27" s="419" t="s">
        <v>403</v>
      </c>
      <c r="P27" s="424"/>
      <c r="R27" s="427" t="s">
        <v>815</v>
      </c>
      <c r="S27" s="427" t="s">
        <v>620</v>
      </c>
      <c r="T27" s="427" t="s">
        <v>619</v>
      </c>
      <c r="U27" s="470" t="s">
        <v>776</v>
      </c>
      <c r="V27" s="471"/>
      <c r="W27" s="470" t="s">
        <v>455</v>
      </c>
      <c r="X27" s="472" t="s">
        <v>786</v>
      </c>
      <c r="Z27" s="473"/>
      <c r="AA27" s="473"/>
      <c r="AB27" s="441"/>
      <c r="AC27" s="441"/>
      <c r="AD27" s="441"/>
      <c r="AE27" s="473"/>
      <c r="AF27" s="473"/>
      <c r="AG27" s="473"/>
      <c r="AH27" s="441"/>
    </row>
    <row r="28" spans="2:34" x14ac:dyDescent="0.35">
      <c r="B28" s="442"/>
      <c r="D28" s="442"/>
      <c r="F28" s="443"/>
      <c r="H28" s="442"/>
      <c r="J28" s="449" t="s">
        <v>440</v>
      </c>
      <c r="K28" s="450" t="s">
        <v>397</v>
      </c>
      <c r="L28" s="592" t="s">
        <v>443</v>
      </c>
      <c r="M28" s="450">
        <v>2</v>
      </c>
      <c r="N28" s="449" t="s">
        <v>10</v>
      </c>
      <c r="O28" s="449" t="s">
        <v>403</v>
      </c>
      <c r="P28" s="451"/>
      <c r="R28" s="428" t="s">
        <v>818</v>
      </c>
      <c r="S28" s="428" t="s">
        <v>566</v>
      </c>
      <c r="T28" s="428" t="s">
        <v>565</v>
      </c>
      <c r="U28" s="470" t="s">
        <v>565</v>
      </c>
      <c r="V28" s="471"/>
      <c r="W28" s="470" t="s">
        <v>455</v>
      </c>
      <c r="X28" s="472" t="s">
        <v>777</v>
      </c>
      <c r="Z28" s="473"/>
      <c r="AA28" s="473"/>
      <c r="AB28" s="441"/>
      <c r="AC28" s="441"/>
      <c r="AD28" s="441"/>
      <c r="AE28" s="473"/>
      <c r="AF28" s="473"/>
      <c r="AG28" s="473"/>
      <c r="AH28" s="441"/>
    </row>
    <row r="29" spans="2:34" x14ac:dyDescent="0.35">
      <c r="B29" s="442"/>
      <c r="D29" s="442"/>
      <c r="F29" s="443"/>
      <c r="H29" s="442"/>
      <c r="J29" s="419" t="s">
        <v>440</v>
      </c>
      <c r="K29" s="421" t="s">
        <v>397</v>
      </c>
      <c r="L29" s="593" t="s">
        <v>442</v>
      </c>
      <c r="M29" s="421">
        <v>4</v>
      </c>
      <c r="N29" s="419" t="s">
        <v>7</v>
      </c>
      <c r="O29" s="419" t="s">
        <v>403</v>
      </c>
      <c r="P29" s="424"/>
      <c r="R29" s="427" t="s">
        <v>810</v>
      </c>
      <c r="S29" s="427">
        <v>0</v>
      </c>
      <c r="T29" s="427" t="s">
        <v>626</v>
      </c>
      <c r="U29" s="470" t="s">
        <v>785</v>
      </c>
      <c r="V29" s="471"/>
      <c r="W29" s="470" t="s">
        <v>456</v>
      </c>
      <c r="X29" s="472" t="s">
        <v>774</v>
      </c>
      <c r="Z29" s="473"/>
      <c r="AA29" s="473"/>
      <c r="AB29" s="441"/>
      <c r="AC29" s="441"/>
      <c r="AD29" s="441"/>
      <c r="AE29" s="473"/>
      <c r="AF29" s="473"/>
      <c r="AG29" s="473"/>
      <c r="AH29" s="441"/>
    </row>
    <row r="30" spans="2:34" x14ac:dyDescent="0.35">
      <c r="B30" s="442"/>
      <c r="D30" s="442"/>
      <c r="F30" s="443"/>
      <c r="H30" s="442"/>
      <c r="J30" s="449" t="s">
        <v>423</v>
      </c>
      <c r="K30" s="450" t="s">
        <v>397</v>
      </c>
      <c r="L30" s="592" t="s">
        <v>424</v>
      </c>
      <c r="M30" s="450">
        <v>2</v>
      </c>
      <c r="N30" s="449" t="s">
        <v>10</v>
      </c>
      <c r="O30" s="449" t="s">
        <v>403</v>
      </c>
      <c r="P30" s="451"/>
      <c r="R30" s="428" t="s">
        <v>811</v>
      </c>
      <c r="S30" s="428">
        <v>3529000972</v>
      </c>
      <c r="T30" s="428"/>
      <c r="U30" s="470" t="s">
        <v>785</v>
      </c>
      <c r="V30" s="471"/>
      <c r="W30" s="470" t="s">
        <v>456</v>
      </c>
      <c r="X30" s="472" t="s">
        <v>775</v>
      </c>
      <c r="Z30" s="473"/>
      <c r="AA30" s="473"/>
      <c r="AB30" s="441"/>
      <c r="AC30" s="441"/>
      <c r="AD30" s="441"/>
      <c r="AE30" s="473"/>
      <c r="AF30" s="473"/>
      <c r="AG30" s="473"/>
      <c r="AH30" s="441"/>
    </row>
    <row r="31" spans="2:34" x14ac:dyDescent="0.35">
      <c r="B31" s="442"/>
      <c r="D31" s="442"/>
      <c r="F31" s="443"/>
      <c r="H31" s="442"/>
      <c r="J31" s="419" t="s">
        <v>423</v>
      </c>
      <c r="K31" s="421" t="s">
        <v>397</v>
      </c>
      <c r="L31" s="593">
        <v>406900101</v>
      </c>
      <c r="M31" s="421">
        <v>2</v>
      </c>
      <c r="N31" s="419" t="s">
        <v>10</v>
      </c>
      <c r="O31" s="419" t="s">
        <v>403</v>
      </c>
      <c r="P31" s="424"/>
      <c r="R31" s="427" t="s">
        <v>813</v>
      </c>
      <c r="S31" s="427" t="s">
        <v>624</v>
      </c>
      <c r="T31" s="427" t="s">
        <v>623</v>
      </c>
      <c r="U31" s="470" t="s">
        <v>623</v>
      </c>
      <c r="V31" s="471"/>
      <c r="W31" s="470" t="s">
        <v>765</v>
      </c>
      <c r="X31" s="472" t="s">
        <v>766</v>
      </c>
      <c r="Z31" s="473"/>
      <c r="AA31" s="473"/>
      <c r="AB31" s="441"/>
      <c r="AC31" s="441"/>
      <c r="AD31" s="441"/>
      <c r="AE31" s="473"/>
      <c r="AF31" s="473"/>
      <c r="AG31" s="473"/>
      <c r="AH31" s="441"/>
    </row>
    <row r="32" spans="2:34" x14ac:dyDescent="0.35">
      <c r="B32" s="442"/>
      <c r="D32" s="442"/>
      <c r="F32" s="443"/>
      <c r="H32" s="442"/>
      <c r="J32" s="449" t="s">
        <v>306</v>
      </c>
      <c r="K32" s="450" t="s">
        <v>396</v>
      </c>
      <c r="L32" s="592" t="s">
        <v>306</v>
      </c>
      <c r="M32" s="450">
        <v>1</v>
      </c>
      <c r="N32" s="449" t="s">
        <v>17</v>
      </c>
      <c r="O32" s="449" t="s">
        <v>402</v>
      </c>
      <c r="P32" s="451" t="s">
        <v>422</v>
      </c>
      <c r="R32" s="428" t="s">
        <v>816</v>
      </c>
      <c r="S32" s="428" t="s">
        <v>607</v>
      </c>
      <c r="T32" s="428" t="s">
        <v>606</v>
      </c>
      <c r="U32" s="470" t="s">
        <v>606</v>
      </c>
      <c r="V32" s="471"/>
      <c r="W32" s="470" t="s">
        <v>765</v>
      </c>
      <c r="X32" s="472" t="s">
        <v>817</v>
      </c>
      <c r="Z32" s="473"/>
      <c r="AA32" s="473"/>
      <c r="AB32" s="441"/>
      <c r="AC32" s="441"/>
      <c r="AD32" s="441"/>
      <c r="AE32" s="473"/>
      <c r="AF32" s="473"/>
      <c r="AG32" s="473"/>
      <c r="AH32" s="441"/>
    </row>
    <row r="33" spans="2:34" x14ac:dyDescent="0.35">
      <c r="B33" s="442"/>
      <c r="D33" s="442"/>
      <c r="F33" s="443"/>
      <c r="H33" s="442"/>
      <c r="J33" s="419" t="s">
        <v>306</v>
      </c>
      <c r="K33" s="421" t="s">
        <v>396</v>
      </c>
      <c r="L33" s="593" t="s">
        <v>450</v>
      </c>
      <c r="M33" s="421">
        <v>1</v>
      </c>
      <c r="N33" s="419" t="s">
        <v>17</v>
      </c>
      <c r="O33" s="419" t="s">
        <v>402</v>
      </c>
      <c r="P33" s="424" t="s">
        <v>422</v>
      </c>
      <c r="R33" s="262"/>
      <c r="S33" s="262"/>
      <c r="T33" s="262"/>
      <c r="U33" s="262"/>
      <c r="V33" s="262"/>
      <c r="W33" s="262"/>
      <c r="X33" s="262"/>
      <c r="Z33" s="473"/>
      <c r="AA33" s="473"/>
      <c r="AB33" s="441"/>
      <c r="AC33" s="441"/>
      <c r="AD33" s="441"/>
      <c r="AE33" s="473"/>
      <c r="AF33" s="473"/>
      <c r="AG33" s="473"/>
      <c r="AH33" s="441"/>
    </row>
    <row r="34" spans="2:34" x14ac:dyDescent="0.35">
      <c r="B34" s="442"/>
      <c r="D34" s="442"/>
      <c r="F34" s="443"/>
      <c r="H34" s="442"/>
      <c r="J34" s="449" t="s">
        <v>306</v>
      </c>
      <c r="K34" s="450" t="s">
        <v>396</v>
      </c>
      <c r="L34" s="592" t="s">
        <v>386</v>
      </c>
      <c r="M34" s="450">
        <v>1</v>
      </c>
      <c r="N34" s="449" t="s">
        <v>17</v>
      </c>
      <c r="O34" s="449" t="s">
        <v>402</v>
      </c>
      <c r="P34" s="451" t="s">
        <v>422</v>
      </c>
      <c r="R34" s="452"/>
      <c r="S34" s="452"/>
      <c r="T34" s="452"/>
      <c r="U34" s="452"/>
      <c r="V34" s="452"/>
      <c r="W34" s="452"/>
      <c r="X34" s="452"/>
      <c r="Z34" s="473"/>
      <c r="AA34" s="473"/>
      <c r="AB34" s="441"/>
      <c r="AC34" s="441"/>
      <c r="AD34" s="441"/>
      <c r="AE34" s="473"/>
      <c r="AF34" s="473"/>
      <c r="AG34" s="473"/>
      <c r="AH34" s="441"/>
    </row>
    <row r="35" spans="2:34" x14ac:dyDescent="0.35">
      <c r="B35" s="442"/>
      <c r="D35" s="442"/>
      <c r="F35" s="443"/>
      <c r="H35" s="442"/>
      <c r="J35" s="419" t="s">
        <v>306</v>
      </c>
      <c r="K35" s="421" t="s">
        <v>396</v>
      </c>
      <c r="L35" s="593" t="s">
        <v>449</v>
      </c>
      <c r="M35" s="421">
        <v>2</v>
      </c>
      <c r="N35" s="419" t="s">
        <v>17</v>
      </c>
      <c r="O35" s="419" t="s">
        <v>402</v>
      </c>
      <c r="P35" s="424" t="s">
        <v>422</v>
      </c>
      <c r="R35" s="452"/>
      <c r="S35" s="452"/>
      <c r="T35" s="452"/>
      <c r="U35" s="452"/>
      <c r="V35" s="452"/>
      <c r="W35" s="452"/>
      <c r="X35" s="452"/>
      <c r="Z35" s="473"/>
      <c r="AA35" s="473"/>
      <c r="AB35" s="441"/>
      <c r="AC35" s="441"/>
      <c r="AD35" s="441"/>
      <c r="AE35" s="473"/>
      <c r="AF35" s="473"/>
      <c r="AG35" s="473"/>
      <c r="AH35" s="441"/>
    </row>
    <row r="36" spans="2:34" x14ac:dyDescent="0.35">
      <c r="B36" s="442"/>
      <c r="D36" s="442"/>
      <c r="F36" s="443"/>
      <c r="H36" s="442"/>
      <c r="J36" s="449" t="s">
        <v>306</v>
      </c>
      <c r="K36" s="450" t="s">
        <v>396</v>
      </c>
      <c r="L36" s="592" t="s">
        <v>418</v>
      </c>
      <c r="M36" s="450">
        <v>3</v>
      </c>
      <c r="N36" s="449" t="s">
        <v>17</v>
      </c>
      <c r="O36" s="449" t="s">
        <v>402</v>
      </c>
      <c r="P36" s="451" t="s">
        <v>422</v>
      </c>
      <c r="R36" s="452"/>
      <c r="S36" s="452"/>
      <c r="T36" s="452"/>
      <c r="U36" s="452"/>
      <c r="V36" s="452"/>
      <c r="W36" s="452"/>
      <c r="X36" s="452"/>
      <c r="Z36" s="473"/>
      <c r="AA36" s="473"/>
      <c r="AB36" s="441"/>
      <c r="AC36" s="441"/>
      <c r="AD36" s="441"/>
      <c r="AE36" s="473"/>
      <c r="AF36" s="473"/>
      <c r="AG36" s="473"/>
      <c r="AH36" s="441"/>
    </row>
    <row r="37" spans="2:34" x14ac:dyDescent="0.35">
      <c r="B37" s="442"/>
      <c r="D37" s="442"/>
      <c r="F37" s="443"/>
      <c r="H37" s="442"/>
      <c r="J37" s="419" t="s">
        <v>391</v>
      </c>
      <c r="K37" s="421" t="s">
        <v>397</v>
      </c>
      <c r="L37" s="593" t="s">
        <v>337</v>
      </c>
      <c r="M37" s="421">
        <v>2</v>
      </c>
      <c r="N37" s="419" t="s">
        <v>5</v>
      </c>
      <c r="O37" s="419" t="s">
        <v>409</v>
      </c>
      <c r="P37" s="424" t="s">
        <v>413</v>
      </c>
      <c r="R37" s="452"/>
      <c r="S37" s="452"/>
      <c r="T37" s="452"/>
      <c r="U37" s="452"/>
      <c r="V37" s="452"/>
      <c r="W37" s="452"/>
      <c r="X37" s="452"/>
      <c r="Z37" s="473"/>
      <c r="AA37" s="473"/>
      <c r="AB37" s="441"/>
      <c r="AC37" s="441"/>
      <c r="AD37" s="441"/>
      <c r="AE37" s="473"/>
      <c r="AF37" s="473"/>
      <c r="AG37" s="473"/>
      <c r="AH37" s="441"/>
    </row>
    <row r="38" spans="2:34" x14ac:dyDescent="0.35">
      <c r="B38" s="442"/>
      <c r="D38" s="442"/>
      <c r="F38" s="443"/>
      <c r="H38" s="442"/>
      <c r="J38" s="449" t="s">
        <v>419</v>
      </c>
      <c r="K38" s="450" t="s">
        <v>396</v>
      </c>
      <c r="L38" s="592" t="s">
        <v>128</v>
      </c>
      <c r="M38" s="450">
        <v>1</v>
      </c>
      <c r="N38" s="449" t="s">
        <v>11</v>
      </c>
      <c r="O38" s="449" t="s">
        <v>403</v>
      </c>
      <c r="P38" s="451" t="s">
        <v>420</v>
      </c>
      <c r="R38" s="452"/>
      <c r="S38" s="452"/>
      <c r="T38" s="452"/>
      <c r="U38" s="452"/>
      <c r="V38" s="452"/>
      <c r="W38" s="452"/>
      <c r="X38" s="452"/>
      <c r="Z38" s="473"/>
      <c r="AA38" s="473"/>
      <c r="AB38" s="441"/>
      <c r="AC38" s="441"/>
      <c r="AD38" s="441"/>
      <c r="AE38" s="473"/>
      <c r="AF38" s="473"/>
      <c r="AG38" s="473"/>
      <c r="AH38" s="441"/>
    </row>
    <row r="39" spans="2:34" x14ac:dyDescent="0.35">
      <c r="B39" s="442"/>
      <c r="D39" s="442"/>
      <c r="F39" s="443"/>
      <c r="H39" s="442"/>
      <c r="J39" s="419" t="s">
        <v>419</v>
      </c>
      <c r="K39" s="421" t="s">
        <v>396</v>
      </c>
      <c r="L39" s="593" t="s">
        <v>426</v>
      </c>
      <c r="M39" s="421">
        <v>1</v>
      </c>
      <c r="N39" s="419" t="s">
        <v>11</v>
      </c>
      <c r="O39" s="419" t="s">
        <v>403</v>
      </c>
      <c r="P39" s="424" t="s">
        <v>420</v>
      </c>
      <c r="R39" s="452"/>
      <c r="S39" s="452"/>
      <c r="T39" s="452"/>
      <c r="U39" s="452"/>
      <c r="V39" s="452"/>
      <c r="W39" s="452"/>
      <c r="X39" s="452"/>
      <c r="Z39" s="473"/>
      <c r="AA39" s="473"/>
      <c r="AB39" s="441"/>
      <c r="AC39" s="441"/>
      <c r="AD39" s="441"/>
      <c r="AE39" s="473"/>
      <c r="AF39" s="473"/>
      <c r="AG39" s="473"/>
      <c r="AH39" s="441"/>
    </row>
    <row r="40" spans="2:34" ht="29" x14ac:dyDescent="0.35">
      <c r="B40" s="442"/>
      <c r="D40" s="442"/>
      <c r="F40" s="443"/>
      <c r="H40" s="442"/>
      <c r="J40" s="449" t="s">
        <v>800</v>
      </c>
      <c r="K40" s="450" t="s">
        <v>396</v>
      </c>
      <c r="L40" s="592" t="s">
        <v>463</v>
      </c>
      <c r="M40" s="450">
        <v>10</v>
      </c>
      <c r="N40" s="449"/>
      <c r="O40" s="449" t="s">
        <v>403</v>
      </c>
      <c r="P40" s="451" t="s">
        <v>462</v>
      </c>
      <c r="R40" s="452"/>
      <c r="S40" s="452"/>
      <c r="T40" s="452"/>
      <c r="U40" s="452"/>
      <c r="V40" s="452"/>
      <c r="W40" s="452"/>
      <c r="X40" s="452"/>
      <c r="Z40" s="473"/>
      <c r="AA40" s="473"/>
      <c r="AB40" s="441"/>
      <c r="AC40" s="441"/>
      <c r="AD40" s="441"/>
      <c r="AE40" s="473"/>
      <c r="AF40" s="473"/>
      <c r="AG40" s="473"/>
      <c r="AH40" s="441"/>
    </row>
    <row r="41" spans="2:34" x14ac:dyDescent="0.35">
      <c r="B41" s="442"/>
      <c r="D41" s="442"/>
      <c r="F41" s="443"/>
      <c r="H41" s="442"/>
      <c r="J41" s="419" t="s">
        <v>425</v>
      </c>
      <c r="K41" s="421" t="s">
        <v>396</v>
      </c>
      <c r="L41" s="593" t="s">
        <v>666</v>
      </c>
      <c r="M41" s="421">
        <v>3</v>
      </c>
      <c r="N41" s="419" t="s">
        <v>11</v>
      </c>
      <c r="O41" s="419" t="s">
        <v>402</v>
      </c>
      <c r="P41" s="424"/>
      <c r="R41" s="452"/>
      <c r="S41" s="452"/>
      <c r="T41" s="452"/>
      <c r="U41" s="452"/>
      <c r="V41" s="452"/>
      <c r="W41" s="452"/>
      <c r="X41" s="452"/>
      <c r="Z41" s="473"/>
      <c r="AA41" s="473"/>
      <c r="AB41" s="441"/>
      <c r="AC41" s="441"/>
      <c r="AD41" s="441"/>
      <c r="AE41" s="473"/>
      <c r="AF41" s="473"/>
      <c r="AG41" s="473"/>
      <c r="AH41" s="441"/>
    </row>
    <row r="42" spans="2:34" x14ac:dyDescent="0.35">
      <c r="B42" s="442"/>
      <c r="D42" s="442"/>
      <c r="F42" s="443"/>
      <c r="H42" s="442"/>
      <c r="J42" s="449" t="s">
        <v>425</v>
      </c>
      <c r="K42" s="450" t="s">
        <v>396</v>
      </c>
      <c r="L42" s="592" t="s">
        <v>387</v>
      </c>
      <c r="M42" s="450">
        <v>1</v>
      </c>
      <c r="N42" s="449" t="s">
        <v>11</v>
      </c>
      <c r="O42" s="449" t="s">
        <v>402</v>
      </c>
      <c r="P42" s="451"/>
      <c r="R42" s="452"/>
      <c r="S42" s="452"/>
      <c r="T42" s="452"/>
      <c r="U42" s="452"/>
      <c r="V42" s="452"/>
      <c r="W42" s="452"/>
      <c r="X42" s="452"/>
      <c r="Z42" s="473"/>
      <c r="AA42" s="473"/>
      <c r="AB42" s="441"/>
      <c r="AC42" s="441"/>
      <c r="AD42" s="441"/>
      <c r="AE42" s="473"/>
      <c r="AF42" s="473"/>
      <c r="AG42" s="473"/>
      <c r="AH42" s="441"/>
    </row>
    <row r="43" spans="2:34" x14ac:dyDescent="0.35">
      <c r="B43" s="442"/>
      <c r="D43" s="442"/>
      <c r="F43" s="443"/>
      <c r="H43" s="442"/>
      <c r="J43" s="419" t="s">
        <v>425</v>
      </c>
      <c r="K43" s="421" t="s">
        <v>396</v>
      </c>
      <c r="L43" s="593" t="s">
        <v>649</v>
      </c>
      <c r="M43" s="421">
        <v>3</v>
      </c>
      <c r="N43" s="419" t="s">
        <v>11</v>
      </c>
      <c r="O43" s="419" t="s">
        <v>402</v>
      </c>
      <c r="P43" s="424"/>
      <c r="R43" s="452"/>
      <c r="S43" s="452"/>
      <c r="T43" s="452"/>
      <c r="U43" s="452"/>
      <c r="V43" s="452"/>
      <c r="W43" s="452"/>
      <c r="X43" s="452"/>
      <c r="Z43" s="473"/>
      <c r="AA43" s="473"/>
      <c r="AB43" s="441"/>
      <c r="AC43" s="441"/>
      <c r="AD43" s="441"/>
      <c r="AE43" s="473"/>
      <c r="AF43" s="473"/>
      <c r="AG43" s="473"/>
      <c r="AH43" s="441"/>
    </row>
    <row r="44" spans="2:34" x14ac:dyDescent="0.35">
      <c r="B44" s="442"/>
      <c r="D44" s="442"/>
      <c r="F44" s="443"/>
      <c r="H44" s="442"/>
      <c r="J44" s="449" t="s">
        <v>425</v>
      </c>
      <c r="K44" s="450" t="s">
        <v>396</v>
      </c>
      <c r="L44" s="592" t="s">
        <v>824</v>
      </c>
      <c r="M44" s="450">
        <v>1</v>
      </c>
      <c r="N44" s="449" t="s">
        <v>11</v>
      </c>
      <c r="O44" s="449" t="s">
        <v>402</v>
      </c>
      <c r="P44" s="451"/>
      <c r="R44" s="452"/>
      <c r="S44" s="452"/>
      <c r="T44" s="452"/>
      <c r="U44" s="452"/>
      <c r="V44" s="452"/>
      <c r="W44" s="452"/>
      <c r="X44" s="452"/>
      <c r="Z44" s="473"/>
      <c r="AA44" s="473"/>
      <c r="AB44" s="441"/>
      <c r="AC44" s="441"/>
      <c r="AD44" s="441"/>
      <c r="AE44" s="473"/>
      <c r="AF44" s="473"/>
      <c r="AG44" s="473"/>
      <c r="AH44" s="441"/>
    </row>
    <row r="45" spans="2:34" x14ac:dyDescent="0.35">
      <c r="B45" s="442"/>
      <c r="D45" s="442"/>
      <c r="F45" s="443"/>
      <c r="H45" s="442"/>
      <c r="J45" s="419" t="s">
        <v>425</v>
      </c>
      <c r="K45" s="421" t="s">
        <v>396</v>
      </c>
      <c r="L45" s="593" t="s">
        <v>825</v>
      </c>
      <c r="M45" s="421">
        <v>2</v>
      </c>
      <c r="N45" s="419" t="s">
        <v>11</v>
      </c>
      <c r="O45" s="419" t="s">
        <v>402</v>
      </c>
      <c r="P45" s="424"/>
      <c r="R45" s="452"/>
      <c r="S45" s="452"/>
      <c r="T45" s="452"/>
      <c r="U45" s="452"/>
      <c r="V45" s="452"/>
      <c r="W45" s="452"/>
      <c r="X45" s="452"/>
      <c r="Z45" s="473"/>
      <c r="AA45" s="473"/>
      <c r="AB45" s="441"/>
      <c r="AC45" s="441"/>
      <c r="AD45" s="441"/>
      <c r="AE45" s="473"/>
      <c r="AF45" s="473"/>
      <c r="AG45" s="473"/>
      <c r="AH45" s="441"/>
    </row>
    <row r="46" spans="2:34" x14ac:dyDescent="0.35">
      <c r="B46" s="442"/>
      <c r="D46" s="442"/>
      <c r="F46" s="443"/>
      <c r="H46" s="442"/>
      <c r="J46" s="449" t="s">
        <v>425</v>
      </c>
      <c r="K46" s="450" t="s">
        <v>396</v>
      </c>
      <c r="L46" s="594" t="s">
        <v>826</v>
      </c>
      <c r="M46" s="450">
        <v>1</v>
      </c>
      <c r="N46" s="449" t="s">
        <v>11</v>
      </c>
      <c r="O46" s="449" t="s">
        <v>402</v>
      </c>
      <c r="P46" s="449"/>
      <c r="R46" s="452"/>
      <c r="S46" s="452"/>
      <c r="T46" s="452"/>
      <c r="U46" s="452"/>
      <c r="V46" s="452"/>
      <c r="W46" s="452"/>
      <c r="X46" s="452"/>
      <c r="Z46" s="473"/>
      <c r="AA46" s="473"/>
      <c r="AB46" s="441"/>
      <c r="AC46" s="441"/>
      <c r="AD46" s="441"/>
      <c r="AE46" s="473"/>
      <c r="AF46" s="473"/>
      <c r="AG46" s="473"/>
      <c r="AH46" s="441"/>
    </row>
    <row r="47" spans="2:34" x14ac:dyDescent="0.35">
      <c r="B47" s="442"/>
      <c r="D47" s="442"/>
      <c r="F47" s="443"/>
      <c r="H47" s="442"/>
      <c r="J47" s="419" t="s">
        <v>451</v>
      </c>
      <c r="K47" s="421" t="s">
        <v>397</v>
      </c>
      <c r="L47" s="593" t="s">
        <v>432</v>
      </c>
      <c r="M47" s="421">
        <v>1</v>
      </c>
      <c r="N47" s="419" t="s">
        <v>10</v>
      </c>
      <c r="O47" s="419" t="s">
        <v>402</v>
      </c>
      <c r="P47" s="424" t="s">
        <v>434</v>
      </c>
      <c r="R47" s="452"/>
      <c r="S47" s="452"/>
      <c r="T47" s="452"/>
      <c r="U47" s="452"/>
      <c r="V47" s="452"/>
      <c r="W47" s="452"/>
      <c r="X47" s="452"/>
      <c r="Z47" s="473"/>
      <c r="AA47" s="473"/>
      <c r="AB47" s="441"/>
      <c r="AC47" s="441"/>
      <c r="AD47" s="441"/>
      <c r="AE47" s="473"/>
      <c r="AF47" s="473"/>
      <c r="AG47" s="473"/>
      <c r="AH47" s="441"/>
    </row>
    <row r="48" spans="2:34" x14ac:dyDescent="0.35">
      <c r="B48" s="442"/>
      <c r="D48" s="442"/>
      <c r="F48" s="443"/>
      <c r="H48" s="442"/>
      <c r="J48" s="449" t="s">
        <v>451</v>
      </c>
      <c r="K48" s="450" t="s">
        <v>397</v>
      </c>
      <c r="L48" s="592" t="s">
        <v>433</v>
      </c>
      <c r="M48" s="450">
        <v>1</v>
      </c>
      <c r="N48" s="449" t="s">
        <v>10</v>
      </c>
      <c r="O48" s="449" t="s">
        <v>402</v>
      </c>
      <c r="P48" s="451" t="s">
        <v>434</v>
      </c>
      <c r="R48" s="452"/>
      <c r="S48" s="452"/>
      <c r="T48" s="452"/>
      <c r="U48" s="452"/>
      <c r="V48" s="452"/>
      <c r="W48" s="452"/>
      <c r="X48" s="452"/>
      <c r="Z48" s="473"/>
      <c r="AA48" s="473"/>
      <c r="AB48" s="441"/>
      <c r="AC48" s="441"/>
      <c r="AD48" s="441"/>
      <c r="AE48" s="473"/>
      <c r="AF48" s="473"/>
      <c r="AG48" s="473"/>
      <c r="AH48" s="441"/>
    </row>
    <row r="49" spans="2:34" x14ac:dyDescent="0.35">
      <c r="B49" s="442"/>
      <c r="D49" s="442"/>
      <c r="F49" s="443"/>
      <c r="H49" s="442"/>
      <c r="J49" s="419" t="s">
        <v>460</v>
      </c>
      <c r="K49" s="421" t="s">
        <v>396</v>
      </c>
      <c r="L49" s="593" t="s">
        <v>461</v>
      </c>
      <c r="M49" s="421">
        <v>3</v>
      </c>
      <c r="N49" s="419" t="s">
        <v>11</v>
      </c>
      <c r="O49" s="419"/>
      <c r="P49" s="424"/>
      <c r="R49" s="452"/>
      <c r="S49" s="452"/>
      <c r="T49" s="452"/>
      <c r="U49" s="452"/>
      <c r="V49" s="452"/>
      <c r="W49" s="452"/>
      <c r="X49" s="452"/>
      <c r="Z49" s="473"/>
      <c r="AA49" s="473"/>
      <c r="AB49" s="441"/>
      <c r="AC49" s="441"/>
      <c r="AD49" s="441"/>
      <c r="AE49" s="473"/>
      <c r="AF49" s="473"/>
      <c r="AG49" s="473"/>
      <c r="AH49" s="441"/>
    </row>
    <row r="50" spans="2:34" x14ac:dyDescent="0.35">
      <c r="B50" s="442"/>
      <c r="D50" s="442"/>
      <c r="F50" s="443"/>
      <c r="H50" s="442"/>
      <c r="J50" s="449" t="s">
        <v>389</v>
      </c>
      <c r="K50" s="450" t="s">
        <v>397</v>
      </c>
      <c r="L50" s="592" t="s">
        <v>427</v>
      </c>
      <c r="M50" s="450">
        <v>1</v>
      </c>
      <c r="N50" s="449" t="s">
        <v>10</v>
      </c>
      <c r="O50" s="449" t="s">
        <v>402</v>
      </c>
      <c r="P50" s="451" t="s">
        <v>428</v>
      </c>
      <c r="R50" s="452"/>
      <c r="S50" s="452"/>
      <c r="T50" s="452"/>
      <c r="U50" s="452"/>
      <c r="V50" s="452"/>
      <c r="W50" s="452"/>
      <c r="X50" s="452"/>
      <c r="Z50" s="473"/>
      <c r="AA50" s="473"/>
      <c r="AB50" s="441"/>
      <c r="AC50" s="441"/>
      <c r="AD50" s="441"/>
      <c r="AE50" s="473"/>
      <c r="AF50" s="473"/>
      <c r="AG50" s="473"/>
      <c r="AH50" s="441"/>
    </row>
    <row r="51" spans="2:34" x14ac:dyDescent="0.35">
      <c r="B51" s="442"/>
      <c r="D51" s="442"/>
      <c r="F51" s="443"/>
      <c r="H51" s="442"/>
      <c r="J51" s="419" t="s">
        <v>389</v>
      </c>
      <c r="K51" s="421" t="s">
        <v>397</v>
      </c>
      <c r="L51" s="593">
        <v>5629763010</v>
      </c>
      <c r="M51" s="421">
        <v>1</v>
      </c>
      <c r="N51" s="419" t="s">
        <v>10</v>
      </c>
      <c r="O51" s="419" t="s">
        <v>402</v>
      </c>
      <c r="P51" s="424" t="s">
        <v>428</v>
      </c>
      <c r="R51" s="452"/>
      <c r="S51" s="452"/>
      <c r="T51" s="452"/>
      <c r="U51" s="452"/>
      <c r="V51" s="452"/>
      <c r="W51" s="452"/>
      <c r="X51" s="452"/>
      <c r="Z51" s="473"/>
      <c r="AA51" s="473"/>
      <c r="AB51" s="441"/>
      <c r="AC51" s="441"/>
      <c r="AD51" s="441"/>
      <c r="AE51" s="473"/>
      <c r="AF51" s="473"/>
      <c r="AG51" s="473"/>
      <c r="AH51" s="441"/>
    </row>
    <row r="52" spans="2:34" x14ac:dyDescent="0.35">
      <c r="B52" s="442"/>
      <c r="D52" s="442"/>
      <c r="F52" s="443"/>
      <c r="H52" s="442"/>
      <c r="J52" s="449" t="s">
        <v>389</v>
      </c>
      <c r="K52" s="450" t="s">
        <v>397</v>
      </c>
      <c r="L52" s="592">
        <v>7717757261</v>
      </c>
      <c r="M52" s="450">
        <v>2</v>
      </c>
      <c r="N52" s="449" t="s">
        <v>10</v>
      </c>
      <c r="O52" s="449" t="s">
        <v>402</v>
      </c>
      <c r="P52" s="451" t="s">
        <v>428</v>
      </c>
      <c r="R52" s="452"/>
      <c r="S52" s="452"/>
      <c r="T52" s="452"/>
      <c r="U52" s="452"/>
      <c r="V52" s="452"/>
      <c r="W52" s="452"/>
      <c r="X52" s="452"/>
      <c r="Z52" s="473"/>
      <c r="AA52" s="473"/>
      <c r="AB52" s="441"/>
      <c r="AC52" s="441"/>
      <c r="AD52" s="441"/>
      <c r="AE52" s="473"/>
      <c r="AF52" s="473"/>
      <c r="AG52" s="473"/>
      <c r="AH52" s="441"/>
    </row>
    <row r="53" spans="2:34" x14ac:dyDescent="0.35">
      <c r="B53" s="442"/>
      <c r="D53" s="442"/>
      <c r="F53" s="443"/>
      <c r="H53" s="442"/>
      <c r="J53" s="419" t="s">
        <v>389</v>
      </c>
      <c r="K53" s="421" t="s">
        <v>397</v>
      </c>
      <c r="L53" s="593" t="s">
        <v>429</v>
      </c>
      <c r="M53" s="421">
        <v>5</v>
      </c>
      <c r="N53" s="419" t="s">
        <v>10</v>
      </c>
      <c r="O53" s="419" t="s">
        <v>402</v>
      </c>
      <c r="P53" s="424" t="s">
        <v>428</v>
      </c>
      <c r="R53" s="452"/>
      <c r="S53" s="452"/>
      <c r="T53" s="452"/>
      <c r="U53" s="452"/>
      <c r="V53" s="452"/>
      <c r="W53" s="452"/>
      <c r="X53" s="452"/>
      <c r="Z53" s="473"/>
      <c r="AA53" s="473"/>
      <c r="AB53" s="441"/>
      <c r="AC53" s="441"/>
      <c r="AD53" s="441"/>
      <c r="AE53" s="473"/>
      <c r="AF53" s="473"/>
      <c r="AG53" s="473"/>
      <c r="AH53" s="441"/>
    </row>
    <row r="54" spans="2:34" x14ac:dyDescent="0.35">
      <c r="B54" s="442"/>
      <c r="D54" s="442"/>
      <c r="F54" s="443"/>
      <c r="H54" s="442"/>
      <c r="J54" s="449" t="s">
        <v>12</v>
      </c>
      <c r="K54" s="450" t="s">
        <v>397</v>
      </c>
      <c r="L54" s="592" t="s">
        <v>378</v>
      </c>
      <c r="M54" s="450">
        <v>4</v>
      </c>
      <c r="N54" s="449" t="s">
        <v>8</v>
      </c>
      <c r="O54" s="449" t="s">
        <v>409</v>
      </c>
      <c r="P54" s="451" t="s">
        <v>413</v>
      </c>
      <c r="R54" s="452"/>
      <c r="S54" s="452"/>
      <c r="T54" s="452"/>
      <c r="U54" s="452"/>
      <c r="V54" s="452"/>
      <c r="W54" s="452"/>
      <c r="X54" s="452"/>
      <c r="Z54" s="473"/>
      <c r="AA54" s="473"/>
      <c r="AB54" s="441"/>
      <c r="AC54" s="441"/>
      <c r="AD54" s="441"/>
      <c r="AE54" s="473"/>
      <c r="AF54" s="473"/>
      <c r="AG54" s="473"/>
      <c r="AH54" s="441"/>
    </row>
    <row r="55" spans="2:34" x14ac:dyDescent="0.35">
      <c r="B55" s="442"/>
      <c r="D55" s="442"/>
      <c r="F55" s="443"/>
      <c r="H55" s="442"/>
      <c r="J55" s="419" t="s">
        <v>379</v>
      </c>
      <c r="K55" s="421" t="s">
        <v>397</v>
      </c>
      <c r="L55" s="593" t="s">
        <v>379</v>
      </c>
      <c r="M55" s="421">
        <v>1</v>
      </c>
      <c r="N55" s="419" t="s">
        <v>10</v>
      </c>
      <c r="O55" s="419" t="s">
        <v>403</v>
      </c>
      <c r="P55" s="424" t="s">
        <v>430</v>
      </c>
      <c r="R55" s="452"/>
      <c r="S55" s="452"/>
      <c r="T55" s="452"/>
      <c r="U55" s="452"/>
      <c r="V55" s="452"/>
      <c r="W55" s="452"/>
      <c r="X55" s="452"/>
      <c r="Z55" s="473"/>
      <c r="AA55" s="473"/>
      <c r="AB55" s="441"/>
      <c r="AC55" s="441"/>
      <c r="AD55" s="441"/>
      <c r="AF55" s="473"/>
      <c r="AG55" s="473"/>
      <c r="AH55" s="441"/>
    </row>
    <row r="56" spans="2:34" x14ac:dyDescent="0.35">
      <c r="B56" s="442"/>
      <c r="D56" s="442"/>
      <c r="F56" s="443"/>
      <c r="H56" s="442"/>
      <c r="J56" s="449" t="s">
        <v>379</v>
      </c>
      <c r="K56" s="450" t="s">
        <v>397</v>
      </c>
      <c r="L56" s="592">
        <v>10240612781</v>
      </c>
      <c r="M56" s="450">
        <v>1</v>
      </c>
      <c r="N56" s="449" t="s">
        <v>10</v>
      </c>
      <c r="O56" s="449" t="s">
        <v>403</v>
      </c>
      <c r="P56" s="451" t="s">
        <v>430</v>
      </c>
      <c r="R56" s="452"/>
      <c r="S56" s="452"/>
      <c r="T56" s="452"/>
      <c r="U56" s="452"/>
      <c r="V56" s="452"/>
      <c r="W56" s="452"/>
      <c r="X56" s="452"/>
      <c r="AA56" s="473"/>
      <c r="AB56" s="268"/>
      <c r="AC56" s="441"/>
      <c r="AD56" s="441"/>
      <c r="AF56" s="473"/>
      <c r="AG56" s="473"/>
      <c r="AH56" s="441"/>
    </row>
    <row r="57" spans="2:34" x14ac:dyDescent="0.35">
      <c r="B57" s="442"/>
      <c r="D57" s="442"/>
      <c r="F57" s="443"/>
      <c r="H57" s="452"/>
      <c r="J57" s="419" t="s">
        <v>379</v>
      </c>
      <c r="K57" s="421" t="s">
        <v>397</v>
      </c>
      <c r="L57" s="593" t="s">
        <v>431</v>
      </c>
      <c r="M57" s="421">
        <v>1</v>
      </c>
      <c r="N57" s="419" t="s">
        <v>10</v>
      </c>
      <c r="O57" s="419" t="s">
        <v>403</v>
      </c>
      <c r="P57" s="424" t="s">
        <v>430</v>
      </c>
      <c r="R57" s="452"/>
      <c r="S57" s="452"/>
      <c r="T57" s="452"/>
      <c r="U57" s="452"/>
      <c r="V57" s="452"/>
      <c r="W57" s="452"/>
      <c r="X57" s="452"/>
      <c r="AA57" s="473"/>
      <c r="AC57" s="441"/>
      <c r="AD57" s="441"/>
      <c r="AF57" s="473"/>
      <c r="AG57" s="473"/>
      <c r="AH57" s="441"/>
    </row>
    <row r="58" spans="2:34" x14ac:dyDescent="0.35">
      <c r="B58" s="442"/>
      <c r="D58" s="442"/>
      <c r="F58" s="443"/>
      <c r="J58" s="449" t="s">
        <v>459</v>
      </c>
      <c r="K58" s="450" t="s">
        <v>397</v>
      </c>
      <c r="L58" s="592" t="s">
        <v>435</v>
      </c>
      <c r="M58" s="450">
        <v>1</v>
      </c>
      <c r="N58" s="449" t="s">
        <v>10</v>
      </c>
      <c r="O58" s="449" t="s">
        <v>402</v>
      </c>
      <c r="P58" s="451" t="s">
        <v>434</v>
      </c>
      <c r="R58" s="452"/>
      <c r="S58" s="452"/>
      <c r="T58" s="452"/>
      <c r="U58" s="452"/>
      <c r="V58" s="452"/>
      <c r="W58" s="452"/>
      <c r="X58" s="452"/>
      <c r="AA58" s="473"/>
      <c r="AC58" s="441"/>
      <c r="AD58" s="441"/>
      <c r="AF58" s="473"/>
      <c r="AG58" s="473"/>
      <c r="AH58" s="441"/>
    </row>
    <row r="59" spans="2:34" x14ac:dyDescent="0.35">
      <c r="B59" s="442"/>
      <c r="D59" s="442"/>
      <c r="F59" s="443"/>
      <c r="J59" s="419" t="s">
        <v>459</v>
      </c>
      <c r="K59" s="421" t="s">
        <v>397</v>
      </c>
      <c r="L59" s="593" t="s">
        <v>177</v>
      </c>
      <c r="M59" s="421">
        <v>6</v>
      </c>
      <c r="N59" s="419" t="s">
        <v>10</v>
      </c>
      <c r="O59" s="419" t="s">
        <v>402</v>
      </c>
      <c r="P59" s="424" t="s">
        <v>434</v>
      </c>
      <c r="R59" s="452"/>
      <c r="S59" s="452"/>
      <c r="T59" s="452"/>
      <c r="U59" s="452"/>
      <c r="V59" s="452"/>
      <c r="W59" s="452"/>
      <c r="X59" s="452"/>
      <c r="AA59" s="473"/>
      <c r="AC59" s="441"/>
      <c r="AD59" s="441"/>
      <c r="AF59" s="473"/>
      <c r="AG59" s="473"/>
      <c r="AH59" s="441"/>
    </row>
    <row r="60" spans="2:34" x14ac:dyDescent="0.35">
      <c r="B60" s="442"/>
      <c r="D60" s="452"/>
      <c r="F60" s="443"/>
      <c r="J60" s="449" t="s">
        <v>459</v>
      </c>
      <c r="K60" s="450" t="s">
        <v>397</v>
      </c>
      <c r="L60" s="592" t="s">
        <v>191</v>
      </c>
      <c r="M60" s="450">
        <v>2</v>
      </c>
      <c r="N60" s="449" t="s">
        <v>10</v>
      </c>
      <c r="O60" s="449" t="s">
        <v>402</v>
      </c>
      <c r="P60" s="451" t="s">
        <v>434</v>
      </c>
      <c r="R60" s="452"/>
      <c r="S60" s="452"/>
      <c r="T60" s="452"/>
      <c r="U60" s="452"/>
      <c r="V60" s="452"/>
      <c r="W60" s="452"/>
      <c r="X60" s="452"/>
      <c r="AA60" s="473"/>
      <c r="AC60" s="268"/>
      <c r="AD60" s="441"/>
      <c r="AF60" s="473"/>
      <c r="AG60" s="473"/>
      <c r="AH60" s="441"/>
    </row>
    <row r="61" spans="2:34" x14ac:dyDescent="0.35">
      <c r="B61" s="442"/>
      <c r="F61" s="443"/>
      <c r="J61" s="417"/>
      <c r="K61" s="420"/>
      <c r="L61" s="486"/>
      <c r="M61" s="420"/>
      <c r="N61" s="417"/>
      <c r="O61" s="417"/>
      <c r="P61" s="487"/>
      <c r="R61" s="452"/>
      <c r="S61" s="452"/>
      <c r="T61" s="452"/>
      <c r="U61" s="452"/>
      <c r="V61" s="452"/>
      <c r="W61" s="452"/>
      <c r="X61" s="452"/>
      <c r="AA61" s="473"/>
      <c r="AC61" s="462"/>
      <c r="AD61" s="441"/>
      <c r="AF61" s="473"/>
      <c r="AG61" s="473"/>
      <c r="AH61" s="441"/>
    </row>
    <row r="62" spans="2:34" x14ac:dyDescent="0.35">
      <c r="B62" s="442"/>
      <c r="F62" s="443"/>
      <c r="J62" s="442"/>
      <c r="K62" s="443"/>
      <c r="L62" s="442"/>
      <c r="M62" s="443"/>
      <c r="N62" s="442"/>
      <c r="O62" s="442"/>
      <c r="P62" s="442"/>
      <c r="R62" s="452"/>
      <c r="S62" s="452"/>
      <c r="T62" s="452"/>
      <c r="U62" s="452"/>
      <c r="V62" s="452"/>
      <c r="W62" s="452"/>
      <c r="X62" s="452"/>
      <c r="AA62" s="473"/>
      <c r="AC62" s="462"/>
      <c r="AD62" s="268"/>
      <c r="AF62" s="473"/>
      <c r="AG62" s="473"/>
      <c r="AH62" s="441"/>
    </row>
    <row r="63" spans="2:34" x14ac:dyDescent="0.35">
      <c r="B63" s="442"/>
      <c r="F63" s="443"/>
      <c r="J63" s="442"/>
      <c r="K63" s="443"/>
      <c r="L63" s="442"/>
      <c r="M63" s="443"/>
      <c r="N63" s="442"/>
      <c r="O63" s="442"/>
      <c r="P63" s="442"/>
      <c r="R63" s="452"/>
      <c r="S63" s="452"/>
      <c r="T63" s="452"/>
      <c r="U63" s="452"/>
      <c r="V63" s="452"/>
      <c r="W63" s="452"/>
      <c r="X63" s="452"/>
      <c r="AA63" s="473"/>
      <c r="AC63" s="462"/>
      <c r="AF63" s="473"/>
      <c r="AG63" s="473"/>
      <c r="AH63" s="441"/>
    </row>
    <row r="64" spans="2:34" x14ac:dyDescent="0.35">
      <c r="F64" s="443"/>
      <c r="J64" s="442"/>
      <c r="K64" s="443"/>
      <c r="L64" s="442"/>
      <c r="M64" s="443"/>
      <c r="N64" s="442"/>
      <c r="O64" s="442"/>
      <c r="P64" s="442"/>
      <c r="R64" s="452"/>
      <c r="S64" s="452"/>
      <c r="T64" s="452"/>
      <c r="U64" s="452"/>
      <c r="V64" s="452"/>
      <c r="W64" s="452"/>
      <c r="X64" s="452"/>
      <c r="AC64" s="462"/>
      <c r="AF64" s="473"/>
      <c r="AG64" s="473"/>
      <c r="AH64" s="441"/>
    </row>
    <row r="65" spans="6:34" x14ac:dyDescent="0.35">
      <c r="F65" s="443"/>
      <c r="J65" s="442"/>
      <c r="K65" s="443"/>
      <c r="L65" s="442"/>
      <c r="M65" s="443"/>
      <c r="N65" s="442"/>
      <c r="O65" s="442"/>
      <c r="P65" s="442"/>
      <c r="R65" s="452"/>
      <c r="S65" s="452"/>
      <c r="T65" s="452"/>
      <c r="U65" s="452"/>
      <c r="V65" s="452"/>
      <c r="W65" s="452"/>
      <c r="X65" s="452"/>
      <c r="AC65" s="462"/>
      <c r="AG65" s="473"/>
      <c r="AH65" s="441"/>
    </row>
    <row r="66" spans="6:34" x14ac:dyDescent="0.35">
      <c r="F66" s="443"/>
      <c r="J66" s="442"/>
      <c r="K66" s="443"/>
      <c r="L66" s="442"/>
      <c r="M66" s="443"/>
      <c r="N66" s="442"/>
      <c r="O66" s="442"/>
      <c r="P66" s="442"/>
      <c r="R66" s="452"/>
      <c r="S66" s="452"/>
      <c r="T66" s="452"/>
      <c r="U66" s="452"/>
      <c r="V66" s="452"/>
      <c r="W66" s="452"/>
      <c r="X66" s="452"/>
      <c r="AC66" s="462"/>
      <c r="AG66" s="473"/>
      <c r="AH66" s="441"/>
    </row>
    <row r="67" spans="6:34" x14ac:dyDescent="0.35">
      <c r="F67" s="443"/>
      <c r="J67" s="442"/>
      <c r="K67" s="443"/>
      <c r="L67" s="442"/>
      <c r="M67" s="443"/>
      <c r="N67" s="442"/>
      <c r="O67" s="442"/>
      <c r="P67" s="442"/>
      <c r="R67" s="452"/>
      <c r="S67" s="452"/>
      <c r="T67" s="452"/>
      <c r="U67" s="452"/>
      <c r="V67" s="452"/>
      <c r="W67" s="452"/>
      <c r="X67" s="452"/>
      <c r="AC67" s="462"/>
      <c r="AG67" s="473"/>
      <c r="AH67" s="268"/>
    </row>
    <row r="68" spans="6:34" x14ac:dyDescent="0.35">
      <c r="F68" s="443"/>
      <c r="J68" s="442"/>
      <c r="K68" s="443"/>
      <c r="L68" s="442"/>
      <c r="M68" s="443"/>
      <c r="N68" s="442"/>
      <c r="O68" s="442"/>
      <c r="P68" s="442"/>
      <c r="R68" s="452"/>
      <c r="S68" s="452"/>
      <c r="T68" s="452"/>
      <c r="U68" s="452"/>
      <c r="V68" s="452"/>
      <c r="W68" s="452"/>
      <c r="X68" s="452"/>
      <c r="AC68" s="462"/>
      <c r="AG68" s="473"/>
    </row>
    <row r="69" spans="6:34" x14ac:dyDescent="0.35">
      <c r="F69" s="448"/>
      <c r="J69" s="442"/>
      <c r="K69" s="443"/>
      <c r="L69" s="442"/>
      <c r="M69" s="443"/>
      <c r="N69" s="442"/>
      <c r="O69" s="442"/>
      <c r="P69" s="442"/>
      <c r="R69" s="452"/>
      <c r="S69" s="452"/>
      <c r="T69" s="452"/>
      <c r="U69" s="452"/>
      <c r="V69" s="452"/>
      <c r="W69" s="452"/>
      <c r="X69" s="452"/>
      <c r="AC69" s="462"/>
      <c r="AG69" s="473"/>
    </row>
    <row r="70" spans="6:34" x14ac:dyDescent="0.35">
      <c r="J70" s="442"/>
      <c r="K70" s="443"/>
      <c r="L70" s="442"/>
      <c r="M70" s="443"/>
      <c r="N70" s="442"/>
      <c r="O70" s="442"/>
      <c r="P70" s="442"/>
      <c r="R70" s="452"/>
      <c r="S70" s="452"/>
      <c r="T70" s="452"/>
      <c r="U70" s="452"/>
      <c r="V70" s="452"/>
      <c r="W70" s="452"/>
      <c r="X70" s="452"/>
      <c r="AC70" s="462"/>
    </row>
    <row r="71" spans="6:34" x14ac:dyDescent="0.35">
      <c r="J71" s="442"/>
      <c r="K71" s="443"/>
      <c r="L71" s="442"/>
      <c r="M71" s="443"/>
      <c r="N71" s="442"/>
      <c r="O71" s="442"/>
      <c r="P71" s="442"/>
      <c r="R71" s="452"/>
      <c r="S71" s="452"/>
      <c r="T71" s="452"/>
      <c r="U71" s="452"/>
      <c r="V71" s="452"/>
      <c r="W71" s="452"/>
      <c r="X71" s="452"/>
      <c r="AC71" s="462"/>
    </row>
    <row r="72" spans="6:34" x14ac:dyDescent="0.35">
      <c r="J72" s="442"/>
      <c r="K72" s="443"/>
      <c r="L72" s="442"/>
      <c r="M72" s="443"/>
      <c r="N72" s="442"/>
      <c r="O72" s="442"/>
      <c r="P72" s="442"/>
      <c r="R72" s="452"/>
      <c r="S72" s="452"/>
      <c r="T72" s="452"/>
      <c r="U72" s="452"/>
      <c r="V72" s="452"/>
      <c r="W72" s="452"/>
      <c r="X72" s="452"/>
      <c r="AC72" s="462"/>
    </row>
    <row r="73" spans="6:34" x14ac:dyDescent="0.35">
      <c r="J73" s="442"/>
      <c r="K73" s="443"/>
      <c r="L73" s="442"/>
      <c r="M73" s="443"/>
      <c r="N73" s="442"/>
      <c r="O73" s="442"/>
      <c r="P73" s="442"/>
      <c r="R73" s="452"/>
      <c r="S73" s="452"/>
      <c r="T73" s="452"/>
      <c r="U73" s="452"/>
      <c r="V73" s="452"/>
      <c r="W73" s="452"/>
      <c r="X73" s="452"/>
      <c r="AC73" s="462"/>
    </row>
    <row r="74" spans="6:34" x14ac:dyDescent="0.35">
      <c r="J74" s="442"/>
      <c r="K74" s="443"/>
      <c r="L74" s="442"/>
      <c r="M74" s="443"/>
      <c r="N74" s="442"/>
      <c r="O74" s="442"/>
      <c r="P74" s="442"/>
      <c r="R74" s="452"/>
      <c r="S74" s="452"/>
      <c r="T74" s="452"/>
      <c r="U74" s="452"/>
      <c r="V74" s="452"/>
      <c r="W74" s="452"/>
      <c r="X74" s="452"/>
      <c r="AC74" s="462"/>
    </row>
    <row r="75" spans="6:34" x14ac:dyDescent="0.35">
      <c r="J75" s="442"/>
      <c r="K75" s="443"/>
      <c r="L75" s="442"/>
      <c r="M75" s="443"/>
      <c r="N75" s="442"/>
      <c r="O75" s="442"/>
      <c r="P75" s="442"/>
      <c r="R75" s="452"/>
      <c r="S75" s="452"/>
      <c r="T75" s="452"/>
      <c r="U75" s="452"/>
      <c r="V75" s="452"/>
      <c r="W75" s="452"/>
      <c r="X75" s="452"/>
      <c r="AC75" s="462"/>
    </row>
    <row r="76" spans="6:34" x14ac:dyDescent="0.35">
      <c r="J76" s="442"/>
      <c r="K76" s="443"/>
      <c r="L76" s="442"/>
      <c r="M76" s="443"/>
      <c r="N76" s="442"/>
      <c r="O76" s="442"/>
      <c r="P76" s="442"/>
      <c r="R76" s="452"/>
      <c r="S76" s="452"/>
      <c r="T76" s="452"/>
      <c r="U76" s="452"/>
      <c r="V76" s="452"/>
      <c r="W76" s="452"/>
      <c r="X76" s="452"/>
      <c r="AC76" s="462"/>
    </row>
    <row r="77" spans="6:34" x14ac:dyDescent="0.35">
      <c r="J77" s="442"/>
      <c r="K77" s="443"/>
      <c r="L77" s="442"/>
      <c r="M77" s="443"/>
      <c r="N77" s="442"/>
      <c r="O77" s="442"/>
      <c r="P77" s="442"/>
      <c r="R77" s="452"/>
      <c r="S77" s="452"/>
      <c r="T77" s="452"/>
      <c r="U77" s="452"/>
      <c r="V77" s="452"/>
      <c r="W77" s="452"/>
      <c r="X77" s="452"/>
      <c r="AC77" s="462"/>
    </row>
    <row r="78" spans="6:34" x14ac:dyDescent="0.35">
      <c r="J78" s="442"/>
      <c r="K78" s="443"/>
      <c r="L78" s="442"/>
      <c r="M78" s="443"/>
      <c r="N78" s="442"/>
      <c r="O78" s="442"/>
      <c r="P78" s="442"/>
      <c r="R78" s="452"/>
      <c r="S78" s="452"/>
      <c r="T78" s="452"/>
      <c r="U78" s="452"/>
      <c r="V78" s="452"/>
      <c r="W78" s="452"/>
      <c r="X78" s="452"/>
      <c r="AC78" s="462"/>
    </row>
    <row r="79" spans="6:34" x14ac:dyDescent="0.35">
      <c r="J79" s="442"/>
      <c r="K79" s="443"/>
      <c r="L79" s="442"/>
      <c r="M79" s="443"/>
      <c r="N79" s="442"/>
      <c r="O79" s="442"/>
      <c r="P79" s="442"/>
      <c r="R79" s="452"/>
      <c r="S79" s="452"/>
      <c r="T79" s="452"/>
      <c r="U79" s="452"/>
      <c r="V79" s="452"/>
      <c r="W79" s="452"/>
      <c r="X79" s="452"/>
      <c r="AC79" s="462"/>
    </row>
    <row r="80" spans="6:34" x14ac:dyDescent="0.35">
      <c r="J80" s="442"/>
      <c r="K80" s="443"/>
      <c r="L80" s="442"/>
      <c r="M80" s="443"/>
      <c r="N80" s="442"/>
      <c r="O80" s="442"/>
      <c r="P80" s="442"/>
      <c r="R80" s="452"/>
      <c r="S80" s="452"/>
      <c r="T80" s="452"/>
      <c r="U80" s="452"/>
      <c r="V80" s="452"/>
      <c r="W80" s="452"/>
      <c r="X80" s="452"/>
      <c r="AC80" s="462"/>
    </row>
    <row r="81" spans="10:29" x14ac:dyDescent="0.35">
      <c r="J81" s="442"/>
      <c r="K81" s="443"/>
      <c r="L81" s="442"/>
      <c r="M81" s="443"/>
      <c r="N81" s="442"/>
      <c r="O81" s="442"/>
      <c r="P81" s="442"/>
      <c r="R81" s="452"/>
      <c r="S81" s="452"/>
      <c r="T81" s="452"/>
      <c r="U81" s="452"/>
      <c r="V81" s="452"/>
      <c r="W81" s="452"/>
      <c r="X81" s="452"/>
      <c r="AC81" s="462"/>
    </row>
    <row r="82" spans="10:29" x14ac:dyDescent="0.35">
      <c r="J82" s="442"/>
      <c r="K82" s="443"/>
      <c r="L82" s="442"/>
      <c r="M82" s="443"/>
      <c r="N82" s="442"/>
      <c r="O82" s="442"/>
      <c r="P82" s="442"/>
      <c r="R82" s="452"/>
      <c r="S82" s="452"/>
      <c r="T82" s="452"/>
      <c r="U82" s="452"/>
      <c r="V82" s="452"/>
      <c r="W82" s="452"/>
      <c r="X82" s="452"/>
      <c r="AC82" s="462"/>
    </row>
    <row r="83" spans="10:29" x14ac:dyDescent="0.35">
      <c r="J83" s="442"/>
      <c r="K83" s="443"/>
      <c r="L83" s="442"/>
      <c r="M83" s="443"/>
      <c r="N83" s="442"/>
      <c r="O83" s="442"/>
      <c r="P83" s="442"/>
      <c r="R83" s="452"/>
      <c r="S83" s="452"/>
      <c r="T83" s="452"/>
      <c r="U83" s="452"/>
      <c r="V83" s="452"/>
      <c r="W83" s="452"/>
      <c r="X83" s="452"/>
      <c r="AC83" s="462"/>
    </row>
    <row r="84" spans="10:29" x14ac:dyDescent="0.35">
      <c r="J84" s="442"/>
      <c r="K84" s="443"/>
      <c r="L84" s="442"/>
      <c r="M84" s="443"/>
      <c r="N84" s="442"/>
      <c r="O84" s="442"/>
      <c r="P84" s="442"/>
      <c r="R84" s="452"/>
      <c r="S84" s="452"/>
      <c r="T84" s="452"/>
      <c r="U84" s="452"/>
      <c r="V84" s="452"/>
      <c r="W84" s="452"/>
      <c r="X84" s="452"/>
      <c r="AC84" s="462"/>
    </row>
    <row r="85" spans="10:29" x14ac:dyDescent="0.35">
      <c r="J85" s="442"/>
      <c r="K85" s="443"/>
      <c r="L85" s="442"/>
      <c r="M85" s="443"/>
      <c r="N85" s="442"/>
      <c r="O85" s="442"/>
      <c r="P85" s="442"/>
      <c r="R85" s="452"/>
      <c r="S85" s="452"/>
      <c r="T85" s="452"/>
      <c r="U85" s="452"/>
      <c r="V85" s="452"/>
      <c r="W85" s="452"/>
      <c r="X85" s="452"/>
      <c r="AC85" s="462"/>
    </row>
    <row r="86" spans="10:29" x14ac:dyDescent="0.35">
      <c r="J86" s="442"/>
      <c r="K86" s="443"/>
      <c r="L86" s="442"/>
      <c r="M86" s="443"/>
      <c r="N86" s="442"/>
      <c r="O86" s="442"/>
      <c r="P86" s="442"/>
      <c r="R86" s="452"/>
      <c r="S86" s="452"/>
      <c r="T86" s="452"/>
      <c r="U86" s="452"/>
      <c r="V86" s="452"/>
      <c r="W86" s="452"/>
      <c r="X86" s="452"/>
      <c r="AC86" s="462"/>
    </row>
    <row r="87" spans="10:29" x14ac:dyDescent="0.35">
      <c r="J87" s="442"/>
      <c r="K87" s="443"/>
      <c r="L87" s="442"/>
      <c r="M87" s="443"/>
      <c r="N87" s="442"/>
      <c r="O87" s="442"/>
      <c r="P87" s="442"/>
      <c r="R87" s="452"/>
      <c r="S87" s="452"/>
      <c r="T87" s="452"/>
      <c r="U87" s="452"/>
      <c r="V87" s="452"/>
      <c r="W87" s="452"/>
      <c r="X87" s="452"/>
      <c r="AC87" s="462"/>
    </row>
    <row r="88" spans="10:29" x14ac:dyDescent="0.35">
      <c r="J88" s="442"/>
      <c r="K88" s="443"/>
      <c r="L88" s="442"/>
      <c r="M88" s="443"/>
      <c r="N88" s="442"/>
      <c r="O88" s="442"/>
      <c r="P88" s="442"/>
      <c r="R88" s="452"/>
      <c r="S88" s="452"/>
      <c r="T88" s="452"/>
      <c r="U88" s="452"/>
      <c r="V88" s="452"/>
      <c r="W88" s="452"/>
      <c r="X88" s="452"/>
      <c r="AC88" s="462"/>
    </row>
    <row r="89" spans="10:29" x14ac:dyDescent="0.35">
      <c r="J89" s="442"/>
      <c r="K89" s="443"/>
      <c r="L89" s="442"/>
      <c r="M89" s="443"/>
      <c r="N89" s="442"/>
      <c r="O89" s="442"/>
      <c r="P89" s="442"/>
      <c r="R89" s="452"/>
      <c r="S89" s="452"/>
      <c r="T89" s="452"/>
      <c r="U89" s="452"/>
      <c r="V89" s="452"/>
      <c r="W89" s="452"/>
      <c r="X89" s="452"/>
      <c r="AC89" s="462"/>
    </row>
    <row r="90" spans="10:29" x14ac:dyDescent="0.35">
      <c r="J90" s="442"/>
      <c r="K90" s="443"/>
      <c r="L90" s="442"/>
      <c r="M90" s="443"/>
      <c r="N90" s="442"/>
      <c r="O90" s="442"/>
      <c r="P90" s="442"/>
      <c r="R90" s="452"/>
      <c r="S90" s="452"/>
      <c r="T90" s="452"/>
      <c r="U90" s="452"/>
      <c r="V90" s="452"/>
      <c r="W90" s="452"/>
      <c r="X90" s="452"/>
      <c r="AC90" s="462"/>
    </row>
    <row r="91" spans="10:29" x14ac:dyDescent="0.35">
      <c r="J91" s="442"/>
      <c r="K91" s="443"/>
      <c r="L91" s="442"/>
      <c r="M91" s="443"/>
      <c r="N91" s="442"/>
      <c r="O91" s="442"/>
      <c r="P91" s="442"/>
      <c r="R91" s="452"/>
      <c r="S91" s="452"/>
      <c r="T91" s="452"/>
      <c r="U91" s="452"/>
      <c r="V91" s="452"/>
      <c r="W91" s="452"/>
      <c r="X91" s="452"/>
      <c r="AC91" s="462"/>
    </row>
    <row r="92" spans="10:29" x14ac:dyDescent="0.35">
      <c r="J92" s="442"/>
      <c r="K92" s="443"/>
      <c r="L92" s="442"/>
      <c r="M92" s="443"/>
      <c r="N92" s="442"/>
      <c r="O92" s="442"/>
      <c r="P92" s="442"/>
      <c r="R92" s="452"/>
      <c r="S92" s="452"/>
      <c r="T92" s="452"/>
      <c r="U92" s="452"/>
      <c r="V92" s="452"/>
      <c r="W92" s="452"/>
      <c r="X92" s="452"/>
      <c r="AC92" s="462"/>
    </row>
    <row r="93" spans="10:29" x14ac:dyDescent="0.35">
      <c r="J93" s="442"/>
      <c r="K93" s="443"/>
      <c r="L93" s="442"/>
      <c r="M93" s="443"/>
      <c r="N93" s="442"/>
      <c r="O93" s="442"/>
      <c r="P93" s="442"/>
      <c r="R93" s="452"/>
      <c r="S93" s="452"/>
      <c r="T93" s="452"/>
      <c r="U93" s="452"/>
      <c r="V93" s="452"/>
      <c r="W93" s="452"/>
      <c r="X93" s="452"/>
      <c r="AC93" s="462"/>
    </row>
    <row r="94" spans="10:29" x14ac:dyDescent="0.35">
      <c r="J94" s="442"/>
      <c r="K94" s="443"/>
      <c r="L94" s="442"/>
      <c r="M94" s="443"/>
      <c r="N94" s="442"/>
      <c r="O94" s="442"/>
      <c r="P94" s="442"/>
      <c r="R94" s="452"/>
      <c r="S94" s="452"/>
      <c r="T94" s="452"/>
      <c r="U94" s="452"/>
      <c r="V94" s="452"/>
      <c r="W94" s="452"/>
      <c r="X94" s="452"/>
      <c r="AC94" s="462"/>
    </row>
    <row r="95" spans="10:29" x14ac:dyDescent="0.35">
      <c r="J95" s="442"/>
      <c r="K95" s="443"/>
      <c r="L95" s="442"/>
      <c r="M95" s="443"/>
      <c r="N95" s="442"/>
      <c r="O95" s="442"/>
      <c r="P95" s="442"/>
      <c r="R95" s="452"/>
      <c r="S95" s="452"/>
      <c r="T95" s="452"/>
      <c r="U95" s="452"/>
      <c r="V95" s="452"/>
      <c r="W95" s="452"/>
      <c r="X95" s="452"/>
      <c r="AC95" s="462"/>
    </row>
    <row r="96" spans="10:29" x14ac:dyDescent="0.35">
      <c r="J96" s="442"/>
      <c r="K96" s="443"/>
      <c r="L96" s="442"/>
      <c r="M96" s="443"/>
      <c r="N96" s="442"/>
      <c r="O96" s="442"/>
      <c r="P96" s="442"/>
      <c r="R96" s="452"/>
      <c r="S96" s="452"/>
      <c r="T96" s="452"/>
      <c r="U96" s="452"/>
      <c r="V96" s="452"/>
      <c r="W96" s="452"/>
      <c r="X96" s="452"/>
      <c r="AC96" s="462"/>
    </row>
    <row r="97" spans="10:29" x14ac:dyDescent="0.35">
      <c r="J97" s="442"/>
      <c r="K97" s="443"/>
      <c r="L97" s="442"/>
      <c r="M97" s="443"/>
      <c r="N97" s="442"/>
      <c r="O97" s="442"/>
      <c r="P97" s="442"/>
      <c r="R97" s="452"/>
      <c r="S97" s="452"/>
      <c r="T97" s="452"/>
      <c r="U97" s="452"/>
      <c r="V97" s="452"/>
      <c r="W97" s="452"/>
      <c r="X97" s="452"/>
      <c r="AC97" s="462"/>
    </row>
    <row r="98" spans="10:29" x14ac:dyDescent="0.35">
      <c r="J98" s="442"/>
      <c r="K98" s="443"/>
      <c r="L98" s="442"/>
      <c r="M98" s="443"/>
      <c r="N98" s="442"/>
      <c r="O98" s="442"/>
      <c r="P98" s="442"/>
      <c r="R98" s="452"/>
      <c r="S98" s="452"/>
      <c r="T98" s="452"/>
      <c r="U98" s="452"/>
      <c r="V98" s="452"/>
      <c r="W98" s="452"/>
      <c r="X98" s="452"/>
      <c r="AC98" s="462"/>
    </row>
    <row r="99" spans="10:29" x14ac:dyDescent="0.35">
      <c r="J99" s="442"/>
      <c r="K99" s="443"/>
      <c r="L99" s="442"/>
      <c r="M99" s="443"/>
      <c r="N99" s="442"/>
      <c r="O99" s="442"/>
      <c r="P99" s="442"/>
      <c r="R99" s="452"/>
      <c r="S99" s="452"/>
      <c r="T99" s="452"/>
      <c r="U99" s="452"/>
      <c r="V99" s="452"/>
      <c r="W99" s="452"/>
      <c r="X99" s="452"/>
      <c r="AC99" s="462"/>
    </row>
    <row r="100" spans="10:29" x14ac:dyDescent="0.35">
      <c r="J100" s="442"/>
      <c r="K100" s="443"/>
      <c r="L100" s="442"/>
      <c r="M100" s="443"/>
      <c r="N100" s="442"/>
      <c r="O100" s="442"/>
      <c r="P100" s="442"/>
      <c r="R100" s="452"/>
      <c r="S100" s="452"/>
      <c r="T100" s="452"/>
      <c r="U100" s="452"/>
      <c r="V100" s="452"/>
      <c r="W100" s="452"/>
      <c r="X100" s="452"/>
      <c r="Y100" s="14"/>
      <c r="AC100" s="462"/>
    </row>
    <row r="101" spans="10:29" x14ac:dyDescent="0.35">
      <c r="J101" s="442"/>
      <c r="K101" s="443"/>
      <c r="L101" s="442"/>
      <c r="M101" s="443"/>
      <c r="N101" s="442"/>
      <c r="O101" s="442"/>
      <c r="P101" s="442"/>
      <c r="R101" s="452"/>
      <c r="S101" s="452"/>
      <c r="T101" s="452"/>
      <c r="U101" s="452"/>
      <c r="V101" s="452"/>
      <c r="W101" s="452"/>
      <c r="X101" s="452"/>
      <c r="AC101" s="462"/>
    </row>
    <row r="102" spans="10:29" x14ac:dyDescent="0.35">
      <c r="J102" s="442"/>
      <c r="K102" s="443"/>
      <c r="L102" s="442"/>
      <c r="M102" s="443"/>
      <c r="N102" s="442"/>
      <c r="O102" s="442"/>
      <c r="P102" s="442"/>
      <c r="R102" s="452"/>
      <c r="S102" s="452"/>
      <c r="T102" s="452"/>
      <c r="U102" s="452"/>
      <c r="V102" s="452"/>
      <c r="W102" s="452"/>
      <c r="X102" s="452"/>
      <c r="AC102" s="462"/>
    </row>
    <row r="103" spans="10:29" x14ac:dyDescent="0.35">
      <c r="J103" s="442"/>
      <c r="K103" s="443"/>
      <c r="L103" s="442"/>
      <c r="M103" s="443"/>
      <c r="N103" s="442"/>
      <c r="O103" s="442"/>
      <c r="P103" s="442"/>
      <c r="R103" s="452"/>
      <c r="S103" s="452"/>
      <c r="T103" s="452"/>
      <c r="U103" s="452"/>
      <c r="V103" s="452"/>
      <c r="W103" s="452"/>
      <c r="X103" s="452"/>
      <c r="AC103" s="462"/>
    </row>
    <row r="104" spans="10:29" x14ac:dyDescent="0.35">
      <c r="J104" s="442"/>
      <c r="K104" s="443"/>
      <c r="L104" s="442"/>
      <c r="M104" s="443"/>
      <c r="N104" s="442"/>
      <c r="O104" s="442"/>
      <c r="P104" s="442"/>
      <c r="R104" s="452"/>
      <c r="S104" s="452"/>
      <c r="T104" s="452"/>
      <c r="U104" s="452"/>
      <c r="V104" s="452"/>
      <c r="W104" s="452"/>
      <c r="X104" s="452"/>
      <c r="AC104" s="462"/>
    </row>
    <row r="105" spans="10:29" x14ac:dyDescent="0.35">
      <c r="J105" s="442"/>
      <c r="K105" s="443"/>
      <c r="L105" s="442"/>
      <c r="M105" s="443"/>
      <c r="N105" s="442"/>
      <c r="O105" s="442"/>
      <c r="P105" s="442"/>
      <c r="R105" s="452"/>
      <c r="S105" s="452"/>
      <c r="T105" s="452"/>
      <c r="U105" s="452"/>
      <c r="V105" s="452"/>
      <c r="W105" s="452"/>
      <c r="X105" s="452"/>
      <c r="AC105" s="462"/>
    </row>
    <row r="106" spans="10:29" x14ac:dyDescent="0.35">
      <c r="J106" s="442"/>
      <c r="K106" s="443"/>
      <c r="L106" s="442"/>
      <c r="M106" s="443"/>
      <c r="N106" s="442"/>
      <c r="O106" s="442"/>
      <c r="P106" s="442"/>
      <c r="R106" s="452"/>
      <c r="S106" s="452"/>
      <c r="T106" s="452"/>
      <c r="U106" s="452"/>
      <c r="V106" s="452"/>
      <c r="W106" s="452"/>
      <c r="X106" s="452"/>
      <c r="AC106" s="462"/>
    </row>
    <row r="107" spans="10:29" x14ac:dyDescent="0.35">
      <c r="J107" s="442"/>
      <c r="K107" s="443"/>
      <c r="L107" s="442"/>
      <c r="M107" s="443"/>
      <c r="N107" s="442"/>
      <c r="O107" s="442"/>
      <c r="P107" s="442"/>
      <c r="R107" s="452"/>
      <c r="S107" s="452"/>
      <c r="T107" s="452"/>
      <c r="U107" s="452"/>
      <c r="V107" s="452"/>
      <c r="W107" s="452"/>
      <c r="X107" s="452"/>
      <c r="AC107" s="462"/>
    </row>
    <row r="108" spans="10:29" x14ac:dyDescent="0.35">
      <c r="J108" s="442"/>
      <c r="K108" s="443"/>
      <c r="L108" s="442"/>
      <c r="M108" s="443"/>
      <c r="N108" s="442"/>
      <c r="O108" s="442"/>
      <c r="P108" s="442"/>
      <c r="R108" s="452"/>
      <c r="S108" s="452"/>
      <c r="T108" s="452"/>
      <c r="U108" s="452"/>
      <c r="V108" s="452"/>
      <c r="W108" s="452"/>
      <c r="X108" s="452"/>
      <c r="AC108" s="462"/>
    </row>
    <row r="109" spans="10:29" x14ac:dyDescent="0.35">
      <c r="J109" s="442"/>
      <c r="K109" s="443"/>
      <c r="L109" s="442"/>
      <c r="M109" s="443"/>
      <c r="N109" s="442"/>
      <c r="O109" s="442"/>
      <c r="P109" s="442"/>
      <c r="R109" s="452"/>
      <c r="S109" s="452"/>
      <c r="T109" s="452"/>
      <c r="U109" s="452"/>
      <c r="V109" s="452"/>
      <c r="W109" s="452"/>
      <c r="X109" s="452"/>
      <c r="AC109" s="462"/>
    </row>
    <row r="110" spans="10:29" x14ac:dyDescent="0.35">
      <c r="J110" s="442"/>
      <c r="K110" s="443"/>
      <c r="L110" s="442"/>
      <c r="M110" s="443"/>
      <c r="N110" s="442"/>
      <c r="O110" s="442"/>
      <c r="P110" s="442"/>
      <c r="R110" s="452"/>
      <c r="S110" s="452"/>
      <c r="T110" s="452"/>
      <c r="U110" s="452"/>
      <c r="V110" s="452"/>
      <c r="W110" s="452"/>
      <c r="X110" s="452"/>
      <c r="AC110" s="462"/>
    </row>
    <row r="111" spans="10:29" x14ac:dyDescent="0.35">
      <c r="J111" s="442"/>
      <c r="K111" s="443"/>
      <c r="L111" s="442"/>
      <c r="M111" s="443"/>
      <c r="N111" s="442"/>
      <c r="O111" s="442"/>
      <c r="P111" s="442"/>
      <c r="R111" s="452"/>
      <c r="S111" s="452"/>
      <c r="T111" s="452"/>
      <c r="U111" s="452"/>
      <c r="V111" s="452"/>
      <c r="W111" s="452"/>
      <c r="X111" s="452"/>
      <c r="AC111" s="462"/>
    </row>
    <row r="112" spans="10:29" x14ac:dyDescent="0.35">
      <c r="J112" s="452"/>
      <c r="K112" s="448"/>
      <c r="L112" s="452"/>
      <c r="M112" s="448"/>
      <c r="N112" s="452"/>
      <c r="O112" s="452"/>
      <c r="P112" s="452"/>
      <c r="R112" s="452"/>
      <c r="S112" s="452"/>
      <c r="T112" s="452"/>
      <c r="U112" s="452"/>
      <c r="V112" s="452"/>
      <c r="W112" s="452"/>
      <c r="X112" s="452"/>
      <c r="AC112" s="462"/>
    </row>
    <row r="113" spans="12:29" x14ac:dyDescent="0.35">
      <c r="L113" s="272"/>
      <c r="R113" s="452"/>
      <c r="S113" s="452"/>
      <c r="T113" s="452"/>
      <c r="U113" s="452"/>
      <c r="V113" s="452"/>
      <c r="W113" s="452"/>
      <c r="X113" s="452"/>
      <c r="AC113" s="462"/>
    </row>
    <row r="114" spans="12:29" x14ac:dyDescent="0.35">
      <c r="L114" s="272"/>
      <c r="R114" s="452"/>
      <c r="S114" s="452"/>
      <c r="T114" s="452"/>
      <c r="U114" s="452"/>
      <c r="V114" s="452"/>
      <c r="W114" s="452"/>
      <c r="X114" s="452"/>
      <c r="AC114" s="462"/>
    </row>
    <row r="115" spans="12:29" x14ac:dyDescent="0.35">
      <c r="L115" s="272"/>
      <c r="R115" s="452"/>
      <c r="S115" s="452"/>
      <c r="T115" s="452"/>
      <c r="U115" s="452"/>
      <c r="V115" s="452"/>
      <c r="W115" s="452"/>
      <c r="X115" s="452"/>
      <c r="AC115" s="462"/>
    </row>
    <row r="116" spans="12:29" x14ac:dyDescent="0.35">
      <c r="L116" s="272"/>
      <c r="R116" s="452"/>
      <c r="S116" s="452"/>
      <c r="T116" s="452"/>
      <c r="U116" s="452"/>
      <c r="V116" s="452"/>
      <c r="W116" s="452"/>
      <c r="X116" s="452"/>
      <c r="AC116" s="462"/>
    </row>
    <row r="117" spans="12:29" x14ac:dyDescent="0.35">
      <c r="L117" s="272"/>
      <c r="R117" s="452"/>
      <c r="S117" s="452"/>
      <c r="T117" s="452"/>
      <c r="U117" s="452"/>
      <c r="V117" s="452"/>
      <c r="W117" s="452"/>
      <c r="X117" s="452"/>
      <c r="AC117" s="462"/>
    </row>
    <row r="118" spans="12:29" x14ac:dyDescent="0.35">
      <c r="L118" s="272"/>
      <c r="R118" s="452"/>
      <c r="S118" s="452"/>
      <c r="T118" s="452"/>
      <c r="U118" s="452"/>
      <c r="V118" s="452"/>
      <c r="W118" s="452"/>
      <c r="X118" s="452"/>
      <c r="AC118" s="462"/>
    </row>
    <row r="119" spans="12:29" x14ac:dyDescent="0.35">
      <c r="L119" s="272"/>
      <c r="R119" s="452"/>
      <c r="S119" s="452"/>
      <c r="T119" s="452"/>
      <c r="U119" s="452"/>
      <c r="V119" s="452"/>
      <c r="W119" s="452"/>
      <c r="X119" s="452"/>
      <c r="AC119" s="462"/>
    </row>
    <row r="120" spans="12:29" x14ac:dyDescent="0.35">
      <c r="L120" s="272"/>
      <c r="R120" s="452"/>
      <c r="S120" s="452"/>
      <c r="T120" s="452"/>
      <c r="U120" s="452"/>
      <c r="V120" s="452"/>
      <c r="W120" s="452"/>
      <c r="X120" s="452"/>
      <c r="AC120" s="462"/>
    </row>
    <row r="121" spans="12:29" x14ac:dyDescent="0.35">
      <c r="L121" s="272"/>
      <c r="R121" s="452"/>
      <c r="S121" s="452"/>
      <c r="T121" s="452"/>
      <c r="U121" s="452"/>
      <c r="V121" s="452"/>
      <c r="W121" s="452"/>
      <c r="X121" s="452"/>
      <c r="AC121" s="462"/>
    </row>
    <row r="122" spans="12:29" x14ac:dyDescent="0.35">
      <c r="L122" s="272"/>
      <c r="R122" s="452"/>
      <c r="S122" s="452"/>
      <c r="T122" s="452"/>
      <c r="U122" s="452"/>
      <c r="V122" s="452"/>
      <c r="W122" s="452"/>
      <c r="X122" s="452"/>
      <c r="AC122" s="462"/>
    </row>
    <row r="123" spans="12:29" x14ac:dyDescent="0.35">
      <c r="L123" s="272"/>
      <c r="R123" s="452"/>
      <c r="S123" s="452"/>
      <c r="T123" s="452"/>
      <c r="U123" s="452"/>
      <c r="V123" s="452"/>
      <c r="W123" s="452"/>
      <c r="X123" s="452"/>
      <c r="AC123" s="462"/>
    </row>
    <row r="124" spans="12:29" x14ac:dyDescent="0.35">
      <c r="L124" s="272"/>
      <c r="R124" s="452"/>
      <c r="S124" s="452"/>
      <c r="T124" s="452"/>
      <c r="U124" s="452"/>
      <c r="V124" s="452"/>
      <c r="W124" s="452"/>
      <c r="X124" s="452"/>
      <c r="AC124" s="462"/>
    </row>
    <row r="125" spans="12:29" x14ac:dyDescent="0.35">
      <c r="L125" s="272"/>
      <c r="R125" s="452"/>
      <c r="S125" s="452"/>
      <c r="T125" s="452"/>
      <c r="U125" s="452"/>
      <c r="V125" s="452"/>
      <c r="W125" s="452"/>
      <c r="X125" s="452"/>
      <c r="AC125" s="462"/>
    </row>
    <row r="126" spans="12:29" x14ac:dyDescent="0.35">
      <c r="L126" s="272"/>
      <c r="R126" s="452"/>
      <c r="S126" s="452"/>
      <c r="T126" s="452"/>
      <c r="U126" s="452"/>
      <c r="V126" s="452"/>
      <c r="W126" s="452"/>
      <c r="X126" s="452"/>
      <c r="AC126" s="462"/>
    </row>
    <row r="127" spans="12:29" x14ac:dyDescent="0.35">
      <c r="L127" s="272"/>
      <c r="R127" s="452"/>
      <c r="S127" s="452"/>
      <c r="T127" s="452"/>
      <c r="U127" s="452"/>
      <c r="V127" s="452"/>
      <c r="W127" s="452"/>
      <c r="X127" s="452"/>
      <c r="AC127" s="462"/>
    </row>
    <row r="128" spans="12:29" x14ac:dyDescent="0.35">
      <c r="L128" s="272"/>
      <c r="R128" s="452"/>
      <c r="S128" s="452"/>
      <c r="T128" s="452"/>
      <c r="U128" s="452"/>
      <c r="V128" s="452"/>
      <c r="W128" s="452"/>
      <c r="X128" s="452"/>
      <c r="AC128" s="462"/>
    </row>
    <row r="129" spans="12:29" x14ac:dyDescent="0.35">
      <c r="L129" s="272"/>
      <c r="R129" s="452"/>
      <c r="S129" s="452"/>
      <c r="T129" s="452"/>
      <c r="U129" s="452"/>
      <c r="V129" s="452"/>
      <c r="W129" s="452"/>
      <c r="X129" s="452"/>
      <c r="AC129" s="462"/>
    </row>
    <row r="130" spans="12:29" x14ac:dyDescent="0.35">
      <c r="L130" s="272"/>
      <c r="R130" s="452"/>
      <c r="S130" s="452"/>
      <c r="T130" s="452"/>
      <c r="U130" s="452"/>
      <c r="V130" s="452"/>
      <c r="W130" s="452"/>
      <c r="X130" s="452"/>
      <c r="AC130" s="462"/>
    </row>
    <row r="131" spans="12:29" x14ac:dyDescent="0.35">
      <c r="L131" s="272"/>
      <c r="R131" s="452"/>
      <c r="S131" s="452"/>
      <c r="T131" s="452"/>
      <c r="U131" s="452"/>
      <c r="V131" s="452"/>
      <c r="W131" s="452"/>
      <c r="X131" s="452"/>
      <c r="AC131" s="462"/>
    </row>
    <row r="132" spans="12:29" x14ac:dyDescent="0.35">
      <c r="L132" s="272"/>
      <c r="R132" s="452"/>
      <c r="S132" s="452"/>
      <c r="T132" s="452"/>
      <c r="U132" s="452"/>
      <c r="V132" s="452"/>
      <c r="W132" s="452"/>
      <c r="X132" s="452"/>
      <c r="AC132" s="462"/>
    </row>
    <row r="133" spans="12:29" x14ac:dyDescent="0.35">
      <c r="L133" s="272"/>
      <c r="R133" s="452"/>
      <c r="S133" s="452"/>
      <c r="T133" s="452"/>
      <c r="U133" s="452"/>
      <c r="V133" s="452"/>
      <c r="W133" s="452"/>
      <c r="X133" s="452"/>
      <c r="AC133" s="462"/>
    </row>
    <row r="134" spans="12:29" x14ac:dyDescent="0.35">
      <c r="L134" s="272"/>
      <c r="R134" s="452"/>
      <c r="S134" s="452"/>
      <c r="T134" s="452"/>
      <c r="U134" s="452"/>
      <c r="V134" s="452"/>
      <c r="W134" s="452"/>
      <c r="X134" s="452"/>
      <c r="AC134" s="462"/>
    </row>
    <row r="135" spans="12:29" x14ac:dyDescent="0.35">
      <c r="L135" s="272"/>
      <c r="R135" s="452"/>
      <c r="S135" s="452"/>
      <c r="T135" s="452"/>
      <c r="U135" s="452"/>
      <c r="V135" s="452"/>
      <c r="W135" s="452"/>
      <c r="X135" s="452"/>
      <c r="AC135" s="462"/>
    </row>
    <row r="136" spans="12:29" x14ac:dyDescent="0.35">
      <c r="L136" s="272"/>
      <c r="R136" s="452"/>
      <c r="S136" s="452"/>
      <c r="T136" s="452"/>
      <c r="U136" s="452"/>
      <c r="V136" s="452"/>
      <c r="W136" s="452"/>
      <c r="X136" s="452"/>
      <c r="AC136" s="462"/>
    </row>
    <row r="137" spans="12:29" x14ac:dyDescent="0.35">
      <c r="L137" s="272"/>
      <c r="R137" s="452"/>
      <c r="S137" s="452"/>
      <c r="T137" s="452"/>
      <c r="U137" s="452"/>
      <c r="V137" s="452"/>
      <c r="W137" s="452"/>
      <c r="X137" s="452"/>
      <c r="AC137" s="462"/>
    </row>
    <row r="138" spans="12:29" x14ac:dyDescent="0.35">
      <c r="L138" s="272"/>
      <c r="R138" s="452"/>
      <c r="S138" s="452"/>
      <c r="T138" s="452"/>
      <c r="U138" s="452"/>
      <c r="V138" s="452"/>
      <c r="W138" s="452"/>
      <c r="X138" s="452"/>
      <c r="AC138" s="462"/>
    </row>
    <row r="139" spans="12:29" x14ac:dyDescent="0.35">
      <c r="L139" s="272"/>
      <c r="R139" s="452"/>
      <c r="S139" s="452"/>
      <c r="T139" s="452"/>
      <c r="U139" s="452"/>
      <c r="V139" s="452"/>
      <c r="W139" s="452"/>
      <c r="X139" s="452"/>
      <c r="AC139" s="462"/>
    </row>
    <row r="140" spans="12:29" x14ac:dyDescent="0.35">
      <c r="L140" s="272"/>
      <c r="R140" s="452"/>
      <c r="S140" s="452"/>
      <c r="T140" s="452"/>
      <c r="U140" s="452"/>
      <c r="V140" s="452"/>
      <c r="W140" s="452"/>
      <c r="X140" s="452"/>
    </row>
    <row r="141" spans="12:29" x14ac:dyDescent="0.35">
      <c r="L141" s="272"/>
      <c r="R141" s="452"/>
      <c r="S141" s="452"/>
      <c r="T141" s="452"/>
      <c r="U141" s="452"/>
      <c r="V141" s="452"/>
      <c r="W141" s="452"/>
      <c r="X141" s="452"/>
    </row>
    <row r="142" spans="12:29" x14ac:dyDescent="0.35">
      <c r="L142" s="272"/>
      <c r="R142" s="452"/>
      <c r="S142" s="452"/>
      <c r="T142" s="452"/>
      <c r="U142" s="452"/>
      <c r="V142" s="452"/>
      <c r="W142" s="452"/>
      <c r="X142" s="452"/>
    </row>
    <row r="143" spans="12:29" x14ac:dyDescent="0.35">
      <c r="L143" s="272"/>
      <c r="R143" s="452"/>
      <c r="S143" s="452"/>
      <c r="T143" s="452"/>
      <c r="U143" s="452"/>
      <c r="V143" s="452"/>
      <c r="W143" s="452"/>
      <c r="X143" s="452"/>
    </row>
    <row r="144" spans="12:29" x14ac:dyDescent="0.35">
      <c r="L144" s="272"/>
      <c r="R144" s="452"/>
      <c r="S144" s="452"/>
      <c r="T144" s="452"/>
      <c r="U144" s="452"/>
      <c r="V144" s="452"/>
      <c r="W144" s="452"/>
      <c r="X144" s="452"/>
    </row>
    <row r="145" spans="12:24" x14ac:dyDescent="0.35">
      <c r="L145" s="272"/>
      <c r="R145" s="452"/>
      <c r="S145" s="452"/>
      <c r="T145" s="452"/>
      <c r="U145" s="452"/>
      <c r="V145" s="452"/>
      <c r="W145" s="452"/>
      <c r="X145" s="452"/>
    </row>
    <row r="146" spans="12:24" x14ac:dyDescent="0.35">
      <c r="L146" s="272"/>
      <c r="R146" s="452"/>
      <c r="S146" s="452"/>
      <c r="T146" s="452"/>
      <c r="U146" s="452"/>
      <c r="V146" s="452"/>
      <c r="W146" s="452"/>
      <c r="X146" s="452"/>
    </row>
    <row r="147" spans="12:24" x14ac:dyDescent="0.35">
      <c r="L147" s="272"/>
      <c r="W147" s="262"/>
    </row>
    <row r="148" spans="12:24" x14ac:dyDescent="0.35">
      <c r="L148" s="272"/>
      <c r="W148" s="262"/>
    </row>
    <row r="149" spans="12:24" x14ac:dyDescent="0.35">
      <c r="L149" s="272"/>
      <c r="W149" s="262"/>
    </row>
    <row r="150" spans="12:24" x14ac:dyDescent="0.35">
      <c r="L150" s="272"/>
      <c r="W150" s="262"/>
    </row>
    <row r="151" spans="12:24" x14ac:dyDescent="0.35">
      <c r="L151" s="272"/>
      <c r="W151" s="262"/>
    </row>
    <row r="152" spans="12:24" x14ac:dyDescent="0.35">
      <c r="L152" s="272"/>
      <c r="W152" s="262"/>
    </row>
    <row r="153" spans="12:24" x14ac:dyDescent="0.35">
      <c r="L153" s="272"/>
      <c r="W153" s="262"/>
    </row>
    <row r="154" spans="12:24" x14ac:dyDescent="0.35">
      <c r="L154" s="272"/>
      <c r="W154" s="262"/>
    </row>
    <row r="155" spans="12:24" x14ac:dyDescent="0.35">
      <c r="L155" s="272"/>
      <c r="W155" s="262"/>
    </row>
    <row r="156" spans="12:24" x14ac:dyDescent="0.35">
      <c r="L156" s="272"/>
      <c r="W156" s="262"/>
    </row>
    <row r="157" spans="12:24" x14ac:dyDescent="0.35">
      <c r="L157" s="272"/>
      <c r="W157" s="262"/>
    </row>
    <row r="158" spans="12:24" x14ac:dyDescent="0.35">
      <c r="L158" s="272"/>
      <c r="W158" s="262"/>
    </row>
    <row r="159" spans="12:24" x14ac:dyDescent="0.35">
      <c r="L159" s="272"/>
      <c r="W159" s="262"/>
    </row>
    <row r="160" spans="12:24" x14ac:dyDescent="0.35">
      <c r="L160" s="272"/>
      <c r="W160" s="262"/>
    </row>
    <row r="161" spans="12:23" x14ac:dyDescent="0.35">
      <c r="L161" s="272"/>
      <c r="W161" s="262"/>
    </row>
    <row r="162" spans="12:23" x14ac:dyDescent="0.35">
      <c r="L162" s="272"/>
      <c r="W162" s="262"/>
    </row>
    <row r="163" spans="12:23" x14ac:dyDescent="0.35">
      <c r="L163" s="272"/>
      <c r="W163" s="262"/>
    </row>
    <row r="164" spans="12:23" x14ac:dyDescent="0.35">
      <c r="L164" s="272"/>
      <c r="W164" s="262"/>
    </row>
    <row r="165" spans="12:23" x14ac:dyDescent="0.35">
      <c r="L165" s="272"/>
      <c r="W165" s="262"/>
    </row>
    <row r="166" spans="12:23" x14ac:dyDescent="0.35">
      <c r="L166" s="272"/>
      <c r="W166" s="262"/>
    </row>
    <row r="167" spans="12:23" x14ac:dyDescent="0.35">
      <c r="L167" s="272"/>
      <c r="W167" s="262"/>
    </row>
    <row r="168" spans="12:23" x14ac:dyDescent="0.35">
      <c r="L168" s="272"/>
      <c r="W168" s="262"/>
    </row>
    <row r="169" spans="12:23" x14ac:dyDescent="0.35">
      <c r="L169" s="272"/>
      <c r="W169" s="262"/>
    </row>
    <row r="170" spans="12:23" x14ac:dyDescent="0.35">
      <c r="L170" s="272"/>
      <c r="W170" s="262"/>
    </row>
    <row r="171" spans="12:23" x14ac:dyDescent="0.35">
      <c r="L171" s="272"/>
      <c r="W171" s="262"/>
    </row>
    <row r="172" spans="12:23" x14ac:dyDescent="0.35">
      <c r="L172" s="272"/>
      <c r="W172" s="262"/>
    </row>
    <row r="173" spans="12:23" x14ac:dyDescent="0.35">
      <c r="L173" s="272"/>
      <c r="W173" s="262"/>
    </row>
    <row r="174" spans="12:23" x14ac:dyDescent="0.35">
      <c r="L174" s="272"/>
      <c r="W174" s="262"/>
    </row>
    <row r="175" spans="12:23" x14ac:dyDescent="0.35">
      <c r="L175" s="272"/>
      <c r="W175" s="262"/>
    </row>
    <row r="176" spans="12:23" x14ac:dyDescent="0.35">
      <c r="L176" s="272"/>
      <c r="W176" s="262"/>
    </row>
    <row r="177" spans="12:23" x14ac:dyDescent="0.35">
      <c r="L177" s="272"/>
      <c r="W177" s="262"/>
    </row>
    <row r="178" spans="12:23" x14ac:dyDescent="0.35">
      <c r="L178" s="272"/>
      <c r="W178" s="262"/>
    </row>
    <row r="179" spans="12:23" x14ac:dyDescent="0.35">
      <c r="L179" s="272"/>
      <c r="W179" s="262"/>
    </row>
    <row r="180" spans="12:23" x14ac:dyDescent="0.35">
      <c r="L180" s="272"/>
      <c r="W180" s="262"/>
    </row>
    <row r="181" spans="12:23" x14ac:dyDescent="0.35">
      <c r="L181" s="272"/>
      <c r="W181" s="262"/>
    </row>
    <row r="182" spans="12:23" x14ac:dyDescent="0.35">
      <c r="L182" s="272"/>
      <c r="W182" s="262"/>
    </row>
    <row r="183" spans="12:23" x14ac:dyDescent="0.35">
      <c r="L183" s="272"/>
      <c r="W183" s="262"/>
    </row>
    <row r="184" spans="12:23" x14ac:dyDescent="0.35">
      <c r="L184" s="272"/>
      <c r="W184" s="262"/>
    </row>
    <row r="185" spans="12:23" x14ac:dyDescent="0.35">
      <c r="L185" s="272"/>
      <c r="W185" s="262"/>
    </row>
    <row r="186" spans="12:23" x14ac:dyDescent="0.35">
      <c r="L186" s="272"/>
      <c r="W186" s="262"/>
    </row>
    <row r="187" spans="12:23" x14ac:dyDescent="0.35">
      <c r="L187" s="272"/>
      <c r="W187" s="262"/>
    </row>
    <row r="188" spans="12:23" x14ac:dyDescent="0.35">
      <c r="L188" s="272"/>
      <c r="W188" s="262"/>
    </row>
    <row r="189" spans="12:23" x14ac:dyDescent="0.35">
      <c r="L189" s="272"/>
      <c r="W189" s="262"/>
    </row>
    <row r="190" spans="12:23" x14ac:dyDescent="0.35">
      <c r="L190" s="272"/>
      <c r="W190" s="262"/>
    </row>
    <row r="191" spans="12:23" x14ac:dyDescent="0.35">
      <c r="L191" s="272"/>
      <c r="W191" s="262"/>
    </row>
    <row r="192" spans="12:23" x14ac:dyDescent="0.35">
      <c r="L192" s="272"/>
      <c r="W192" s="262"/>
    </row>
    <row r="193" spans="12:23" x14ac:dyDescent="0.35">
      <c r="L193" s="272"/>
      <c r="W193" s="262"/>
    </row>
    <row r="194" spans="12:23" x14ac:dyDescent="0.35">
      <c r="L194" s="272"/>
      <c r="W194" s="262"/>
    </row>
    <row r="195" spans="12:23" x14ac:dyDescent="0.35">
      <c r="L195" s="272"/>
      <c r="W195" s="262"/>
    </row>
    <row r="196" spans="12:23" x14ac:dyDescent="0.35">
      <c r="L196" s="272"/>
      <c r="W196" s="262"/>
    </row>
    <row r="197" spans="12:23" x14ac:dyDescent="0.35">
      <c r="L197" s="272"/>
      <c r="W197" s="262"/>
    </row>
    <row r="198" spans="12:23" x14ac:dyDescent="0.35">
      <c r="L198" s="272"/>
      <c r="W198" s="262"/>
    </row>
    <row r="199" spans="12:23" x14ac:dyDescent="0.35">
      <c r="L199" s="272"/>
      <c r="W199" s="262"/>
    </row>
    <row r="200" spans="12:23" x14ac:dyDescent="0.35">
      <c r="L200" s="272"/>
      <c r="W200" s="262"/>
    </row>
    <row r="201" spans="12:23" x14ac:dyDescent="0.35">
      <c r="L201" s="272"/>
      <c r="W201" s="262"/>
    </row>
    <row r="202" spans="12:23" x14ac:dyDescent="0.35">
      <c r="L202" s="272"/>
      <c r="W202" s="262"/>
    </row>
    <row r="203" spans="12:23" x14ac:dyDescent="0.35">
      <c r="L203" s="272"/>
      <c r="W203" s="262"/>
    </row>
    <row r="204" spans="12:23" x14ac:dyDescent="0.35">
      <c r="L204" s="272"/>
      <c r="W204" s="262"/>
    </row>
    <row r="205" spans="12:23" x14ac:dyDescent="0.35">
      <c r="L205" s="272"/>
      <c r="W205" s="262"/>
    </row>
    <row r="206" spans="12:23" x14ac:dyDescent="0.35">
      <c r="L206" s="272"/>
      <c r="W206" s="262"/>
    </row>
    <row r="207" spans="12:23" x14ac:dyDescent="0.35">
      <c r="L207" s="272"/>
      <c r="W207" s="262"/>
    </row>
    <row r="208" spans="12:23" x14ac:dyDescent="0.35">
      <c r="L208" s="272"/>
      <c r="W208" s="262"/>
    </row>
    <row r="209" spans="12:23" x14ac:dyDescent="0.35">
      <c r="L209" s="272"/>
      <c r="W209" s="262"/>
    </row>
    <row r="210" spans="12:23" x14ac:dyDescent="0.35">
      <c r="L210" s="272"/>
      <c r="W210" s="262"/>
    </row>
    <row r="211" spans="12:23" x14ac:dyDescent="0.35">
      <c r="L211" s="272"/>
      <c r="W211" s="262"/>
    </row>
    <row r="212" spans="12:23" x14ac:dyDescent="0.35">
      <c r="L212" s="272"/>
      <c r="W212" s="262"/>
    </row>
    <row r="213" spans="12:23" x14ac:dyDescent="0.35">
      <c r="L213" s="272"/>
      <c r="W213" s="262"/>
    </row>
    <row r="214" spans="12:23" x14ac:dyDescent="0.35">
      <c r="L214" s="272"/>
      <c r="W214" s="262"/>
    </row>
    <row r="215" spans="12:23" x14ac:dyDescent="0.35">
      <c r="L215" s="272"/>
      <c r="W215" s="262"/>
    </row>
    <row r="216" spans="12:23" x14ac:dyDescent="0.35">
      <c r="L216" s="272"/>
      <c r="W216" s="262"/>
    </row>
    <row r="217" spans="12:23" x14ac:dyDescent="0.35">
      <c r="L217" s="272"/>
      <c r="W217" s="262"/>
    </row>
    <row r="218" spans="12:23" x14ac:dyDescent="0.35">
      <c r="L218" s="272"/>
      <c r="W218" s="262"/>
    </row>
    <row r="219" spans="12:23" x14ac:dyDescent="0.35">
      <c r="L219" s="272"/>
      <c r="W219" s="262"/>
    </row>
    <row r="220" spans="12:23" x14ac:dyDescent="0.35">
      <c r="L220" s="272"/>
      <c r="W220" s="262"/>
    </row>
    <row r="221" spans="12:23" x14ac:dyDescent="0.35">
      <c r="L221" s="272"/>
      <c r="W221" s="262"/>
    </row>
    <row r="222" spans="12:23" x14ac:dyDescent="0.35">
      <c r="L222" s="272"/>
      <c r="W222" s="262"/>
    </row>
    <row r="223" spans="12:23" x14ac:dyDescent="0.35">
      <c r="L223" s="272"/>
      <c r="W223" s="262"/>
    </row>
    <row r="224" spans="12:23" x14ac:dyDescent="0.35">
      <c r="L224" s="272"/>
      <c r="W224" s="262"/>
    </row>
    <row r="225" spans="12:23" x14ac:dyDescent="0.35">
      <c r="L225" s="272"/>
      <c r="W225" s="262"/>
    </row>
    <row r="226" spans="12:23" x14ac:dyDescent="0.35">
      <c r="L226" s="272"/>
      <c r="W226" s="262"/>
    </row>
    <row r="227" spans="12:23" x14ac:dyDescent="0.35">
      <c r="L227" s="272"/>
      <c r="W227" s="262"/>
    </row>
    <row r="228" spans="12:23" x14ac:dyDescent="0.35">
      <c r="L228" s="272"/>
      <c r="W228" s="262"/>
    </row>
    <row r="229" spans="12:23" x14ac:dyDescent="0.35">
      <c r="L229" s="272"/>
      <c r="W229" s="262"/>
    </row>
    <row r="230" spans="12:23" x14ac:dyDescent="0.35">
      <c r="L230" s="272"/>
      <c r="W230" s="262"/>
    </row>
    <row r="231" spans="12:23" x14ac:dyDescent="0.35">
      <c r="L231" s="272"/>
      <c r="W231" s="262"/>
    </row>
    <row r="232" spans="12:23" x14ac:dyDescent="0.35">
      <c r="L232" s="272"/>
      <c r="W232" s="262"/>
    </row>
    <row r="233" spans="12:23" x14ac:dyDescent="0.35">
      <c r="L233" s="272"/>
      <c r="W233" s="262"/>
    </row>
    <row r="234" spans="12:23" x14ac:dyDescent="0.35">
      <c r="L234" s="272"/>
      <c r="W234" s="262"/>
    </row>
    <row r="235" spans="12:23" x14ac:dyDescent="0.35">
      <c r="L235" s="272"/>
      <c r="W235" s="262"/>
    </row>
    <row r="236" spans="12:23" x14ac:dyDescent="0.35">
      <c r="L236" s="272"/>
      <c r="W236" s="262"/>
    </row>
    <row r="237" spans="12:23" x14ac:dyDescent="0.35">
      <c r="L237" s="272"/>
      <c r="W237" s="262"/>
    </row>
    <row r="238" spans="12:23" x14ac:dyDescent="0.35">
      <c r="L238" s="272"/>
      <c r="W238" s="262"/>
    </row>
    <row r="239" spans="12:23" x14ac:dyDescent="0.35">
      <c r="L239" s="272"/>
      <c r="W239" s="262"/>
    </row>
    <row r="240" spans="12:23" x14ac:dyDescent="0.35">
      <c r="L240" s="272"/>
      <c r="W240" s="262"/>
    </row>
    <row r="241" spans="12:23" x14ac:dyDescent="0.35">
      <c r="L241" s="272"/>
      <c r="W241" s="262"/>
    </row>
    <row r="242" spans="12:23" x14ac:dyDescent="0.35">
      <c r="L242" s="272"/>
      <c r="W242" s="262"/>
    </row>
    <row r="243" spans="12:23" x14ac:dyDescent="0.35">
      <c r="L243" s="272"/>
      <c r="W243" s="262"/>
    </row>
    <row r="244" spans="12:23" x14ac:dyDescent="0.35">
      <c r="L244" s="272"/>
      <c r="W244" s="262"/>
    </row>
    <row r="245" spans="12:23" x14ac:dyDescent="0.35">
      <c r="L245" s="272"/>
      <c r="W245" s="262"/>
    </row>
    <row r="246" spans="12:23" x14ac:dyDescent="0.35">
      <c r="L246" s="272"/>
      <c r="W246" s="262"/>
    </row>
    <row r="247" spans="12:23" x14ac:dyDescent="0.35">
      <c r="L247" s="272"/>
      <c r="W247" s="262"/>
    </row>
    <row r="248" spans="12:23" x14ac:dyDescent="0.35">
      <c r="L248" s="272"/>
      <c r="W248" s="262"/>
    </row>
    <row r="249" spans="12:23" x14ac:dyDescent="0.35">
      <c r="L249" s="272"/>
      <c r="W249" s="262"/>
    </row>
    <row r="250" spans="12:23" x14ac:dyDescent="0.35">
      <c r="L250" s="272"/>
      <c r="W250" s="262"/>
    </row>
    <row r="251" spans="12:23" x14ac:dyDescent="0.35">
      <c r="L251" s="272"/>
      <c r="W251" s="262"/>
    </row>
    <row r="252" spans="12:23" x14ac:dyDescent="0.35">
      <c r="L252" s="272"/>
      <c r="W252" s="262"/>
    </row>
    <row r="253" spans="12:23" x14ac:dyDescent="0.35">
      <c r="L253" s="272"/>
      <c r="W253" s="262"/>
    </row>
    <row r="254" spans="12:23" x14ac:dyDescent="0.35">
      <c r="L254" s="272"/>
      <c r="W254" s="262"/>
    </row>
    <row r="255" spans="12:23" x14ac:dyDescent="0.35">
      <c r="L255" s="272"/>
      <c r="W255" s="262"/>
    </row>
    <row r="256" spans="12:23" x14ac:dyDescent="0.35">
      <c r="L256" s="272"/>
      <c r="W256" s="262"/>
    </row>
    <row r="257" spans="12:23" x14ac:dyDescent="0.35">
      <c r="L257" s="272"/>
      <c r="W257" s="262"/>
    </row>
    <row r="258" spans="12:23" x14ac:dyDescent="0.35">
      <c r="L258" s="272"/>
      <c r="W258" s="262"/>
    </row>
    <row r="259" spans="12:23" x14ac:dyDescent="0.35">
      <c r="L259" s="272"/>
      <c r="W259" s="262"/>
    </row>
    <row r="260" spans="12:23" x14ac:dyDescent="0.35">
      <c r="L260" s="272"/>
      <c r="W260" s="262"/>
    </row>
    <row r="261" spans="12:23" x14ac:dyDescent="0.35">
      <c r="L261" s="272"/>
      <c r="W261" s="262"/>
    </row>
    <row r="262" spans="12:23" x14ac:dyDescent="0.35">
      <c r="L262" s="272"/>
      <c r="W262" s="262"/>
    </row>
    <row r="263" spans="12:23" x14ac:dyDescent="0.35">
      <c r="L263" s="272"/>
      <c r="W263" s="262"/>
    </row>
    <row r="264" spans="12:23" x14ac:dyDescent="0.35">
      <c r="L264" s="272"/>
      <c r="W264" s="262"/>
    </row>
    <row r="265" spans="12:23" x14ac:dyDescent="0.35">
      <c r="L265" s="272"/>
      <c r="W265" s="262"/>
    </row>
    <row r="266" spans="12:23" x14ac:dyDescent="0.35">
      <c r="L266" s="272"/>
      <c r="W266" s="262"/>
    </row>
    <row r="267" spans="12:23" x14ac:dyDescent="0.35">
      <c r="L267" s="272"/>
      <c r="W267" s="262"/>
    </row>
    <row r="268" spans="12:23" x14ac:dyDescent="0.35">
      <c r="L268" s="272"/>
      <c r="W268" s="262"/>
    </row>
    <row r="269" spans="12:23" x14ac:dyDescent="0.35">
      <c r="L269" s="272"/>
      <c r="W269" s="262"/>
    </row>
    <row r="270" spans="12:23" x14ac:dyDescent="0.35">
      <c r="L270" s="272"/>
      <c r="W270" s="262"/>
    </row>
    <row r="271" spans="12:23" x14ac:dyDescent="0.35">
      <c r="L271" s="272"/>
      <c r="W271" s="262"/>
    </row>
    <row r="272" spans="12:23" x14ac:dyDescent="0.35">
      <c r="L272" s="272"/>
      <c r="W272" s="262"/>
    </row>
    <row r="273" spans="12:23" x14ac:dyDescent="0.35">
      <c r="L273" s="272"/>
      <c r="W273" s="262"/>
    </row>
    <row r="274" spans="12:23" x14ac:dyDescent="0.35">
      <c r="L274" s="272"/>
      <c r="W274" s="262"/>
    </row>
    <row r="275" spans="12:23" x14ac:dyDescent="0.35">
      <c r="L275" s="272"/>
      <c r="W275" s="262"/>
    </row>
    <row r="276" spans="12:23" x14ac:dyDescent="0.35">
      <c r="L276" s="272"/>
      <c r="W276" s="262"/>
    </row>
    <row r="277" spans="12:23" x14ac:dyDescent="0.35">
      <c r="L277" s="272"/>
      <c r="W277" s="262"/>
    </row>
    <row r="278" spans="12:23" x14ac:dyDescent="0.35">
      <c r="L278" s="272"/>
      <c r="W278" s="262"/>
    </row>
    <row r="279" spans="12:23" x14ac:dyDescent="0.35">
      <c r="L279" s="272"/>
      <c r="W279" s="262"/>
    </row>
    <row r="280" spans="12:23" x14ac:dyDescent="0.35">
      <c r="L280" s="272"/>
      <c r="W280" s="262"/>
    </row>
    <row r="281" spans="12:23" x14ac:dyDescent="0.35">
      <c r="L281" s="272"/>
      <c r="W281" s="262"/>
    </row>
    <row r="282" spans="12:23" x14ac:dyDescent="0.35">
      <c r="L282" s="272"/>
      <c r="W282" s="262"/>
    </row>
    <row r="283" spans="12:23" x14ac:dyDescent="0.35">
      <c r="L283" s="272"/>
      <c r="W283" s="262"/>
    </row>
    <row r="284" spans="12:23" x14ac:dyDescent="0.35">
      <c r="L284" s="272"/>
      <c r="W284" s="262"/>
    </row>
    <row r="285" spans="12:23" x14ac:dyDescent="0.35">
      <c r="L285" s="272"/>
      <c r="W285" s="262"/>
    </row>
    <row r="286" spans="12:23" x14ac:dyDescent="0.35">
      <c r="L286" s="272"/>
      <c r="W286" s="262"/>
    </row>
    <row r="287" spans="12:23" x14ac:dyDescent="0.35">
      <c r="L287" s="272"/>
      <c r="W287" s="262"/>
    </row>
    <row r="288" spans="12:23" x14ac:dyDescent="0.35">
      <c r="L288" s="272"/>
      <c r="W288" s="262"/>
    </row>
    <row r="289" spans="12:23" x14ac:dyDescent="0.35">
      <c r="L289" s="272"/>
      <c r="W289" s="262"/>
    </row>
    <row r="290" spans="12:23" x14ac:dyDescent="0.35">
      <c r="L290" s="272"/>
      <c r="W290" s="262"/>
    </row>
    <row r="291" spans="12:23" x14ac:dyDescent="0.35">
      <c r="L291" s="272"/>
      <c r="W291" s="262"/>
    </row>
    <row r="292" spans="12:23" x14ac:dyDescent="0.35">
      <c r="L292" s="272"/>
      <c r="W292" s="262"/>
    </row>
    <row r="293" spans="12:23" x14ac:dyDescent="0.35">
      <c r="L293" s="272"/>
      <c r="W293" s="262"/>
    </row>
    <row r="294" spans="12:23" x14ac:dyDescent="0.35">
      <c r="L294" s="272"/>
      <c r="W294" s="262"/>
    </row>
    <row r="295" spans="12:23" x14ac:dyDescent="0.35">
      <c r="L295" s="272"/>
      <c r="W295" s="262"/>
    </row>
    <row r="296" spans="12:23" x14ac:dyDescent="0.35">
      <c r="L296" s="272"/>
      <c r="W296" s="262"/>
    </row>
    <row r="297" spans="12:23" x14ac:dyDescent="0.35">
      <c r="L297" s="272"/>
      <c r="W297" s="262"/>
    </row>
    <row r="298" spans="12:23" x14ac:dyDescent="0.35">
      <c r="L298" s="272"/>
      <c r="W298" s="262"/>
    </row>
    <row r="299" spans="12:23" x14ac:dyDescent="0.35">
      <c r="L299" s="272"/>
      <c r="W299" s="262"/>
    </row>
    <row r="300" spans="12:23" x14ac:dyDescent="0.35">
      <c r="L300" s="272"/>
      <c r="W300" s="262"/>
    </row>
    <row r="301" spans="12:23" x14ac:dyDescent="0.35">
      <c r="L301" s="272"/>
      <c r="W301" s="262"/>
    </row>
    <row r="302" spans="12:23" x14ac:dyDescent="0.35">
      <c r="L302" s="272"/>
      <c r="W302" s="262"/>
    </row>
    <row r="303" spans="12:23" x14ac:dyDescent="0.35">
      <c r="L303" s="272"/>
      <c r="W303" s="262"/>
    </row>
    <row r="304" spans="12:23" x14ac:dyDescent="0.35">
      <c r="L304" s="272"/>
      <c r="W304" s="262"/>
    </row>
    <row r="305" spans="12:23" x14ac:dyDescent="0.35">
      <c r="L305" s="272"/>
      <c r="W305" s="262"/>
    </row>
    <row r="306" spans="12:23" x14ac:dyDescent="0.35">
      <c r="L306" s="272"/>
      <c r="W306" s="262"/>
    </row>
    <row r="307" spans="12:23" x14ac:dyDescent="0.35">
      <c r="L307" s="272"/>
      <c r="W307" s="262"/>
    </row>
    <row r="308" spans="12:23" x14ac:dyDescent="0.35">
      <c r="L308" s="272"/>
      <c r="W308" s="262"/>
    </row>
    <row r="309" spans="12:23" x14ac:dyDescent="0.35">
      <c r="L309" s="272"/>
      <c r="W309" s="262"/>
    </row>
    <row r="310" spans="12:23" x14ac:dyDescent="0.35">
      <c r="L310" s="272"/>
      <c r="W310" s="262"/>
    </row>
    <row r="311" spans="12:23" x14ac:dyDescent="0.35">
      <c r="L311" s="272"/>
      <c r="W311" s="262"/>
    </row>
    <row r="312" spans="12:23" x14ac:dyDescent="0.35">
      <c r="L312" s="272"/>
      <c r="W312" s="262"/>
    </row>
    <row r="313" spans="12:23" x14ac:dyDescent="0.35">
      <c r="L313" s="272"/>
      <c r="W313" s="262"/>
    </row>
    <row r="314" spans="12:23" x14ac:dyDescent="0.35">
      <c r="L314" s="272"/>
      <c r="W314" s="262"/>
    </row>
    <row r="315" spans="12:23" x14ac:dyDescent="0.35">
      <c r="L315" s="272"/>
      <c r="W315" s="262"/>
    </row>
    <row r="316" spans="12:23" x14ac:dyDescent="0.35">
      <c r="L316" s="272"/>
      <c r="W316" s="262"/>
    </row>
    <row r="317" spans="12:23" x14ac:dyDescent="0.35">
      <c r="L317" s="272"/>
      <c r="W317" s="262"/>
    </row>
    <row r="318" spans="12:23" x14ac:dyDescent="0.35">
      <c r="L318" s="272"/>
      <c r="W318" s="262"/>
    </row>
    <row r="319" spans="12:23" x14ac:dyDescent="0.35">
      <c r="L319" s="272"/>
      <c r="W319" s="262"/>
    </row>
    <row r="320" spans="12:23" x14ac:dyDescent="0.35">
      <c r="L320" s="272"/>
      <c r="W320" s="262"/>
    </row>
    <row r="321" spans="12:23" x14ac:dyDescent="0.35">
      <c r="L321" s="272"/>
      <c r="W321" s="262"/>
    </row>
    <row r="322" spans="12:23" x14ac:dyDescent="0.35">
      <c r="L322" s="272"/>
      <c r="W322" s="262"/>
    </row>
    <row r="323" spans="12:23" x14ac:dyDescent="0.35">
      <c r="L323" s="272"/>
      <c r="W323" s="262"/>
    </row>
    <row r="324" spans="12:23" x14ac:dyDescent="0.35">
      <c r="L324" s="272"/>
      <c r="W324" s="262"/>
    </row>
    <row r="325" spans="12:23" x14ac:dyDescent="0.35">
      <c r="L325" s="272"/>
      <c r="W325" s="262"/>
    </row>
    <row r="326" spans="12:23" x14ac:dyDescent="0.35">
      <c r="L326" s="272"/>
      <c r="W326" s="262"/>
    </row>
    <row r="327" spans="12:23" x14ac:dyDescent="0.35">
      <c r="L327" s="272"/>
      <c r="W327" s="262"/>
    </row>
    <row r="328" spans="12:23" x14ac:dyDescent="0.35">
      <c r="L328" s="272"/>
      <c r="W328" s="262"/>
    </row>
    <row r="329" spans="12:23" x14ac:dyDescent="0.35">
      <c r="L329" s="272"/>
      <c r="W329" s="262"/>
    </row>
    <row r="330" spans="12:23" x14ac:dyDescent="0.35">
      <c r="L330" s="272"/>
      <c r="W330" s="262"/>
    </row>
    <row r="331" spans="12:23" x14ac:dyDescent="0.35">
      <c r="L331" s="272"/>
      <c r="W331" s="262"/>
    </row>
    <row r="332" spans="12:23" x14ac:dyDescent="0.35">
      <c r="L332" s="272"/>
      <c r="W332" s="262"/>
    </row>
    <row r="333" spans="12:23" x14ac:dyDescent="0.35">
      <c r="L333" s="272"/>
      <c r="W333" s="262"/>
    </row>
    <row r="334" spans="12:23" x14ac:dyDescent="0.35">
      <c r="L334" s="272"/>
      <c r="W334" s="262"/>
    </row>
    <row r="335" spans="12:23" x14ac:dyDescent="0.35">
      <c r="L335" s="272"/>
      <c r="W335" s="262"/>
    </row>
    <row r="336" spans="12:23" x14ac:dyDescent="0.35">
      <c r="L336" s="272"/>
      <c r="W336" s="262"/>
    </row>
    <row r="337" spans="12:23" x14ac:dyDescent="0.35">
      <c r="L337" s="272"/>
      <c r="W337" s="262"/>
    </row>
    <row r="338" spans="12:23" x14ac:dyDescent="0.35">
      <c r="L338" s="272"/>
      <c r="W338" s="262"/>
    </row>
    <row r="339" spans="12:23" x14ac:dyDescent="0.35">
      <c r="L339" s="272"/>
      <c r="W339" s="262"/>
    </row>
    <row r="340" spans="12:23" x14ac:dyDescent="0.35">
      <c r="L340" s="272"/>
      <c r="W340" s="262"/>
    </row>
    <row r="341" spans="12:23" x14ac:dyDescent="0.35">
      <c r="L341" s="272"/>
      <c r="W341" s="262"/>
    </row>
    <row r="342" spans="12:23" x14ac:dyDescent="0.35">
      <c r="L342" s="272"/>
      <c r="W342" s="262"/>
    </row>
    <row r="343" spans="12:23" x14ac:dyDescent="0.35">
      <c r="L343" s="272"/>
      <c r="W343" s="262"/>
    </row>
    <row r="344" spans="12:23" x14ac:dyDescent="0.35">
      <c r="L344" s="272"/>
      <c r="W344" s="262"/>
    </row>
    <row r="345" spans="12:23" x14ac:dyDescent="0.35">
      <c r="L345" s="272"/>
      <c r="W345" s="262"/>
    </row>
    <row r="346" spans="12:23" x14ac:dyDescent="0.35">
      <c r="L346" s="272"/>
      <c r="W346" s="262"/>
    </row>
    <row r="347" spans="12:23" x14ac:dyDescent="0.35">
      <c r="L347" s="272"/>
      <c r="W347" s="262"/>
    </row>
    <row r="348" spans="12:23" x14ac:dyDescent="0.35">
      <c r="L348" s="272"/>
      <c r="W348" s="262"/>
    </row>
    <row r="349" spans="12:23" x14ac:dyDescent="0.35">
      <c r="L349" s="272"/>
      <c r="W349" s="262"/>
    </row>
    <row r="350" spans="12:23" x14ac:dyDescent="0.35">
      <c r="L350" s="272"/>
      <c r="W350" s="262"/>
    </row>
    <row r="351" spans="12:23" x14ac:dyDescent="0.35">
      <c r="L351" s="272"/>
      <c r="W351" s="262"/>
    </row>
    <row r="352" spans="12:23" x14ac:dyDescent="0.35">
      <c r="L352" s="272"/>
      <c r="W352" s="262"/>
    </row>
    <row r="353" spans="12:23" x14ac:dyDescent="0.35">
      <c r="L353" s="272"/>
      <c r="W353" s="262"/>
    </row>
    <row r="354" spans="12:23" x14ac:dyDescent="0.35">
      <c r="L354" s="272"/>
      <c r="W354" s="262"/>
    </row>
    <row r="355" spans="12:23" x14ac:dyDescent="0.35">
      <c r="L355" s="272"/>
      <c r="W355" s="262"/>
    </row>
    <row r="356" spans="12:23" x14ac:dyDescent="0.35">
      <c r="L356" s="272"/>
      <c r="W356" s="262"/>
    </row>
    <row r="357" spans="12:23" x14ac:dyDescent="0.35">
      <c r="L357" s="272"/>
      <c r="W357" s="262"/>
    </row>
    <row r="358" spans="12:23" x14ac:dyDescent="0.35">
      <c r="L358" s="272"/>
      <c r="W358" s="262"/>
    </row>
    <row r="359" spans="12:23" x14ac:dyDescent="0.35">
      <c r="L359" s="272"/>
      <c r="W359" s="262"/>
    </row>
    <row r="360" spans="12:23" x14ac:dyDescent="0.35">
      <c r="L360" s="272"/>
      <c r="W360" s="262"/>
    </row>
    <row r="361" spans="12:23" x14ac:dyDescent="0.35">
      <c r="L361" s="272"/>
      <c r="W361" s="262"/>
    </row>
    <row r="362" spans="12:23" x14ac:dyDescent="0.35">
      <c r="L362" s="272"/>
      <c r="W362" s="262"/>
    </row>
    <row r="363" spans="12:23" x14ac:dyDescent="0.35">
      <c r="L363" s="272"/>
      <c r="W363" s="262"/>
    </row>
    <row r="364" spans="12:23" x14ac:dyDescent="0.35">
      <c r="L364" s="272"/>
      <c r="W364" s="262"/>
    </row>
    <row r="365" spans="12:23" x14ac:dyDescent="0.35">
      <c r="L365" s="272"/>
      <c r="W365" s="262"/>
    </row>
    <row r="366" spans="12:23" x14ac:dyDescent="0.35">
      <c r="L366" s="272"/>
      <c r="W366" s="262"/>
    </row>
    <row r="367" spans="12:23" x14ac:dyDescent="0.35">
      <c r="L367" s="272"/>
      <c r="W367" s="262"/>
    </row>
    <row r="368" spans="12:23" x14ac:dyDescent="0.35">
      <c r="L368" s="272"/>
      <c r="W368" s="262"/>
    </row>
    <row r="369" spans="12:23" x14ac:dyDescent="0.35">
      <c r="L369" s="272"/>
      <c r="W369" s="262"/>
    </row>
    <row r="370" spans="12:23" x14ac:dyDescent="0.35">
      <c r="L370" s="272"/>
      <c r="W370" s="262"/>
    </row>
    <row r="371" spans="12:23" x14ac:dyDescent="0.35">
      <c r="L371" s="272"/>
      <c r="W371" s="262"/>
    </row>
    <row r="372" spans="12:23" x14ac:dyDescent="0.35">
      <c r="L372" s="272"/>
      <c r="W372" s="262"/>
    </row>
    <row r="373" spans="12:23" x14ac:dyDescent="0.35">
      <c r="L373" s="272"/>
      <c r="W373" s="262"/>
    </row>
    <row r="374" spans="12:23" x14ac:dyDescent="0.35">
      <c r="L374" s="272"/>
      <c r="W374" s="262"/>
    </row>
    <row r="375" spans="12:23" x14ac:dyDescent="0.35">
      <c r="L375" s="272"/>
      <c r="W375" s="262"/>
    </row>
    <row r="376" spans="12:23" x14ac:dyDescent="0.35">
      <c r="L376" s="272"/>
      <c r="W376" s="262"/>
    </row>
    <row r="377" spans="12:23" x14ac:dyDescent="0.35">
      <c r="L377" s="272"/>
      <c r="W377" s="262"/>
    </row>
    <row r="378" spans="12:23" x14ac:dyDescent="0.35">
      <c r="L378" s="272"/>
      <c r="W378" s="262"/>
    </row>
    <row r="379" spans="12:23" x14ac:dyDescent="0.35">
      <c r="L379" s="272"/>
      <c r="W379" s="262"/>
    </row>
    <row r="380" spans="12:23" x14ac:dyDescent="0.35">
      <c r="L380" s="272"/>
      <c r="W380" s="262"/>
    </row>
    <row r="381" spans="12:23" x14ac:dyDescent="0.35">
      <c r="L381" s="272"/>
      <c r="W381" s="262"/>
    </row>
    <row r="382" spans="12:23" x14ac:dyDescent="0.35">
      <c r="L382" s="272"/>
      <c r="W382" s="262"/>
    </row>
    <row r="383" spans="12:23" x14ac:dyDescent="0.35">
      <c r="L383" s="272"/>
      <c r="W383" s="262"/>
    </row>
    <row r="384" spans="12:23" x14ac:dyDescent="0.35">
      <c r="L384" s="272"/>
      <c r="W384" s="262"/>
    </row>
    <row r="385" spans="12:23" x14ac:dyDescent="0.35">
      <c r="L385" s="272"/>
      <c r="W385" s="262"/>
    </row>
    <row r="386" spans="12:23" x14ac:dyDescent="0.35">
      <c r="L386" s="272"/>
      <c r="W386" s="262"/>
    </row>
    <row r="387" spans="12:23" x14ac:dyDescent="0.35">
      <c r="L387" s="272"/>
      <c r="W387" s="262"/>
    </row>
    <row r="388" spans="12:23" x14ac:dyDescent="0.35">
      <c r="L388" s="272"/>
      <c r="W388" s="262"/>
    </row>
    <row r="389" spans="12:23" x14ac:dyDescent="0.35">
      <c r="L389" s="272"/>
      <c r="W389" s="262"/>
    </row>
    <row r="390" spans="12:23" x14ac:dyDescent="0.35">
      <c r="L390" s="272"/>
      <c r="W390" s="262"/>
    </row>
    <row r="391" spans="12:23" x14ac:dyDescent="0.35">
      <c r="L391" s="272"/>
      <c r="W391" s="262"/>
    </row>
    <row r="392" spans="12:23" x14ac:dyDescent="0.35">
      <c r="L392" s="272"/>
      <c r="W392" s="262"/>
    </row>
    <row r="393" spans="12:23" x14ac:dyDescent="0.35">
      <c r="L393" s="272"/>
      <c r="W393" s="262"/>
    </row>
    <row r="394" spans="12:23" x14ac:dyDescent="0.35">
      <c r="L394" s="272"/>
      <c r="W394" s="262"/>
    </row>
    <row r="395" spans="12:23" x14ac:dyDescent="0.35">
      <c r="L395" s="272"/>
      <c r="W395" s="262"/>
    </row>
    <row r="396" spans="12:23" x14ac:dyDescent="0.35">
      <c r="L396" s="272"/>
      <c r="W396" s="262"/>
    </row>
    <row r="397" spans="12:23" x14ac:dyDescent="0.35">
      <c r="L397" s="272"/>
      <c r="W397" s="262"/>
    </row>
    <row r="398" spans="12:23" x14ac:dyDescent="0.35">
      <c r="L398" s="272"/>
      <c r="W398" s="262"/>
    </row>
    <row r="399" spans="12:23" x14ac:dyDescent="0.35">
      <c r="L399" s="272"/>
      <c r="W399" s="262"/>
    </row>
    <row r="400" spans="12:23" x14ac:dyDescent="0.35">
      <c r="L400" s="272"/>
      <c r="W400" s="262"/>
    </row>
    <row r="401" spans="12:23" x14ac:dyDescent="0.35">
      <c r="L401" s="272"/>
      <c r="W401" s="262"/>
    </row>
    <row r="402" spans="12:23" x14ac:dyDescent="0.35">
      <c r="L402" s="272"/>
      <c r="W402" s="262"/>
    </row>
    <row r="403" spans="12:23" x14ac:dyDescent="0.35">
      <c r="L403" s="272"/>
      <c r="W403" s="262"/>
    </row>
    <row r="404" spans="12:23" x14ac:dyDescent="0.35">
      <c r="L404" s="272"/>
      <c r="W404" s="262"/>
    </row>
    <row r="405" spans="12:23" x14ac:dyDescent="0.35">
      <c r="L405" s="272"/>
      <c r="W405" s="262"/>
    </row>
    <row r="406" spans="12:23" x14ac:dyDescent="0.35">
      <c r="L406" s="272"/>
      <c r="W406" s="262"/>
    </row>
    <row r="407" spans="12:23" x14ac:dyDescent="0.35">
      <c r="L407" s="272"/>
      <c r="W407" s="262"/>
    </row>
    <row r="408" spans="12:23" x14ac:dyDescent="0.35">
      <c r="L408" s="272"/>
      <c r="W408" s="262"/>
    </row>
    <row r="409" spans="12:23" x14ac:dyDescent="0.35">
      <c r="L409" s="272"/>
      <c r="W409" s="262"/>
    </row>
    <row r="410" spans="12:23" x14ac:dyDescent="0.35">
      <c r="L410" s="272"/>
      <c r="W410" s="262"/>
    </row>
    <row r="411" spans="12:23" x14ac:dyDescent="0.35">
      <c r="L411" s="272"/>
      <c r="W411" s="262"/>
    </row>
    <row r="412" spans="12:23" x14ac:dyDescent="0.35">
      <c r="L412" s="272"/>
      <c r="W412" s="262"/>
    </row>
    <row r="413" spans="12:23" x14ac:dyDescent="0.35">
      <c r="L413" s="272"/>
      <c r="W413" s="262"/>
    </row>
    <row r="414" spans="12:23" x14ac:dyDescent="0.35">
      <c r="L414" s="272"/>
      <c r="W414" s="262"/>
    </row>
    <row r="415" spans="12:23" x14ac:dyDescent="0.35">
      <c r="L415" s="272"/>
      <c r="W415" s="262"/>
    </row>
    <row r="416" spans="12:23" x14ac:dyDescent="0.35">
      <c r="L416" s="272"/>
      <c r="W416" s="262"/>
    </row>
    <row r="417" spans="12:23" x14ac:dyDescent="0.35">
      <c r="L417" s="272"/>
      <c r="W417" s="262"/>
    </row>
    <row r="418" spans="12:23" x14ac:dyDescent="0.35">
      <c r="L418" s="272"/>
      <c r="W418" s="262"/>
    </row>
    <row r="419" spans="12:23" x14ac:dyDescent="0.35">
      <c r="L419" s="272"/>
      <c r="W419" s="262"/>
    </row>
    <row r="420" spans="12:23" x14ac:dyDescent="0.35">
      <c r="L420" s="272"/>
      <c r="W420" s="262"/>
    </row>
    <row r="421" spans="12:23" x14ac:dyDescent="0.35">
      <c r="L421" s="272"/>
      <c r="W421" s="262"/>
    </row>
    <row r="422" spans="12:23" x14ac:dyDescent="0.35">
      <c r="L422" s="272"/>
      <c r="W422" s="262"/>
    </row>
    <row r="423" spans="12:23" x14ac:dyDescent="0.35">
      <c r="L423" s="272"/>
      <c r="W423" s="262"/>
    </row>
    <row r="424" spans="12:23" x14ac:dyDescent="0.35">
      <c r="L424" s="272"/>
      <c r="W424" s="262"/>
    </row>
    <row r="425" spans="12:23" x14ac:dyDescent="0.35">
      <c r="L425" s="272"/>
      <c r="W425" s="262"/>
    </row>
    <row r="426" spans="12:23" x14ac:dyDescent="0.35">
      <c r="L426" s="272"/>
      <c r="W426" s="262"/>
    </row>
    <row r="427" spans="12:23" x14ac:dyDescent="0.35">
      <c r="L427" s="272"/>
      <c r="W427" s="262"/>
    </row>
    <row r="428" spans="12:23" x14ac:dyDescent="0.35">
      <c r="L428" s="272"/>
      <c r="W428" s="262"/>
    </row>
    <row r="429" spans="12:23" x14ac:dyDescent="0.35">
      <c r="L429" s="272"/>
      <c r="W429" s="262"/>
    </row>
    <row r="430" spans="12:23" x14ac:dyDescent="0.35">
      <c r="L430" s="272"/>
      <c r="W430" s="262"/>
    </row>
    <row r="431" spans="12:23" x14ac:dyDescent="0.35">
      <c r="L431" s="272"/>
      <c r="W431" s="262"/>
    </row>
    <row r="432" spans="12:23" x14ac:dyDescent="0.35">
      <c r="L432" s="272"/>
      <c r="W432" s="262"/>
    </row>
    <row r="433" spans="12:23" x14ac:dyDescent="0.35">
      <c r="L433" s="272"/>
      <c r="W433" s="262"/>
    </row>
    <row r="434" spans="12:23" x14ac:dyDescent="0.35">
      <c r="L434" s="272"/>
      <c r="W434" s="262"/>
    </row>
    <row r="435" spans="12:23" x14ac:dyDescent="0.35">
      <c r="L435" s="272"/>
      <c r="W435" s="262"/>
    </row>
    <row r="436" spans="12:23" x14ac:dyDescent="0.35">
      <c r="L436" s="272"/>
      <c r="W436" s="262"/>
    </row>
    <row r="437" spans="12:23" x14ac:dyDescent="0.35">
      <c r="L437" s="272"/>
      <c r="W437" s="262"/>
    </row>
    <row r="438" spans="12:23" x14ac:dyDescent="0.35">
      <c r="L438" s="272"/>
      <c r="W438" s="262"/>
    </row>
    <row r="439" spans="12:23" x14ac:dyDescent="0.35">
      <c r="L439" s="272"/>
      <c r="W439" s="262"/>
    </row>
    <row r="440" spans="12:23" x14ac:dyDescent="0.35">
      <c r="L440" s="272"/>
      <c r="W440" s="262"/>
    </row>
    <row r="441" spans="12:23" x14ac:dyDescent="0.35">
      <c r="L441" s="272"/>
      <c r="W441" s="262"/>
    </row>
    <row r="442" spans="12:23" x14ac:dyDescent="0.35">
      <c r="L442" s="272"/>
      <c r="W442" s="262"/>
    </row>
    <row r="443" spans="12:23" x14ac:dyDescent="0.35">
      <c r="L443" s="272"/>
      <c r="W443" s="262"/>
    </row>
    <row r="444" spans="12:23" x14ac:dyDescent="0.35">
      <c r="L444" s="272"/>
      <c r="W444" s="262"/>
    </row>
    <row r="445" spans="12:23" x14ac:dyDescent="0.35">
      <c r="L445" s="272"/>
      <c r="W445" s="262"/>
    </row>
    <row r="446" spans="12:23" x14ac:dyDescent="0.35">
      <c r="L446" s="272"/>
      <c r="W446" s="262"/>
    </row>
    <row r="447" spans="12:23" x14ac:dyDescent="0.35">
      <c r="L447" s="272"/>
      <c r="W447" s="262"/>
    </row>
    <row r="448" spans="12:23" x14ac:dyDescent="0.35">
      <c r="L448" s="272"/>
      <c r="W448" s="262"/>
    </row>
    <row r="449" spans="12:23" x14ac:dyDescent="0.35">
      <c r="L449" s="272"/>
      <c r="W449" s="262"/>
    </row>
    <row r="450" spans="12:23" x14ac:dyDescent="0.35">
      <c r="L450" s="272"/>
      <c r="W450" s="262"/>
    </row>
    <row r="451" spans="12:23" x14ac:dyDescent="0.35">
      <c r="L451" s="272"/>
      <c r="W451" s="262"/>
    </row>
    <row r="452" spans="12:23" x14ac:dyDescent="0.35">
      <c r="L452" s="272"/>
      <c r="W452" s="262"/>
    </row>
    <row r="453" spans="12:23" x14ac:dyDescent="0.35">
      <c r="L453" s="272"/>
      <c r="W453" s="262"/>
    </row>
    <row r="454" spans="12:23" x14ac:dyDescent="0.35">
      <c r="L454" s="272"/>
      <c r="W454" s="262"/>
    </row>
    <row r="455" spans="12:23" x14ac:dyDescent="0.35">
      <c r="L455" s="272"/>
      <c r="W455" s="262"/>
    </row>
    <row r="456" spans="12:23" x14ac:dyDescent="0.35">
      <c r="L456" s="272"/>
      <c r="W456" s="262"/>
    </row>
    <row r="457" spans="12:23" x14ac:dyDescent="0.35">
      <c r="L457" s="272"/>
      <c r="W457" s="262"/>
    </row>
    <row r="458" spans="12:23" x14ac:dyDescent="0.35">
      <c r="L458" s="272"/>
      <c r="W458" s="262"/>
    </row>
    <row r="459" spans="12:23" x14ac:dyDescent="0.35">
      <c r="L459" s="272"/>
      <c r="W459" s="262"/>
    </row>
    <row r="460" spans="12:23" x14ac:dyDescent="0.35">
      <c r="L460" s="272"/>
      <c r="W460" s="262"/>
    </row>
    <row r="461" spans="12:23" x14ac:dyDescent="0.35">
      <c r="L461" s="272"/>
      <c r="W461" s="262"/>
    </row>
    <row r="462" spans="12:23" x14ac:dyDescent="0.35">
      <c r="L462" s="272"/>
      <c r="W462" s="262"/>
    </row>
    <row r="463" spans="12:23" x14ac:dyDescent="0.35">
      <c r="L463" s="272"/>
      <c r="W463" s="262"/>
    </row>
    <row r="464" spans="12:23" x14ac:dyDescent="0.35">
      <c r="L464" s="272"/>
      <c r="W464" s="262"/>
    </row>
    <row r="465" spans="12:23" x14ac:dyDescent="0.35">
      <c r="L465" s="272"/>
      <c r="W465" s="262"/>
    </row>
    <row r="466" spans="12:23" x14ac:dyDescent="0.35">
      <c r="L466" s="272"/>
      <c r="W466" s="262"/>
    </row>
    <row r="467" spans="12:23" x14ac:dyDescent="0.35">
      <c r="L467" s="272"/>
      <c r="W467" s="262"/>
    </row>
    <row r="468" spans="12:23" x14ac:dyDescent="0.35">
      <c r="L468" s="272"/>
      <c r="W468" s="262"/>
    </row>
    <row r="469" spans="12:23" x14ac:dyDescent="0.35">
      <c r="L469" s="272"/>
      <c r="W469" s="262"/>
    </row>
    <row r="470" spans="12:23" x14ac:dyDescent="0.35">
      <c r="L470" s="272"/>
      <c r="W470" s="262"/>
    </row>
    <row r="471" spans="12:23" x14ac:dyDescent="0.35">
      <c r="L471" s="272"/>
      <c r="W471" s="262"/>
    </row>
    <row r="472" spans="12:23" x14ac:dyDescent="0.35">
      <c r="L472" s="272"/>
      <c r="W472" s="262"/>
    </row>
    <row r="473" spans="12:23" x14ac:dyDescent="0.35">
      <c r="L473" s="272"/>
      <c r="W473" s="262"/>
    </row>
    <row r="474" spans="12:23" x14ac:dyDescent="0.35">
      <c r="L474" s="272"/>
      <c r="W474" s="262"/>
    </row>
    <row r="475" spans="12:23" x14ac:dyDescent="0.35">
      <c r="L475" s="272"/>
      <c r="W475" s="262"/>
    </row>
    <row r="476" spans="12:23" x14ac:dyDescent="0.35">
      <c r="L476" s="272"/>
      <c r="W476" s="262"/>
    </row>
    <row r="477" spans="12:23" x14ac:dyDescent="0.35">
      <c r="L477" s="272"/>
      <c r="W477" s="262"/>
    </row>
    <row r="478" spans="12:23" x14ac:dyDescent="0.35">
      <c r="L478" s="272"/>
      <c r="W478" s="262"/>
    </row>
    <row r="479" spans="12:23" x14ac:dyDescent="0.35">
      <c r="L479" s="272"/>
      <c r="W479" s="262"/>
    </row>
    <row r="480" spans="12:23" x14ac:dyDescent="0.35">
      <c r="L480" s="272"/>
      <c r="W480" s="262"/>
    </row>
    <row r="481" spans="12:23" x14ac:dyDescent="0.35">
      <c r="L481" s="272"/>
      <c r="W481" s="262"/>
    </row>
    <row r="482" spans="12:23" x14ac:dyDescent="0.35">
      <c r="L482" s="272"/>
      <c r="W482" s="262"/>
    </row>
    <row r="483" spans="12:23" x14ac:dyDescent="0.35">
      <c r="L483" s="272"/>
      <c r="W483" s="262"/>
    </row>
    <row r="484" spans="12:23" x14ac:dyDescent="0.35">
      <c r="L484" s="272"/>
      <c r="W484" s="262"/>
    </row>
    <row r="485" spans="12:23" x14ac:dyDescent="0.35">
      <c r="L485" s="272"/>
      <c r="W485" s="262"/>
    </row>
    <row r="486" spans="12:23" x14ac:dyDescent="0.35">
      <c r="L486" s="272"/>
      <c r="W486" s="262"/>
    </row>
    <row r="487" spans="12:23" x14ac:dyDescent="0.35">
      <c r="L487" s="272"/>
      <c r="W487" s="262"/>
    </row>
    <row r="488" spans="12:23" x14ac:dyDescent="0.35">
      <c r="L488" s="272"/>
      <c r="W488" s="262"/>
    </row>
    <row r="489" spans="12:23" x14ac:dyDescent="0.35">
      <c r="L489" s="272"/>
      <c r="W489" s="262"/>
    </row>
    <row r="490" spans="12:23" x14ac:dyDescent="0.35">
      <c r="L490" s="272"/>
      <c r="W490" s="262"/>
    </row>
    <row r="491" spans="12:23" x14ac:dyDescent="0.35">
      <c r="L491" s="272"/>
      <c r="W491" s="262"/>
    </row>
    <row r="492" spans="12:23" x14ac:dyDescent="0.35">
      <c r="L492" s="272"/>
      <c r="W492" s="262"/>
    </row>
    <row r="493" spans="12:23" x14ac:dyDescent="0.35">
      <c r="L493" s="272"/>
      <c r="W493" s="262"/>
    </row>
    <row r="494" spans="12:23" x14ac:dyDescent="0.35">
      <c r="L494" s="272"/>
      <c r="W494" s="262"/>
    </row>
    <row r="495" spans="12:23" x14ac:dyDescent="0.35">
      <c r="L495" s="272"/>
      <c r="W495" s="262"/>
    </row>
    <row r="496" spans="12:23" x14ac:dyDescent="0.35">
      <c r="L496" s="272"/>
      <c r="W496" s="262"/>
    </row>
    <row r="497" spans="12:25" x14ac:dyDescent="0.35">
      <c r="L497" s="272"/>
      <c r="W497" s="262"/>
    </row>
    <row r="498" spans="12:25" x14ac:dyDescent="0.35">
      <c r="L498" s="272"/>
      <c r="W498" s="262"/>
    </row>
    <row r="499" spans="12:25" x14ac:dyDescent="0.35">
      <c r="L499" s="272"/>
      <c r="W499" s="262"/>
    </row>
    <row r="500" spans="12:25" x14ac:dyDescent="0.35">
      <c r="L500" s="272"/>
      <c r="W500" s="262"/>
      <c r="Y500" s="462" t="s">
        <v>827</v>
      </c>
    </row>
    <row r="501" spans="12:25" x14ac:dyDescent="0.35">
      <c r="L501" s="272"/>
      <c r="W501" s="262"/>
    </row>
    <row r="502" spans="12:25" x14ac:dyDescent="0.35">
      <c r="L502" s="272"/>
      <c r="W502" s="262"/>
    </row>
    <row r="503" spans="12:25" x14ac:dyDescent="0.35">
      <c r="L503" s="272"/>
      <c r="W503" s="262"/>
    </row>
    <row r="504" spans="12:25" x14ac:dyDescent="0.35">
      <c r="L504" s="272"/>
      <c r="W504" s="262"/>
    </row>
    <row r="505" spans="12:25" x14ac:dyDescent="0.35">
      <c r="L505" s="272"/>
      <c r="W505" s="262"/>
    </row>
    <row r="506" spans="12:25" x14ac:dyDescent="0.35">
      <c r="L506" s="272"/>
      <c r="W506" s="262"/>
    </row>
    <row r="507" spans="12:25" x14ac:dyDescent="0.35">
      <c r="L507" s="272"/>
      <c r="W507" s="262"/>
    </row>
    <row r="508" spans="12:25" x14ac:dyDescent="0.35">
      <c r="L508" s="272"/>
      <c r="W508" s="262"/>
    </row>
    <row r="509" spans="12:25" x14ac:dyDescent="0.35">
      <c r="L509" s="272"/>
      <c r="W509" s="262"/>
    </row>
    <row r="510" spans="12:25" x14ac:dyDescent="0.35">
      <c r="L510" s="272"/>
      <c r="W510" s="262"/>
    </row>
    <row r="511" spans="12:25" x14ac:dyDescent="0.35">
      <c r="L511" s="272"/>
      <c r="W511" s="262"/>
    </row>
    <row r="512" spans="12:25" x14ac:dyDescent="0.35">
      <c r="L512" s="272"/>
      <c r="W512" s="262"/>
    </row>
    <row r="513" spans="12:23" x14ac:dyDescent="0.35">
      <c r="L513" s="272"/>
      <c r="W513" s="262"/>
    </row>
    <row r="514" spans="12:23" x14ac:dyDescent="0.35">
      <c r="L514" s="272"/>
      <c r="W514" s="262"/>
    </row>
    <row r="515" spans="12:23" x14ac:dyDescent="0.35">
      <c r="L515" s="272"/>
      <c r="W515" s="262"/>
    </row>
    <row r="516" spans="12:23" x14ac:dyDescent="0.35">
      <c r="L516" s="272"/>
      <c r="W516" s="262"/>
    </row>
    <row r="517" spans="12:23" x14ac:dyDescent="0.35">
      <c r="L517" s="272"/>
      <c r="W517" s="262"/>
    </row>
    <row r="518" spans="12:23" x14ac:dyDescent="0.35">
      <c r="L518" s="272"/>
      <c r="W518" s="262"/>
    </row>
    <row r="519" spans="12:23" x14ac:dyDescent="0.35">
      <c r="L519" s="272"/>
      <c r="W519" s="262"/>
    </row>
    <row r="520" spans="12:23" x14ac:dyDescent="0.35">
      <c r="L520" s="272"/>
      <c r="W520" s="262"/>
    </row>
    <row r="521" spans="12:23" x14ac:dyDescent="0.35">
      <c r="L521" s="272"/>
      <c r="W521" s="262"/>
    </row>
    <row r="522" spans="12:23" x14ac:dyDescent="0.35">
      <c r="L522" s="272"/>
      <c r="W522" s="262"/>
    </row>
    <row r="523" spans="12:23" x14ac:dyDescent="0.35">
      <c r="L523" s="272"/>
      <c r="W523" s="262"/>
    </row>
    <row r="524" spans="12:23" x14ac:dyDescent="0.35">
      <c r="L524" s="272"/>
      <c r="W524" s="262"/>
    </row>
    <row r="525" spans="12:23" x14ac:dyDescent="0.35">
      <c r="L525" s="272"/>
      <c r="W525" s="262"/>
    </row>
    <row r="526" spans="12:23" x14ac:dyDescent="0.35">
      <c r="L526" s="272"/>
      <c r="W526" s="262"/>
    </row>
    <row r="527" spans="12:23" x14ac:dyDescent="0.35">
      <c r="L527" s="272"/>
      <c r="W527" s="262"/>
    </row>
    <row r="528" spans="12:23" x14ac:dyDescent="0.35">
      <c r="L528" s="272"/>
      <c r="W528" s="262"/>
    </row>
    <row r="529" spans="12:23" x14ac:dyDescent="0.35">
      <c r="L529" s="272"/>
      <c r="W529" s="262"/>
    </row>
    <row r="530" spans="12:23" x14ac:dyDescent="0.35">
      <c r="L530" s="272"/>
      <c r="W530" s="262"/>
    </row>
    <row r="531" spans="12:23" x14ac:dyDescent="0.35">
      <c r="L531" s="272"/>
      <c r="W531" s="262"/>
    </row>
    <row r="532" spans="12:23" x14ac:dyDescent="0.35">
      <c r="L532" s="272"/>
      <c r="W532" s="262"/>
    </row>
    <row r="533" spans="12:23" x14ac:dyDescent="0.35">
      <c r="L533" s="272"/>
      <c r="W533" s="262"/>
    </row>
    <row r="534" spans="12:23" x14ac:dyDescent="0.35">
      <c r="L534" s="272"/>
      <c r="W534" s="262"/>
    </row>
    <row r="535" spans="12:23" x14ac:dyDescent="0.35">
      <c r="L535" s="272"/>
      <c r="W535" s="262"/>
    </row>
    <row r="536" spans="12:23" x14ac:dyDescent="0.35">
      <c r="L536" s="272"/>
      <c r="W536" s="262"/>
    </row>
    <row r="537" spans="12:23" x14ac:dyDescent="0.35">
      <c r="L537" s="272"/>
      <c r="W537" s="262"/>
    </row>
    <row r="538" spans="12:23" x14ac:dyDescent="0.35">
      <c r="L538" s="272"/>
      <c r="W538" s="262"/>
    </row>
    <row r="539" spans="12:23" x14ac:dyDescent="0.35">
      <c r="L539" s="272"/>
      <c r="W539" s="262"/>
    </row>
    <row r="540" spans="12:23" x14ac:dyDescent="0.35">
      <c r="L540" s="272"/>
      <c r="W540" s="262"/>
    </row>
    <row r="541" spans="12:23" x14ac:dyDescent="0.35">
      <c r="L541" s="272"/>
      <c r="W541" s="262"/>
    </row>
    <row r="542" spans="12:23" x14ac:dyDescent="0.35">
      <c r="L542" s="272"/>
      <c r="W542" s="262"/>
    </row>
    <row r="543" spans="12:23" x14ac:dyDescent="0.35">
      <c r="L543" s="272"/>
      <c r="W543" s="262"/>
    </row>
    <row r="544" spans="12:23" x14ac:dyDescent="0.35">
      <c r="L544" s="272"/>
      <c r="W544" s="262"/>
    </row>
    <row r="545" spans="12:23" x14ac:dyDescent="0.35">
      <c r="L545" s="272"/>
      <c r="W545" s="262"/>
    </row>
    <row r="546" spans="12:23" x14ac:dyDescent="0.35">
      <c r="L546" s="272"/>
      <c r="W546" s="262"/>
    </row>
    <row r="547" spans="12:23" x14ac:dyDescent="0.35">
      <c r="L547" s="272"/>
      <c r="W547" s="262"/>
    </row>
    <row r="548" spans="12:23" x14ac:dyDescent="0.35">
      <c r="L548" s="272"/>
      <c r="W548" s="262"/>
    </row>
    <row r="549" spans="12:23" x14ac:dyDescent="0.35">
      <c r="L549" s="272"/>
      <c r="W549" s="262"/>
    </row>
    <row r="550" spans="12:23" x14ac:dyDescent="0.35">
      <c r="L550" s="272"/>
      <c r="W550" s="262"/>
    </row>
    <row r="551" spans="12:23" x14ac:dyDescent="0.35">
      <c r="L551" s="272"/>
      <c r="W551" s="262"/>
    </row>
    <row r="552" spans="12:23" x14ac:dyDescent="0.35">
      <c r="L552" s="272"/>
      <c r="W552" s="262"/>
    </row>
    <row r="553" spans="12:23" x14ac:dyDescent="0.35">
      <c r="L553" s="272"/>
      <c r="W553" s="262"/>
    </row>
    <row r="554" spans="12:23" x14ac:dyDescent="0.35">
      <c r="L554" s="272"/>
      <c r="W554" s="262"/>
    </row>
    <row r="555" spans="12:23" x14ac:dyDescent="0.35">
      <c r="L555" s="272"/>
      <c r="W555" s="262"/>
    </row>
    <row r="556" spans="12:23" x14ac:dyDescent="0.35">
      <c r="L556" s="272"/>
      <c r="W556" s="262"/>
    </row>
    <row r="557" spans="12:23" x14ac:dyDescent="0.35">
      <c r="L557" s="272"/>
      <c r="W557" s="262"/>
    </row>
    <row r="558" spans="12:23" x14ac:dyDescent="0.35">
      <c r="L558" s="272"/>
      <c r="W558" s="262"/>
    </row>
    <row r="559" spans="12:23" x14ac:dyDescent="0.35">
      <c r="L559" s="272"/>
      <c r="W559" s="262"/>
    </row>
    <row r="560" spans="12:23" x14ac:dyDescent="0.35">
      <c r="L560" s="272"/>
      <c r="W560" s="262"/>
    </row>
    <row r="561" spans="12:23" x14ac:dyDescent="0.35">
      <c r="L561" s="272"/>
      <c r="W561" s="262"/>
    </row>
    <row r="562" spans="12:23" x14ac:dyDescent="0.35">
      <c r="L562" s="272"/>
      <c r="W562" s="262"/>
    </row>
    <row r="563" spans="12:23" x14ac:dyDescent="0.35">
      <c r="L563" s="272"/>
      <c r="W563" s="262"/>
    </row>
    <row r="564" spans="12:23" x14ac:dyDescent="0.35">
      <c r="L564" s="272"/>
      <c r="W564" s="262"/>
    </row>
    <row r="565" spans="12:23" x14ac:dyDescent="0.35">
      <c r="L565" s="272"/>
      <c r="W565" s="262"/>
    </row>
    <row r="566" spans="12:23" x14ac:dyDescent="0.35">
      <c r="L566" s="272"/>
      <c r="W566" s="262"/>
    </row>
    <row r="567" spans="12:23" x14ac:dyDescent="0.35">
      <c r="L567" s="272"/>
      <c r="W567" s="262"/>
    </row>
    <row r="568" spans="12:23" x14ac:dyDescent="0.35">
      <c r="L568" s="272"/>
      <c r="W568" s="262"/>
    </row>
    <row r="569" spans="12:23" x14ac:dyDescent="0.35">
      <c r="L569" s="272"/>
      <c r="W569" s="262"/>
    </row>
    <row r="570" spans="12:23" x14ac:dyDescent="0.35">
      <c r="L570" s="272"/>
      <c r="W570" s="262"/>
    </row>
    <row r="571" spans="12:23" x14ac:dyDescent="0.35">
      <c r="L571" s="272"/>
      <c r="W571" s="262"/>
    </row>
    <row r="572" spans="12:23" x14ac:dyDescent="0.35">
      <c r="L572" s="272"/>
      <c r="W572" s="262"/>
    </row>
    <row r="573" spans="12:23" x14ac:dyDescent="0.35">
      <c r="L573" s="272"/>
      <c r="W573" s="262"/>
    </row>
    <row r="574" spans="12:23" x14ac:dyDescent="0.35">
      <c r="L574" s="272"/>
      <c r="W574" s="262"/>
    </row>
    <row r="575" spans="12:23" x14ac:dyDescent="0.35">
      <c r="L575" s="272"/>
      <c r="W575" s="262"/>
    </row>
    <row r="576" spans="12:23" x14ac:dyDescent="0.35">
      <c r="L576" s="272"/>
      <c r="W576" s="262"/>
    </row>
    <row r="577" spans="12:23" x14ac:dyDescent="0.35">
      <c r="L577" s="272"/>
      <c r="W577" s="262"/>
    </row>
    <row r="578" spans="12:23" x14ac:dyDescent="0.35">
      <c r="L578" s="272"/>
      <c r="W578" s="262"/>
    </row>
    <row r="579" spans="12:23" x14ac:dyDescent="0.35">
      <c r="L579" s="272"/>
      <c r="W579" s="262"/>
    </row>
    <row r="580" spans="12:23" x14ac:dyDescent="0.35">
      <c r="L580" s="272"/>
      <c r="W580" s="262"/>
    </row>
    <row r="581" spans="12:23" x14ac:dyDescent="0.35">
      <c r="L581" s="272"/>
      <c r="W581" s="262"/>
    </row>
    <row r="582" spans="12:23" x14ac:dyDescent="0.35">
      <c r="L582" s="272"/>
      <c r="W582" s="262"/>
    </row>
    <row r="583" spans="12:23" x14ac:dyDescent="0.35">
      <c r="L583" s="272"/>
      <c r="W583" s="262"/>
    </row>
    <row r="584" spans="12:23" x14ac:dyDescent="0.35">
      <c r="L584" s="272"/>
      <c r="W584" s="262"/>
    </row>
    <row r="585" spans="12:23" x14ac:dyDescent="0.35">
      <c r="L585" s="272"/>
      <c r="W585" s="262"/>
    </row>
    <row r="586" spans="12:23" x14ac:dyDescent="0.35">
      <c r="L586" s="272"/>
      <c r="W586" s="262"/>
    </row>
    <row r="587" spans="12:23" x14ac:dyDescent="0.35">
      <c r="L587" s="272"/>
      <c r="W587" s="262"/>
    </row>
    <row r="588" spans="12:23" x14ac:dyDescent="0.35">
      <c r="L588" s="272"/>
      <c r="W588" s="262"/>
    </row>
    <row r="589" spans="12:23" x14ac:dyDescent="0.35">
      <c r="L589" s="272"/>
      <c r="W589" s="262"/>
    </row>
    <row r="590" spans="12:23" x14ac:dyDescent="0.35">
      <c r="L590" s="272"/>
      <c r="W590" s="262"/>
    </row>
    <row r="591" spans="12:23" x14ac:dyDescent="0.35">
      <c r="L591" s="272"/>
      <c r="W591" s="262"/>
    </row>
    <row r="592" spans="12:23" x14ac:dyDescent="0.35">
      <c r="L592" s="272"/>
      <c r="W592" s="262"/>
    </row>
    <row r="593" spans="12:23" x14ac:dyDescent="0.35">
      <c r="L593" s="272"/>
      <c r="W593" s="262"/>
    </row>
    <row r="594" spans="12:23" x14ac:dyDescent="0.35">
      <c r="L594" s="272"/>
      <c r="W594" s="262"/>
    </row>
    <row r="595" spans="12:23" x14ac:dyDescent="0.35">
      <c r="L595" s="272"/>
      <c r="W595" s="262"/>
    </row>
    <row r="596" spans="12:23" x14ac:dyDescent="0.35">
      <c r="L596" s="272"/>
      <c r="W596" s="262"/>
    </row>
    <row r="597" spans="12:23" x14ac:dyDescent="0.35">
      <c r="L597" s="272"/>
      <c r="W597" s="262"/>
    </row>
    <row r="598" spans="12:23" x14ac:dyDescent="0.35">
      <c r="L598" s="272"/>
      <c r="W598" s="262"/>
    </row>
    <row r="599" spans="12:23" x14ac:dyDescent="0.35">
      <c r="L599" s="272"/>
      <c r="W599" s="262"/>
    </row>
    <row r="600" spans="12:23" x14ac:dyDescent="0.35">
      <c r="L600" s="272"/>
      <c r="W600" s="262"/>
    </row>
    <row r="601" spans="12:23" x14ac:dyDescent="0.35">
      <c r="L601" s="272"/>
      <c r="W601" s="262"/>
    </row>
    <row r="602" spans="12:23" x14ac:dyDescent="0.35">
      <c r="L602" s="272"/>
      <c r="W602" s="262"/>
    </row>
    <row r="603" spans="12:23" x14ac:dyDescent="0.35">
      <c r="L603" s="272"/>
      <c r="W603" s="262"/>
    </row>
    <row r="604" spans="12:23" x14ac:dyDescent="0.35">
      <c r="L604" s="272"/>
      <c r="W604" s="262"/>
    </row>
    <row r="605" spans="12:23" x14ac:dyDescent="0.35">
      <c r="L605" s="272"/>
      <c r="W605" s="262"/>
    </row>
    <row r="606" spans="12:23" x14ac:dyDescent="0.35">
      <c r="L606" s="272"/>
      <c r="W606" s="262"/>
    </row>
    <row r="607" spans="12:23" x14ac:dyDescent="0.35">
      <c r="L607" s="272"/>
      <c r="W607" s="262"/>
    </row>
    <row r="608" spans="12:23" x14ac:dyDescent="0.35">
      <c r="L608" s="272"/>
      <c r="W608" s="262"/>
    </row>
    <row r="609" spans="12:23" x14ac:dyDescent="0.35">
      <c r="L609" s="272"/>
      <c r="W609" s="262"/>
    </row>
    <row r="610" spans="12:23" x14ac:dyDescent="0.35">
      <c r="L610" s="272"/>
      <c r="W610" s="262"/>
    </row>
    <row r="611" spans="12:23" x14ac:dyDescent="0.35">
      <c r="L611" s="272"/>
      <c r="W611" s="262"/>
    </row>
    <row r="612" spans="12:23" x14ac:dyDescent="0.35">
      <c r="L612" s="272"/>
      <c r="W612" s="262"/>
    </row>
    <row r="613" spans="12:23" x14ac:dyDescent="0.35">
      <c r="L613" s="272"/>
      <c r="W613" s="262"/>
    </row>
    <row r="614" spans="12:23" x14ac:dyDescent="0.35">
      <c r="L614" s="272"/>
      <c r="W614" s="262"/>
    </row>
    <row r="615" spans="12:23" x14ac:dyDescent="0.35">
      <c r="L615" s="272"/>
      <c r="W615" s="262"/>
    </row>
    <row r="616" spans="12:23" x14ac:dyDescent="0.35">
      <c r="L616" s="272"/>
      <c r="W616" s="262"/>
    </row>
    <row r="617" spans="12:23" x14ac:dyDescent="0.35">
      <c r="L617" s="272"/>
      <c r="W617" s="262"/>
    </row>
    <row r="618" spans="12:23" x14ac:dyDescent="0.35">
      <c r="L618" s="272"/>
      <c r="W618" s="262"/>
    </row>
    <row r="619" spans="12:23" x14ac:dyDescent="0.35">
      <c r="L619" s="272"/>
      <c r="W619" s="262"/>
    </row>
    <row r="620" spans="12:23" x14ac:dyDescent="0.35">
      <c r="L620" s="272"/>
      <c r="W620" s="262"/>
    </row>
    <row r="621" spans="12:23" x14ac:dyDescent="0.35">
      <c r="L621" s="272"/>
      <c r="W621" s="262"/>
    </row>
    <row r="622" spans="12:23" x14ac:dyDescent="0.35">
      <c r="L622" s="272"/>
      <c r="W622" s="262"/>
    </row>
    <row r="623" spans="12:23" x14ac:dyDescent="0.35">
      <c r="L623" s="272"/>
      <c r="W623" s="262"/>
    </row>
    <row r="624" spans="12:23" x14ac:dyDescent="0.35">
      <c r="L624" s="272"/>
      <c r="W624" s="262"/>
    </row>
    <row r="625" spans="12:23" x14ac:dyDescent="0.35">
      <c r="L625" s="272"/>
      <c r="W625" s="262"/>
    </row>
    <row r="626" spans="12:23" x14ac:dyDescent="0.35">
      <c r="L626" s="272"/>
      <c r="W626" s="262"/>
    </row>
    <row r="627" spans="12:23" x14ac:dyDescent="0.35">
      <c r="L627" s="272"/>
      <c r="W627" s="262"/>
    </row>
    <row r="628" spans="12:23" x14ac:dyDescent="0.35">
      <c r="L628" s="272"/>
      <c r="W628" s="262"/>
    </row>
    <row r="629" spans="12:23" x14ac:dyDescent="0.35">
      <c r="L629" s="272"/>
      <c r="W629" s="262"/>
    </row>
    <row r="630" spans="12:23" x14ac:dyDescent="0.35">
      <c r="L630" s="272"/>
      <c r="W630" s="262"/>
    </row>
    <row r="631" spans="12:23" x14ac:dyDescent="0.35">
      <c r="L631" s="272"/>
      <c r="W631" s="262"/>
    </row>
    <row r="632" spans="12:23" x14ac:dyDescent="0.35">
      <c r="L632" s="272"/>
      <c r="W632" s="262"/>
    </row>
    <row r="633" spans="12:23" x14ac:dyDescent="0.35">
      <c r="L633" s="272"/>
      <c r="W633" s="262"/>
    </row>
    <row r="634" spans="12:23" x14ac:dyDescent="0.35">
      <c r="L634" s="272"/>
      <c r="W634" s="262"/>
    </row>
    <row r="635" spans="12:23" x14ac:dyDescent="0.35">
      <c r="L635" s="272"/>
      <c r="W635" s="262"/>
    </row>
    <row r="636" spans="12:23" x14ac:dyDescent="0.35">
      <c r="L636" s="272"/>
      <c r="W636" s="262"/>
    </row>
    <row r="637" spans="12:23" x14ac:dyDescent="0.35">
      <c r="L637" s="272"/>
      <c r="W637" s="262"/>
    </row>
    <row r="638" spans="12:23" x14ac:dyDescent="0.35">
      <c r="L638" s="272"/>
      <c r="W638" s="262"/>
    </row>
    <row r="639" spans="12:23" x14ac:dyDescent="0.35">
      <c r="L639" s="272"/>
      <c r="W639" s="262"/>
    </row>
    <row r="640" spans="12:23" x14ac:dyDescent="0.35">
      <c r="L640" s="272"/>
      <c r="W640" s="262"/>
    </row>
    <row r="641" spans="12:23" x14ac:dyDescent="0.35">
      <c r="L641" s="272"/>
      <c r="W641" s="262"/>
    </row>
    <row r="642" spans="12:23" x14ac:dyDescent="0.35">
      <c r="L642" s="272"/>
      <c r="W642" s="262"/>
    </row>
    <row r="643" spans="12:23" x14ac:dyDescent="0.35">
      <c r="L643" s="272"/>
      <c r="W643" s="262"/>
    </row>
    <row r="644" spans="12:23" x14ac:dyDescent="0.35">
      <c r="L644" s="272"/>
      <c r="W644" s="262"/>
    </row>
    <row r="645" spans="12:23" x14ac:dyDescent="0.35">
      <c r="L645" s="272"/>
      <c r="W645" s="262"/>
    </row>
    <row r="646" spans="12:23" x14ac:dyDescent="0.35">
      <c r="L646" s="272"/>
      <c r="W646" s="262"/>
    </row>
    <row r="647" spans="12:23" x14ac:dyDescent="0.35">
      <c r="L647" s="272"/>
      <c r="W647" s="262"/>
    </row>
    <row r="648" spans="12:23" x14ac:dyDescent="0.35">
      <c r="L648" s="272"/>
      <c r="W648" s="262"/>
    </row>
    <row r="649" spans="12:23" x14ac:dyDescent="0.35">
      <c r="L649" s="272"/>
      <c r="W649" s="262"/>
    </row>
    <row r="650" spans="12:23" x14ac:dyDescent="0.35">
      <c r="L650" s="272"/>
      <c r="W650" s="262"/>
    </row>
    <row r="651" spans="12:23" x14ac:dyDescent="0.35">
      <c r="L651" s="272"/>
      <c r="W651" s="262"/>
    </row>
    <row r="652" spans="12:23" x14ac:dyDescent="0.35">
      <c r="L652" s="272"/>
      <c r="W652" s="262"/>
    </row>
    <row r="653" spans="12:23" x14ac:dyDescent="0.35">
      <c r="L653" s="272"/>
      <c r="W653" s="262"/>
    </row>
    <row r="654" spans="12:23" x14ac:dyDescent="0.35">
      <c r="L654" s="272"/>
      <c r="W654" s="262"/>
    </row>
    <row r="655" spans="12:23" x14ac:dyDescent="0.35">
      <c r="L655" s="272"/>
      <c r="W655" s="262"/>
    </row>
    <row r="656" spans="12:23" x14ac:dyDescent="0.35">
      <c r="L656" s="272"/>
      <c r="W656" s="262"/>
    </row>
    <row r="657" spans="12:23" x14ac:dyDescent="0.35">
      <c r="L657" s="272"/>
      <c r="W657" s="262"/>
    </row>
    <row r="658" spans="12:23" x14ac:dyDescent="0.35">
      <c r="L658" s="272"/>
      <c r="W658" s="262"/>
    </row>
    <row r="659" spans="12:23" x14ac:dyDescent="0.35">
      <c r="L659" s="272"/>
      <c r="W659" s="262"/>
    </row>
    <row r="660" spans="12:23" x14ac:dyDescent="0.35">
      <c r="L660" s="272"/>
      <c r="W660" s="262"/>
    </row>
    <row r="661" spans="12:23" x14ac:dyDescent="0.35">
      <c r="L661" s="272"/>
      <c r="W661" s="262"/>
    </row>
    <row r="662" spans="12:23" x14ac:dyDescent="0.35">
      <c r="L662" s="272"/>
      <c r="W662" s="262"/>
    </row>
    <row r="663" spans="12:23" x14ac:dyDescent="0.35">
      <c r="L663" s="272"/>
      <c r="W663" s="262"/>
    </row>
    <row r="664" spans="12:23" x14ac:dyDescent="0.35">
      <c r="L664" s="272"/>
      <c r="W664" s="262"/>
    </row>
    <row r="665" spans="12:23" x14ac:dyDescent="0.35">
      <c r="L665" s="272"/>
      <c r="W665" s="262"/>
    </row>
    <row r="666" spans="12:23" x14ac:dyDescent="0.35">
      <c r="L666" s="272"/>
      <c r="W666" s="262"/>
    </row>
    <row r="667" spans="12:23" x14ac:dyDescent="0.35">
      <c r="L667" s="272"/>
      <c r="W667" s="262"/>
    </row>
    <row r="668" spans="12:23" x14ac:dyDescent="0.35">
      <c r="L668" s="272"/>
      <c r="W668" s="262"/>
    </row>
    <row r="669" spans="12:23" x14ac:dyDescent="0.35">
      <c r="L669" s="272"/>
      <c r="W669" s="262"/>
    </row>
    <row r="670" spans="12:23" x14ac:dyDescent="0.35">
      <c r="L670" s="272"/>
      <c r="W670" s="262"/>
    </row>
    <row r="671" spans="12:23" x14ac:dyDescent="0.35">
      <c r="L671" s="272"/>
      <c r="W671" s="262"/>
    </row>
    <row r="672" spans="12:23" x14ac:dyDescent="0.35">
      <c r="L672" s="272"/>
      <c r="W672" s="262"/>
    </row>
    <row r="673" spans="12:23" x14ac:dyDescent="0.35">
      <c r="L673" s="272"/>
      <c r="W673" s="262"/>
    </row>
    <row r="674" spans="12:23" x14ac:dyDescent="0.35">
      <c r="L674" s="272"/>
      <c r="W674" s="262"/>
    </row>
    <row r="675" spans="12:23" x14ac:dyDescent="0.35">
      <c r="L675" s="272"/>
      <c r="W675" s="262"/>
    </row>
    <row r="676" spans="12:23" x14ac:dyDescent="0.35">
      <c r="L676" s="272"/>
      <c r="W676" s="262"/>
    </row>
    <row r="677" spans="12:23" x14ac:dyDescent="0.35">
      <c r="L677" s="272"/>
      <c r="W677" s="262"/>
    </row>
    <row r="678" spans="12:23" x14ac:dyDescent="0.35">
      <c r="L678" s="272"/>
      <c r="W678" s="262"/>
    </row>
    <row r="679" spans="12:23" x14ac:dyDescent="0.35">
      <c r="L679" s="272"/>
      <c r="W679" s="262"/>
    </row>
    <row r="680" spans="12:23" x14ac:dyDescent="0.35">
      <c r="L680" s="272"/>
      <c r="W680" s="262"/>
    </row>
    <row r="681" spans="12:23" x14ac:dyDescent="0.35">
      <c r="L681" s="272"/>
      <c r="W681" s="262"/>
    </row>
    <row r="682" spans="12:23" x14ac:dyDescent="0.35">
      <c r="L682" s="272"/>
      <c r="W682" s="262"/>
    </row>
    <row r="683" spans="12:23" x14ac:dyDescent="0.35">
      <c r="L683" s="272"/>
      <c r="W683" s="262"/>
    </row>
    <row r="684" spans="12:23" x14ac:dyDescent="0.35">
      <c r="L684" s="272"/>
      <c r="W684" s="262"/>
    </row>
    <row r="685" spans="12:23" x14ac:dyDescent="0.35">
      <c r="L685" s="272"/>
      <c r="W685" s="262"/>
    </row>
    <row r="686" spans="12:23" x14ac:dyDescent="0.35">
      <c r="L686" s="272"/>
      <c r="W686" s="262"/>
    </row>
    <row r="687" spans="12:23" x14ac:dyDescent="0.35">
      <c r="L687" s="272"/>
      <c r="W687" s="262"/>
    </row>
    <row r="688" spans="12:23" x14ac:dyDescent="0.35">
      <c r="L688" s="272"/>
      <c r="W688" s="262"/>
    </row>
    <row r="689" spans="12:23" x14ac:dyDescent="0.35">
      <c r="L689" s="272"/>
      <c r="W689" s="262"/>
    </row>
    <row r="690" spans="12:23" x14ac:dyDescent="0.35">
      <c r="L690" s="272"/>
      <c r="W690" s="262"/>
    </row>
    <row r="691" spans="12:23" x14ac:dyDescent="0.35">
      <c r="L691" s="272"/>
      <c r="W691" s="262"/>
    </row>
    <row r="692" spans="12:23" x14ac:dyDescent="0.35">
      <c r="L692" s="272"/>
      <c r="W692" s="262"/>
    </row>
    <row r="693" spans="12:23" x14ac:dyDescent="0.35">
      <c r="L693" s="272"/>
      <c r="W693" s="262"/>
    </row>
    <row r="694" spans="12:23" x14ac:dyDescent="0.35">
      <c r="L694" s="272"/>
      <c r="W694" s="262"/>
    </row>
    <row r="695" spans="12:23" x14ac:dyDescent="0.35">
      <c r="L695" s="272"/>
      <c r="W695" s="262"/>
    </row>
    <row r="696" spans="12:23" x14ac:dyDescent="0.35">
      <c r="L696" s="272"/>
      <c r="W696" s="262"/>
    </row>
    <row r="697" spans="12:23" x14ac:dyDescent="0.35">
      <c r="L697" s="272"/>
      <c r="W697" s="262"/>
    </row>
    <row r="698" spans="12:23" x14ac:dyDescent="0.35">
      <c r="L698" s="272"/>
      <c r="W698" s="262"/>
    </row>
    <row r="699" spans="12:23" x14ac:dyDescent="0.35">
      <c r="L699" s="272"/>
      <c r="W699" s="262"/>
    </row>
    <row r="700" spans="12:23" x14ac:dyDescent="0.35">
      <c r="L700" s="272"/>
      <c r="W700" s="262"/>
    </row>
    <row r="701" spans="12:23" x14ac:dyDescent="0.35">
      <c r="L701" s="272"/>
      <c r="W701" s="262"/>
    </row>
    <row r="702" spans="12:23" x14ac:dyDescent="0.35">
      <c r="L702" s="272"/>
      <c r="W702" s="262"/>
    </row>
    <row r="703" spans="12:23" x14ac:dyDescent="0.35">
      <c r="L703" s="272"/>
      <c r="W703" s="262"/>
    </row>
    <row r="704" spans="12:23" x14ac:dyDescent="0.35">
      <c r="L704" s="272"/>
      <c r="W704" s="262"/>
    </row>
    <row r="705" spans="12:23" x14ac:dyDescent="0.35">
      <c r="L705" s="272"/>
      <c r="W705" s="262"/>
    </row>
    <row r="706" spans="12:23" x14ac:dyDescent="0.35">
      <c r="L706" s="272"/>
      <c r="W706" s="262"/>
    </row>
    <row r="707" spans="12:23" x14ac:dyDescent="0.35">
      <c r="L707" s="272"/>
      <c r="W707" s="262"/>
    </row>
    <row r="708" spans="12:23" x14ac:dyDescent="0.35">
      <c r="L708" s="272"/>
      <c r="W708" s="262"/>
    </row>
    <row r="709" spans="12:23" x14ac:dyDescent="0.35">
      <c r="L709" s="272"/>
      <c r="W709" s="262"/>
    </row>
    <row r="710" spans="12:23" x14ac:dyDescent="0.35">
      <c r="L710" s="272"/>
      <c r="W710" s="262"/>
    </row>
    <row r="711" spans="12:23" x14ac:dyDescent="0.35">
      <c r="L711" s="272"/>
      <c r="W711" s="262"/>
    </row>
    <row r="712" spans="12:23" x14ac:dyDescent="0.35">
      <c r="L712" s="272"/>
      <c r="W712" s="262"/>
    </row>
    <row r="713" spans="12:23" x14ac:dyDescent="0.35">
      <c r="L713" s="272"/>
      <c r="W713" s="262"/>
    </row>
    <row r="714" spans="12:23" x14ac:dyDescent="0.35">
      <c r="L714" s="272"/>
      <c r="W714" s="262"/>
    </row>
    <row r="715" spans="12:23" x14ac:dyDescent="0.35">
      <c r="L715" s="272"/>
      <c r="W715" s="262"/>
    </row>
    <row r="716" spans="12:23" x14ac:dyDescent="0.35">
      <c r="L716" s="272"/>
      <c r="W716" s="262"/>
    </row>
    <row r="717" spans="12:23" x14ac:dyDescent="0.35">
      <c r="L717" s="272"/>
      <c r="W717" s="262"/>
    </row>
    <row r="718" spans="12:23" x14ac:dyDescent="0.35">
      <c r="L718" s="272"/>
      <c r="W718" s="262"/>
    </row>
    <row r="719" spans="12:23" x14ac:dyDescent="0.35">
      <c r="L719" s="272"/>
      <c r="W719" s="262"/>
    </row>
    <row r="720" spans="12:23" x14ac:dyDescent="0.35">
      <c r="L720" s="272"/>
      <c r="W720" s="262"/>
    </row>
    <row r="721" spans="12:23" x14ac:dyDescent="0.35">
      <c r="L721" s="272"/>
      <c r="W721" s="262"/>
    </row>
    <row r="722" spans="12:23" x14ac:dyDescent="0.35">
      <c r="L722" s="272"/>
      <c r="W722" s="262"/>
    </row>
    <row r="723" spans="12:23" x14ac:dyDescent="0.35">
      <c r="L723" s="272"/>
      <c r="W723" s="262"/>
    </row>
    <row r="724" spans="12:23" x14ac:dyDescent="0.35">
      <c r="L724" s="272"/>
      <c r="W724" s="262"/>
    </row>
    <row r="725" spans="12:23" x14ac:dyDescent="0.35">
      <c r="L725" s="272"/>
      <c r="W725" s="262"/>
    </row>
    <row r="726" spans="12:23" x14ac:dyDescent="0.35">
      <c r="L726" s="272"/>
      <c r="W726" s="262"/>
    </row>
    <row r="727" spans="12:23" x14ac:dyDescent="0.35">
      <c r="L727" s="272"/>
      <c r="W727" s="262"/>
    </row>
    <row r="728" spans="12:23" x14ac:dyDescent="0.35">
      <c r="L728" s="272"/>
      <c r="W728" s="262"/>
    </row>
    <row r="729" spans="12:23" x14ac:dyDescent="0.35">
      <c r="L729" s="272"/>
      <c r="W729" s="262"/>
    </row>
    <row r="730" spans="12:23" x14ac:dyDescent="0.35">
      <c r="L730" s="272"/>
      <c r="W730" s="262"/>
    </row>
    <row r="731" spans="12:23" x14ac:dyDescent="0.35">
      <c r="L731" s="272"/>
      <c r="W731" s="262"/>
    </row>
    <row r="732" spans="12:23" x14ac:dyDescent="0.35">
      <c r="L732" s="272"/>
      <c r="W732" s="262"/>
    </row>
    <row r="733" spans="12:23" x14ac:dyDescent="0.35">
      <c r="L733" s="272"/>
      <c r="W733" s="262"/>
    </row>
    <row r="734" spans="12:23" x14ac:dyDescent="0.35">
      <c r="L734" s="272"/>
      <c r="W734" s="262"/>
    </row>
    <row r="735" spans="12:23" x14ac:dyDescent="0.35">
      <c r="L735" s="272"/>
      <c r="W735" s="262"/>
    </row>
    <row r="736" spans="12:23" x14ac:dyDescent="0.35">
      <c r="L736" s="272"/>
      <c r="W736" s="262"/>
    </row>
    <row r="737" spans="12:23" x14ac:dyDescent="0.35">
      <c r="L737" s="272"/>
      <c r="W737" s="262"/>
    </row>
    <row r="738" spans="12:23" x14ac:dyDescent="0.35">
      <c r="L738" s="272"/>
      <c r="W738" s="262"/>
    </row>
    <row r="739" spans="12:23" x14ac:dyDescent="0.35">
      <c r="L739" s="272"/>
      <c r="W739" s="262"/>
    </row>
    <row r="740" spans="12:23" x14ac:dyDescent="0.35">
      <c r="L740" s="272"/>
      <c r="W740" s="262"/>
    </row>
    <row r="741" spans="12:23" x14ac:dyDescent="0.35">
      <c r="L741" s="272"/>
      <c r="W741" s="262"/>
    </row>
    <row r="742" spans="12:23" x14ac:dyDescent="0.35">
      <c r="L742" s="272"/>
      <c r="W742" s="262"/>
    </row>
    <row r="743" spans="12:23" x14ac:dyDescent="0.35">
      <c r="L743" s="272"/>
      <c r="W743" s="262"/>
    </row>
    <row r="744" spans="12:23" x14ac:dyDescent="0.35">
      <c r="L744" s="272"/>
      <c r="W744" s="262"/>
    </row>
    <row r="745" spans="12:23" x14ac:dyDescent="0.35">
      <c r="L745" s="272"/>
      <c r="W745" s="262"/>
    </row>
    <row r="746" spans="12:23" x14ac:dyDescent="0.35">
      <c r="L746" s="272"/>
      <c r="W746" s="262"/>
    </row>
    <row r="747" spans="12:23" x14ac:dyDescent="0.35">
      <c r="L747" s="272"/>
      <c r="W747" s="262"/>
    </row>
    <row r="748" spans="12:23" x14ac:dyDescent="0.35">
      <c r="L748" s="272"/>
      <c r="W748" s="262"/>
    </row>
    <row r="749" spans="12:23" x14ac:dyDescent="0.35">
      <c r="L749" s="272"/>
      <c r="W749" s="262"/>
    </row>
    <row r="750" spans="12:23" x14ac:dyDescent="0.35">
      <c r="L750" s="272"/>
      <c r="W750" s="262"/>
    </row>
    <row r="751" spans="12:23" x14ac:dyDescent="0.35">
      <c r="L751" s="272"/>
      <c r="W751" s="262"/>
    </row>
    <row r="752" spans="12:23" x14ac:dyDescent="0.35">
      <c r="L752" s="272"/>
      <c r="W752" s="262"/>
    </row>
    <row r="753" spans="12:23" x14ac:dyDescent="0.35">
      <c r="L753" s="272"/>
      <c r="W753" s="262"/>
    </row>
    <row r="754" spans="12:23" x14ac:dyDescent="0.35">
      <c r="L754" s="272"/>
      <c r="W754" s="262"/>
    </row>
    <row r="755" spans="12:23" x14ac:dyDescent="0.35">
      <c r="L755" s="272"/>
      <c r="W755" s="262"/>
    </row>
    <row r="756" spans="12:23" x14ac:dyDescent="0.35">
      <c r="L756" s="272"/>
      <c r="W756" s="262"/>
    </row>
    <row r="757" spans="12:23" x14ac:dyDescent="0.35">
      <c r="L757" s="272"/>
      <c r="W757" s="262"/>
    </row>
    <row r="758" spans="12:23" x14ac:dyDescent="0.35">
      <c r="L758" s="272"/>
      <c r="W758" s="262"/>
    </row>
    <row r="759" spans="12:23" x14ac:dyDescent="0.35">
      <c r="L759" s="272"/>
      <c r="W759" s="262"/>
    </row>
    <row r="760" spans="12:23" x14ac:dyDescent="0.35">
      <c r="L760" s="272"/>
      <c r="W760" s="262"/>
    </row>
    <row r="761" spans="12:23" x14ac:dyDescent="0.35">
      <c r="L761" s="272"/>
      <c r="W761" s="262"/>
    </row>
    <row r="762" spans="12:23" x14ac:dyDescent="0.35">
      <c r="L762" s="272"/>
      <c r="W762" s="262"/>
    </row>
    <row r="763" spans="12:23" x14ac:dyDescent="0.35">
      <c r="L763" s="272"/>
      <c r="W763" s="262"/>
    </row>
    <row r="764" spans="12:23" x14ac:dyDescent="0.35">
      <c r="L764" s="272"/>
      <c r="W764" s="262"/>
    </row>
    <row r="765" spans="12:23" x14ac:dyDescent="0.35">
      <c r="L765" s="272"/>
      <c r="W765" s="262"/>
    </row>
    <row r="766" spans="12:23" x14ac:dyDescent="0.35">
      <c r="L766" s="272"/>
      <c r="W766" s="262"/>
    </row>
    <row r="767" spans="12:23" x14ac:dyDescent="0.35">
      <c r="L767" s="272"/>
      <c r="W767" s="262"/>
    </row>
    <row r="768" spans="12:23" x14ac:dyDescent="0.35">
      <c r="L768" s="272"/>
      <c r="W768" s="262"/>
    </row>
    <row r="769" spans="12:23" x14ac:dyDescent="0.35">
      <c r="L769" s="272"/>
      <c r="W769" s="262"/>
    </row>
    <row r="770" spans="12:23" x14ac:dyDescent="0.35">
      <c r="L770" s="272"/>
      <c r="W770" s="262"/>
    </row>
    <row r="771" spans="12:23" x14ac:dyDescent="0.35">
      <c r="L771" s="272"/>
      <c r="W771" s="262"/>
    </row>
    <row r="772" spans="12:23" x14ac:dyDescent="0.35">
      <c r="L772" s="272"/>
      <c r="W772" s="262"/>
    </row>
    <row r="773" spans="12:23" x14ac:dyDescent="0.35">
      <c r="L773" s="272"/>
      <c r="W773" s="262"/>
    </row>
    <row r="774" spans="12:23" x14ac:dyDescent="0.35">
      <c r="L774" s="272"/>
      <c r="W774" s="262"/>
    </row>
    <row r="775" spans="12:23" x14ac:dyDescent="0.35">
      <c r="L775" s="272"/>
      <c r="W775" s="262"/>
    </row>
    <row r="776" spans="12:23" x14ac:dyDescent="0.35">
      <c r="L776" s="272"/>
      <c r="W776" s="262"/>
    </row>
    <row r="777" spans="12:23" x14ac:dyDescent="0.35">
      <c r="L777" s="272"/>
      <c r="W777" s="262"/>
    </row>
    <row r="778" spans="12:23" x14ac:dyDescent="0.35">
      <c r="L778" s="272"/>
      <c r="W778" s="262"/>
    </row>
    <row r="779" spans="12:23" x14ac:dyDescent="0.35">
      <c r="L779" s="272"/>
      <c r="W779" s="262"/>
    </row>
    <row r="780" spans="12:23" x14ac:dyDescent="0.35">
      <c r="L780" s="272"/>
      <c r="W780" s="262"/>
    </row>
    <row r="781" spans="12:23" x14ac:dyDescent="0.35">
      <c r="L781" s="272"/>
      <c r="W781" s="262"/>
    </row>
    <row r="782" spans="12:23" x14ac:dyDescent="0.35">
      <c r="L782" s="272"/>
      <c r="W782" s="262"/>
    </row>
    <row r="783" spans="12:23" x14ac:dyDescent="0.35">
      <c r="L783" s="272"/>
      <c r="W783" s="262"/>
    </row>
    <row r="784" spans="12:23" x14ac:dyDescent="0.35">
      <c r="L784" s="272"/>
      <c r="W784" s="262"/>
    </row>
    <row r="785" spans="12:23" x14ac:dyDescent="0.35">
      <c r="L785" s="272"/>
      <c r="W785" s="262"/>
    </row>
    <row r="786" spans="12:23" x14ac:dyDescent="0.35">
      <c r="L786" s="272"/>
      <c r="W786" s="262"/>
    </row>
    <row r="787" spans="12:23" x14ac:dyDescent="0.35">
      <c r="L787" s="272"/>
      <c r="W787" s="262"/>
    </row>
    <row r="788" spans="12:23" x14ac:dyDescent="0.35">
      <c r="L788" s="272"/>
      <c r="W788" s="262"/>
    </row>
    <row r="789" spans="12:23" x14ac:dyDescent="0.35">
      <c r="L789" s="272"/>
      <c r="W789" s="262"/>
    </row>
    <row r="790" spans="12:23" x14ac:dyDescent="0.35">
      <c r="L790" s="272"/>
      <c r="W790" s="262"/>
    </row>
    <row r="791" spans="12:23" x14ac:dyDescent="0.35">
      <c r="L791" s="272"/>
      <c r="W791" s="262"/>
    </row>
    <row r="792" spans="12:23" x14ac:dyDescent="0.35">
      <c r="L792" s="272"/>
      <c r="W792" s="262"/>
    </row>
    <row r="793" spans="12:23" x14ac:dyDescent="0.35">
      <c r="L793" s="272"/>
      <c r="W793" s="262"/>
    </row>
    <row r="794" spans="12:23" x14ac:dyDescent="0.35">
      <c r="L794" s="272"/>
      <c r="W794" s="262"/>
    </row>
    <row r="795" spans="12:23" x14ac:dyDescent="0.35">
      <c r="L795" s="272"/>
      <c r="W795" s="262"/>
    </row>
    <row r="796" spans="12:23" x14ac:dyDescent="0.35">
      <c r="L796" s="272"/>
      <c r="W796" s="262"/>
    </row>
    <row r="797" spans="12:23" x14ac:dyDescent="0.35">
      <c r="L797" s="272"/>
      <c r="W797" s="262"/>
    </row>
    <row r="798" spans="12:23" x14ac:dyDescent="0.35">
      <c r="L798" s="272"/>
      <c r="W798" s="262"/>
    </row>
    <row r="799" spans="12:23" x14ac:dyDescent="0.35">
      <c r="L799" s="272"/>
      <c r="W799" s="262"/>
    </row>
    <row r="800" spans="12:23" x14ac:dyDescent="0.35">
      <c r="L800" s="272"/>
      <c r="W800" s="262"/>
    </row>
    <row r="801" spans="12:23" x14ac:dyDescent="0.35">
      <c r="L801" s="272"/>
      <c r="W801" s="262"/>
    </row>
    <row r="802" spans="12:23" x14ac:dyDescent="0.35">
      <c r="L802" s="272"/>
      <c r="W802" s="262"/>
    </row>
    <row r="803" spans="12:23" x14ac:dyDescent="0.35">
      <c r="L803" s="272"/>
      <c r="W803" s="262"/>
    </row>
    <row r="804" spans="12:23" x14ac:dyDescent="0.35">
      <c r="L804" s="272"/>
      <c r="W804" s="262"/>
    </row>
    <row r="805" spans="12:23" x14ac:dyDescent="0.35">
      <c r="L805" s="272"/>
      <c r="W805" s="262"/>
    </row>
    <row r="806" spans="12:23" x14ac:dyDescent="0.35">
      <c r="L806" s="272"/>
      <c r="W806" s="262"/>
    </row>
    <row r="807" spans="12:23" x14ac:dyDescent="0.35">
      <c r="L807" s="272"/>
      <c r="W807" s="262"/>
    </row>
    <row r="808" spans="12:23" x14ac:dyDescent="0.35">
      <c r="L808" s="272"/>
      <c r="W808" s="262"/>
    </row>
    <row r="809" spans="12:23" x14ac:dyDescent="0.35">
      <c r="L809" s="272"/>
      <c r="W809" s="262"/>
    </row>
    <row r="810" spans="12:23" x14ac:dyDescent="0.35">
      <c r="L810" s="272"/>
      <c r="W810" s="262"/>
    </row>
    <row r="811" spans="12:23" x14ac:dyDescent="0.35">
      <c r="L811" s="272"/>
      <c r="W811" s="262"/>
    </row>
    <row r="812" spans="12:23" x14ac:dyDescent="0.35">
      <c r="L812" s="272"/>
      <c r="W812" s="262"/>
    </row>
    <row r="813" spans="12:23" x14ac:dyDescent="0.35">
      <c r="L813" s="272"/>
      <c r="W813" s="262"/>
    </row>
    <row r="814" spans="12:23" x14ac:dyDescent="0.35">
      <c r="L814" s="272"/>
      <c r="W814" s="262"/>
    </row>
    <row r="815" spans="12:23" x14ac:dyDescent="0.35">
      <c r="L815" s="272"/>
      <c r="W815" s="262"/>
    </row>
    <row r="816" spans="12:23" x14ac:dyDescent="0.35">
      <c r="L816" s="272"/>
      <c r="W816" s="262"/>
    </row>
    <row r="817" spans="12:23" x14ac:dyDescent="0.35">
      <c r="L817" s="272"/>
      <c r="W817" s="262"/>
    </row>
    <row r="818" spans="12:23" x14ac:dyDescent="0.35">
      <c r="L818" s="272"/>
      <c r="W818" s="262"/>
    </row>
    <row r="819" spans="12:23" x14ac:dyDescent="0.35">
      <c r="L819" s="272"/>
      <c r="W819" s="262"/>
    </row>
    <row r="820" spans="12:23" x14ac:dyDescent="0.35">
      <c r="L820" s="272"/>
      <c r="W820" s="262"/>
    </row>
    <row r="821" spans="12:23" x14ac:dyDescent="0.35">
      <c r="L821" s="272"/>
      <c r="W821" s="262"/>
    </row>
    <row r="822" spans="12:23" x14ac:dyDescent="0.35">
      <c r="L822" s="272"/>
      <c r="W822" s="262"/>
    </row>
    <row r="823" spans="12:23" x14ac:dyDescent="0.35">
      <c r="L823" s="272"/>
      <c r="W823" s="262"/>
    </row>
    <row r="824" spans="12:23" x14ac:dyDescent="0.35">
      <c r="L824" s="272"/>
      <c r="W824" s="262"/>
    </row>
    <row r="825" spans="12:23" x14ac:dyDescent="0.35">
      <c r="L825" s="272"/>
      <c r="W825" s="262"/>
    </row>
    <row r="826" spans="12:23" x14ac:dyDescent="0.35">
      <c r="L826" s="272"/>
      <c r="W826" s="262"/>
    </row>
    <row r="827" spans="12:23" x14ac:dyDescent="0.35">
      <c r="L827" s="272"/>
      <c r="W827" s="262"/>
    </row>
    <row r="828" spans="12:23" x14ac:dyDescent="0.35">
      <c r="L828" s="272"/>
      <c r="W828" s="262"/>
    </row>
    <row r="829" spans="12:23" x14ac:dyDescent="0.35">
      <c r="L829" s="272"/>
      <c r="W829" s="262"/>
    </row>
    <row r="830" spans="12:23" x14ac:dyDescent="0.35">
      <c r="L830" s="272"/>
      <c r="W830" s="262"/>
    </row>
    <row r="831" spans="12:23" x14ac:dyDescent="0.35">
      <c r="L831" s="272"/>
      <c r="W831" s="262"/>
    </row>
    <row r="832" spans="12:23" x14ac:dyDescent="0.35">
      <c r="L832" s="272"/>
      <c r="W832" s="262"/>
    </row>
    <row r="833" spans="12:23" x14ac:dyDescent="0.35">
      <c r="L833" s="272"/>
      <c r="W833" s="262"/>
    </row>
    <row r="834" spans="12:23" x14ac:dyDescent="0.35">
      <c r="L834" s="272"/>
      <c r="W834" s="262"/>
    </row>
    <row r="835" spans="12:23" x14ac:dyDescent="0.35">
      <c r="L835" s="272"/>
      <c r="W835" s="262"/>
    </row>
    <row r="836" spans="12:23" x14ac:dyDescent="0.35">
      <c r="L836" s="272"/>
      <c r="W836" s="262"/>
    </row>
    <row r="837" spans="12:23" x14ac:dyDescent="0.35">
      <c r="L837" s="272"/>
      <c r="W837" s="262"/>
    </row>
    <row r="838" spans="12:23" x14ac:dyDescent="0.35">
      <c r="L838" s="272"/>
      <c r="W838" s="262"/>
    </row>
    <row r="839" spans="12:23" x14ac:dyDescent="0.35">
      <c r="L839" s="272"/>
      <c r="W839" s="262"/>
    </row>
    <row r="840" spans="12:23" x14ac:dyDescent="0.35">
      <c r="L840" s="272"/>
      <c r="W840" s="262"/>
    </row>
    <row r="841" spans="12:23" x14ac:dyDescent="0.35">
      <c r="L841" s="272"/>
      <c r="W841" s="262"/>
    </row>
    <row r="842" spans="12:23" x14ac:dyDescent="0.35">
      <c r="L842" s="272"/>
      <c r="W842" s="262"/>
    </row>
    <row r="843" spans="12:23" x14ac:dyDescent="0.35">
      <c r="L843" s="272"/>
      <c r="W843" s="262"/>
    </row>
    <row r="844" spans="12:23" x14ac:dyDescent="0.35">
      <c r="L844" s="272"/>
      <c r="W844" s="262"/>
    </row>
    <row r="845" spans="12:23" x14ac:dyDescent="0.35">
      <c r="L845" s="272"/>
      <c r="W845" s="262"/>
    </row>
    <row r="846" spans="12:23" x14ac:dyDescent="0.35">
      <c r="L846" s="272"/>
      <c r="W846" s="262"/>
    </row>
    <row r="847" spans="12:23" x14ac:dyDescent="0.35">
      <c r="L847" s="272"/>
      <c r="W847" s="262"/>
    </row>
    <row r="848" spans="12:23" x14ac:dyDescent="0.35">
      <c r="L848" s="272"/>
      <c r="W848" s="262"/>
    </row>
    <row r="849" spans="12:23" x14ac:dyDescent="0.35">
      <c r="L849" s="272"/>
      <c r="W849" s="262"/>
    </row>
    <row r="850" spans="12:23" x14ac:dyDescent="0.35">
      <c r="L850" s="272"/>
      <c r="W850" s="262"/>
    </row>
    <row r="851" spans="12:23" x14ac:dyDescent="0.35">
      <c r="L851" s="272"/>
      <c r="W851" s="262"/>
    </row>
    <row r="852" spans="12:23" x14ac:dyDescent="0.35">
      <c r="L852" s="272"/>
      <c r="W852" s="262"/>
    </row>
    <row r="853" spans="12:23" x14ac:dyDescent="0.35">
      <c r="L853" s="272"/>
      <c r="W853" s="262"/>
    </row>
    <row r="854" spans="12:23" x14ac:dyDescent="0.35">
      <c r="L854" s="272"/>
      <c r="W854" s="262"/>
    </row>
    <row r="855" spans="12:23" x14ac:dyDescent="0.35">
      <c r="L855" s="272"/>
      <c r="W855" s="262"/>
    </row>
    <row r="856" spans="12:23" x14ac:dyDescent="0.35">
      <c r="L856" s="272"/>
      <c r="W856" s="262"/>
    </row>
    <row r="857" spans="12:23" x14ac:dyDescent="0.35">
      <c r="L857" s="272"/>
      <c r="W857" s="262"/>
    </row>
    <row r="858" spans="12:23" x14ac:dyDescent="0.35">
      <c r="L858" s="272"/>
      <c r="W858" s="262"/>
    </row>
    <row r="859" spans="12:23" x14ac:dyDescent="0.35">
      <c r="L859" s="272"/>
      <c r="W859" s="262"/>
    </row>
    <row r="860" spans="12:23" x14ac:dyDescent="0.35">
      <c r="L860" s="272"/>
      <c r="W860" s="262"/>
    </row>
    <row r="861" spans="12:23" x14ac:dyDescent="0.35">
      <c r="L861" s="272"/>
      <c r="W861" s="262"/>
    </row>
    <row r="862" spans="12:23" x14ac:dyDescent="0.35">
      <c r="L862" s="272"/>
      <c r="W862" s="262"/>
    </row>
    <row r="863" spans="12:23" x14ac:dyDescent="0.35">
      <c r="L863" s="272"/>
      <c r="W863" s="262"/>
    </row>
    <row r="864" spans="12:23" x14ac:dyDescent="0.35">
      <c r="L864" s="272"/>
      <c r="W864" s="262"/>
    </row>
    <row r="865" spans="12:23" x14ac:dyDescent="0.35">
      <c r="L865" s="272"/>
      <c r="W865" s="262"/>
    </row>
    <row r="866" spans="12:23" x14ac:dyDescent="0.35">
      <c r="L866" s="272"/>
      <c r="W866" s="262"/>
    </row>
    <row r="867" spans="12:23" x14ac:dyDescent="0.35">
      <c r="L867" s="272"/>
      <c r="W867" s="262"/>
    </row>
    <row r="868" spans="12:23" x14ac:dyDescent="0.35">
      <c r="L868" s="272"/>
      <c r="W868" s="262"/>
    </row>
    <row r="869" spans="12:23" x14ac:dyDescent="0.35">
      <c r="L869" s="272"/>
      <c r="W869" s="262"/>
    </row>
    <row r="870" spans="12:23" x14ac:dyDescent="0.35">
      <c r="L870" s="272"/>
      <c r="W870" s="262"/>
    </row>
    <row r="871" spans="12:23" x14ac:dyDescent="0.35">
      <c r="L871" s="272"/>
      <c r="W871" s="262"/>
    </row>
    <row r="872" spans="12:23" x14ac:dyDescent="0.35">
      <c r="L872" s="272"/>
      <c r="W872" s="262"/>
    </row>
    <row r="873" spans="12:23" x14ac:dyDescent="0.35">
      <c r="L873" s="272"/>
      <c r="W873" s="262"/>
    </row>
    <row r="874" spans="12:23" x14ac:dyDescent="0.35">
      <c r="L874" s="272"/>
      <c r="W874" s="262"/>
    </row>
    <row r="875" spans="12:23" x14ac:dyDescent="0.35">
      <c r="L875" s="272"/>
      <c r="W875" s="262"/>
    </row>
    <row r="876" spans="12:23" x14ac:dyDescent="0.35">
      <c r="L876" s="272"/>
      <c r="W876" s="262"/>
    </row>
    <row r="877" spans="12:23" x14ac:dyDescent="0.35">
      <c r="L877" s="272"/>
      <c r="W877" s="262"/>
    </row>
    <row r="878" spans="12:23" x14ac:dyDescent="0.35">
      <c r="L878" s="272"/>
      <c r="W878" s="262"/>
    </row>
    <row r="879" spans="12:23" x14ac:dyDescent="0.35">
      <c r="L879" s="272"/>
      <c r="W879" s="262"/>
    </row>
    <row r="880" spans="12:23" x14ac:dyDescent="0.35">
      <c r="L880" s="272"/>
      <c r="W880" s="262"/>
    </row>
    <row r="881" spans="12:23" x14ac:dyDescent="0.35">
      <c r="L881" s="272"/>
      <c r="W881" s="262"/>
    </row>
    <row r="882" spans="12:23" x14ac:dyDescent="0.35">
      <c r="L882" s="272"/>
      <c r="W882" s="262"/>
    </row>
    <row r="883" spans="12:23" x14ac:dyDescent="0.35">
      <c r="L883" s="272"/>
      <c r="W883" s="262"/>
    </row>
    <row r="884" spans="12:23" x14ac:dyDescent="0.35">
      <c r="L884" s="272"/>
      <c r="W884" s="262"/>
    </row>
    <row r="885" spans="12:23" x14ac:dyDescent="0.35">
      <c r="L885" s="272"/>
      <c r="W885" s="262"/>
    </row>
    <row r="886" spans="12:23" x14ac:dyDescent="0.35">
      <c r="L886" s="272"/>
      <c r="W886" s="262"/>
    </row>
    <row r="887" spans="12:23" x14ac:dyDescent="0.35">
      <c r="L887" s="272"/>
      <c r="W887" s="262"/>
    </row>
    <row r="888" spans="12:23" x14ac:dyDescent="0.35">
      <c r="L888" s="272"/>
      <c r="W888" s="262"/>
    </row>
    <row r="889" spans="12:23" x14ac:dyDescent="0.35">
      <c r="L889" s="272"/>
      <c r="W889" s="262"/>
    </row>
    <row r="890" spans="12:23" x14ac:dyDescent="0.35">
      <c r="L890" s="272"/>
      <c r="W890" s="262"/>
    </row>
    <row r="891" spans="12:23" x14ac:dyDescent="0.35">
      <c r="L891" s="272"/>
      <c r="W891" s="262"/>
    </row>
    <row r="892" spans="12:23" x14ac:dyDescent="0.35">
      <c r="L892" s="272"/>
      <c r="W892" s="262"/>
    </row>
    <row r="893" spans="12:23" x14ac:dyDescent="0.35">
      <c r="L893" s="272"/>
      <c r="W893" s="262"/>
    </row>
    <row r="894" spans="12:23" x14ac:dyDescent="0.35">
      <c r="L894" s="272"/>
      <c r="W894" s="262"/>
    </row>
    <row r="895" spans="12:23" x14ac:dyDescent="0.35">
      <c r="L895" s="272"/>
      <c r="W895" s="262"/>
    </row>
    <row r="896" spans="12:23" x14ac:dyDescent="0.35">
      <c r="L896" s="272"/>
      <c r="W896" s="262"/>
    </row>
    <row r="897" spans="12:23" x14ac:dyDescent="0.35">
      <c r="L897" s="272"/>
      <c r="W897" s="262"/>
    </row>
    <row r="898" spans="12:23" x14ac:dyDescent="0.35">
      <c r="L898" s="272"/>
      <c r="W898" s="262"/>
    </row>
    <row r="899" spans="12:23" x14ac:dyDescent="0.35">
      <c r="L899" s="272"/>
      <c r="W899" s="262"/>
    </row>
    <row r="900" spans="12:23" x14ac:dyDescent="0.35">
      <c r="L900" s="272"/>
      <c r="W900" s="262"/>
    </row>
    <row r="901" spans="12:23" x14ac:dyDescent="0.35">
      <c r="L901" s="272"/>
      <c r="W901" s="262"/>
    </row>
    <row r="902" spans="12:23" x14ac:dyDescent="0.35">
      <c r="L902" s="272"/>
      <c r="W902" s="262"/>
    </row>
    <row r="903" spans="12:23" x14ac:dyDescent="0.35">
      <c r="L903" s="272"/>
      <c r="W903" s="262"/>
    </row>
    <row r="904" spans="12:23" x14ac:dyDescent="0.35">
      <c r="L904" s="272"/>
      <c r="W904" s="262"/>
    </row>
    <row r="905" spans="12:23" x14ac:dyDescent="0.35">
      <c r="L905" s="272"/>
      <c r="W905" s="262"/>
    </row>
    <row r="906" spans="12:23" x14ac:dyDescent="0.35">
      <c r="L906" s="272"/>
      <c r="W906" s="262"/>
    </row>
    <row r="907" spans="12:23" x14ac:dyDescent="0.35">
      <c r="L907" s="272"/>
      <c r="W907" s="262"/>
    </row>
    <row r="908" spans="12:23" x14ac:dyDescent="0.35">
      <c r="L908" s="272"/>
      <c r="W908" s="262"/>
    </row>
    <row r="909" spans="12:23" x14ac:dyDescent="0.35">
      <c r="L909" s="272"/>
      <c r="W909" s="262"/>
    </row>
    <row r="910" spans="12:23" x14ac:dyDescent="0.35">
      <c r="L910" s="272"/>
      <c r="W910" s="262"/>
    </row>
    <row r="911" spans="12:23" x14ac:dyDescent="0.35">
      <c r="L911" s="272"/>
      <c r="W911" s="262"/>
    </row>
    <row r="912" spans="12:23" x14ac:dyDescent="0.35">
      <c r="L912" s="272"/>
      <c r="W912" s="262"/>
    </row>
    <row r="913" spans="12:23" x14ac:dyDescent="0.35">
      <c r="L913" s="272"/>
      <c r="W913" s="262"/>
    </row>
    <row r="914" spans="12:23" x14ac:dyDescent="0.35">
      <c r="L914" s="272"/>
      <c r="W914" s="262"/>
    </row>
    <row r="915" spans="12:23" x14ac:dyDescent="0.35">
      <c r="L915" s="272"/>
      <c r="W915" s="262"/>
    </row>
    <row r="916" spans="12:23" x14ac:dyDescent="0.35">
      <c r="L916" s="272"/>
      <c r="W916" s="262"/>
    </row>
    <row r="917" spans="12:23" x14ac:dyDescent="0.35">
      <c r="L917" s="272"/>
      <c r="W917" s="262"/>
    </row>
    <row r="918" spans="12:23" x14ac:dyDescent="0.35">
      <c r="L918" s="272"/>
      <c r="W918" s="262"/>
    </row>
    <row r="919" spans="12:23" x14ac:dyDescent="0.35">
      <c r="L919" s="272"/>
      <c r="W919" s="262"/>
    </row>
    <row r="920" spans="12:23" x14ac:dyDescent="0.35">
      <c r="L920" s="272"/>
      <c r="W920" s="262"/>
    </row>
    <row r="921" spans="12:23" x14ac:dyDescent="0.35">
      <c r="L921" s="272"/>
      <c r="W921" s="262"/>
    </row>
    <row r="922" spans="12:23" x14ac:dyDescent="0.35">
      <c r="L922" s="272"/>
      <c r="W922" s="262"/>
    </row>
    <row r="923" spans="12:23" x14ac:dyDescent="0.35">
      <c r="L923" s="272"/>
      <c r="W923" s="262"/>
    </row>
    <row r="924" spans="12:23" x14ac:dyDescent="0.35">
      <c r="L924" s="272"/>
      <c r="W924" s="262"/>
    </row>
    <row r="925" spans="12:23" x14ac:dyDescent="0.35">
      <c r="L925" s="272"/>
      <c r="W925" s="262"/>
    </row>
    <row r="926" spans="12:23" x14ac:dyDescent="0.35">
      <c r="L926" s="272"/>
      <c r="W926" s="262"/>
    </row>
    <row r="927" spans="12:23" x14ac:dyDescent="0.35">
      <c r="L927" s="272"/>
      <c r="W927" s="262"/>
    </row>
    <row r="928" spans="12:23" x14ac:dyDescent="0.35">
      <c r="L928" s="272"/>
      <c r="W928" s="262"/>
    </row>
    <row r="929" spans="12:23" x14ac:dyDescent="0.35">
      <c r="L929" s="272"/>
      <c r="W929" s="262"/>
    </row>
    <row r="930" spans="12:23" x14ac:dyDescent="0.35">
      <c r="L930" s="272"/>
      <c r="W930" s="262"/>
    </row>
    <row r="931" spans="12:23" x14ac:dyDescent="0.35">
      <c r="L931" s="272"/>
      <c r="W931" s="262"/>
    </row>
    <row r="932" spans="12:23" x14ac:dyDescent="0.35">
      <c r="L932" s="272"/>
      <c r="W932" s="262"/>
    </row>
    <row r="933" spans="12:23" x14ac:dyDescent="0.35">
      <c r="L933" s="272"/>
      <c r="W933" s="262"/>
    </row>
    <row r="934" spans="12:23" x14ac:dyDescent="0.35">
      <c r="L934" s="272"/>
      <c r="W934" s="262"/>
    </row>
    <row r="935" spans="12:23" x14ac:dyDescent="0.35">
      <c r="L935" s="272"/>
      <c r="W935" s="262"/>
    </row>
    <row r="936" spans="12:23" x14ac:dyDescent="0.35">
      <c r="L936" s="272"/>
      <c r="W936" s="262"/>
    </row>
    <row r="937" spans="12:23" x14ac:dyDescent="0.35">
      <c r="L937" s="272"/>
      <c r="W937" s="262"/>
    </row>
    <row r="938" spans="12:23" x14ac:dyDescent="0.35">
      <c r="L938" s="272"/>
      <c r="W938" s="262"/>
    </row>
    <row r="939" spans="12:23" x14ac:dyDescent="0.35">
      <c r="L939" s="272"/>
      <c r="W939" s="262"/>
    </row>
    <row r="940" spans="12:23" x14ac:dyDescent="0.35">
      <c r="L940" s="272"/>
      <c r="W940" s="262"/>
    </row>
    <row r="941" spans="12:23" x14ac:dyDescent="0.35">
      <c r="L941" s="272"/>
      <c r="W941" s="262"/>
    </row>
    <row r="942" spans="12:23" x14ac:dyDescent="0.35">
      <c r="L942" s="272"/>
      <c r="W942" s="262"/>
    </row>
    <row r="943" spans="12:23" x14ac:dyDescent="0.35">
      <c r="L943" s="272"/>
      <c r="W943" s="262"/>
    </row>
    <row r="944" spans="12:23" x14ac:dyDescent="0.35">
      <c r="L944" s="272"/>
      <c r="W944" s="262"/>
    </row>
    <row r="945" spans="12:23" x14ac:dyDescent="0.35">
      <c r="L945" s="272"/>
      <c r="W945" s="262"/>
    </row>
    <row r="946" spans="12:23" x14ac:dyDescent="0.35">
      <c r="L946" s="272"/>
      <c r="W946" s="262"/>
    </row>
    <row r="947" spans="12:23" x14ac:dyDescent="0.35">
      <c r="L947" s="272"/>
      <c r="W947" s="262"/>
    </row>
    <row r="948" spans="12:23" x14ac:dyDescent="0.35">
      <c r="L948" s="272"/>
      <c r="W948" s="262"/>
    </row>
    <row r="949" spans="12:23" x14ac:dyDescent="0.35">
      <c r="L949" s="272"/>
      <c r="W949" s="262"/>
    </row>
    <row r="950" spans="12:23" x14ac:dyDescent="0.35">
      <c r="L950" s="272"/>
      <c r="W950" s="262"/>
    </row>
    <row r="951" spans="12:23" x14ac:dyDescent="0.35">
      <c r="L951" s="272"/>
      <c r="W951" s="262"/>
    </row>
    <row r="952" spans="12:23" x14ac:dyDescent="0.35">
      <c r="L952" s="272"/>
      <c r="W952" s="262"/>
    </row>
    <row r="953" spans="12:23" x14ac:dyDescent="0.35">
      <c r="L953" s="272"/>
      <c r="W953" s="262"/>
    </row>
    <row r="954" spans="12:23" x14ac:dyDescent="0.35">
      <c r="L954" s="272"/>
      <c r="W954" s="262"/>
    </row>
    <row r="955" spans="12:23" x14ac:dyDescent="0.35">
      <c r="L955" s="272"/>
      <c r="W955" s="262"/>
    </row>
    <row r="956" spans="12:23" x14ac:dyDescent="0.35">
      <c r="L956" s="272"/>
      <c r="W956" s="262"/>
    </row>
    <row r="957" spans="12:23" x14ac:dyDescent="0.35">
      <c r="L957" s="272"/>
      <c r="W957" s="262"/>
    </row>
    <row r="958" spans="12:23" x14ac:dyDescent="0.35">
      <c r="L958" s="272"/>
      <c r="W958" s="262"/>
    </row>
    <row r="959" spans="12:23" x14ac:dyDescent="0.35">
      <c r="L959" s="272"/>
      <c r="W959" s="262"/>
    </row>
    <row r="960" spans="12:23" x14ac:dyDescent="0.35">
      <c r="L960" s="272"/>
      <c r="W960" s="262"/>
    </row>
    <row r="961" spans="12:23" x14ac:dyDescent="0.35">
      <c r="L961" s="272"/>
      <c r="W961" s="262"/>
    </row>
    <row r="962" spans="12:23" x14ac:dyDescent="0.35">
      <c r="L962" s="272"/>
      <c r="W962" s="262"/>
    </row>
    <row r="963" spans="12:23" x14ac:dyDescent="0.35">
      <c r="L963" s="272"/>
      <c r="W963" s="262"/>
    </row>
    <row r="964" spans="12:23" x14ac:dyDescent="0.35">
      <c r="L964" s="272"/>
      <c r="W964" s="262"/>
    </row>
    <row r="965" spans="12:23" x14ac:dyDescent="0.35">
      <c r="L965" s="272"/>
      <c r="W965" s="262"/>
    </row>
    <row r="966" spans="12:23" x14ac:dyDescent="0.35">
      <c r="L966" s="272"/>
      <c r="W966" s="262"/>
    </row>
    <row r="967" spans="12:23" x14ac:dyDescent="0.35">
      <c r="L967" s="272"/>
      <c r="W967" s="262"/>
    </row>
    <row r="968" spans="12:23" x14ac:dyDescent="0.35">
      <c r="L968" s="272"/>
      <c r="W968" s="262"/>
    </row>
    <row r="969" spans="12:23" x14ac:dyDescent="0.35">
      <c r="L969" s="272"/>
      <c r="W969" s="262"/>
    </row>
    <row r="970" spans="12:23" x14ac:dyDescent="0.35">
      <c r="L970" s="272"/>
      <c r="W970" s="262"/>
    </row>
    <row r="971" spans="12:23" x14ac:dyDescent="0.35">
      <c r="L971" s="272"/>
      <c r="W971" s="262"/>
    </row>
    <row r="972" spans="12:23" x14ac:dyDescent="0.35">
      <c r="L972" s="272"/>
      <c r="W972" s="262"/>
    </row>
    <row r="973" spans="12:23" x14ac:dyDescent="0.35">
      <c r="L973" s="272"/>
      <c r="W973" s="262"/>
    </row>
    <row r="974" spans="12:23" x14ac:dyDescent="0.35">
      <c r="L974" s="272"/>
      <c r="W974" s="262"/>
    </row>
    <row r="975" spans="12:23" x14ac:dyDescent="0.35">
      <c r="L975" s="272"/>
      <c r="W975" s="262"/>
    </row>
    <row r="976" spans="12:23" x14ac:dyDescent="0.35">
      <c r="L976" s="272"/>
      <c r="W976" s="262"/>
    </row>
    <row r="977" spans="12:23" x14ac:dyDescent="0.35">
      <c r="L977" s="272"/>
      <c r="W977" s="262"/>
    </row>
    <row r="978" spans="12:23" x14ac:dyDescent="0.35">
      <c r="L978" s="272"/>
      <c r="W978" s="262"/>
    </row>
    <row r="979" spans="12:23" x14ac:dyDescent="0.35">
      <c r="L979" s="272"/>
      <c r="W979" s="262"/>
    </row>
    <row r="980" spans="12:23" x14ac:dyDescent="0.35">
      <c r="L980" s="272"/>
      <c r="W980" s="262"/>
    </row>
    <row r="981" spans="12:23" x14ac:dyDescent="0.35">
      <c r="L981" s="272"/>
      <c r="W981" s="262"/>
    </row>
    <row r="982" spans="12:23" x14ac:dyDescent="0.35">
      <c r="L982" s="272"/>
      <c r="W982" s="262"/>
    </row>
    <row r="983" spans="12:23" x14ac:dyDescent="0.35">
      <c r="L983" s="272"/>
      <c r="W983" s="262"/>
    </row>
    <row r="984" spans="12:23" x14ac:dyDescent="0.35">
      <c r="L984" s="272"/>
      <c r="W984" s="262"/>
    </row>
    <row r="985" spans="12:23" x14ac:dyDescent="0.35">
      <c r="L985" s="272"/>
      <c r="W985" s="262"/>
    </row>
    <row r="986" spans="12:23" x14ac:dyDescent="0.35">
      <c r="L986" s="272"/>
      <c r="W986" s="262"/>
    </row>
    <row r="987" spans="12:23" x14ac:dyDescent="0.35">
      <c r="L987" s="272"/>
      <c r="W987" s="262"/>
    </row>
    <row r="988" spans="12:23" x14ac:dyDescent="0.35">
      <c r="L988" s="272"/>
      <c r="W988" s="262"/>
    </row>
    <row r="989" spans="12:23" x14ac:dyDescent="0.35">
      <c r="L989" s="272"/>
      <c r="W989" s="262"/>
    </row>
    <row r="990" spans="12:23" x14ac:dyDescent="0.35">
      <c r="L990" s="272"/>
      <c r="W990" s="262"/>
    </row>
    <row r="991" spans="12:23" x14ac:dyDescent="0.35">
      <c r="L991" s="272"/>
      <c r="W991" s="262"/>
    </row>
    <row r="992" spans="12:23" x14ac:dyDescent="0.35">
      <c r="L992" s="272"/>
      <c r="W992" s="262"/>
    </row>
    <row r="993" spans="12:23" x14ac:dyDescent="0.35">
      <c r="L993" s="272"/>
      <c r="W993" s="262"/>
    </row>
    <row r="994" spans="12:23" x14ac:dyDescent="0.35">
      <c r="L994" s="272"/>
      <c r="W994" s="262"/>
    </row>
    <row r="995" spans="12:23" x14ac:dyDescent="0.35">
      <c r="L995" s="272"/>
      <c r="W995" s="262"/>
    </row>
    <row r="996" spans="12:23" x14ac:dyDescent="0.35">
      <c r="L996" s="272"/>
      <c r="W996" s="262"/>
    </row>
    <row r="997" spans="12:23" x14ac:dyDescent="0.35">
      <c r="L997" s="272"/>
      <c r="W997" s="262"/>
    </row>
    <row r="998" spans="12:23" x14ac:dyDescent="0.35">
      <c r="L998" s="272"/>
      <c r="W998" s="262"/>
    </row>
    <row r="999" spans="12:23" x14ac:dyDescent="0.35">
      <c r="L999" s="272"/>
      <c r="W999" s="262"/>
    </row>
    <row r="1000" spans="12:23" x14ac:dyDescent="0.35">
      <c r="L1000" s="272"/>
      <c r="W1000" s="262"/>
    </row>
  </sheetData>
  <sheetProtection sheet="1" objects="1" scenarios="1" selectLockedCells="1"/>
  <autoFilter ref="Z3:AD5" xr:uid="{50EF3E09-4177-4C89-B433-C604260CC01F}"/>
  <sortState xmlns:xlrd2="http://schemas.microsoft.com/office/spreadsheetml/2017/richdata2" ref="J4:P60">
    <sortCondition ref="J4:J60"/>
  </sortState>
  <mergeCells count="2">
    <mergeCell ref="J2:P2"/>
    <mergeCell ref="R2:X2"/>
  </mergeCells>
  <dataValidations count="43">
    <dataValidation type="list" allowBlank="1" showErrorMessage="1" errorTitle="Ungültige Eingabe" error="Bitte wählen Sie einen Wert aus der Liste." sqref="W34:W504" xr:uid="{D89FED2A-19DC-4BCB-AABC-71820FDA5C19}">
      <formula1>$AD$4:$AD$10</formula1>
    </dataValidation>
    <dataValidation type="list" allowBlank="1" showInputMessage="1" showErrorMessage="1" sqref="K64:K1004 K4:K58" xr:uid="{5F28FE9F-E4FB-4C81-80BB-887D426AFED4}">
      <formula1>lst_EinnahmeAusgabe</formula1>
    </dataValidation>
    <dataValidation type="list" allowBlank="1" showInputMessage="1" showErrorMessage="1" sqref="O64:O1004 O4:O58" xr:uid="{5C16C198-B3F8-4AF3-A794-F646C2C8F26D}">
      <formula1>lst_Faelligkeit</formula1>
    </dataValidation>
    <dataValidation type="list" allowBlank="1" showInputMessage="1" showErrorMessage="1" sqref="M64:M1004 M4:M58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18:V19 V24 V4:V13" xr:uid="{37075337-3EEE-4272-9E2B-4AC5F25ED5CE}">
      <formula1>"1,2,3,4,5,6,7,8,9,10,11,12,13"</formula1>
    </dataValidation>
    <dataValidation type="list" errorStyle="warning" allowBlank="1" showErrorMessage="1" sqref="K59:K60 K62:K63" xr:uid="{39F5ED6A-D7D7-4C69-B1E0-5D401C157211}">
      <formula1>"E,A"</formula1>
    </dataValidation>
    <dataValidation type="list" errorStyle="warning" allowBlank="1" showErrorMessage="1" sqref="M59:M60 M62:M63" xr:uid="{8A8AF435-AC86-40F0-A96F-5E50287B8BE5}">
      <formula1>$AA$4:$AA$13</formula1>
    </dataValidation>
    <dataValidation type="list" errorStyle="warning" allowBlank="1" showErrorMessage="1" sqref="O59:O60 O62:O63" xr:uid="{F657BA74-0C81-43C1-B5DD-0C057142BE48}">
      <formula1>$AC$4:$AC$9</formula1>
    </dataValidation>
    <dataValidation type="list" errorStyle="warning" allowBlank="1" showErrorMessage="1" sqref="V28 V20 V30:V31 V14 V16" xr:uid="{0E1F38F8-E36F-4303-8711-933CAC22265B}">
      <formula1>$F$4:$F$18</formula1>
    </dataValidation>
    <dataValidation type="list" errorStyle="warning" allowBlank="1" showErrorMessage="1" sqref="K61" xr:uid="{5FBDC0B6-4E2B-47EF-B7C9-2272A346F624}">
      <formula1>"E,A"</formula1>
    </dataValidation>
    <dataValidation type="list" errorStyle="warning" allowBlank="1" showErrorMessage="1" sqref="M61" xr:uid="{611CD29D-8D56-4BA8-8D02-87670E89C097}">
      <formula1>$AA$4:$AA$13</formula1>
    </dataValidation>
    <dataValidation type="list" errorStyle="warning" allowBlank="1" showErrorMessage="1" sqref="O61" xr:uid="{8AD031A1-1529-4570-99C8-526564033008}">
      <formula1>$AC$4:$AC$9</formula1>
    </dataValidation>
    <dataValidation type="list" errorStyle="warning" allowBlank="1" showErrorMessage="1" sqref="W33" xr:uid="{41F449C3-3CD6-4F3A-9E61-2DCB83F510C5}">
      <formula1>$AD$4:$AD$11</formula1>
    </dataValidation>
    <dataValidation type="list" errorStyle="warning" allowBlank="1" showErrorMessage="1" sqref="W4" xr:uid="{FB967E51-79AC-4FFA-919C-6AE48D736579}">
      <formula1>$AD$4:$AD$11</formula1>
    </dataValidation>
    <dataValidation type="list" errorStyle="warning" allowBlank="1" showErrorMessage="1" sqref="W5" xr:uid="{9FC32131-EEFB-46A8-B56D-E3E6599EB484}">
      <formula1>$AD$4:$AD$11</formula1>
    </dataValidation>
    <dataValidation type="list" errorStyle="warning" allowBlank="1" showErrorMessage="1" sqref="W6" xr:uid="{F34863B5-9047-434C-82B6-62F2B7218108}">
      <formula1>$AD$4:$AD$11</formula1>
    </dataValidation>
    <dataValidation type="list" errorStyle="warning" allowBlank="1" showErrorMessage="1" sqref="W7" xr:uid="{A1C613FF-5A3F-48F7-8067-6CCE1A711E27}">
      <formula1>$AD$4:$AD$11</formula1>
    </dataValidation>
    <dataValidation type="list" errorStyle="warning" allowBlank="1" showErrorMessage="1" sqref="W8" xr:uid="{9DEE44C4-5C31-4350-B615-6EB7E9AE1447}">
      <formula1>$AD$4:$AD$11</formula1>
    </dataValidation>
    <dataValidation type="list" errorStyle="warning" allowBlank="1" showErrorMessage="1" sqref="W9" xr:uid="{BBF676EC-3E9E-4607-9EF2-1652EAF6BB35}">
      <formula1>$AD$4:$AD$11</formula1>
    </dataValidation>
    <dataValidation type="list" errorStyle="warning" allowBlank="1" showErrorMessage="1" sqref="W10" xr:uid="{81DD460C-88D8-46BE-B6F3-BBDA0B5DE567}">
      <formula1>$AD$4:$AD$11</formula1>
    </dataValidation>
    <dataValidation type="list" errorStyle="warning" allowBlank="1" showErrorMessage="1" sqref="W11" xr:uid="{6CA6E8DC-76EC-4E02-B67F-CB20C2D2081E}">
      <formula1>$AD$4:$AD$11</formula1>
    </dataValidation>
    <dataValidation type="list" errorStyle="warning" allowBlank="1" showErrorMessage="1" sqref="W12" xr:uid="{38C121C6-D5DE-4F93-9478-23B339F816F0}">
      <formula1>$AD$4:$AD$11</formula1>
    </dataValidation>
    <dataValidation type="list" errorStyle="warning" allowBlank="1" showErrorMessage="1" sqref="W13" xr:uid="{93827372-6497-4C68-820B-96EF11BBD5D3}">
      <formula1>$AD$4:$AD$11</formula1>
    </dataValidation>
    <dataValidation type="list" errorStyle="warning" allowBlank="1" showErrorMessage="1" sqref="W14" xr:uid="{53A048E0-4F23-4E19-84A7-2891C22DFA09}">
      <formula1>$AD$4:$AD$11</formula1>
    </dataValidation>
    <dataValidation type="list" errorStyle="warning" allowBlank="1" showErrorMessage="1" sqref="W15" xr:uid="{149EC906-C11B-4051-A764-D458DD1B95F1}">
      <formula1>$AD$4:$AD$11</formula1>
    </dataValidation>
    <dataValidation type="list" errorStyle="warning" allowBlank="1" showErrorMessage="1" sqref="V15" xr:uid="{29B9ED0E-791C-462C-9A42-2A46280C01FC}">
      <formula1>$F$4:$F$18</formula1>
    </dataValidation>
    <dataValidation type="list" errorStyle="warning" allowBlank="1" showErrorMessage="1" sqref="W16" xr:uid="{AB71EF2C-3D84-4E0B-B4B2-BCD89FF2D811}">
      <formula1>$AD$4:$AD$11</formula1>
    </dataValidation>
    <dataValidation type="list" errorStyle="warning" allowBlank="1" showErrorMessage="1" sqref="W17" xr:uid="{6EA61AED-89BF-4CCD-B45C-22D9CE45BB59}">
      <formula1>$AD$4:$AD$11</formula1>
    </dataValidation>
    <dataValidation type="list" errorStyle="warning" allowBlank="1" showErrorMessage="1" sqref="W18" xr:uid="{9ACD9202-C19E-4FAE-82E6-B729E33A5413}">
      <formula1>$AD$4:$AD$11</formula1>
    </dataValidation>
    <dataValidation type="list" errorStyle="warning" allowBlank="1" showErrorMessage="1" sqref="W19" xr:uid="{FE4A260C-872F-4056-A888-705A396600E6}">
      <formula1>$AD$4:$AD$11</formula1>
    </dataValidation>
    <dataValidation type="list" errorStyle="warning" allowBlank="1" showErrorMessage="1" sqref="W20" xr:uid="{59EE6CAF-25F5-47FC-B897-480E76DE522D}">
      <formula1>$AD$4:$AD$11</formula1>
    </dataValidation>
    <dataValidation type="list" errorStyle="warning" allowBlank="1" showErrorMessage="1" sqref="W21" xr:uid="{A5EE766D-F4C4-4C7B-93C0-20649ACC695F}">
      <formula1>$AD$4:$AD$11</formula1>
    </dataValidation>
    <dataValidation type="list" errorStyle="warning" allowBlank="1" showErrorMessage="1" sqref="W22" xr:uid="{71DD0629-EC9D-4717-A817-DCB6F5BC3C22}">
      <formula1>$AD$4:$AD$11</formula1>
    </dataValidation>
    <dataValidation type="list" errorStyle="warning" allowBlank="1" showErrorMessage="1" sqref="W23" xr:uid="{255F8CA7-179F-4479-933F-6788085B621D}">
      <formula1>$AD$4:$AD$11</formula1>
    </dataValidation>
    <dataValidation type="list" errorStyle="warning" allowBlank="1" showErrorMessage="1" sqref="W24" xr:uid="{C708ACFC-2765-432C-A839-92EAF8A34227}">
      <formula1>$AD$4:$AD$11</formula1>
    </dataValidation>
    <dataValidation type="list" errorStyle="warning" allowBlank="1" showErrorMessage="1" sqref="W25" xr:uid="{D2CAFF9C-D490-49B9-B4C8-C9F0DDCF096B}">
      <formula1>$AD$4:$AD$11</formula1>
    </dataValidation>
    <dataValidation type="list" errorStyle="warning" allowBlank="1" showErrorMessage="1" sqref="W26" xr:uid="{9D42CD26-4B7B-47B1-B9D0-1F4F1402FAC7}">
      <formula1>$AD$4:$AD$11</formula1>
    </dataValidation>
    <dataValidation type="list" errorStyle="warning" allowBlank="1" showErrorMessage="1" sqref="W27" xr:uid="{770A69F0-4330-4384-8852-C660D75E779B}">
      <formula1>$AD$4:$AD$11</formula1>
    </dataValidation>
    <dataValidation type="list" errorStyle="warning" allowBlank="1" showErrorMessage="1" sqref="W28" xr:uid="{021DF249-31B9-4C89-B331-A8A36C05EAA9}">
      <formula1>$AD$4:$AD$11</formula1>
    </dataValidation>
    <dataValidation type="list" errorStyle="warning" allowBlank="1" showErrorMessage="1" sqref="W29" xr:uid="{75B0A3B8-2CD5-4D38-8B96-8782D8D49629}">
      <formula1>$AD$4:$AD$11</formula1>
    </dataValidation>
    <dataValidation type="list" errorStyle="warning" allowBlank="1" showErrorMessage="1" sqref="W30" xr:uid="{CA71325E-0025-4CB0-B129-B8CA5DB17B3D}">
      <formula1>$AD$4:$AD$11</formula1>
    </dataValidation>
    <dataValidation type="list" errorStyle="warning" allowBlank="1" showErrorMessage="1" sqref="W31" xr:uid="{44955954-29E7-4E04-A4C5-298BA621789B}">
      <formula1>$AD$4:$AD$11</formula1>
    </dataValidation>
    <dataValidation type="list" errorStyle="warning" allowBlank="1" showErrorMessage="1" sqref="W32" xr:uid="{E9AE9AFD-064A-47A7-A84A-AD2667A3A76A}">
      <formula1>$AD$4:$AD$11</formula1>
    </dataValidation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9">
        <x14:dataValidation type="list" errorStyle="warning" allowBlank="1" showErrorMessage="1" xr:uid="{B075CA48-CCBE-4F71-8B8D-EA339542491E}">
          <x14:formula1>
            <xm:f>Bankkonto!$M$27:$Z$27</xm:f>
          </x14:formula1>
          <xm:sqref>N62:N63</xm:sqref>
        </x14:dataValidation>
        <x14:dataValidation type="list" errorStyle="warning" allowBlank="1" showErrorMessage="1" xr:uid="{E10B4D63-7D5B-4A8A-AD1B-5E1E1C56B8DB}">
          <x14:formula1>
            <xm:f>Bankkonto!$T$27:$Z$27</xm:f>
          </x14:formula1>
          <xm:sqref>N4</xm:sqref>
        </x14:dataValidation>
        <x14:dataValidation type="list" errorStyle="warning" allowBlank="1" showErrorMessage="1" xr:uid="{B84DF532-BFE6-4568-968B-71A4602C3F35}">
          <x14:formula1>
            <xm:f>Bankkonto!$T$27:$Z$27</xm:f>
          </x14:formula1>
          <xm:sqref>N5</xm:sqref>
        </x14:dataValidation>
        <x14:dataValidation type="list" errorStyle="warning" allowBlank="1" showErrorMessage="1" xr:uid="{0F25D787-C8ED-4CD9-9EA9-0CF4B7FB2649}">
          <x14:formula1>
            <xm:f>Bankkonto!$M$27:$S$27</xm:f>
          </x14:formula1>
          <xm:sqref>N6</xm:sqref>
        </x14:dataValidation>
        <x14:dataValidation type="list" errorStyle="warning" allowBlank="1" showErrorMessage="1" xr:uid="{DC489A58-86AB-48B0-A32E-B37371FBE880}">
          <x14:formula1>
            <xm:f>Bankkonto!$T$27:$Z$27</xm:f>
          </x14:formula1>
          <xm:sqref>N7</xm:sqref>
        </x14:dataValidation>
        <x14:dataValidation type="list" errorStyle="warning" allowBlank="1" showErrorMessage="1" xr:uid="{C7ADF616-18AD-4E89-A5DB-A8301124DBC6}">
          <x14:formula1>
            <xm:f>Bankkonto!$T$27:$Z$27</xm:f>
          </x14:formula1>
          <xm:sqref>N8</xm:sqref>
        </x14:dataValidation>
        <x14:dataValidation type="list" errorStyle="warning" allowBlank="1" showErrorMessage="1" xr:uid="{E3FB5635-3D94-45E3-A030-C28401FAC2A2}">
          <x14:formula1>
            <xm:f>Bankkonto!$T$27:$Z$27</xm:f>
          </x14:formula1>
          <xm:sqref>N9</xm:sqref>
        </x14:dataValidation>
        <x14:dataValidation type="list" errorStyle="warning" allowBlank="1" showErrorMessage="1" xr:uid="{9C0DC149-1B10-4015-9762-8820C8EE64D6}">
          <x14:formula1>
            <xm:f>Bankkonto!$T$27:$Z$27</xm:f>
          </x14:formula1>
          <xm:sqref>N10</xm:sqref>
        </x14:dataValidation>
        <x14:dataValidation type="list" errorStyle="warning" allowBlank="1" showErrorMessage="1" xr:uid="{B7424F98-3EB6-4E82-8022-985E8A32D0AB}">
          <x14:formula1>
            <xm:f>Bankkonto!$T$27:$Z$27</xm:f>
          </x14:formula1>
          <xm:sqref>N11</xm:sqref>
        </x14:dataValidation>
        <x14:dataValidation type="list" errorStyle="warning" allowBlank="1" showErrorMessage="1" xr:uid="{81000A18-0274-4CF1-8090-7031F22627DF}">
          <x14:formula1>
            <xm:f>Bankkonto!$M$27:$S$27</xm:f>
          </x14:formula1>
          <xm:sqref>N12</xm:sqref>
        </x14:dataValidation>
        <x14:dataValidation type="list" errorStyle="warning" allowBlank="1" showErrorMessage="1" xr:uid="{A6B425A0-727A-4AF3-BD98-7D95E96CEE75}">
          <x14:formula1>
            <xm:f>Bankkonto!$M$27:$S$27</xm:f>
          </x14:formula1>
          <xm:sqref>N13</xm:sqref>
        </x14:dataValidation>
        <x14:dataValidation type="list" errorStyle="warning" allowBlank="1" showErrorMessage="1" xr:uid="{0CDAAC08-FABD-4C0D-8CC3-32A1C56E4F4F}">
          <x14:formula1>
            <xm:f>Bankkonto!$M$27:$S$27</xm:f>
          </x14:formula1>
          <xm:sqref>N14</xm:sqref>
        </x14:dataValidation>
        <x14:dataValidation type="list" errorStyle="warning" allowBlank="1" showErrorMessage="1" xr:uid="{40626AA5-0AC0-439C-BD92-61296683C6F6}">
          <x14:formula1>
            <xm:f>Bankkonto!$M$27:$S$27</xm:f>
          </x14:formula1>
          <xm:sqref>N15</xm:sqref>
        </x14:dataValidation>
        <x14:dataValidation type="list" errorStyle="warning" allowBlank="1" showErrorMessage="1" xr:uid="{788DF2A4-3979-47A3-A462-758671E02731}">
          <x14:formula1>
            <xm:f>Bankkonto!$M$27:$S$27</xm:f>
          </x14:formula1>
          <xm:sqref>N16</xm:sqref>
        </x14:dataValidation>
        <x14:dataValidation type="list" errorStyle="warning" allowBlank="1" showErrorMessage="1" xr:uid="{CB1BEF5A-BBF9-4A14-A2C9-47F5BF295FDD}">
          <x14:formula1>
            <xm:f>Bankkonto!$T$27:$Z$27</xm:f>
          </x14:formula1>
          <xm:sqref>N17</xm:sqref>
        </x14:dataValidation>
        <x14:dataValidation type="list" errorStyle="warning" allowBlank="1" showErrorMessage="1" xr:uid="{EE30DFE2-90AF-4A11-AD2B-07FB27A7DC7B}">
          <x14:formula1>
            <xm:f>Bankkonto!$T$27:$Z$27</xm:f>
          </x14:formula1>
          <xm:sqref>N18</xm:sqref>
        </x14:dataValidation>
        <x14:dataValidation type="list" errorStyle="warning" allowBlank="1" showErrorMessage="1" xr:uid="{03DAE053-0CDC-48F6-8F3A-9186976F716C}">
          <x14:formula1>
            <xm:f>Bankkonto!$T$27:$Z$27</xm:f>
          </x14:formula1>
          <xm:sqref>N19</xm:sqref>
        </x14:dataValidation>
        <x14:dataValidation type="list" errorStyle="warning" allowBlank="1" showErrorMessage="1" xr:uid="{FF7EB999-6B13-4340-ADBD-44E80CA055BB}">
          <x14:formula1>
            <xm:f>Bankkonto!$M$27:$S$27</xm:f>
          </x14:formula1>
          <xm:sqref>N20</xm:sqref>
        </x14:dataValidation>
        <x14:dataValidation type="list" errorStyle="warning" allowBlank="1" showErrorMessage="1" xr:uid="{375CFCBB-7E85-4A4B-B6FD-5835C67C3766}">
          <x14:formula1>
            <xm:f>Bankkonto!$T$27:$Z$27</xm:f>
          </x14:formula1>
          <xm:sqref>N21</xm:sqref>
        </x14:dataValidation>
        <x14:dataValidation type="list" errorStyle="warning" allowBlank="1" showErrorMessage="1" xr:uid="{E9AD0054-3881-4E7E-BE03-6DEC8ADBAF2E}">
          <x14:formula1>
            <xm:f>Bankkonto!$T$27:$Z$27</xm:f>
          </x14:formula1>
          <xm:sqref>N22</xm:sqref>
        </x14:dataValidation>
        <x14:dataValidation type="list" errorStyle="warning" allowBlank="1" showErrorMessage="1" xr:uid="{B224CB28-826F-4F67-8B89-0C3B372368AB}">
          <x14:formula1>
            <xm:f>Bankkonto!$M$27:$S$27</xm:f>
          </x14:formula1>
          <xm:sqref>N23</xm:sqref>
        </x14:dataValidation>
        <x14:dataValidation type="list" errorStyle="warning" allowBlank="1" showErrorMessage="1" xr:uid="{A2F50300-CDBC-4D84-B529-FA5B50F807B5}">
          <x14:formula1>
            <xm:f>Bankkonto!$T$27:$Z$27</xm:f>
          </x14:formula1>
          <xm:sqref>N24</xm:sqref>
        </x14:dataValidation>
        <x14:dataValidation type="list" errorStyle="warning" allowBlank="1" showErrorMessage="1" xr:uid="{6249A4BD-D51E-4589-B3EE-6F31DA702734}">
          <x14:formula1>
            <xm:f>Bankkonto!$T$27:$Z$27</xm:f>
          </x14:formula1>
          <xm:sqref>N25</xm:sqref>
        </x14:dataValidation>
        <x14:dataValidation type="list" errorStyle="warning" allowBlank="1" showErrorMessage="1" xr:uid="{4439909C-C300-490F-B4DF-87547CD9BA32}">
          <x14:formula1>
            <xm:f>Bankkonto!$T$27:$Z$27</xm:f>
          </x14:formula1>
          <xm:sqref>N26</xm:sqref>
        </x14:dataValidation>
        <x14:dataValidation type="list" errorStyle="warning" allowBlank="1" showErrorMessage="1" xr:uid="{DA1D5FEB-062E-4336-BDBA-E66E1B3704A1}">
          <x14:formula1>
            <xm:f>Bankkonto!$T$27:$Z$27</xm:f>
          </x14:formula1>
          <xm:sqref>N27</xm:sqref>
        </x14:dataValidation>
        <x14:dataValidation type="list" errorStyle="warning" allowBlank="1" showErrorMessage="1" xr:uid="{1E388F28-861E-4E40-8819-A2CCC0492FAC}">
          <x14:formula1>
            <xm:f>Bankkonto!$T$27:$Z$27</xm:f>
          </x14:formula1>
          <xm:sqref>N28</xm:sqref>
        </x14:dataValidation>
        <x14:dataValidation type="list" errorStyle="warning" allowBlank="1" showErrorMessage="1" xr:uid="{C6A66786-F189-4195-A276-85C892A00F5E}">
          <x14:formula1>
            <xm:f>Bankkonto!$T$27:$Z$27</xm:f>
          </x14:formula1>
          <xm:sqref>N29</xm:sqref>
        </x14:dataValidation>
        <x14:dataValidation type="list" errorStyle="warning" allowBlank="1" showErrorMessage="1" xr:uid="{48833813-A365-4D1E-8722-781F801EEEFD}">
          <x14:formula1>
            <xm:f>Bankkonto!$T$27:$Z$27</xm:f>
          </x14:formula1>
          <xm:sqref>N30</xm:sqref>
        </x14:dataValidation>
        <x14:dataValidation type="list" errorStyle="warning" allowBlank="1" showErrorMessage="1" xr:uid="{4D45F7D2-6C14-4C85-9837-CCE60732DF26}">
          <x14:formula1>
            <xm:f>Bankkonto!$T$27:$Z$27</xm:f>
          </x14:formula1>
          <xm:sqref>N31</xm:sqref>
        </x14:dataValidation>
        <x14:dataValidation type="list" errorStyle="warning" allowBlank="1" showErrorMessage="1" xr:uid="{9F75FA6C-9DFC-4D52-91A4-5BD6BE6A8216}">
          <x14:formula1>
            <xm:f>Bankkonto!$M$27:$S$27</xm:f>
          </x14:formula1>
          <xm:sqref>N32</xm:sqref>
        </x14:dataValidation>
        <x14:dataValidation type="list" errorStyle="warning" allowBlank="1" showErrorMessage="1" xr:uid="{CBFE9010-3E75-4A19-8A27-1B5B14A3768A}">
          <x14:formula1>
            <xm:f>Bankkonto!$M$27:$S$27</xm:f>
          </x14:formula1>
          <xm:sqref>N33</xm:sqref>
        </x14:dataValidation>
        <x14:dataValidation type="list" errorStyle="warning" allowBlank="1" showErrorMessage="1" xr:uid="{2719B17C-F291-43D9-9CAE-779612CA9457}">
          <x14:formula1>
            <xm:f>Bankkonto!$M$27:$S$27</xm:f>
          </x14:formula1>
          <xm:sqref>N34</xm:sqref>
        </x14:dataValidation>
        <x14:dataValidation type="list" errorStyle="warning" allowBlank="1" showErrorMessage="1" xr:uid="{C8C7500D-2EDC-423E-95F8-16B4DAD132F1}">
          <x14:formula1>
            <xm:f>Bankkonto!$M$27:$S$27</xm:f>
          </x14:formula1>
          <xm:sqref>N35</xm:sqref>
        </x14:dataValidation>
        <x14:dataValidation type="list" errorStyle="warning" allowBlank="1" showErrorMessage="1" xr:uid="{5E34CDE2-C7E8-4718-94DB-3E0655B6406D}">
          <x14:formula1>
            <xm:f>Bankkonto!$M$27:$S$27</xm:f>
          </x14:formula1>
          <xm:sqref>N36</xm:sqref>
        </x14:dataValidation>
        <x14:dataValidation type="list" errorStyle="warning" allowBlank="1" showErrorMessage="1" xr:uid="{0FEAA2B7-837B-4018-80F1-456D38C365ED}">
          <x14:formula1>
            <xm:f>Bankkonto!$T$27:$Z$27</xm:f>
          </x14:formula1>
          <xm:sqref>N37</xm:sqref>
        </x14:dataValidation>
        <x14:dataValidation type="list" errorStyle="warning" allowBlank="1" showErrorMessage="1" xr:uid="{F6D2D562-1E0D-4EF5-8767-4F6AA708B533}">
          <x14:formula1>
            <xm:f>Bankkonto!$M$27:$S$27</xm:f>
          </x14:formula1>
          <xm:sqref>N38</xm:sqref>
        </x14:dataValidation>
        <x14:dataValidation type="list" errorStyle="warning" allowBlank="1" showErrorMessage="1" xr:uid="{1C70A728-5423-46E3-998D-F5E27F829A07}">
          <x14:formula1>
            <xm:f>Bankkonto!$M$27:$S$27</xm:f>
          </x14:formula1>
          <xm:sqref>N39</xm:sqref>
        </x14:dataValidation>
        <x14:dataValidation type="list" errorStyle="warning" allowBlank="1" showErrorMessage="1" xr:uid="{F8769AFB-7DC6-4E42-9E60-5A9E6CB73AFC}">
          <x14:formula1>
            <xm:f>Bankkonto!$M$27:$S$27</xm:f>
          </x14:formula1>
          <xm:sqref>N40</xm:sqref>
        </x14:dataValidation>
        <x14:dataValidation type="list" errorStyle="warning" allowBlank="1" showErrorMessage="1" xr:uid="{8F4D28E9-11C5-4D53-B6B2-C7027B5A0A33}">
          <x14:formula1>
            <xm:f>Bankkonto!$M$27:$S$27</xm:f>
          </x14:formula1>
          <xm:sqref>N41</xm:sqref>
        </x14:dataValidation>
        <x14:dataValidation type="list" errorStyle="warning" allowBlank="1" showErrorMessage="1" xr:uid="{95CC317A-82B7-4D4A-B59E-0135299F6575}">
          <x14:formula1>
            <xm:f>Bankkonto!$M$27:$S$27</xm:f>
          </x14:formula1>
          <xm:sqref>N42</xm:sqref>
        </x14:dataValidation>
        <x14:dataValidation type="list" errorStyle="warning" allowBlank="1" showErrorMessage="1" xr:uid="{F1A527AE-8BF0-44AC-83EF-D29FF7BA656D}">
          <x14:formula1>
            <xm:f>Bankkonto!$M$27:$S$27</xm:f>
          </x14:formula1>
          <xm:sqref>N43</xm:sqref>
        </x14:dataValidation>
        <x14:dataValidation type="list" errorStyle="warning" allowBlank="1" showErrorMessage="1" xr:uid="{6C15ED71-26E0-4769-BF0A-0E5DEE74C5EA}">
          <x14:formula1>
            <xm:f>Bankkonto!$M$27:$S$27</xm:f>
          </x14:formula1>
          <xm:sqref>N44</xm:sqref>
        </x14:dataValidation>
        <x14:dataValidation type="list" errorStyle="warning" allowBlank="1" showErrorMessage="1" xr:uid="{AC97CEED-338D-4B10-8085-B969F8490F0D}">
          <x14:formula1>
            <xm:f>Bankkonto!$M$27:$S$27</xm:f>
          </x14:formula1>
          <xm:sqref>N45</xm:sqref>
        </x14:dataValidation>
        <x14:dataValidation type="list" errorStyle="warning" allowBlank="1" showErrorMessage="1" xr:uid="{D8D7D052-67FD-4FB5-8AF0-CF41EC0180C6}">
          <x14:formula1>
            <xm:f>Bankkonto!$M$27:$S$27</xm:f>
          </x14:formula1>
          <xm:sqref>N46</xm:sqref>
        </x14:dataValidation>
        <x14:dataValidation type="list" errorStyle="warning" allowBlank="1" showErrorMessage="1" xr:uid="{56CB16C2-26BB-4413-B61F-4B9F55ED4E92}">
          <x14:formula1>
            <xm:f>Bankkonto!$T$27:$Z$27</xm:f>
          </x14:formula1>
          <xm:sqref>N47</xm:sqref>
        </x14:dataValidation>
        <x14:dataValidation type="list" errorStyle="warning" allowBlank="1" showErrorMessage="1" xr:uid="{7AEBCC95-5FCA-4334-84C1-E2CE5E2D779D}">
          <x14:formula1>
            <xm:f>Bankkonto!$T$27:$Z$27</xm:f>
          </x14:formula1>
          <xm:sqref>N48</xm:sqref>
        </x14:dataValidation>
        <x14:dataValidation type="list" errorStyle="warning" allowBlank="1" showErrorMessage="1" xr:uid="{69EEC30F-C99A-4A0B-89E7-665FE12B0B87}">
          <x14:formula1>
            <xm:f>Bankkonto!$M$27:$S$27</xm:f>
          </x14:formula1>
          <xm:sqref>N49</xm:sqref>
        </x14:dataValidation>
        <x14:dataValidation type="list" errorStyle="warning" allowBlank="1" showErrorMessage="1" xr:uid="{7DBB5E9C-4F36-481B-847F-0B3822CA8B85}">
          <x14:formula1>
            <xm:f>Bankkonto!$T$27:$Z$27</xm:f>
          </x14:formula1>
          <xm:sqref>N50</xm:sqref>
        </x14:dataValidation>
        <x14:dataValidation type="list" errorStyle="warning" allowBlank="1" showErrorMessage="1" xr:uid="{68EE208F-A13B-40FA-8AF7-AE1B42EC740B}">
          <x14:formula1>
            <xm:f>Bankkonto!$T$27:$Z$27</xm:f>
          </x14:formula1>
          <xm:sqref>N51</xm:sqref>
        </x14:dataValidation>
        <x14:dataValidation type="list" errorStyle="warning" allowBlank="1" showErrorMessage="1" xr:uid="{F1E063E9-252A-4795-9FC8-51F7B4405E9B}">
          <x14:formula1>
            <xm:f>Bankkonto!$T$27:$Z$27</xm:f>
          </x14:formula1>
          <xm:sqref>N52</xm:sqref>
        </x14:dataValidation>
        <x14:dataValidation type="list" errorStyle="warning" allowBlank="1" showErrorMessage="1" xr:uid="{674EC988-B7EB-4154-80A1-EDAA7A413948}">
          <x14:formula1>
            <xm:f>Bankkonto!$T$27:$Z$27</xm:f>
          </x14:formula1>
          <xm:sqref>N53</xm:sqref>
        </x14:dataValidation>
        <x14:dataValidation type="list" errorStyle="warning" allowBlank="1" showErrorMessage="1" xr:uid="{F0D29774-E65A-41DC-BD5A-F763C4D21F93}">
          <x14:formula1>
            <xm:f>Bankkonto!$T$27:$Z$27</xm:f>
          </x14:formula1>
          <xm:sqref>N54</xm:sqref>
        </x14:dataValidation>
        <x14:dataValidation type="list" errorStyle="warning" allowBlank="1" showErrorMessage="1" xr:uid="{CD589812-8448-4C47-8FF3-EFF0A6B447BE}">
          <x14:formula1>
            <xm:f>Bankkonto!$T$27:$Z$27</xm:f>
          </x14:formula1>
          <xm:sqref>N55</xm:sqref>
        </x14:dataValidation>
        <x14:dataValidation type="list" errorStyle="warning" allowBlank="1" showErrorMessage="1" xr:uid="{A5331C21-64E9-4D42-BBDB-4121B971AADF}">
          <x14:formula1>
            <xm:f>Bankkonto!$T$27:$Z$27</xm:f>
          </x14:formula1>
          <xm:sqref>N56</xm:sqref>
        </x14:dataValidation>
        <x14:dataValidation type="list" errorStyle="warning" allowBlank="1" showErrorMessage="1" xr:uid="{8C0CFD43-9208-4A42-9FD3-FD69A2581E37}">
          <x14:formula1>
            <xm:f>Bankkonto!$T$27:$Z$27</xm:f>
          </x14:formula1>
          <xm:sqref>N57</xm:sqref>
        </x14:dataValidation>
        <x14:dataValidation type="list" errorStyle="warning" allowBlank="1" showErrorMessage="1" xr:uid="{7E9A5F7C-98A7-4102-B200-959DE7093B2C}">
          <x14:formula1>
            <xm:f>Bankkonto!$T$27:$Z$27</xm:f>
          </x14:formula1>
          <xm:sqref>N58</xm:sqref>
        </x14:dataValidation>
        <x14:dataValidation type="list" errorStyle="warning" allowBlank="1" showErrorMessage="1" xr:uid="{29D3F35E-CD9A-4553-9362-589A22DB642C}">
          <x14:formula1>
            <xm:f>Bankkonto!$T$27:$Z$27</xm:f>
          </x14:formula1>
          <xm:sqref>N59</xm:sqref>
        </x14:dataValidation>
        <x14:dataValidation type="list" errorStyle="warning" allowBlank="1" showErrorMessage="1" xr:uid="{CE5558B5-CF5C-4F7A-8817-919AA9565E53}">
          <x14:formula1>
            <xm:f>Bankkonto!$T$27:$Z$27</xm:f>
          </x14:formula1>
          <xm:sqref>N60</xm:sqref>
        </x14:dataValidation>
        <x14:dataValidation type="list" errorStyle="warning" allowBlank="1" showErrorMessage="1" xr:uid="{52E3808B-4462-4EA9-ABE7-6F389FE1BE0F}">
          <x14:formula1>
            <xm:f>Bankkonto!$M$27:$Z$27</xm:f>
          </x14:formula1>
          <xm:sqref>N61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RowHeight="14.5" x14ac:dyDescent="0.35"/>
  <cols>
    <col min="1" max="1" width="10.81640625" style="350"/>
    <col min="2" max="16384" width="10.90625" style="462"/>
  </cols>
  <sheetData>
    <row r="1" spans="1:1" x14ac:dyDescent="0.35">
      <c r="A1" s="350" t="s">
        <v>560</v>
      </c>
    </row>
    <row r="2" spans="1:1" x14ac:dyDescent="0.35">
      <c r="A2" s="350" t="s">
        <v>558</v>
      </c>
    </row>
    <row r="3" spans="1:1" x14ac:dyDescent="0.35">
      <c r="A3" s="350" t="s">
        <v>547</v>
      </c>
    </row>
    <row r="4" spans="1:1" x14ac:dyDescent="0.35">
      <c r="A4" s="350" t="s">
        <v>550</v>
      </c>
    </row>
    <row r="5" spans="1:1" x14ac:dyDescent="0.35">
      <c r="A5" s="350" t="s">
        <v>546</v>
      </c>
    </row>
    <row r="6" spans="1:1" x14ac:dyDescent="0.35">
      <c r="A6" s="350" t="s">
        <v>559</v>
      </c>
    </row>
    <row r="7" spans="1:1" x14ac:dyDescent="0.35">
      <c r="A7" s="350" t="s">
        <v>558</v>
      </c>
    </row>
    <row r="8" spans="1:1" x14ac:dyDescent="0.35">
      <c r="A8" s="350" t="s">
        <v>547</v>
      </c>
    </row>
    <row r="9" spans="1:1" x14ac:dyDescent="0.35">
      <c r="A9" s="350" t="s">
        <v>550</v>
      </c>
    </row>
    <row r="10" spans="1:1" x14ac:dyDescent="0.35">
      <c r="A10" s="350" t="s">
        <v>546</v>
      </c>
    </row>
    <row r="11" spans="1:1" x14ac:dyDescent="0.35">
      <c r="A11" s="350" t="s">
        <v>557</v>
      </c>
    </row>
    <row r="12" spans="1:1" x14ac:dyDescent="0.35">
      <c r="A12" s="350" t="s">
        <v>558</v>
      </c>
    </row>
    <row r="13" spans="1:1" x14ac:dyDescent="0.35">
      <c r="A13" s="350" t="s">
        <v>547</v>
      </c>
    </row>
    <row r="14" spans="1:1" x14ac:dyDescent="0.35">
      <c r="A14" s="350" t="s">
        <v>550</v>
      </c>
    </row>
    <row r="15" spans="1:1" x14ac:dyDescent="0.35">
      <c r="A15" s="350" t="s">
        <v>546</v>
      </c>
    </row>
    <row r="16" spans="1:1" x14ac:dyDescent="0.35">
      <c r="A16" s="350" t="s">
        <v>556</v>
      </c>
    </row>
    <row r="17" spans="1:1" x14ac:dyDescent="0.35">
      <c r="A17" s="350" t="s">
        <v>551</v>
      </c>
    </row>
    <row r="18" spans="1:1" x14ac:dyDescent="0.35">
      <c r="A18" s="350" t="s">
        <v>547</v>
      </c>
    </row>
    <row r="19" spans="1:1" x14ac:dyDescent="0.35">
      <c r="A19" s="350" t="s">
        <v>548</v>
      </c>
    </row>
    <row r="20" spans="1:1" x14ac:dyDescent="0.35">
      <c r="A20" s="350" t="s">
        <v>546</v>
      </c>
    </row>
    <row r="21" spans="1:1" x14ac:dyDescent="0.35">
      <c r="A21" s="350" t="s">
        <v>555</v>
      </c>
    </row>
    <row r="22" spans="1:1" x14ac:dyDescent="0.35">
      <c r="A22" s="350" t="s">
        <v>551</v>
      </c>
    </row>
    <row r="23" spans="1:1" x14ac:dyDescent="0.35">
      <c r="A23" s="350" t="s">
        <v>547</v>
      </c>
    </row>
    <row r="24" spans="1:1" x14ac:dyDescent="0.35">
      <c r="A24" s="350" t="s">
        <v>548</v>
      </c>
    </row>
    <row r="25" spans="1:1" x14ac:dyDescent="0.35">
      <c r="A25" s="350" t="s">
        <v>546</v>
      </c>
    </row>
    <row r="26" spans="1:1" x14ac:dyDescent="0.35">
      <c r="A26" s="350" t="s">
        <v>554</v>
      </c>
    </row>
    <row r="27" spans="1:1" x14ac:dyDescent="0.35">
      <c r="A27" s="350" t="s">
        <v>551</v>
      </c>
    </row>
    <row r="28" spans="1:1" x14ac:dyDescent="0.35">
      <c r="A28" s="350" t="s">
        <v>547</v>
      </c>
    </row>
    <row r="29" spans="1:1" x14ac:dyDescent="0.35">
      <c r="A29" s="350" t="s">
        <v>550</v>
      </c>
    </row>
    <row r="30" spans="1:1" x14ac:dyDescent="0.35">
      <c r="A30" s="350" t="s">
        <v>546</v>
      </c>
    </row>
    <row r="31" spans="1:1" x14ac:dyDescent="0.35">
      <c r="A31" s="350" t="s">
        <v>554</v>
      </c>
    </row>
    <row r="32" spans="1:1" x14ac:dyDescent="0.35">
      <c r="A32" s="350" t="s">
        <v>551</v>
      </c>
    </row>
    <row r="33" spans="1:1" x14ac:dyDescent="0.35">
      <c r="A33" s="350" t="s">
        <v>547</v>
      </c>
    </row>
    <row r="34" spans="1:1" x14ac:dyDescent="0.35">
      <c r="A34" s="350" t="s">
        <v>548</v>
      </c>
    </row>
    <row r="35" spans="1:1" x14ac:dyDescent="0.35">
      <c r="A35" s="350" t="s">
        <v>546</v>
      </c>
    </row>
    <row r="36" spans="1:1" x14ac:dyDescent="0.35">
      <c r="A36" s="350" t="s">
        <v>553</v>
      </c>
    </row>
    <row r="37" spans="1:1" x14ac:dyDescent="0.35">
      <c r="A37" s="350" t="s">
        <v>551</v>
      </c>
    </row>
    <row r="38" spans="1:1" x14ac:dyDescent="0.35">
      <c r="A38" s="350" t="s">
        <v>547</v>
      </c>
    </row>
    <row r="39" spans="1:1" x14ac:dyDescent="0.35">
      <c r="A39" s="350" t="s">
        <v>550</v>
      </c>
    </row>
    <row r="40" spans="1:1" x14ac:dyDescent="0.35">
      <c r="A40" s="350" t="s">
        <v>546</v>
      </c>
    </row>
    <row r="41" spans="1:1" x14ac:dyDescent="0.35">
      <c r="A41" s="350" t="s">
        <v>553</v>
      </c>
    </row>
    <row r="42" spans="1:1" x14ac:dyDescent="0.35">
      <c r="A42" s="350" t="s">
        <v>551</v>
      </c>
    </row>
    <row r="43" spans="1:1" x14ac:dyDescent="0.35">
      <c r="A43" s="350" t="s">
        <v>547</v>
      </c>
    </row>
    <row r="44" spans="1:1" x14ac:dyDescent="0.35">
      <c r="A44" s="350" t="s">
        <v>548</v>
      </c>
    </row>
    <row r="45" spans="1:1" x14ac:dyDescent="0.35">
      <c r="A45" s="350" t="s">
        <v>546</v>
      </c>
    </row>
    <row r="46" spans="1:1" x14ac:dyDescent="0.35">
      <c r="A46" s="350" t="s">
        <v>552</v>
      </c>
    </row>
    <row r="47" spans="1:1" x14ac:dyDescent="0.35">
      <c r="A47" s="350" t="s">
        <v>551</v>
      </c>
    </row>
    <row r="48" spans="1:1" x14ac:dyDescent="0.35">
      <c r="A48" s="350" t="s">
        <v>547</v>
      </c>
    </row>
    <row r="49" spans="1:1" x14ac:dyDescent="0.35">
      <c r="A49" s="350" t="s">
        <v>550</v>
      </c>
    </row>
    <row r="50" spans="1:1" x14ac:dyDescent="0.35">
      <c r="A50" s="350" t="s">
        <v>546</v>
      </c>
    </row>
    <row r="51" spans="1:1" x14ac:dyDescent="0.35">
      <c r="A51" s="350" t="s">
        <v>552</v>
      </c>
    </row>
    <row r="52" spans="1:1" x14ac:dyDescent="0.35">
      <c r="A52" s="350" t="s">
        <v>551</v>
      </c>
    </row>
    <row r="53" spans="1:1" x14ac:dyDescent="0.35">
      <c r="A53" s="350" t="s">
        <v>547</v>
      </c>
    </row>
    <row r="54" spans="1:1" x14ac:dyDescent="0.35">
      <c r="A54" s="350" t="s">
        <v>548</v>
      </c>
    </row>
    <row r="55" spans="1:1" x14ac:dyDescent="0.35">
      <c r="A55" s="350" t="s">
        <v>546</v>
      </c>
    </row>
  </sheetData>
  <sheetProtection sheet="1" objects="1" scenarios="1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15</vt:i4>
      </vt:variant>
    </vt:vector>
  </HeadingPairs>
  <TitlesOfParts>
    <vt:vector size="25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Daten!Liste_Anrede</vt:lpstr>
      <vt:lpstr>Daten!Liste_Parzelle</vt:lpstr>
      <vt:lpstr>Daten!Liste_Vereinsfunktion</vt:lpstr>
      <vt:lpstr>Bankkonto!lst_EinnahmeAusgabe</vt:lpstr>
      <vt:lpstr>Daten!lst_EinnahmeAusgabe</vt:lpstr>
      <vt:lpstr>Daten!lst_Faelligkeit</vt:lpstr>
      <vt:lpstr>Bankkonto!lst_JaNein</vt:lpstr>
      <vt:lpstr>Daten!lst_JaNein</vt:lpstr>
      <vt:lpstr>lst_KategorienAusgaben</vt:lpstr>
      <vt:lpstr>lst_KategorienEinnahmen</vt:lpstr>
      <vt:lpstr>lst_MonatPeriode</vt:lpstr>
      <vt:lpstr>Bankkonto!lst_Prioritaet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2026-02-08T10:34:04Z</dcterms:modified>
</cp:coreProperties>
</file>