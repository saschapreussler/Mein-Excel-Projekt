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226006E5-BC46-4F16-8663-BA8E8D722259}" xr6:coauthVersionLast="47" xr6:coauthVersionMax="47" xr10:uidLastSave="{00000000-0000-0000-0000-000000000000}"/>
  <bookViews>
    <workbookView xWindow="-110" yWindow="-110" windowWidth="19420" windowHeight="10300" tabRatio="720" firstSheet="1" activeTab="1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Übersicht!$A$3:$H$417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8" i="51"/>
  <c r="G47" i="51"/>
  <c r="G46" i="51"/>
  <c r="G45" i="51"/>
  <c r="G44" i="51"/>
  <c r="G43" i="51"/>
  <c r="G42" i="51"/>
  <c r="G50" i="51"/>
  <c r="G49" i="51"/>
  <c r="G51" i="51"/>
  <c r="G52" i="51"/>
  <c r="G53" i="51"/>
  <c r="G54" i="51"/>
  <c r="G57" i="51"/>
  <c r="G56" i="51"/>
  <c r="G55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<sst xmlns="http://schemas.openxmlformats.org/spreadsheetml/2006/main" count="3482" uniqueCount="762">
  <si>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</si>
  <si>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</si>
  <si>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</si>
  <si>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</si>
  <si>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</si>
  <si>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</si>
  <si>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</si>
  <si>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</si>
  <si>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</si>
  <si>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</si>
  <si>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</si>
  <si>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</si>
  <si>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</si>
  <si>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</si>
  <si>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</si>
  <si>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</si>
  <si>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</si>
  <si>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</si>
  <si>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</si>
  <si>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</si>
  <si>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</si>
  <si>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</si>
  <si>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</si>
  <si>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</si>
  <si>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</si>
  <si>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</si>
  <si>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</si>
  <si>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</si>
  <si>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</si>
  <si>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</si>
  <si>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</si>
  <si>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</si>
  <si>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</si>
  <si>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</si>
  <si>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</si>
  <si>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</si>
  <si>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</si>
  <si>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</si>
  <si>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</si>
  <si>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</si>
  <si>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</si>
  <si>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</si>
  <si>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</si>
  <si>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</si>
  <si>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</si>
  <si>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</si>
  <si>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</si>
  <si>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</si>
  <si>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</si>
  <si>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</si>
  <si>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</si>
  <si>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</si>
  <si>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</si>
  <si>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</si>
  <si>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</si>
  <si>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</si>
  <si>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</si>
  <si>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</si>
  <si>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</si>
  <si>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</si>
  <si>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</si>
  <si>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</si>
  <si>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</si>
  <si>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</si>
  <si>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</si>
  <si>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</si>
  <si>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</si>
  <si>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</si>
  <si>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</si>
  <si>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</si>
  <si>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</si>
  <si>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</si>
  <si>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</si>
  <si>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</si>
  <si>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</si>
  <si>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</si>
  <si>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</si>
  <si>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</si>
  <si>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</si>
  <si>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</si>
  <si>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</si>
  <si>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</si>
  <si>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</si>
  <si>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</si>
  <si>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</si>
  <si>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</si>
  <si>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</si>
  <si>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</si>
  <si>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</si>
  <si>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</si>
  <si>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</si>
  <si>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</si>
  <si>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</si>
  <si>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</si>
  <si>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</si>
  <si>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</si>
  <si>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</si>
  <si>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</si>
  <si>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</si>
  <si>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</si>
  <si>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</si>
  <si>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</si>
  <si>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</si>
  <si>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</si>
  <si>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</si>
  <si>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</si>
  <si>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</si>
  <si>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</si>
  <si>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</si>
  <si>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</si>
  <si>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</si>
  <si>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</si>
  <si>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</si>
  <si>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</si>
  <si>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</si>
  <si>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</si>
  <si>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</si>
  <si>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</si>
  <si>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</si>
  <si>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</si>
  <si>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</si>
  <si>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</si>
  <si>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</si>
  <si>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</si>
  <si>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</si>
  <si>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</si>
  <si>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</si>
  <si>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</si>
  <si>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</si>
  <si>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</si>
  <si>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</si>
  <si>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</si>
  <si>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</si>
  <si>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</si>
  <si>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</si>
  <si>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</si>
  <si>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</si>
  <si>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</si>
  <si>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</si>
  <si>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</si>
  <si>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</si>
  <si>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</si>
  <si>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</si>
  <si>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</si>
  <si>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</si>
  <si>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</si>
  <si>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</si>
  <si>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</si>
  <si>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</si>
  <si>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</si>
  <si>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</si>
  <si>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</si>
  <si>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</si>
  <si>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</si>
  <si>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</si>
  <si>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</si>
  <si>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</si>
  <si>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</si>
  <si>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</si>
  <si>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</si>
  <si>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</si>
  <si>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</si>
  <si>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</si>
  <si>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</si>
  <si>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</si>
  <si>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</si>
  <si>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</si>
  <si>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</si>
  <si>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</si>
  <si>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</si>
  <si>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</si>
  <si>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</si>
  <si>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</si>
  <si>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</si>
  <si>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</si>
  <si>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</si>
  <si>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</si>
  <si>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</si>
  <si>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</si>
  <si>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</si>
  <si>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</si>
  <si>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</si>
  <si>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</si>
  <si>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</si>
  <si>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</si>
  <si>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</si>
  <si>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</si>
  <si>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</si>
  <si>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</si>
  <si>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</si>
  <si>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</si>
  <si>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</si>
  <si>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</si>
  <si>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</si>
  <si>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</si>
  <si>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</si>
  <si>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</si>
  <si>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</si>
  <si>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</si>
  <si>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</si>
  <si>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</si>
  <si>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</si>
  <si>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</si>
  <si>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</si>
  <si>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</si>
  <si>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</si>
  <si>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</si>
  <si>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</si>
  <si>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</si>
  <si>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</si>
  <si>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</si>
  <si>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</si>
  <si>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</si>
  <si>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</si>
  <si>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</si>
  <si>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</si>
  <si>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</si>
  <si>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</si>
  <si>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</si>
  <si>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</si>
  <si>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</si>
  <si>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</si>
  <si>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</si>
  <si>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</si>
  <si>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</si>
  <si>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</si>
  <si>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</si>
  <si>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</si>
  <si>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</si>
  <si>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</si>
  <si>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</si>
  <si>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</si>
  <si>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</si>
  <si>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</si>
  <si>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</si>
  <si>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</si>
  <si>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</si>
  <si>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</si>
  <si>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</si>
  <si>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</si>
  <si>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</si>
  <si>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</si>
  <si>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</si>
  <si>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</si>
  <si>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</si>
  <si>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</si>
  <si>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</si>
  <si>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</si>
  <si>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</si>
  <si>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</si>
  <si>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</si>
  <si>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</si>
  <si>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</si>
  <si>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</si>
  <si>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</si>
  <si>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</si>
  <si>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</si>
  <si>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</si>
  <si>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</si>
  <si>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</si>
  <si>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</si>
  <si>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</si>
  <si>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</si>
  <si>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</si>
  <si>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</si>
  <si>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</si>
  <si>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</si>
  <si>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</si>
  <si>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</si>
  <si>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</si>
  <si>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</si>
  <si>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</si>
  <si>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</si>
  <si>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</si>
  <si>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</si>
  <si>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</si>
  <si>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</si>
  <si>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</si>
  <si>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</si>
  <si>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</si>
  <si>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</si>
  <si>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</si>
  <si>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</si>
  <si>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</si>
  <si>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</si>
  <si>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</si>
  <si>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</si>
  <si>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</si>
  <si>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</si>
  <si>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</si>
  <si>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</si>
  <si>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</si>
  <si>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</si>
  <si>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</si>
  <si>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</si>
  <si>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</si>
  <si>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</si>
  <si>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</si>
  <si>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</si>
  <si>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</si>
  <si>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</si>
  <si>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</si>
  <si>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</si>
  <si>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</si>
  <si>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</si>
  <si>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</si>
  <si>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</si>
  <si>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</si>
  <si>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</si>
  <si>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</si>
  <si>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</si>
  <si>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</si>
  <si>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</si>
  <si>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</si>
  <si>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</si>
  <si>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</si>
  <si>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</si>
  <si>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</si>
  <si>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</si>
  <si>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</si>
  <si>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</si>
  <si>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</si>
  <si>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</si>
  <si>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</si>
  <si>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</si>
  <si>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</si>
  <si>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</si>
  <si>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</si>
  <si>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</si>
  <si>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</si>
  <si>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</si>
  <si>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</si>
  <si>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</si>
  <si>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</si>
  <si>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</si>
  <si>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</si>
  <si>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</si>
  <si>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</si>
  <si>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</si>
  <si>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</si>
  <si>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</si>
  <si>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</si>
  <si>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</si>
  <si>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</si>
  <si>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</si>
  <si>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</si>
  <si>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</si>
  <si>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</si>
  <si>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</si>
  <si>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</si>
  <si>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</si>
  <si>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</si>
  <si>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</si>
  <si>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</si>
  <si>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</si>
  <si>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</si>
  <si>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</si>
  <si>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</si>
  <si>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</si>
  <si>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</si>
  <si>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</si>
  <si>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</si>
  <si>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</si>
  <si>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</si>
  <si>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</si>
  <si>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</si>
  <si>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</si>
  <si>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</si>
  <si>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</si>
  <si>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</si>
  <si>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</si>
  <si>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</si>
  <si>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</si>
  <si>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</si>
  <si>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</si>
  <si>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</si>
  <si>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</si>
  <si>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</si>
  <si>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</si>
  <si>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</si>
  <si>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</si>
  <si>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</si>
  <si>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</si>
  <si>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</si>
  <si>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</si>
  <si>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</si>
  <si>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</si>
  <si>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</si>
  <si>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</si>
  <si>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</si>
  <si>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</si>
  <si>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</si>
  <si>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</si>
  <si>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</si>
  <si>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</si>
  <si>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</si>
  <si>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</si>
  <si>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</si>
  <si>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</si>
  <si>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</si>
  <si>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</si>
  <si>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</si>
  <si>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</si>
  <si>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</si>
  <si>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</si>
  <si>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</si>
  <si>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</si>
  <si>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</si>
  <si>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</si>
  <si>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</si>
  <si>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</si>
  <si>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</si>
  <si>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</si>
  <si>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</si>
  <si>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</si>
  <si>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</si>
  <si>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</si>
  <si>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</si>
  <si>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</si>
  <si>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</si>
  <si>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</si>
  <si>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</si>
  <si>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</si>
  <si>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</si>
  <si>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</si>
  <si>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</si>
  <si>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</si>
  <si>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</si>
  <si>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</si>
  <si>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</si>
  <si>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</si>
  <si>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</si>
  <si>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</si>
  <si>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</si>
  <si>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</si>
  <si>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</si>
  <si>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</si>
  <si>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</si>
  <si>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</si>
  <si>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</si>
  <si>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</si>
  <si>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</si>
  <si>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</si>
  <si>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</si>
  <si>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</si>
  <si>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</si>
  <si>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</si>
  <si>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</si>
  <si>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</si>
  <si>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</si>
  <si>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</si>
  <si>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</si>
  <si>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</si>
  <si>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</si>
  <si>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</si>
  <si>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</si>
  <si>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</si>
  <si>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</si>
  <si>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</si>
  <si>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</si>
  <si>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</si>
  <si>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</si>
  <si>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</si>
  <si>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</si>
  <si>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</si>
  <si>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</si>
  <si>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</si>
  <si>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</si>
  <si>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</si>
  <si>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</si>
  <si>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</si>
  <si>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</si>
  <si>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</si>
  <si>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</si>
  <si>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</si>
  <si>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</si>
  <si>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</si>
  <si>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</si>
  <si>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</si>
  <si>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</si>
  <si>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</si>
  <si>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</si>
  <si>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</si>
  <si>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</si>
  <si>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</si>
  <si>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</si>
  <si>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</si>
  <si>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</si>
  <si>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</si>
  <si>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</si>
  <si>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</si>
  <si>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</si>
  <si>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</si>
  <si>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</si>
  <si>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</si>
  <si>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</si>
  <si>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</si>
  <si>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</si>
  <si>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</si>
  <si>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</si>
  <si>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</si>
  <si>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</si>
  <si>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</si>
  <si>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</si>
  <si>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</si>
  <si>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</si>
  <si>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</si>
  <si>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</si>
  <si>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</si>
  <si>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</si>
  <si>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</si>
  <si>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</si>
  <si>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</si>
  <si>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</si>
  <si>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</si>
  <si>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</si>
  <si>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</si>
  <si>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</si>
  <si>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</si>
  <si>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</si>
  <si>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</si>
  <si>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</si>
  <si>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</si>
  <si>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</si>
  <si>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</si>
  <si>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</si>
  <si>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</si>
  <si>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</si>
  <si>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</si>
  <si>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</si>
  <si>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</si>
  <si>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</si>
  <si>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</si>
  <si>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</si>
  <si>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</si>
  <si>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</si>
  <si>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</si>
  <si>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</si>
  <si>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</si>
  <si>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</si>
  <si>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</si>
  <si>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</si>
  <si>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</si>
  <si>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</si>
  <si>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</si>
  <si>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</si>
  <si>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</si>
  <si>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</si>
  <si>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</si>
  <si>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</si>
  <si>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</si>
  <si>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</si>
  <si>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</si>
  <si>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</si>
  <si>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</si>
  <si>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</si>
  <si>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</si>
  <si>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</si>
  <si>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</si>
  <si>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</si>
  <si>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</si>
  <si>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</si>
  <si>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</si>
  <si>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</si>
  <si>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</si>
  <si>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</si>
  <si>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</si>
  <si>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</si>
  <si>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</si>
  <si>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</si>
  <si>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</si>
  <si>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</si>
  <si>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</si>
  <si>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</si>
  <si>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</si>
  <si>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</si>
  <si>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</si>
  <si>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</si>
  <si>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</si>
  <si>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</si>
  <si>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</si>
  <si>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</si>
  <si>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</si>
  <si>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</si>
  <si>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</si>
  <si>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</si>
  <si>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</si>
  <si>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</si>
  <si>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</si>
  <si>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</si>
  <si>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</si>
  <si>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</si>
  <si>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</si>
  <si>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</si>
  <si>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</si>
  <si>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</si>
  <si>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</si>
  <si>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</si>
  <si>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</si>
  <si>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</si>
  <si>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</si>
  <si>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</si>
  <si>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</si>
  <si>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</si>
  <si>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</si>
  <si>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</si>
  <si>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</si>
  <si>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</si>
  <si>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</si>
  <si>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</si>
  <si>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</si>
  <si>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</si>
  <si>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</si>
  <si>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</si>
  <si>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</si>
  <si>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</si>
  <si>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</si>
  <si>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</si>
  <si>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</si>
  <si>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</si>
  <si>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</si>
  <si>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</si>
  <si>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</si>
  <si>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</si>
  <si>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</si>
  <si>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</si>
  <si>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</si>
  <si>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</si>
  <si>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</si>
  <si>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</si>
  <si>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</si>
  <si>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</si>
  <si>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</si>
  <si>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</si>
  <si>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</si>
  <si>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</si>
  <si>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</si>
  <si>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</si>
  <si>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</si>
  <si>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</si>
  <si>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</si>
  <si>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</si>
  <si>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</si>
  <si>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</si>
  <si>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</si>
  <si>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</si>
  <si>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</si>
  <si>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</si>
  <si>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</si>
  <si>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Parzelle 1 Manuel Zur Seewasserabschlag f�r laufenden Monat</t>
  </si>
  <si>
    <t>Gebucht</t>
  </si>
  <si>
    <t>Parzelle 10 Heller Seewasserabschlag</t>
  </si>
  <si>
    <t>Mitgliedsbeitrag Parzelle 2 / Juliane+Julian</t>
  </si>
  <si>
    <t>FOLGELASTSCHRIFT</t>
  </si>
  <si>
    <t>Brigitte Dagmar Ruth Schaling</t>
  </si>
  <si>
    <t>Parzelle 12 Jungnickel/Meyer Seewasser</t>
  </si>
  <si>
    <t>Abschlag Brauchwasser 2023</t>
  </si>
  <si>
    <t>MITGLIEDSBEITRAG PARZELLE 9</t>
  </si>
  <si>
    <t>BEITRAGSGEBUHREN</t>
  </si>
  <si>
    <t>Brauchwasser Parz. 3</t>
  </si>
  <si>
    <t>Brauchwasser Vorauszahlung</t>
  </si>
  <si>
    <t>mtl. Mitgliedsbeitrag, Parz.3</t>
  </si>
  <si>
    <t>Mitgliedsbeitrag Parzelle 1 Manuel Zur f�r laufenden Monat</t>
  </si>
  <si>
    <t>Beitragsgeb�hr P.R.Z 7</t>
  </si>
  <si>
    <t>Vorauszahlung Seewasser</t>
  </si>
  <si>
    <t>BRAUCHWASSER</t>
  </si>
  <si>
    <t>Parzelle 13, Brauchwasser</t>
  </si>
  <si>
    <t>Mitgliedsbeitrag Parzelle 12</t>
  </si>
  <si>
    <t>Parzelle 13 Mitgliedbetrag</t>
  </si>
  <si>
    <t>Mitglietsbeitrag K.G.A.</t>
  </si>
  <si>
    <t>MITGLIEDSBEITRAG SASCHA PREUSSLER</t>
  </si>
  <si>
    <t>Seewasser 2023</t>
  </si>
  <si>
    <t>Mitgliedsbeitrag Parzelle 10 Heller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</si>
  <si>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</si>
  <si>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</si>
  <si>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</si>
  <si>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</si>
  <si>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</si>
  <si>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</si>
  <si>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</si>
  <si>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ECHTZEIT-GUTSCHRIFT</t>
  </si>
  <si>
    <t>D5197484 Wasser/Abwasser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</si>
  <si>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</si>
  <si>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</si>
  <si>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</si>
  <si>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ROT</t>
  </si>
  <si>
    <t>Säumnis: 2,50 € | Säumnis-Gebühr: 2,50 €</t>
  </si>
  <si>
    <t>GELB</t>
  </si>
  <si>
    <t>GRÜN</t>
  </si>
  <si>
    <t>GUTSCHRIFT UEBERWEISUNG DAUERAUFTRAG</t>
  </si>
  <si>
    <t>Lindhorst Elektrik</t>
  </si>
  <si>
    <t>DE12160620085101581101</t>
  </si>
  <si>
    <t>Gieske Containerdienst GmbH</t>
  </si>
  <si>
    <t>DE12100900001894426019</t>
  </si>
  <si>
    <t>GUTSCHRIFT UEBERWEISUNG</t>
  </si>
  <si>
    <t>Thomas Brunzel</t>
  </si>
  <si>
    <t>DE70100500006012334662</t>
  </si>
  <si>
    <t>Wasser- u. Abwasserzweckverband Werder-Havelland</t>
  </si>
  <si>
    <t>DE68700202700667302269</t>
  </si>
  <si>
    <t>AMAZON PAYMENTS EUROPE S.C.A.</t>
  </si>
  <si>
    <t>DE87300308801908262006</t>
  </si>
  <si>
    <t>DE13820700240302911300</t>
  </si>
  <si>
    <t>VATTENFALL EUROPE SALES                                               UEBERSEERING 12</t>
  </si>
  <si>
    <t>Bodo Armin Hoff</t>
  </si>
  <si>
    <t>Telekom Deutschland GmbH                                              Landgrabenweg 151 53227 Bonn DE</t>
  </si>
  <si>
    <t>DE75370800400232113001</t>
  </si>
  <si>
    <t>Festnetz Vertragskonto 5629763010 RG 7518643514/05.01.2024</t>
  </si>
  <si>
    <t>S/836666388256/601510730710 Poststr. 26 a Strom</t>
  </si>
  <si>
    <t>Mitgliedbeitrag Paz.1</t>
  </si>
  <si>
    <t>NOTPROVIDED</t>
  </si>
  <si>
    <t>Telekom Deutschland GmbH LANDGRABENWEG 151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</si>
  <si>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</si>
  <si>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</si>
  <si>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</si>
  <si>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</si>
  <si>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</si>
  <si>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</si>
  <si>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Bitte Auswahl treffen!</t>
  </si>
  <si>
    <t>März 2024</t>
  </si>
  <si>
    <t>Soll-Betrag variabel (bitte manuell eintragen)</t>
  </si>
  <si>
    <t>Mai 2024</t>
  </si>
  <si>
    <t>Juni 2024</t>
  </si>
  <si>
    <t>Juli 2024</t>
  </si>
  <si>
    <t>Oktober 2024</t>
  </si>
  <si>
    <t>Dezember 2024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</si>
  <si>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</si>
  <si>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</si>
  <si>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</si>
  <si>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</si>
  <si>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</si>
  <si>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</si>
  <si>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</si>
  <si>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</si>
  <si>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</si>
  <si>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</si>
  <si>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</si>
  <si>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</si>
  <si>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</si>
  <si>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Keine passende Kategorie gefunden (EntityRole: EHEMALIGES MITGLIED)</t>
  </si>
  <si>
    <t>Auszug: ganzes Jahr 2024</t>
  </si>
  <si>
    <t>Januar 2024</t>
  </si>
  <si>
    <t>Februar 2024</t>
  </si>
  <si>
    <t>April 2024</t>
  </si>
  <si>
    <t>August 2024</t>
  </si>
  <si>
    <t>September 2024</t>
  </si>
  <si>
    <t>November 2024</t>
  </si>
  <si>
    <t>Zahlung am 02.01.2024</t>
  </si>
  <si>
    <t>Zahlung am 05.01.2024</t>
  </si>
  <si>
    <t>Säumnis: 2,50 € | Mitbezahlt durch Juliane Kelm, Julian Peter</t>
  </si>
  <si>
    <t>Zahlung am 03.01.2024</t>
  </si>
  <si>
    <t>Zahlung am 26.01.2024</t>
  </si>
  <si>
    <t>Zahlung am 25.01.2024</t>
  </si>
  <si>
    <t>Zahlung am 29.01.2024</t>
  </si>
  <si>
    <t>Zahlung am 18.01.2024</t>
  </si>
  <si>
    <t>Säumnis: 2,50 € | Mitbezahlt durch Christian Meyer</t>
  </si>
  <si>
    <t>03, 06, 09</t>
  </si>
  <si>
    <t>Wasser Rückzahlung Versorger</t>
  </si>
  <si>
    <t>Wasser/Abwasser</t>
  </si>
  <si>
    <t>Import: 15.03.2026  21:41:53||30 / 30 Datens?tze importiert||0 Duplikate erkannt||0 Fehler||--------------------------------------||Import: 15.03.2026  18:42:46||453 / 453 Datens?tze importiert||0 Duplikate erkannt||0 Fehler||--------------------------------------||Import: 15.03.2026  18:17:37||453 / 453 Datens?tze importiert||0 Duplikate erkannt||0 Fehler||--------------------------------------||Import: 15.03.2026  15:51:21||453 / 453 Datens?tze importiert||0 Duplikate erkannt||0 Fehler||--------------------------------------</t>
  </si>
  <si>
    <t>VATTENFALL EUROPE SALES UEBERSEERING 12</t>
  </si>
  <si>
    <t>Säumnis: 2,50 € | Keine Vorjahr-Daten: Zahlung evtl. im Dezember erfolgt</t>
  </si>
  <si>
    <t>Keine Vorjahr-Daten: Zahlung evtl. im Dezember erfolgt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</si>
</sst>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9E96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FFC7CE"/>
        <bgColor indexed="64"/>
      </patternFill>
    </fill>
  </fills>
  <borders count="8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170" fontId="0" fillId="0" borderId="69" xfId="0" applyNumberFormat="1" applyFill="1" applyBorder="1" applyAlignment="1">
      <alignment horizontal="left" vertical="center"/>
    </xf>
    <xf numFmtId="0" fontId="0" fillId="0" borderId="69" xfId="0" applyFill="1" applyBorder="1" applyAlignment="1">
      <alignment horizontal="left" vertical="center"/>
    </xf>
    <xf numFmtId="0" fontId="0" fillId="0" borderId="69" xfId="0" applyFill="1" applyBorder="1" applyAlignment="1">
      <alignment vertical="center"/>
    </xf>
    <xf numFmtId="170" fontId="0" fillId="21" borderId="69" xfId="0" applyNumberFormat="1" applyFill="1" applyBorder="1" applyAlignment="1">
      <alignment horizontal="left" vertical="center"/>
    </xf>
    <xf numFmtId="0" fontId="0" fillId="21" borderId="69" xfId="0" applyFill="1" applyBorder="1" applyAlignment="1">
      <alignment horizontal="left" vertical="center"/>
    </xf>
    <xf numFmtId="0" fontId="0" fillId="21" borderId="69" xfId="0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21" borderId="69" xfId="0" applyNumberFormat="1" applyFill="1" applyBorder="1" applyAlignment="1">
      <alignment horizontal="right" vertical="center"/>
    </xf>
    <xf numFmtId="172" fontId="0" fillId="0" borderId="69" xfId="0" applyNumberFormat="1" applyFill="1" applyBorder="1" applyAlignment="1">
      <alignment vertical="center"/>
    </xf>
    <xf numFmtId="172" fontId="0" fillId="21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9" borderId="69" xfId="0" applyFont="1" applyFill="1" applyBorder="1" applyAlignment="1">
      <alignment horizontal="center" vertical="center"/>
    </xf>
    <xf numFmtId="0" fontId="3" fillId="29" borderId="69" xfId="0" applyFont="1" applyFill="1" applyBorder="1" applyAlignment="1" applyProtection="1">
      <alignment horizontal="center" vertical="center"/>
    </xf>
    <xf numFmtId="0" fontId="3" fillId="29" borderId="69" xfId="0" applyFont="1" applyFill="1" applyBorder="1" applyAlignment="1" applyProtection="1">
      <alignment horizontal="center" vertical="center" wrapText="1"/>
    </xf>
    <xf numFmtId="0" fontId="52" fillId="28" borderId="69" xfId="0" applyFont="1" applyFill="1" applyBorder="1" applyAlignment="1" applyProtection="1">
      <alignment horizontal="left" vertical="center"/>
      <protection locked="0"/>
    </xf>
    <xf numFmtId="0" fontId="0" fillId="28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1" borderId="69" xfId="0" applyFill="1" applyBorder="1" applyAlignment="1" applyProtection="1">
      <alignment vertical="center" wrapText="1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4" borderId="7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</xf>
    <xf numFmtId="0" fontId="0" fillId="0" borderId="69" xfId="0" applyFill="1" applyBorder="1" applyAlignment="1">
      <alignment horizontal="center" vertical="center"/>
    </xf>
    <xf numFmtId="0" fontId="0" fillId="31" borderId="69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32" borderId="69" xfId="0" applyFill="1" applyBorder="1" applyAlignment="1">
      <alignment horizontal="center" vertical="center"/>
    </xf>
    <xf numFmtId="0" fontId="0" fillId="21" borderId="69" xfId="0" applyFill="1" applyBorder="1" applyAlignment="1" applyProtection="1">
      <alignment vertical="center"/>
    </xf>
    <xf numFmtId="172" fontId="0" fillId="30" borderId="69" xfId="0" applyNumberFormat="1" applyFill="1" applyBorder="1" applyAlignment="1" applyProtection="1">
      <alignment vertical="center"/>
      <protection locked="0"/>
    </xf>
    <xf numFmtId="0" fontId="0" fillId="21" borderId="69" xfId="0" applyFill="1" applyBorder="1" applyAlignment="1">
      <alignment horizontal="center" vertical="center"/>
    </xf>
    <xf numFmtId="0" fontId="2" fillId="33" borderId="69" xfId="0" applyFont="1" applyFill="1" applyBorder="1" applyAlignment="1" applyProtection="1">
      <alignment horizontal="left"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9" xfId="0" applyFill="1" applyBorder="1" applyAlignment="1" applyProtection="1">
      <alignment vertical="center"/>
      <protection locked="0"/>
    </xf>
    <xf numFmtId="0" fontId="3" fillId="29" borderId="0" xfId="0" applyFont="1" applyFill="1" applyAlignment="1">
      <alignment vertical="center"/>
    </xf>
    <xf numFmtId="49" fontId="0" fillId="0" borderId="69" xfId="0" applyNumberFormat="1" applyFill="1" applyBorder="1" applyAlignment="1" applyProtection="1">
      <alignment horizontal="left" vertical="center" wrapText="1"/>
    </xf>
    <xf numFmtId="49" fontId="0" fillId="21" borderId="69" xfId="0" applyNumberFormat="1" applyFill="1" applyBorder="1" applyAlignment="1" applyProtection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FB0EC6B1-6011-AB85-D1BE-A21BB2FEA481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66D45C67-895C-5140-65A2-FB45875A76B4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1</xdr:col>
      <xdr:colOff>1974850</xdr:colOff>
      <xdr:row>1</xdr:row>
      <xdr:rowOff>120650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0F1A0DA8-0CAF-2D00-BCB5-537A8A2F3CC5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2000250</xdr:colOff>
      <xdr:row>0</xdr:row>
      <xdr:rowOff>25400</xdr:rowOff>
    </xdr:from>
    <xdr:to>
      <xdr:col>2</xdr:col>
      <xdr:colOff>292100</xdr:colOff>
      <xdr:row>1</xdr:row>
      <xdr:rowOff>120650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2933016-5E21-5D6F-8B7F-C6FD8F6F8C1E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317500</xdr:colOff>
      <xdr:row>0</xdr:row>
      <xdr:rowOff>25400</xdr:rowOff>
    </xdr:from>
    <xdr:to>
      <xdr:col>3</xdr:col>
      <xdr:colOff>114300</xdr:colOff>
      <xdr:row>1</xdr:row>
      <xdr:rowOff>120650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AF1A11E3-DE16-30DE-1D16-75A7550C0EE9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139700</xdr:colOff>
      <xdr:row>0</xdr:row>
      <xdr:rowOff>25400</xdr:rowOff>
    </xdr:from>
    <xdr:to>
      <xdr:col>3</xdr:col>
      <xdr:colOff>1054100</xdr:colOff>
      <xdr:row>1</xdr:row>
      <xdr:rowOff>120650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3D60CFF-D497-AB6F-F3B1-28D0BB0E0FA5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1079500</xdr:colOff>
      <xdr:row>0</xdr:row>
      <xdr:rowOff>25400</xdr:rowOff>
    </xdr:from>
    <xdr:to>
      <xdr:col>3</xdr:col>
      <xdr:colOff>1993900</xdr:colOff>
      <xdr:row>1</xdr:row>
      <xdr:rowOff>120650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D332252A-3186-D6F5-18A2-0994FF4FD3ED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2019300</xdr:colOff>
      <xdr:row>0</xdr:row>
      <xdr:rowOff>25400</xdr:rowOff>
    </xdr:from>
    <xdr:to>
      <xdr:col>4</xdr:col>
      <xdr:colOff>228600</xdr:colOff>
      <xdr:row>1</xdr:row>
      <xdr:rowOff>120650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307D4B25-D09B-36BA-5D42-916BDE414023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254000</xdr:colOff>
      <xdr:row>0</xdr:row>
      <xdr:rowOff>25400</xdr:rowOff>
    </xdr:from>
    <xdr:to>
      <xdr:col>5</xdr:col>
      <xdr:colOff>285750</xdr:colOff>
      <xdr:row>1</xdr:row>
      <xdr:rowOff>120650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1C258E6F-B8DC-18C3-89ED-CFE6A749DBAA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311150</xdr:colOff>
      <xdr:row>0</xdr:row>
      <xdr:rowOff>25400</xdr:rowOff>
    </xdr:from>
    <xdr:to>
      <xdr:col>6</xdr:col>
      <xdr:colOff>342900</xdr:colOff>
      <xdr:row>1</xdr:row>
      <xdr:rowOff>120650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F8534710-DABB-149B-94D5-B9F95276AD8C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368300</xdr:colOff>
      <xdr:row>0</xdr:row>
      <xdr:rowOff>25400</xdr:rowOff>
    </xdr:from>
    <xdr:to>
      <xdr:col>7</xdr:col>
      <xdr:colOff>400050</xdr:colOff>
      <xdr:row>1</xdr:row>
      <xdr:rowOff>120650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91E7F2B3-BD57-4995-DF47-F979817DC3BD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425450</xdr:colOff>
      <xdr:row>0</xdr:row>
      <xdr:rowOff>25400</xdr:rowOff>
    </xdr:from>
    <xdr:to>
      <xdr:col>7</xdr:col>
      <xdr:colOff>1339850</xdr:colOff>
      <xdr:row>1</xdr:row>
      <xdr:rowOff>120650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195F9D5A-066C-7254-7854-005A89853050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1365250</xdr:colOff>
      <xdr:row>0</xdr:row>
      <xdr:rowOff>25400</xdr:rowOff>
    </xdr:from>
    <xdr:to>
      <xdr:col>7</xdr:col>
      <xdr:colOff>2279650</xdr:colOff>
      <xdr:row>1</xdr:row>
      <xdr:rowOff>120650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B1065DE4-BAA5-44A2-3AC4-DB13D46C4B3E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1413329</xdr:colOff>
          <xdr:row>7</xdr:row>
          <xdr:rowOff>156029</xdr:rowOff>
        </xdr:from>
        <xdr:to>
          <xdr:col>6</xdr:col>
          <xdr:colOff>1301750</xdr:colOff>
          <xdr:row>14</xdr:row>
          <xdr:rowOff>182336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2" sqref="F2"/>
    </sheetView>
  </sheetViews>
  <sheetFormatPr baseColWidth="10" defaultColWidth="10.81640625" defaultRowHeight="14.5" x14ac:dyDescent="0.35"/>
  <cols>
    <col min="1" max="16384" width="10.81640625" style="481"/>
  </cols>
  <sheetData>
    <row r="1" spans="2:6" x14ac:dyDescent="0.35">
      <c r="B1" s="481" t="s">
        <v>310</v>
      </c>
      <c r="F1" s="481">
        <v>2024</v>
      </c>
    </row>
    <row r="2" spans="2:6" x14ac:dyDescent="0.35">
      <c r="B2" s="481" t="s">
        <v>3</v>
      </c>
      <c r="F2" s="481">
        <v>13</v>
      </c>
    </row>
    <row r="3" spans="2:6" x14ac:dyDescent="0.35">
      <c r="B3" s="481" t="s">
        <v>2</v>
      </c>
      <c r="F3" s="481">
        <v>21</v>
      </c>
    </row>
    <row r="4" spans="2:6" x14ac:dyDescent="0.35">
      <c r="B4" s="481" t="s">
        <v>352</v>
      </c>
      <c r="F4" s="488">
        <v>8686.86</v>
      </c>
    </row>
    <row r="5" spans="2:6" x14ac:dyDescent="0.35">
      <c r="B5" s="481" t="s">
        <v>309</v>
      </c>
    </row>
    <row r="7" spans="2:6" x14ac:dyDescent="0.35">
      <c r="B7" s="481" t="s">
        <v>1</v>
      </c>
    </row>
    <row r="8" spans="2:6" x14ac:dyDescent="0.35">
      <c r="B8" s="481" t="s">
        <v>0</v>
      </c>
    </row>
    <row r="9" spans="2:6" x14ac:dyDescent="0.35">
      <c r="B9" s="481" t="s">
        <v>288</v>
      </c>
    </row>
    <row r="10" spans="2:6" x14ac:dyDescent="0.35">
      <c r="B10" s="481" t="s">
        <v>289</v>
      </c>
    </row>
    <row r="11" spans="2:6" x14ac:dyDescent="0.35">
      <c r="B11" s="481" t="s">
        <v>290</v>
      </c>
    </row>
    <row r="18" spans="1:1" x14ac:dyDescent="0.35">
      <c r="A18" s="283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417"/>
  <sheetViews>
    <sheetView tabSelected="1" zoomScaleNormal="100" workbookViewId="0">
      <pane ySplit="3" topLeftCell="A4" activePane="bottomLeft" state="frozen"/>
      <selection pane="bottomLeft" activeCell="E10" sqref="E10"/>
    </sheetView>
  </sheetViews>
  <sheetFormatPr baseColWidth="10" defaultColWidth="11.453125" defaultRowHeight="14.5" x14ac:dyDescent="0.35"/>
  <cols>
    <col min="1" max="1" width="12.6328125" style="239" customWidth="1"/>
    <col min="2" max="2" width="37.54296875" style="448" customWidth="1"/>
    <col min="3" max="3" width="16" style="449" customWidth="1"/>
    <col min="4" max="4" width="38.7265625" style="239" customWidth="1"/>
    <col min="5" max="7" width="12.6328125" style="239" customWidth="1"/>
    <col min="8" max="8" width="61.7265625" style="239" customWidth="1"/>
    <col min="9" max="16384" width="11.453125" style="481"/>
  </cols>
  <sheetData>
    <row r="3" spans="1:8" x14ac:dyDescent="0.35">
      <c r="A3" s="450" t="s">
        <v>269</v>
      </c>
      <c r="B3" s="451" t="s">
        <v>673</v>
      </c>
      <c r="C3" s="452" t="s">
        <v>674</v>
      </c>
      <c r="D3" s="450" t="s">
        <v>20</v>
      </c>
      <c r="E3" s="450" t="s">
        <v>675</v>
      </c>
      <c r="F3" s="450" t="s">
        <v>676</v>
      </c>
      <c r="G3" s="450" t="s">
        <v>317</v>
      </c>
      <c r="H3" s="450" t="s">
        <v>677</v>
      </c>
    </row>
    <row r="4" spans="1:8" x14ac:dyDescent="0.35">
      <c r="A4" s="462">
        <v>1</v>
      </c>
      <c r="B4" s="461" t="s">
        <v>46</v>
      </c>
      <c r="C4" s="473" t="s">
        <v>740</v>
      </c>
      <c r="D4" s="440" t="s">
        <v>387</v>
      </c>
      <c r="E4" s="446">
        <v>15</v>
      </c>
      <c r="F4" s="446">
        <v>15</v>
      </c>
      <c r="G4" s="465" t="s">
        <v>688</v>
      </c>
      <c r="H4" s="440" t="s">
        <v>746</v>
      </c>
    </row>
    <row r="5" spans="1:8" x14ac:dyDescent="0.35">
      <c r="A5" s="468">
        <v>1</v>
      </c>
      <c r="B5" s="466" t="s">
        <v>46</v>
      </c>
      <c r="C5" s="474" t="s">
        <v>740</v>
      </c>
      <c r="D5" s="443" t="s">
        <v>282</v>
      </c>
      <c r="E5" s="447">
        <v>7.5</v>
      </c>
      <c r="F5" s="447">
        <v>7.5</v>
      </c>
      <c r="G5" s="465" t="s">
        <v>688</v>
      </c>
      <c r="H5" s="443" t="s">
        <v>746</v>
      </c>
    </row>
    <row r="6" spans="1:8" x14ac:dyDescent="0.35">
      <c r="A6" s="462">
        <v>1</v>
      </c>
      <c r="B6" s="461" t="s">
        <v>46</v>
      </c>
      <c r="C6" s="473" t="s">
        <v>741</v>
      </c>
      <c r="D6" s="440" t="s">
        <v>387</v>
      </c>
      <c r="E6" s="446">
        <v>15</v>
      </c>
      <c r="F6" s="446">
        <v>0</v>
      </c>
      <c r="G6" s="463" t="s">
        <v>685</v>
      </c>
      <c r="H6" s="440"/>
    </row>
    <row r="7" spans="1:8" x14ac:dyDescent="0.35">
      <c r="A7" s="468">
        <v>1</v>
      </c>
      <c r="B7" s="466" t="s">
        <v>46</v>
      </c>
      <c r="C7" s="474" t="s">
        <v>741</v>
      </c>
      <c r="D7" s="443" t="s">
        <v>282</v>
      </c>
      <c r="E7" s="447">
        <v>7.5</v>
      </c>
      <c r="F7" s="447">
        <v>0</v>
      </c>
      <c r="G7" s="463" t="s">
        <v>685</v>
      </c>
      <c r="H7" s="443" t="s">
        <v>686</v>
      </c>
    </row>
    <row r="8" spans="1:8" x14ac:dyDescent="0.35">
      <c r="A8" s="462">
        <v>1</v>
      </c>
      <c r="B8" s="461" t="s">
        <v>46</v>
      </c>
      <c r="C8" s="473" t="s">
        <v>718</v>
      </c>
      <c r="D8" s="440" t="s">
        <v>387</v>
      </c>
      <c r="E8" s="446">
        <v>15</v>
      </c>
      <c r="F8" s="446">
        <v>0</v>
      </c>
      <c r="G8" s="463" t="s">
        <v>685</v>
      </c>
      <c r="H8" s="440"/>
    </row>
    <row r="9" spans="1:8" x14ac:dyDescent="0.35">
      <c r="A9" s="468">
        <v>1</v>
      </c>
      <c r="B9" s="466" t="s">
        <v>46</v>
      </c>
      <c r="C9" s="474" t="s">
        <v>718</v>
      </c>
      <c r="D9" s="443" t="s">
        <v>282</v>
      </c>
      <c r="E9" s="447">
        <v>7.5</v>
      </c>
      <c r="F9" s="447">
        <v>0</v>
      </c>
      <c r="G9" s="463" t="s">
        <v>685</v>
      </c>
      <c r="H9" s="443" t="s">
        <v>686</v>
      </c>
    </row>
    <row r="10" spans="1:8" x14ac:dyDescent="0.35">
      <c r="A10" s="462">
        <v>1</v>
      </c>
      <c r="B10" s="461" t="s">
        <v>46</v>
      </c>
      <c r="C10" s="473" t="s">
        <v>718</v>
      </c>
      <c r="D10" s="440" t="s">
        <v>397</v>
      </c>
      <c r="E10" s="467"/>
      <c r="F10" s="446">
        <v>0</v>
      </c>
      <c r="G10" s="463" t="s">
        <v>685</v>
      </c>
      <c r="H10" s="440" t="s">
        <v>719</v>
      </c>
    </row>
    <row r="11" spans="1:8" x14ac:dyDescent="0.35">
      <c r="A11" s="468">
        <v>1</v>
      </c>
      <c r="B11" s="466" t="s">
        <v>46</v>
      </c>
      <c r="C11" s="474" t="s">
        <v>742</v>
      </c>
      <c r="D11" s="443" t="s">
        <v>387</v>
      </c>
      <c r="E11" s="447">
        <v>15</v>
      </c>
      <c r="F11" s="447">
        <v>0</v>
      </c>
      <c r="G11" s="463" t="s">
        <v>685</v>
      </c>
      <c r="H11" s="443"/>
    </row>
    <row r="12" spans="1:8" x14ac:dyDescent="0.35">
      <c r="A12" s="462">
        <v>1</v>
      </c>
      <c r="B12" s="461" t="s">
        <v>46</v>
      </c>
      <c r="C12" s="473" t="s">
        <v>742</v>
      </c>
      <c r="D12" s="440" t="s">
        <v>282</v>
      </c>
      <c r="E12" s="446">
        <v>7.5</v>
      </c>
      <c r="F12" s="446">
        <v>0</v>
      </c>
      <c r="G12" s="463" t="s">
        <v>685</v>
      </c>
      <c r="H12" s="440" t="s">
        <v>686</v>
      </c>
    </row>
    <row r="13" spans="1:8" x14ac:dyDescent="0.35">
      <c r="A13" s="468">
        <v>1</v>
      </c>
      <c r="B13" s="466" t="s">
        <v>46</v>
      </c>
      <c r="C13" s="474" t="s">
        <v>720</v>
      </c>
      <c r="D13" s="443" t="s">
        <v>387</v>
      </c>
      <c r="E13" s="447">
        <v>15</v>
      </c>
      <c r="F13" s="447">
        <v>0</v>
      </c>
      <c r="G13" s="463" t="s">
        <v>685</v>
      </c>
      <c r="H13" s="443"/>
    </row>
    <row r="14" spans="1:8" x14ac:dyDescent="0.35">
      <c r="A14" s="462">
        <v>1</v>
      </c>
      <c r="B14" s="461" t="s">
        <v>46</v>
      </c>
      <c r="C14" s="473" t="s">
        <v>720</v>
      </c>
      <c r="D14" s="440" t="s">
        <v>282</v>
      </c>
      <c r="E14" s="446">
        <v>7.5</v>
      </c>
      <c r="F14" s="446">
        <v>0</v>
      </c>
      <c r="G14" s="463" t="s">
        <v>685</v>
      </c>
      <c r="H14" s="440" t="s">
        <v>686</v>
      </c>
    </row>
    <row r="15" spans="1:8" x14ac:dyDescent="0.35">
      <c r="A15" s="468">
        <v>1</v>
      </c>
      <c r="B15" s="466" t="s">
        <v>46</v>
      </c>
      <c r="C15" s="474" t="s">
        <v>721</v>
      </c>
      <c r="D15" s="443" t="s">
        <v>387</v>
      </c>
      <c r="E15" s="447">
        <v>15</v>
      </c>
      <c r="F15" s="447">
        <v>0</v>
      </c>
      <c r="G15" s="463" t="s">
        <v>685</v>
      </c>
      <c r="H15" s="443"/>
    </row>
    <row r="16" spans="1:8" x14ac:dyDescent="0.35">
      <c r="A16" s="462">
        <v>1</v>
      </c>
      <c r="B16" s="461" t="s">
        <v>46</v>
      </c>
      <c r="C16" s="473" t="s">
        <v>721</v>
      </c>
      <c r="D16" s="440" t="s">
        <v>282</v>
      </c>
      <c r="E16" s="446">
        <v>7.5</v>
      </c>
      <c r="F16" s="446">
        <v>0</v>
      </c>
      <c r="G16" s="463" t="s">
        <v>685</v>
      </c>
      <c r="H16" s="440" t="s">
        <v>686</v>
      </c>
    </row>
    <row r="17" spans="1:8" x14ac:dyDescent="0.35">
      <c r="A17" s="468">
        <v>1</v>
      </c>
      <c r="B17" s="466" t="s">
        <v>46</v>
      </c>
      <c r="C17" s="474" t="s">
        <v>721</v>
      </c>
      <c r="D17" s="443" t="s">
        <v>397</v>
      </c>
      <c r="E17" s="467"/>
      <c r="F17" s="447">
        <v>0</v>
      </c>
      <c r="G17" s="463" t="s">
        <v>685</v>
      </c>
      <c r="H17" s="443" t="s">
        <v>719</v>
      </c>
    </row>
    <row r="18" spans="1:8" x14ac:dyDescent="0.35">
      <c r="A18" s="462">
        <v>1</v>
      </c>
      <c r="B18" s="461" t="s">
        <v>46</v>
      </c>
      <c r="C18" s="473" t="s">
        <v>722</v>
      </c>
      <c r="D18" s="440" t="s">
        <v>387</v>
      </c>
      <c r="E18" s="446">
        <v>15</v>
      </c>
      <c r="F18" s="446">
        <v>0</v>
      </c>
      <c r="G18" s="463" t="s">
        <v>685</v>
      </c>
      <c r="H18" s="440"/>
    </row>
    <row r="19" spans="1:8" x14ac:dyDescent="0.35">
      <c r="A19" s="468">
        <v>1</v>
      </c>
      <c r="B19" s="466" t="s">
        <v>46</v>
      </c>
      <c r="C19" s="474" t="s">
        <v>722</v>
      </c>
      <c r="D19" s="443" t="s">
        <v>282</v>
      </c>
      <c r="E19" s="447">
        <v>7.5</v>
      </c>
      <c r="F19" s="447">
        <v>0</v>
      </c>
      <c r="G19" s="463" t="s">
        <v>685</v>
      </c>
      <c r="H19" s="443" t="s">
        <v>686</v>
      </c>
    </row>
    <row r="20" spans="1:8" x14ac:dyDescent="0.35">
      <c r="A20" s="462">
        <v>1</v>
      </c>
      <c r="B20" s="461" t="s">
        <v>46</v>
      </c>
      <c r="C20" s="473" t="s">
        <v>743</v>
      </c>
      <c r="D20" s="440" t="s">
        <v>387</v>
      </c>
      <c r="E20" s="446">
        <v>15</v>
      </c>
      <c r="F20" s="446">
        <v>0</v>
      </c>
      <c r="G20" s="463" t="s">
        <v>685</v>
      </c>
      <c r="H20" s="440"/>
    </row>
    <row r="21" spans="1:8" x14ac:dyDescent="0.35">
      <c r="A21" s="468">
        <v>1</v>
      </c>
      <c r="B21" s="466" t="s">
        <v>46</v>
      </c>
      <c r="C21" s="474" t="s">
        <v>743</v>
      </c>
      <c r="D21" s="443" t="s">
        <v>282</v>
      </c>
      <c r="E21" s="447">
        <v>7.5</v>
      </c>
      <c r="F21" s="447">
        <v>0</v>
      </c>
      <c r="G21" s="463" t="s">
        <v>685</v>
      </c>
      <c r="H21" s="443" t="s">
        <v>686</v>
      </c>
    </row>
    <row r="22" spans="1:8" x14ac:dyDescent="0.35">
      <c r="A22" s="462">
        <v>1</v>
      </c>
      <c r="B22" s="461" t="s">
        <v>46</v>
      </c>
      <c r="C22" s="473" t="s">
        <v>744</v>
      </c>
      <c r="D22" s="440" t="s">
        <v>387</v>
      </c>
      <c r="E22" s="446">
        <v>15</v>
      </c>
      <c r="F22" s="446">
        <v>0</v>
      </c>
      <c r="G22" s="463" t="s">
        <v>685</v>
      </c>
      <c r="H22" s="440"/>
    </row>
    <row r="23" spans="1:8" x14ac:dyDescent="0.35">
      <c r="A23" s="468">
        <v>1</v>
      </c>
      <c r="B23" s="466" t="s">
        <v>46</v>
      </c>
      <c r="C23" s="474" t="s">
        <v>744</v>
      </c>
      <c r="D23" s="443" t="s">
        <v>282</v>
      </c>
      <c r="E23" s="447">
        <v>7.5</v>
      </c>
      <c r="F23" s="447">
        <v>0</v>
      </c>
      <c r="G23" s="463" t="s">
        <v>685</v>
      </c>
      <c r="H23" s="443" t="s">
        <v>686</v>
      </c>
    </row>
    <row r="24" spans="1:8" x14ac:dyDescent="0.35">
      <c r="A24" s="462">
        <v>1</v>
      </c>
      <c r="B24" s="461" t="s">
        <v>46</v>
      </c>
      <c r="C24" s="473" t="s">
        <v>744</v>
      </c>
      <c r="D24" s="440" t="s">
        <v>397</v>
      </c>
      <c r="E24" s="467"/>
      <c r="F24" s="446">
        <v>0</v>
      </c>
      <c r="G24" s="463" t="s">
        <v>685</v>
      </c>
      <c r="H24" s="440" t="s">
        <v>719</v>
      </c>
    </row>
    <row r="25" spans="1:8" x14ac:dyDescent="0.35">
      <c r="A25" s="468">
        <v>1</v>
      </c>
      <c r="B25" s="466" t="s">
        <v>46</v>
      </c>
      <c r="C25" s="474" t="s">
        <v>723</v>
      </c>
      <c r="D25" s="443" t="s">
        <v>387</v>
      </c>
      <c r="E25" s="447">
        <v>15</v>
      </c>
      <c r="F25" s="447">
        <v>0</v>
      </c>
      <c r="G25" s="463" t="s">
        <v>685</v>
      </c>
      <c r="H25" s="443"/>
    </row>
    <row r="26" spans="1:8" x14ac:dyDescent="0.35">
      <c r="A26" s="462">
        <v>1</v>
      </c>
      <c r="B26" s="461" t="s">
        <v>46</v>
      </c>
      <c r="C26" s="473" t="s">
        <v>723</v>
      </c>
      <c r="D26" s="440" t="s">
        <v>282</v>
      </c>
      <c r="E26" s="446">
        <v>7.5</v>
      </c>
      <c r="F26" s="446">
        <v>0</v>
      </c>
      <c r="G26" s="463" t="s">
        <v>685</v>
      </c>
      <c r="H26" s="440" t="s">
        <v>686</v>
      </c>
    </row>
    <row r="27" spans="1:8" x14ac:dyDescent="0.35">
      <c r="A27" s="468">
        <v>1</v>
      </c>
      <c r="B27" s="466" t="s">
        <v>46</v>
      </c>
      <c r="C27" s="474" t="s">
        <v>745</v>
      </c>
      <c r="D27" s="443" t="s">
        <v>387</v>
      </c>
      <c r="E27" s="447">
        <v>15</v>
      </c>
      <c r="F27" s="447">
        <v>0</v>
      </c>
      <c r="G27" s="463" t="s">
        <v>685</v>
      </c>
      <c r="H27" s="443"/>
    </row>
    <row r="28" spans="1:8" x14ac:dyDescent="0.35">
      <c r="A28" s="462">
        <v>1</v>
      </c>
      <c r="B28" s="461" t="s">
        <v>46</v>
      </c>
      <c r="C28" s="473" t="s">
        <v>745</v>
      </c>
      <c r="D28" s="440" t="s">
        <v>282</v>
      </c>
      <c r="E28" s="446">
        <v>7.5</v>
      </c>
      <c r="F28" s="446">
        <v>0</v>
      </c>
      <c r="G28" s="463" t="s">
        <v>685</v>
      </c>
      <c r="H28" s="440" t="s">
        <v>686</v>
      </c>
    </row>
    <row r="29" spans="1:8" x14ac:dyDescent="0.35">
      <c r="A29" s="468">
        <v>1</v>
      </c>
      <c r="B29" s="466" t="s">
        <v>46</v>
      </c>
      <c r="C29" s="474" t="s">
        <v>724</v>
      </c>
      <c r="D29" s="443" t="s">
        <v>387</v>
      </c>
      <c r="E29" s="447">
        <v>15</v>
      </c>
      <c r="F29" s="447">
        <v>0</v>
      </c>
      <c r="G29" s="463" t="s">
        <v>685</v>
      </c>
      <c r="H29" s="443"/>
    </row>
    <row r="30" spans="1:8" x14ac:dyDescent="0.35">
      <c r="A30" s="462">
        <v>1</v>
      </c>
      <c r="B30" s="461" t="s">
        <v>46</v>
      </c>
      <c r="C30" s="473" t="s">
        <v>724</v>
      </c>
      <c r="D30" s="440" t="s">
        <v>282</v>
      </c>
      <c r="E30" s="446">
        <v>7.5</v>
      </c>
      <c r="F30" s="446">
        <v>0</v>
      </c>
      <c r="G30" s="463" t="s">
        <v>685</v>
      </c>
      <c r="H30" s="440" t="s">
        <v>686</v>
      </c>
    </row>
    <row r="31" spans="1:8" x14ac:dyDescent="0.35">
      <c r="A31" s="468">
        <v>2</v>
      </c>
      <c r="B31" s="466" t="s">
        <v>537</v>
      </c>
      <c r="C31" s="474" t="s">
        <v>740</v>
      </c>
      <c r="D31" s="443" t="s">
        <v>387</v>
      </c>
      <c r="E31" s="447">
        <v>15</v>
      </c>
      <c r="F31" s="447">
        <v>15</v>
      </c>
      <c r="G31" s="465" t="s">
        <v>688</v>
      </c>
      <c r="H31" s="443" t="s">
        <v>747</v>
      </c>
    </row>
    <row r="32" spans="1:8" x14ac:dyDescent="0.35">
      <c r="A32" s="462">
        <v>2</v>
      </c>
      <c r="B32" s="461" t="s">
        <v>537</v>
      </c>
      <c r="C32" s="473" t="s">
        <v>740</v>
      </c>
      <c r="D32" s="440" t="s">
        <v>282</v>
      </c>
      <c r="E32" s="446">
        <v>7.5</v>
      </c>
      <c r="F32" s="446">
        <v>15</v>
      </c>
      <c r="G32" s="465" t="s">
        <v>688</v>
      </c>
      <c r="H32" s="440" t="s">
        <v>746</v>
      </c>
    </row>
    <row r="33" spans="1:8" x14ac:dyDescent="0.35">
      <c r="A33" s="468">
        <v>2</v>
      </c>
      <c r="B33" s="466" t="s">
        <v>537</v>
      </c>
      <c r="C33" s="474" t="s">
        <v>741</v>
      </c>
      <c r="D33" s="443" t="s">
        <v>387</v>
      </c>
      <c r="E33" s="447">
        <v>15</v>
      </c>
      <c r="F33" s="447">
        <v>0</v>
      </c>
      <c r="G33" s="463" t="s">
        <v>685</v>
      </c>
      <c r="H33" s="443"/>
    </row>
    <row r="34" spans="1:8" x14ac:dyDescent="0.35">
      <c r="A34" s="462">
        <v>2</v>
      </c>
      <c r="B34" s="461" t="s">
        <v>537</v>
      </c>
      <c r="C34" s="473" t="s">
        <v>741</v>
      </c>
      <c r="D34" s="440" t="s">
        <v>282</v>
      </c>
      <c r="E34" s="446">
        <v>7.5</v>
      </c>
      <c r="F34" s="446">
        <v>0</v>
      </c>
      <c r="G34" s="463" t="s">
        <v>685</v>
      </c>
      <c r="H34" s="440" t="s">
        <v>686</v>
      </c>
    </row>
    <row r="35" spans="1:8" x14ac:dyDescent="0.35">
      <c r="A35" s="468">
        <v>2</v>
      </c>
      <c r="B35" s="466" t="s">
        <v>537</v>
      </c>
      <c r="C35" s="474" t="s">
        <v>718</v>
      </c>
      <c r="D35" s="443" t="s">
        <v>387</v>
      </c>
      <c r="E35" s="447">
        <v>15</v>
      </c>
      <c r="F35" s="447">
        <v>0</v>
      </c>
      <c r="G35" s="463" t="s">
        <v>685</v>
      </c>
      <c r="H35" s="443"/>
    </row>
    <row r="36" spans="1:8" x14ac:dyDescent="0.35">
      <c r="A36" s="462">
        <v>2</v>
      </c>
      <c r="B36" s="461" t="s">
        <v>537</v>
      </c>
      <c r="C36" s="473" t="s">
        <v>718</v>
      </c>
      <c r="D36" s="440" t="s">
        <v>282</v>
      </c>
      <c r="E36" s="446">
        <v>7.5</v>
      </c>
      <c r="F36" s="446">
        <v>0</v>
      </c>
      <c r="G36" s="463" t="s">
        <v>685</v>
      </c>
      <c r="H36" s="440" t="s">
        <v>686</v>
      </c>
    </row>
    <row r="37" spans="1:8" x14ac:dyDescent="0.35">
      <c r="A37" s="468">
        <v>2</v>
      </c>
      <c r="B37" s="466" t="s">
        <v>537</v>
      </c>
      <c r="C37" s="474" t="s">
        <v>718</v>
      </c>
      <c r="D37" s="443" t="s">
        <v>397</v>
      </c>
      <c r="E37" s="467"/>
      <c r="F37" s="447">
        <v>0</v>
      </c>
      <c r="G37" s="463" t="s">
        <v>685</v>
      </c>
      <c r="H37" s="443" t="s">
        <v>719</v>
      </c>
    </row>
    <row r="38" spans="1:8" x14ac:dyDescent="0.35">
      <c r="A38" s="462">
        <v>2</v>
      </c>
      <c r="B38" s="461" t="s">
        <v>537</v>
      </c>
      <c r="C38" s="473" t="s">
        <v>742</v>
      </c>
      <c r="D38" s="440" t="s">
        <v>387</v>
      </c>
      <c r="E38" s="446">
        <v>15</v>
      </c>
      <c r="F38" s="446">
        <v>0</v>
      </c>
      <c r="G38" s="463" t="s">
        <v>685</v>
      </c>
      <c r="H38" s="440"/>
    </row>
    <row r="39" spans="1:8" x14ac:dyDescent="0.35">
      <c r="A39" s="468">
        <v>2</v>
      </c>
      <c r="B39" s="466" t="s">
        <v>537</v>
      </c>
      <c r="C39" s="474" t="s">
        <v>742</v>
      </c>
      <c r="D39" s="443" t="s">
        <v>282</v>
      </c>
      <c r="E39" s="447">
        <v>7.5</v>
      </c>
      <c r="F39" s="447">
        <v>0</v>
      </c>
      <c r="G39" s="463" t="s">
        <v>685</v>
      </c>
      <c r="H39" s="443" t="s">
        <v>686</v>
      </c>
    </row>
    <row r="40" spans="1:8" x14ac:dyDescent="0.35">
      <c r="A40" s="462">
        <v>2</v>
      </c>
      <c r="B40" s="461" t="s">
        <v>537</v>
      </c>
      <c r="C40" s="473" t="s">
        <v>720</v>
      </c>
      <c r="D40" s="440" t="s">
        <v>387</v>
      </c>
      <c r="E40" s="446">
        <v>15</v>
      </c>
      <c r="F40" s="446">
        <v>0</v>
      </c>
      <c r="G40" s="463" t="s">
        <v>685</v>
      </c>
      <c r="H40" s="440"/>
    </row>
    <row r="41" spans="1:8" x14ac:dyDescent="0.35">
      <c r="A41" s="468">
        <v>2</v>
      </c>
      <c r="B41" s="466" t="s">
        <v>537</v>
      </c>
      <c r="C41" s="474" t="s">
        <v>720</v>
      </c>
      <c r="D41" s="443" t="s">
        <v>282</v>
      </c>
      <c r="E41" s="447">
        <v>7.5</v>
      </c>
      <c r="F41" s="447">
        <v>0</v>
      </c>
      <c r="G41" s="463" t="s">
        <v>685</v>
      </c>
      <c r="H41" s="443" t="s">
        <v>686</v>
      </c>
    </row>
    <row r="42" spans="1:8" x14ac:dyDescent="0.35">
      <c r="A42" s="462">
        <v>2</v>
      </c>
      <c r="B42" s="461" t="s">
        <v>537</v>
      </c>
      <c r="C42" s="473" t="s">
        <v>721</v>
      </c>
      <c r="D42" s="440" t="s">
        <v>387</v>
      </c>
      <c r="E42" s="446">
        <v>15</v>
      </c>
      <c r="F42" s="446">
        <v>0</v>
      </c>
      <c r="G42" s="463" t="s">
        <v>685</v>
      </c>
      <c r="H42" s="440"/>
    </row>
    <row r="43" spans="1:8" x14ac:dyDescent="0.35">
      <c r="A43" s="468">
        <v>2</v>
      </c>
      <c r="B43" s="466" t="s">
        <v>537</v>
      </c>
      <c r="C43" s="474" t="s">
        <v>721</v>
      </c>
      <c r="D43" s="443" t="s">
        <v>282</v>
      </c>
      <c r="E43" s="447">
        <v>7.5</v>
      </c>
      <c r="F43" s="447">
        <v>0</v>
      </c>
      <c r="G43" s="463" t="s">
        <v>685</v>
      </c>
      <c r="H43" s="443" t="s">
        <v>686</v>
      </c>
    </row>
    <row r="44" spans="1:8" x14ac:dyDescent="0.35">
      <c r="A44" s="462">
        <v>2</v>
      </c>
      <c r="B44" s="461" t="s">
        <v>537</v>
      </c>
      <c r="C44" s="473" t="s">
        <v>721</v>
      </c>
      <c r="D44" s="440" t="s">
        <v>397</v>
      </c>
      <c r="E44" s="467"/>
      <c r="F44" s="446">
        <v>0</v>
      </c>
      <c r="G44" s="463" t="s">
        <v>685</v>
      </c>
      <c r="H44" s="440" t="s">
        <v>719</v>
      </c>
    </row>
    <row r="45" spans="1:8" x14ac:dyDescent="0.35">
      <c r="A45" s="468">
        <v>2</v>
      </c>
      <c r="B45" s="466" t="s">
        <v>537</v>
      </c>
      <c r="C45" s="474" t="s">
        <v>722</v>
      </c>
      <c r="D45" s="443" t="s">
        <v>387</v>
      </c>
      <c r="E45" s="447">
        <v>15</v>
      </c>
      <c r="F45" s="447">
        <v>0</v>
      </c>
      <c r="G45" s="463" t="s">
        <v>685</v>
      </c>
      <c r="H45" s="443"/>
    </row>
    <row r="46" spans="1:8" x14ac:dyDescent="0.35">
      <c r="A46" s="462">
        <v>2</v>
      </c>
      <c r="B46" s="461" t="s">
        <v>537</v>
      </c>
      <c r="C46" s="473" t="s">
        <v>722</v>
      </c>
      <c r="D46" s="440" t="s">
        <v>282</v>
      </c>
      <c r="E46" s="446">
        <v>7.5</v>
      </c>
      <c r="F46" s="446">
        <v>0</v>
      </c>
      <c r="G46" s="463" t="s">
        <v>685</v>
      </c>
      <c r="H46" s="440" t="s">
        <v>686</v>
      </c>
    </row>
    <row r="47" spans="1:8" x14ac:dyDescent="0.35">
      <c r="A47" s="468">
        <v>2</v>
      </c>
      <c r="B47" s="466" t="s">
        <v>537</v>
      </c>
      <c r="C47" s="474" t="s">
        <v>743</v>
      </c>
      <c r="D47" s="443" t="s">
        <v>387</v>
      </c>
      <c r="E47" s="447">
        <v>15</v>
      </c>
      <c r="F47" s="447">
        <v>0</v>
      </c>
      <c r="G47" s="463" t="s">
        <v>685</v>
      </c>
      <c r="H47" s="443"/>
    </row>
    <row r="48" spans="1:8" x14ac:dyDescent="0.35">
      <c r="A48" s="462">
        <v>2</v>
      </c>
      <c r="B48" s="461" t="s">
        <v>537</v>
      </c>
      <c r="C48" s="473" t="s">
        <v>743</v>
      </c>
      <c r="D48" s="440" t="s">
        <v>282</v>
      </c>
      <c r="E48" s="446">
        <v>7.5</v>
      </c>
      <c r="F48" s="446">
        <v>0</v>
      </c>
      <c r="G48" s="463" t="s">
        <v>685</v>
      </c>
      <c r="H48" s="440" t="s">
        <v>686</v>
      </c>
    </row>
    <row r="49" spans="1:8" x14ac:dyDescent="0.35">
      <c r="A49" s="468">
        <v>2</v>
      </c>
      <c r="B49" s="466" t="s">
        <v>537</v>
      </c>
      <c r="C49" s="474" t="s">
        <v>744</v>
      </c>
      <c r="D49" s="443" t="s">
        <v>387</v>
      </c>
      <c r="E49" s="447">
        <v>15</v>
      </c>
      <c r="F49" s="447">
        <v>0</v>
      </c>
      <c r="G49" s="463" t="s">
        <v>685</v>
      </c>
      <c r="H49" s="443"/>
    </row>
    <row r="50" spans="1:8" x14ac:dyDescent="0.35">
      <c r="A50" s="462">
        <v>2</v>
      </c>
      <c r="B50" s="461" t="s">
        <v>537</v>
      </c>
      <c r="C50" s="473" t="s">
        <v>744</v>
      </c>
      <c r="D50" s="440" t="s">
        <v>282</v>
      </c>
      <c r="E50" s="446">
        <v>7.5</v>
      </c>
      <c r="F50" s="446">
        <v>0</v>
      </c>
      <c r="G50" s="463" t="s">
        <v>685</v>
      </c>
      <c r="H50" s="440" t="s">
        <v>686</v>
      </c>
    </row>
    <row r="51" spans="1:8" x14ac:dyDescent="0.35">
      <c r="A51" s="468">
        <v>2</v>
      </c>
      <c r="B51" s="466" t="s">
        <v>537</v>
      </c>
      <c r="C51" s="474" t="s">
        <v>744</v>
      </c>
      <c r="D51" s="443" t="s">
        <v>397</v>
      </c>
      <c r="E51" s="467"/>
      <c r="F51" s="447">
        <v>0</v>
      </c>
      <c r="G51" s="463" t="s">
        <v>685</v>
      </c>
      <c r="H51" s="443" t="s">
        <v>719</v>
      </c>
    </row>
    <row r="52" spans="1:8" x14ac:dyDescent="0.35">
      <c r="A52" s="462">
        <v>2</v>
      </c>
      <c r="B52" s="461" t="s">
        <v>537</v>
      </c>
      <c r="C52" s="473" t="s">
        <v>723</v>
      </c>
      <c r="D52" s="440" t="s">
        <v>387</v>
      </c>
      <c r="E52" s="446">
        <v>15</v>
      </c>
      <c r="F52" s="446">
        <v>0</v>
      </c>
      <c r="G52" s="463" t="s">
        <v>685</v>
      </c>
      <c r="H52" s="440"/>
    </row>
    <row r="53" spans="1:8" x14ac:dyDescent="0.35">
      <c r="A53" s="468">
        <v>2</v>
      </c>
      <c r="B53" s="466" t="s">
        <v>537</v>
      </c>
      <c r="C53" s="474" t="s">
        <v>723</v>
      </c>
      <c r="D53" s="443" t="s">
        <v>282</v>
      </c>
      <c r="E53" s="447">
        <v>7.5</v>
      </c>
      <c r="F53" s="447">
        <v>0</v>
      </c>
      <c r="G53" s="463" t="s">
        <v>685</v>
      </c>
      <c r="H53" s="443" t="s">
        <v>686</v>
      </c>
    </row>
    <row r="54" spans="1:8" x14ac:dyDescent="0.35">
      <c r="A54" s="462">
        <v>2</v>
      </c>
      <c r="B54" s="461" t="s">
        <v>537</v>
      </c>
      <c r="C54" s="473" t="s">
        <v>745</v>
      </c>
      <c r="D54" s="440" t="s">
        <v>387</v>
      </c>
      <c r="E54" s="446">
        <v>15</v>
      </c>
      <c r="F54" s="446">
        <v>0</v>
      </c>
      <c r="G54" s="463" t="s">
        <v>685</v>
      </c>
      <c r="H54" s="440"/>
    </row>
    <row r="55" spans="1:8" x14ac:dyDescent="0.35">
      <c r="A55" s="468">
        <v>2</v>
      </c>
      <c r="B55" s="466" t="s">
        <v>537</v>
      </c>
      <c r="C55" s="474" t="s">
        <v>745</v>
      </c>
      <c r="D55" s="443" t="s">
        <v>282</v>
      </c>
      <c r="E55" s="447">
        <v>7.5</v>
      </c>
      <c r="F55" s="447">
        <v>0</v>
      </c>
      <c r="G55" s="463" t="s">
        <v>685</v>
      </c>
      <c r="H55" s="443" t="s">
        <v>686</v>
      </c>
    </row>
    <row r="56" spans="1:8" x14ac:dyDescent="0.35">
      <c r="A56" s="462">
        <v>2</v>
      </c>
      <c r="B56" s="461" t="s">
        <v>537</v>
      </c>
      <c r="C56" s="473" t="s">
        <v>724</v>
      </c>
      <c r="D56" s="440" t="s">
        <v>387</v>
      </c>
      <c r="E56" s="446">
        <v>15</v>
      </c>
      <c r="F56" s="446">
        <v>0</v>
      </c>
      <c r="G56" s="463" t="s">
        <v>685</v>
      </c>
      <c r="H56" s="440"/>
    </row>
    <row r="57" spans="1:8" x14ac:dyDescent="0.35">
      <c r="A57" s="468">
        <v>2</v>
      </c>
      <c r="B57" s="466" t="s">
        <v>537</v>
      </c>
      <c r="C57" s="474" t="s">
        <v>724</v>
      </c>
      <c r="D57" s="443" t="s">
        <v>282</v>
      </c>
      <c r="E57" s="447">
        <v>7.5</v>
      </c>
      <c r="F57" s="447">
        <v>0</v>
      </c>
      <c r="G57" s="463" t="s">
        <v>685</v>
      </c>
      <c r="H57" s="443" t="s">
        <v>686</v>
      </c>
    </row>
    <row r="58" spans="1:8" x14ac:dyDescent="0.35">
      <c r="A58" s="462">
        <v>2</v>
      </c>
      <c r="B58" s="461" t="s">
        <v>566</v>
      </c>
      <c r="C58" s="473" t="s">
        <v>740</v>
      </c>
      <c r="D58" s="440" t="s">
        <v>282</v>
      </c>
      <c r="E58" s="446">
        <v>7.5</v>
      </c>
      <c r="F58" s="446">
        <v>7.5</v>
      </c>
      <c r="G58" s="465" t="s">
        <v>688</v>
      </c>
      <c r="H58" s="440" t="s">
        <v>748</v>
      </c>
    </row>
    <row r="59" spans="1:8" x14ac:dyDescent="0.35">
      <c r="A59" s="468">
        <v>2</v>
      </c>
      <c r="B59" s="466" t="s">
        <v>566</v>
      </c>
      <c r="C59" s="474" t="s">
        <v>741</v>
      </c>
      <c r="D59" s="443" t="s">
        <v>282</v>
      </c>
      <c r="E59" s="447">
        <v>7.5</v>
      </c>
      <c r="F59" s="447">
        <v>0</v>
      </c>
      <c r="G59" s="463" t="s">
        <v>685</v>
      </c>
      <c r="H59" s="443" t="s">
        <v>686</v>
      </c>
    </row>
    <row r="60" spans="1:8" x14ac:dyDescent="0.35">
      <c r="A60" s="462">
        <v>2</v>
      </c>
      <c r="B60" s="461" t="s">
        <v>566</v>
      </c>
      <c r="C60" s="473" t="s">
        <v>718</v>
      </c>
      <c r="D60" s="440" t="s">
        <v>282</v>
      </c>
      <c r="E60" s="446">
        <v>7.5</v>
      </c>
      <c r="F60" s="446">
        <v>0</v>
      </c>
      <c r="G60" s="463" t="s">
        <v>685</v>
      </c>
      <c r="H60" s="440" t="s">
        <v>686</v>
      </c>
    </row>
    <row r="61" spans="1:8" x14ac:dyDescent="0.35">
      <c r="A61" s="468">
        <v>2</v>
      </c>
      <c r="B61" s="466" t="s">
        <v>566</v>
      </c>
      <c r="C61" s="474" t="s">
        <v>742</v>
      </c>
      <c r="D61" s="443" t="s">
        <v>282</v>
      </c>
      <c r="E61" s="447">
        <v>7.5</v>
      </c>
      <c r="F61" s="447">
        <v>0</v>
      </c>
      <c r="G61" s="463" t="s">
        <v>685</v>
      </c>
      <c r="H61" s="443" t="s">
        <v>686</v>
      </c>
    </row>
    <row r="62" spans="1:8" x14ac:dyDescent="0.35">
      <c r="A62" s="462">
        <v>2</v>
      </c>
      <c r="B62" s="461" t="s">
        <v>566</v>
      </c>
      <c r="C62" s="473" t="s">
        <v>720</v>
      </c>
      <c r="D62" s="440" t="s">
        <v>282</v>
      </c>
      <c r="E62" s="446">
        <v>7.5</v>
      </c>
      <c r="F62" s="446">
        <v>0</v>
      </c>
      <c r="G62" s="463" t="s">
        <v>685</v>
      </c>
      <c r="H62" s="440" t="s">
        <v>686</v>
      </c>
    </row>
    <row r="63" spans="1:8" x14ac:dyDescent="0.35">
      <c r="A63" s="468">
        <v>2</v>
      </c>
      <c r="B63" s="466" t="s">
        <v>566</v>
      </c>
      <c r="C63" s="474" t="s">
        <v>721</v>
      </c>
      <c r="D63" s="443" t="s">
        <v>282</v>
      </c>
      <c r="E63" s="447">
        <v>7.5</v>
      </c>
      <c r="F63" s="447">
        <v>0</v>
      </c>
      <c r="G63" s="463" t="s">
        <v>685</v>
      </c>
      <c r="H63" s="443" t="s">
        <v>686</v>
      </c>
    </row>
    <row r="64" spans="1:8" x14ac:dyDescent="0.35">
      <c r="A64" s="462">
        <v>2</v>
      </c>
      <c r="B64" s="461" t="s">
        <v>566</v>
      </c>
      <c r="C64" s="473" t="s">
        <v>722</v>
      </c>
      <c r="D64" s="440" t="s">
        <v>282</v>
      </c>
      <c r="E64" s="446">
        <v>7.5</v>
      </c>
      <c r="F64" s="446">
        <v>0</v>
      </c>
      <c r="G64" s="463" t="s">
        <v>685</v>
      </c>
      <c r="H64" s="440" t="s">
        <v>686</v>
      </c>
    </row>
    <row r="65" spans="1:8" x14ac:dyDescent="0.35">
      <c r="A65" s="468">
        <v>2</v>
      </c>
      <c r="B65" s="466" t="s">
        <v>566</v>
      </c>
      <c r="C65" s="474" t="s">
        <v>743</v>
      </c>
      <c r="D65" s="443" t="s">
        <v>282</v>
      </c>
      <c r="E65" s="447">
        <v>7.5</v>
      </c>
      <c r="F65" s="447">
        <v>0</v>
      </c>
      <c r="G65" s="463" t="s">
        <v>685</v>
      </c>
      <c r="H65" s="443" t="s">
        <v>686</v>
      </c>
    </row>
    <row r="66" spans="1:8" x14ac:dyDescent="0.35">
      <c r="A66" s="462">
        <v>2</v>
      </c>
      <c r="B66" s="461" t="s">
        <v>566</v>
      </c>
      <c r="C66" s="473" t="s">
        <v>744</v>
      </c>
      <c r="D66" s="440" t="s">
        <v>282</v>
      </c>
      <c r="E66" s="446">
        <v>7.5</v>
      </c>
      <c r="F66" s="446">
        <v>0</v>
      </c>
      <c r="G66" s="463" t="s">
        <v>685</v>
      </c>
      <c r="H66" s="440" t="s">
        <v>686</v>
      </c>
    </row>
    <row r="67" spans="1:8" x14ac:dyDescent="0.35">
      <c r="A67" s="468">
        <v>2</v>
      </c>
      <c r="B67" s="466" t="s">
        <v>566</v>
      </c>
      <c r="C67" s="474" t="s">
        <v>723</v>
      </c>
      <c r="D67" s="443" t="s">
        <v>282</v>
      </c>
      <c r="E67" s="447">
        <v>7.5</v>
      </c>
      <c r="F67" s="447">
        <v>0</v>
      </c>
      <c r="G67" s="463" t="s">
        <v>685</v>
      </c>
      <c r="H67" s="443" t="s">
        <v>686</v>
      </c>
    </row>
    <row r="68" spans="1:8" x14ac:dyDescent="0.35">
      <c r="A68" s="462">
        <v>2</v>
      </c>
      <c r="B68" s="461" t="s">
        <v>566</v>
      </c>
      <c r="C68" s="473" t="s">
        <v>745</v>
      </c>
      <c r="D68" s="440" t="s">
        <v>282</v>
      </c>
      <c r="E68" s="446">
        <v>7.5</v>
      </c>
      <c r="F68" s="446">
        <v>0</v>
      </c>
      <c r="G68" s="463" t="s">
        <v>685</v>
      </c>
      <c r="H68" s="440" t="s">
        <v>686</v>
      </c>
    </row>
    <row r="69" spans="1:8" x14ac:dyDescent="0.35">
      <c r="A69" s="468">
        <v>2</v>
      </c>
      <c r="B69" s="466" t="s">
        <v>566</v>
      </c>
      <c r="C69" s="474" t="s">
        <v>724</v>
      </c>
      <c r="D69" s="443" t="s">
        <v>282</v>
      </c>
      <c r="E69" s="447">
        <v>7.5</v>
      </c>
      <c r="F69" s="447">
        <v>0</v>
      </c>
      <c r="G69" s="463" t="s">
        <v>685</v>
      </c>
      <c r="H69" s="443" t="s">
        <v>686</v>
      </c>
    </row>
    <row r="70" spans="1:8" x14ac:dyDescent="0.35">
      <c r="A70" s="462">
        <v>3</v>
      </c>
      <c r="B70" s="461" t="s">
        <v>654</v>
      </c>
      <c r="C70" s="473" t="s">
        <v>740</v>
      </c>
      <c r="D70" s="440" t="s">
        <v>387</v>
      </c>
      <c r="E70" s="446">
        <v>15</v>
      </c>
      <c r="F70" s="446">
        <v>15</v>
      </c>
      <c r="G70" s="465" t="s">
        <v>688</v>
      </c>
      <c r="H70" s="440" t="s">
        <v>749</v>
      </c>
    </row>
    <row r="71" spans="1:8" x14ac:dyDescent="0.35">
      <c r="A71" s="468">
        <v>3</v>
      </c>
      <c r="B71" s="466" t="s">
        <v>654</v>
      </c>
      <c r="C71" s="474" t="s">
        <v>740</v>
      </c>
      <c r="D71" s="443" t="s">
        <v>282</v>
      </c>
      <c r="E71" s="447">
        <v>7.5</v>
      </c>
      <c r="F71" s="447">
        <v>7.5</v>
      </c>
      <c r="G71" s="465" t="s">
        <v>688</v>
      </c>
      <c r="H71" s="443" t="s">
        <v>749</v>
      </c>
    </row>
    <row r="72" spans="1:8" x14ac:dyDescent="0.35">
      <c r="A72" s="462">
        <v>3</v>
      </c>
      <c r="B72" s="461" t="s">
        <v>654</v>
      </c>
      <c r="C72" s="473" t="s">
        <v>741</v>
      </c>
      <c r="D72" s="440" t="s">
        <v>387</v>
      </c>
      <c r="E72" s="446">
        <v>15</v>
      </c>
      <c r="F72" s="446">
        <v>0</v>
      </c>
      <c r="G72" s="463" t="s">
        <v>685</v>
      </c>
      <c r="H72" s="440"/>
    </row>
    <row r="73" spans="1:8" x14ac:dyDescent="0.35">
      <c r="A73" s="468">
        <v>3</v>
      </c>
      <c r="B73" s="466" t="s">
        <v>654</v>
      </c>
      <c r="C73" s="474" t="s">
        <v>741</v>
      </c>
      <c r="D73" s="443" t="s">
        <v>282</v>
      </c>
      <c r="E73" s="447">
        <v>7.5</v>
      </c>
      <c r="F73" s="447">
        <v>0</v>
      </c>
      <c r="G73" s="463" t="s">
        <v>685</v>
      </c>
      <c r="H73" s="443" t="s">
        <v>686</v>
      </c>
    </row>
    <row r="74" spans="1:8" x14ac:dyDescent="0.35">
      <c r="A74" s="462">
        <v>3</v>
      </c>
      <c r="B74" s="461" t="s">
        <v>654</v>
      </c>
      <c r="C74" s="473" t="s">
        <v>718</v>
      </c>
      <c r="D74" s="440" t="s">
        <v>387</v>
      </c>
      <c r="E74" s="446">
        <v>15</v>
      </c>
      <c r="F74" s="446">
        <v>0</v>
      </c>
      <c r="G74" s="463" t="s">
        <v>685</v>
      </c>
      <c r="H74" s="440"/>
    </row>
    <row r="75" spans="1:8" x14ac:dyDescent="0.35">
      <c r="A75" s="468">
        <v>3</v>
      </c>
      <c r="B75" s="466" t="s">
        <v>654</v>
      </c>
      <c r="C75" s="474" t="s">
        <v>718</v>
      </c>
      <c r="D75" s="443" t="s">
        <v>282</v>
      </c>
      <c r="E75" s="447">
        <v>7.5</v>
      </c>
      <c r="F75" s="447">
        <v>0</v>
      </c>
      <c r="G75" s="463" t="s">
        <v>685</v>
      </c>
      <c r="H75" s="443" t="s">
        <v>686</v>
      </c>
    </row>
    <row r="76" spans="1:8" x14ac:dyDescent="0.35">
      <c r="A76" s="462">
        <v>3</v>
      </c>
      <c r="B76" s="461" t="s">
        <v>654</v>
      </c>
      <c r="C76" s="473" t="s">
        <v>718</v>
      </c>
      <c r="D76" s="440" t="s">
        <v>397</v>
      </c>
      <c r="E76" s="467"/>
      <c r="F76" s="446">
        <v>0</v>
      </c>
      <c r="G76" s="463" t="s">
        <v>685</v>
      </c>
      <c r="H76" s="440" t="s">
        <v>719</v>
      </c>
    </row>
    <row r="77" spans="1:8" x14ac:dyDescent="0.35">
      <c r="A77" s="468">
        <v>3</v>
      </c>
      <c r="B77" s="466" t="s">
        <v>654</v>
      </c>
      <c r="C77" s="474" t="s">
        <v>742</v>
      </c>
      <c r="D77" s="443" t="s">
        <v>387</v>
      </c>
      <c r="E77" s="447">
        <v>15</v>
      </c>
      <c r="F77" s="447">
        <v>0</v>
      </c>
      <c r="G77" s="463" t="s">
        <v>685</v>
      </c>
      <c r="H77" s="443"/>
    </row>
    <row r="78" spans="1:8" x14ac:dyDescent="0.35">
      <c r="A78" s="462">
        <v>3</v>
      </c>
      <c r="B78" s="461" t="s">
        <v>654</v>
      </c>
      <c r="C78" s="473" t="s">
        <v>742</v>
      </c>
      <c r="D78" s="440" t="s">
        <v>282</v>
      </c>
      <c r="E78" s="446">
        <v>7.5</v>
      </c>
      <c r="F78" s="446">
        <v>0</v>
      </c>
      <c r="G78" s="463" t="s">
        <v>685</v>
      </c>
      <c r="H78" s="440" t="s">
        <v>686</v>
      </c>
    </row>
    <row r="79" spans="1:8" x14ac:dyDescent="0.35">
      <c r="A79" s="468">
        <v>3</v>
      </c>
      <c r="B79" s="466" t="s">
        <v>654</v>
      </c>
      <c r="C79" s="474" t="s">
        <v>720</v>
      </c>
      <c r="D79" s="443" t="s">
        <v>387</v>
      </c>
      <c r="E79" s="447">
        <v>15</v>
      </c>
      <c r="F79" s="447">
        <v>0</v>
      </c>
      <c r="G79" s="463" t="s">
        <v>685</v>
      </c>
      <c r="H79" s="443"/>
    </row>
    <row r="80" spans="1:8" x14ac:dyDescent="0.35">
      <c r="A80" s="462">
        <v>3</v>
      </c>
      <c r="B80" s="461" t="s">
        <v>654</v>
      </c>
      <c r="C80" s="473" t="s">
        <v>720</v>
      </c>
      <c r="D80" s="440" t="s">
        <v>282</v>
      </c>
      <c r="E80" s="446">
        <v>7.5</v>
      </c>
      <c r="F80" s="446">
        <v>0</v>
      </c>
      <c r="G80" s="463" t="s">
        <v>685</v>
      </c>
      <c r="H80" s="440" t="s">
        <v>686</v>
      </c>
    </row>
    <row r="81" spans="1:8" x14ac:dyDescent="0.35">
      <c r="A81" s="468">
        <v>3</v>
      </c>
      <c r="B81" s="466" t="s">
        <v>654</v>
      </c>
      <c r="C81" s="474" t="s">
        <v>721</v>
      </c>
      <c r="D81" s="443" t="s">
        <v>387</v>
      </c>
      <c r="E81" s="447">
        <v>15</v>
      </c>
      <c r="F81" s="447">
        <v>0</v>
      </c>
      <c r="G81" s="463" t="s">
        <v>685</v>
      </c>
      <c r="H81" s="443"/>
    </row>
    <row r="82" spans="1:8" x14ac:dyDescent="0.35">
      <c r="A82" s="462">
        <v>3</v>
      </c>
      <c r="B82" s="461" t="s">
        <v>654</v>
      </c>
      <c r="C82" s="473" t="s">
        <v>721</v>
      </c>
      <c r="D82" s="440" t="s">
        <v>282</v>
      </c>
      <c r="E82" s="446">
        <v>7.5</v>
      </c>
      <c r="F82" s="446">
        <v>0</v>
      </c>
      <c r="G82" s="463" t="s">
        <v>685</v>
      </c>
      <c r="H82" s="440" t="s">
        <v>686</v>
      </c>
    </row>
    <row r="83" spans="1:8" x14ac:dyDescent="0.35">
      <c r="A83" s="468">
        <v>3</v>
      </c>
      <c r="B83" s="466" t="s">
        <v>654</v>
      </c>
      <c r="C83" s="474" t="s">
        <v>721</v>
      </c>
      <c r="D83" s="443" t="s">
        <v>397</v>
      </c>
      <c r="E83" s="467"/>
      <c r="F83" s="447">
        <v>0</v>
      </c>
      <c r="G83" s="463" t="s">
        <v>685</v>
      </c>
      <c r="H83" s="443" t="s">
        <v>719</v>
      </c>
    </row>
    <row r="84" spans="1:8" x14ac:dyDescent="0.35">
      <c r="A84" s="462">
        <v>3</v>
      </c>
      <c r="B84" s="461" t="s">
        <v>654</v>
      </c>
      <c r="C84" s="473" t="s">
        <v>722</v>
      </c>
      <c r="D84" s="440" t="s">
        <v>387</v>
      </c>
      <c r="E84" s="446">
        <v>15</v>
      </c>
      <c r="F84" s="446">
        <v>0</v>
      </c>
      <c r="G84" s="463" t="s">
        <v>685</v>
      </c>
      <c r="H84" s="440"/>
    </row>
    <row r="85" spans="1:8" x14ac:dyDescent="0.35">
      <c r="A85" s="468">
        <v>3</v>
      </c>
      <c r="B85" s="466" t="s">
        <v>654</v>
      </c>
      <c r="C85" s="474" t="s">
        <v>722</v>
      </c>
      <c r="D85" s="443" t="s">
        <v>282</v>
      </c>
      <c r="E85" s="447">
        <v>7.5</v>
      </c>
      <c r="F85" s="447">
        <v>0</v>
      </c>
      <c r="G85" s="463" t="s">
        <v>685</v>
      </c>
      <c r="H85" s="443" t="s">
        <v>686</v>
      </c>
    </row>
    <row r="86" spans="1:8" x14ac:dyDescent="0.35">
      <c r="A86" s="462">
        <v>3</v>
      </c>
      <c r="B86" s="461" t="s">
        <v>654</v>
      </c>
      <c r="C86" s="473" t="s">
        <v>743</v>
      </c>
      <c r="D86" s="440" t="s">
        <v>387</v>
      </c>
      <c r="E86" s="446">
        <v>15</v>
      </c>
      <c r="F86" s="446">
        <v>0</v>
      </c>
      <c r="G86" s="463" t="s">
        <v>685</v>
      </c>
      <c r="H86" s="440"/>
    </row>
    <row r="87" spans="1:8" x14ac:dyDescent="0.35">
      <c r="A87" s="468">
        <v>3</v>
      </c>
      <c r="B87" s="466" t="s">
        <v>654</v>
      </c>
      <c r="C87" s="474" t="s">
        <v>743</v>
      </c>
      <c r="D87" s="443" t="s">
        <v>282</v>
      </c>
      <c r="E87" s="447">
        <v>7.5</v>
      </c>
      <c r="F87" s="447">
        <v>0</v>
      </c>
      <c r="G87" s="463" t="s">
        <v>685</v>
      </c>
      <c r="H87" s="443" t="s">
        <v>686</v>
      </c>
    </row>
    <row r="88" spans="1:8" x14ac:dyDescent="0.35">
      <c r="A88" s="462">
        <v>3</v>
      </c>
      <c r="B88" s="461" t="s">
        <v>654</v>
      </c>
      <c r="C88" s="473" t="s">
        <v>744</v>
      </c>
      <c r="D88" s="440" t="s">
        <v>387</v>
      </c>
      <c r="E88" s="446">
        <v>15</v>
      </c>
      <c r="F88" s="446">
        <v>0</v>
      </c>
      <c r="G88" s="463" t="s">
        <v>685</v>
      </c>
      <c r="H88" s="440"/>
    </row>
    <row r="89" spans="1:8" x14ac:dyDescent="0.35">
      <c r="A89" s="468">
        <v>3</v>
      </c>
      <c r="B89" s="466" t="s">
        <v>654</v>
      </c>
      <c r="C89" s="474" t="s">
        <v>744</v>
      </c>
      <c r="D89" s="443" t="s">
        <v>282</v>
      </c>
      <c r="E89" s="447">
        <v>7.5</v>
      </c>
      <c r="F89" s="447">
        <v>0</v>
      </c>
      <c r="G89" s="463" t="s">
        <v>685</v>
      </c>
      <c r="H89" s="443" t="s">
        <v>686</v>
      </c>
    </row>
    <row r="90" spans="1:8" x14ac:dyDescent="0.35">
      <c r="A90" s="462">
        <v>3</v>
      </c>
      <c r="B90" s="461" t="s">
        <v>654</v>
      </c>
      <c r="C90" s="473" t="s">
        <v>744</v>
      </c>
      <c r="D90" s="440" t="s">
        <v>397</v>
      </c>
      <c r="E90" s="467"/>
      <c r="F90" s="446">
        <v>0</v>
      </c>
      <c r="G90" s="463" t="s">
        <v>685</v>
      </c>
      <c r="H90" s="440" t="s">
        <v>719</v>
      </c>
    </row>
    <row r="91" spans="1:8" x14ac:dyDescent="0.35">
      <c r="A91" s="468">
        <v>3</v>
      </c>
      <c r="B91" s="466" t="s">
        <v>654</v>
      </c>
      <c r="C91" s="474" t="s">
        <v>723</v>
      </c>
      <c r="D91" s="443" t="s">
        <v>387</v>
      </c>
      <c r="E91" s="447">
        <v>15</v>
      </c>
      <c r="F91" s="447">
        <v>0</v>
      </c>
      <c r="G91" s="463" t="s">
        <v>685</v>
      </c>
      <c r="H91" s="443"/>
    </row>
    <row r="92" spans="1:8" x14ac:dyDescent="0.35">
      <c r="A92" s="462">
        <v>3</v>
      </c>
      <c r="B92" s="461" t="s">
        <v>654</v>
      </c>
      <c r="C92" s="473" t="s">
        <v>723</v>
      </c>
      <c r="D92" s="440" t="s">
        <v>282</v>
      </c>
      <c r="E92" s="446">
        <v>7.5</v>
      </c>
      <c r="F92" s="446">
        <v>0</v>
      </c>
      <c r="G92" s="463" t="s">
        <v>685</v>
      </c>
      <c r="H92" s="440" t="s">
        <v>686</v>
      </c>
    </row>
    <row r="93" spans="1:8" x14ac:dyDescent="0.35">
      <c r="A93" s="468">
        <v>3</v>
      </c>
      <c r="B93" s="466" t="s">
        <v>654</v>
      </c>
      <c r="C93" s="474" t="s">
        <v>745</v>
      </c>
      <c r="D93" s="443" t="s">
        <v>387</v>
      </c>
      <c r="E93" s="447">
        <v>15</v>
      </c>
      <c r="F93" s="447">
        <v>0</v>
      </c>
      <c r="G93" s="463" t="s">
        <v>685</v>
      </c>
      <c r="H93" s="443"/>
    </row>
    <row r="94" spans="1:8" x14ac:dyDescent="0.35">
      <c r="A94" s="462">
        <v>3</v>
      </c>
      <c r="B94" s="461" t="s">
        <v>654</v>
      </c>
      <c r="C94" s="473" t="s">
        <v>745</v>
      </c>
      <c r="D94" s="440" t="s">
        <v>282</v>
      </c>
      <c r="E94" s="446">
        <v>7.5</v>
      </c>
      <c r="F94" s="446">
        <v>0</v>
      </c>
      <c r="G94" s="463" t="s">
        <v>685</v>
      </c>
      <c r="H94" s="440" t="s">
        <v>686</v>
      </c>
    </row>
    <row r="95" spans="1:8" x14ac:dyDescent="0.35">
      <c r="A95" s="468">
        <v>3</v>
      </c>
      <c r="B95" s="466" t="s">
        <v>654</v>
      </c>
      <c r="C95" s="474" t="s">
        <v>724</v>
      </c>
      <c r="D95" s="443" t="s">
        <v>387</v>
      </c>
      <c r="E95" s="447">
        <v>15</v>
      </c>
      <c r="F95" s="447">
        <v>0</v>
      </c>
      <c r="G95" s="463" t="s">
        <v>685</v>
      </c>
      <c r="H95" s="443"/>
    </row>
    <row r="96" spans="1:8" x14ac:dyDescent="0.35">
      <c r="A96" s="462">
        <v>3</v>
      </c>
      <c r="B96" s="461" t="s">
        <v>654</v>
      </c>
      <c r="C96" s="473" t="s">
        <v>724</v>
      </c>
      <c r="D96" s="440" t="s">
        <v>282</v>
      </c>
      <c r="E96" s="446">
        <v>7.5</v>
      </c>
      <c r="F96" s="446">
        <v>0</v>
      </c>
      <c r="G96" s="463" t="s">
        <v>685</v>
      </c>
      <c r="H96" s="440" t="s">
        <v>686</v>
      </c>
    </row>
    <row r="97" spans="1:8" x14ac:dyDescent="0.35">
      <c r="A97" s="468">
        <v>4</v>
      </c>
      <c r="B97" s="466" t="s">
        <v>535</v>
      </c>
      <c r="C97" s="474" t="s">
        <v>740</v>
      </c>
      <c r="D97" s="443" t="s">
        <v>387</v>
      </c>
      <c r="E97" s="447">
        <v>15</v>
      </c>
      <c r="F97" s="447">
        <v>15</v>
      </c>
      <c r="G97" s="465" t="s">
        <v>688</v>
      </c>
      <c r="H97" s="443" t="s">
        <v>749</v>
      </c>
    </row>
    <row r="98" spans="1:8" x14ac:dyDescent="0.35">
      <c r="A98" s="462">
        <v>4</v>
      </c>
      <c r="B98" s="461" t="s">
        <v>535</v>
      </c>
      <c r="C98" s="473" t="s">
        <v>740</v>
      </c>
      <c r="D98" s="440" t="s">
        <v>282</v>
      </c>
      <c r="E98" s="446">
        <v>7.5</v>
      </c>
      <c r="F98" s="446">
        <v>0</v>
      </c>
      <c r="G98" s="464" t="s">
        <v>687</v>
      </c>
      <c r="H98" s="440" t="s">
        <v>760</v>
      </c>
    </row>
    <row r="99" spans="1:8" x14ac:dyDescent="0.35">
      <c r="A99" s="468">
        <v>4</v>
      </c>
      <c r="B99" s="466" t="s">
        <v>535</v>
      </c>
      <c r="C99" s="474" t="s">
        <v>741</v>
      </c>
      <c r="D99" s="443" t="s">
        <v>387</v>
      </c>
      <c r="E99" s="447">
        <v>15</v>
      </c>
      <c r="F99" s="447">
        <v>0</v>
      </c>
      <c r="G99" s="463" t="s">
        <v>685</v>
      </c>
      <c r="H99" s="443"/>
    </row>
    <row r="100" spans="1:8" x14ac:dyDescent="0.35">
      <c r="A100" s="462">
        <v>4</v>
      </c>
      <c r="B100" s="461" t="s">
        <v>535</v>
      </c>
      <c r="C100" s="473" t="s">
        <v>741</v>
      </c>
      <c r="D100" s="440" t="s">
        <v>282</v>
      </c>
      <c r="E100" s="446">
        <v>7.5</v>
      </c>
      <c r="F100" s="446">
        <v>0</v>
      </c>
      <c r="G100" s="463" t="s">
        <v>685</v>
      </c>
      <c r="H100" s="440" t="s">
        <v>686</v>
      </c>
    </row>
    <row r="101" spans="1:8" x14ac:dyDescent="0.35">
      <c r="A101" s="468">
        <v>4</v>
      </c>
      <c r="B101" s="466" t="s">
        <v>535</v>
      </c>
      <c r="C101" s="474" t="s">
        <v>718</v>
      </c>
      <c r="D101" s="443" t="s">
        <v>387</v>
      </c>
      <c r="E101" s="447">
        <v>15</v>
      </c>
      <c r="F101" s="447">
        <v>0</v>
      </c>
      <c r="G101" s="463" t="s">
        <v>685</v>
      </c>
      <c r="H101" s="443"/>
    </row>
    <row r="102" spans="1:8" x14ac:dyDescent="0.35">
      <c r="A102" s="462">
        <v>4</v>
      </c>
      <c r="B102" s="461" t="s">
        <v>535</v>
      </c>
      <c r="C102" s="473" t="s">
        <v>718</v>
      </c>
      <c r="D102" s="440" t="s">
        <v>282</v>
      </c>
      <c r="E102" s="446">
        <v>7.5</v>
      </c>
      <c r="F102" s="446">
        <v>0</v>
      </c>
      <c r="G102" s="463" t="s">
        <v>685</v>
      </c>
      <c r="H102" s="440" t="s">
        <v>686</v>
      </c>
    </row>
    <row r="103" spans="1:8" x14ac:dyDescent="0.35">
      <c r="A103" s="468">
        <v>4</v>
      </c>
      <c r="B103" s="466" t="s">
        <v>535</v>
      </c>
      <c r="C103" s="474" t="s">
        <v>718</v>
      </c>
      <c r="D103" s="443" t="s">
        <v>397</v>
      </c>
      <c r="E103" s="467"/>
      <c r="F103" s="447">
        <v>0</v>
      </c>
      <c r="G103" s="463" t="s">
        <v>685</v>
      </c>
      <c r="H103" s="443" t="s">
        <v>719</v>
      </c>
    </row>
    <row r="104" spans="1:8" x14ac:dyDescent="0.35">
      <c r="A104" s="462">
        <v>4</v>
      </c>
      <c r="B104" s="461" t="s">
        <v>535</v>
      </c>
      <c r="C104" s="473" t="s">
        <v>742</v>
      </c>
      <c r="D104" s="440" t="s">
        <v>387</v>
      </c>
      <c r="E104" s="446">
        <v>15</v>
      </c>
      <c r="F104" s="446">
        <v>0</v>
      </c>
      <c r="G104" s="463" t="s">
        <v>685</v>
      </c>
      <c r="H104" s="440"/>
    </row>
    <row r="105" spans="1:8" x14ac:dyDescent="0.35">
      <c r="A105" s="468">
        <v>4</v>
      </c>
      <c r="B105" s="466" t="s">
        <v>535</v>
      </c>
      <c r="C105" s="474" t="s">
        <v>742</v>
      </c>
      <c r="D105" s="443" t="s">
        <v>282</v>
      </c>
      <c r="E105" s="447">
        <v>7.5</v>
      </c>
      <c r="F105" s="447">
        <v>0</v>
      </c>
      <c r="G105" s="463" t="s">
        <v>685</v>
      </c>
      <c r="H105" s="443" t="s">
        <v>686</v>
      </c>
    </row>
    <row r="106" spans="1:8" x14ac:dyDescent="0.35">
      <c r="A106" s="462">
        <v>4</v>
      </c>
      <c r="B106" s="461" t="s">
        <v>535</v>
      </c>
      <c r="C106" s="473" t="s">
        <v>720</v>
      </c>
      <c r="D106" s="440" t="s">
        <v>387</v>
      </c>
      <c r="E106" s="446">
        <v>15</v>
      </c>
      <c r="F106" s="446">
        <v>0</v>
      </c>
      <c r="G106" s="463" t="s">
        <v>685</v>
      </c>
      <c r="H106" s="440"/>
    </row>
    <row r="107" spans="1:8" x14ac:dyDescent="0.35">
      <c r="A107" s="468">
        <v>4</v>
      </c>
      <c r="B107" s="466" t="s">
        <v>535</v>
      </c>
      <c r="C107" s="474" t="s">
        <v>720</v>
      </c>
      <c r="D107" s="443" t="s">
        <v>282</v>
      </c>
      <c r="E107" s="447">
        <v>7.5</v>
      </c>
      <c r="F107" s="447">
        <v>0</v>
      </c>
      <c r="G107" s="463" t="s">
        <v>685</v>
      </c>
      <c r="H107" s="443" t="s">
        <v>686</v>
      </c>
    </row>
    <row r="108" spans="1:8" x14ac:dyDescent="0.35">
      <c r="A108" s="462">
        <v>4</v>
      </c>
      <c r="B108" s="461" t="s">
        <v>535</v>
      </c>
      <c r="C108" s="473" t="s">
        <v>721</v>
      </c>
      <c r="D108" s="440" t="s">
        <v>387</v>
      </c>
      <c r="E108" s="446">
        <v>15</v>
      </c>
      <c r="F108" s="446">
        <v>0</v>
      </c>
      <c r="G108" s="463" t="s">
        <v>685</v>
      </c>
      <c r="H108" s="440"/>
    </row>
    <row r="109" spans="1:8" x14ac:dyDescent="0.35">
      <c r="A109" s="468">
        <v>4</v>
      </c>
      <c r="B109" s="466" t="s">
        <v>535</v>
      </c>
      <c r="C109" s="474" t="s">
        <v>721</v>
      </c>
      <c r="D109" s="443" t="s">
        <v>282</v>
      </c>
      <c r="E109" s="447">
        <v>7.5</v>
      </c>
      <c r="F109" s="447">
        <v>0</v>
      </c>
      <c r="G109" s="463" t="s">
        <v>685</v>
      </c>
      <c r="H109" s="443" t="s">
        <v>686</v>
      </c>
    </row>
    <row r="110" spans="1:8" x14ac:dyDescent="0.35">
      <c r="A110" s="462">
        <v>4</v>
      </c>
      <c r="B110" s="461" t="s">
        <v>535</v>
      </c>
      <c r="C110" s="473" t="s">
        <v>721</v>
      </c>
      <c r="D110" s="440" t="s">
        <v>397</v>
      </c>
      <c r="E110" s="467"/>
      <c r="F110" s="446">
        <v>0</v>
      </c>
      <c r="G110" s="463" t="s">
        <v>685</v>
      </c>
      <c r="H110" s="440" t="s">
        <v>719</v>
      </c>
    </row>
    <row r="111" spans="1:8" x14ac:dyDescent="0.35">
      <c r="A111" s="468">
        <v>4</v>
      </c>
      <c r="B111" s="466" t="s">
        <v>535</v>
      </c>
      <c r="C111" s="474" t="s">
        <v>722</v>
      </c>
      <c r="D111" s="443" t="s">
        <v>387</v>
      </c>
      <c r="E111" s="447">
        <v>15</v>
      </c>
      <c r="F111" s="447">
        <v>0</v>
      </c>
      <c r="G111" s="463" t="s">
        <v>685</v>
      </c>
      <c r="H111" s="443"/>
    </row>
    <row r="112" spans="1:8" x14ac:dyDescent="0.35">
      <c r="A112" s="462">
        <v>4</v>
      </c>
      <c r="B112" s="461" t="s">
        <v>535</v>
      </c>
      <c r="C112" s="473" t="s">
        <v>722</v>
      </c>
      <c r="D112" s="440" t="s">
        <v>282</v>
      </c>
      <c r="E112" s="446">
        <v>7.5</v>
      </c>
      <c r="F112" s="446">
        <v>0</v>
      </c>
      <c r="G112" s="463" t="s">
        <v>685</v>
      </c>
      <c r="H112" s="440" t="s">
        <v>686</v>
      </c>
    </row>
    <row r="113" spans="1:8" x14ac:dyDescent="0.35">
      <c r="A113" s="468">
        <v>4</v>
      </c>
      <c r="B113" s="466" t="s">
        <v>535</v>
      </c>
      <c r="C113" s="474" t="s">
        <v>743</v>
      </c>
      <c r="D113" s="443" t="s">
        <v>387</v>
      </c>
      <c r="E113" s="447">
        <v>15</v>
      </c>
      <c r="F113" s="447">
        <v>0</v>
      </c>
      <c r="G113" s="463" t="s">
        <v>685</v>
      </c>
      <c r="H113" s="443"/>
    </row>
    <row r="114" spans="1:8" x14ac:dyDescent="0.35">
      <c r="A114" s="462">
        <v>4</v>
      </c>
      <c r="B114" s="461" t="s">
        <v>535</v>
      </c>
      <c r="C114" s="473" t="s">
        <v>743</v>
      </c>
      <c r="D114" s="440" t="s">
        <v>282</v>
      </c>
      <c r="E114" s="446">
        <v>7.5</v>
      </c>
      <c r="F114" s="446">
        <v>0</v>
      </c>
      <c r="G114" s="463" t="s">
        <v>685</v>
      </c>
      <c r="H114" s="440" t="s">
        <v>686</v>
      </c>
    </row>
    <row r="115" spans="1:8" x14ac:dyDescent="0.35">
      <c r="A115" s="468">
        <v>4</v>
      </c>
      <c r="B115" s="466" t="s">
        <v>535</v>
      </c>
      <c r="C115" s="474" t="s">
        <v>744</v>
      </c>
      <c r="D115" s="443" t="s">
        <v>387</v>
      </c>
      <c r="E115" s="447">
        <v>15</v>
      </c>
      <c r="F115" s="447">
        <v>0</v>
      </c>
      <c r="G115" s="463" t="s">
        <v>685</v>
      </c>
      <c r="H115" s="443"/>
    </row>
    <row r="116" spans="1:8" x14ac:dyDescent="0.35">
      <c r="A116" s="462">
        <v>4</v>
      </c>
      <c r="B116" s="461" t="s">
        <v>535</v>
      </c>
      <c r="C116" s="473" t="s">
        <v>744</v>
      </c>
      <c r="D116" s="440" t="s">
        <v>282</v>
      </c>
      <c r="E116" s="446">
        <v>7.5</v>
      </c>
      <c r="F116" s="446">
        <v>0</v>
      </c>
      <c r="G116" s="463" t="s">
        <v>685</v>
      </c>
      <c r="H116" s="440" t="s">
        <v>686</v>
      </c>
    </row>
    <row r="117" spans="1:8" x14ac:dyDescent="0.35">
      <c r="A117" s="468">
        <v>4</v>
      </c>
      <c r="B117" s="466" t="s">
        <v>535</v>
      </c>
      <c r="C117" s="474" t="s">
        <v>744</v>
      </c>
      <c r="D117" s="443" t="s">
        <v>397</v>
      </c>
      <c r="E117" s="467"/>
      <c r="F117" s="447">
        <v>0</v>
      </c>
      <c r="G117" s="463" t="s">
        <v>685</v>
      </c>
      <c r="H117" s="443" t="s">
        <v>719</v>
      </c>
    </row>
    <row r="118" spans="1:8" x14ac:dyDescent="0.35">
      <c r="A118" s="462">
        <v>4</v>
      </c>
      <c r="B118" s="461" t="s">
        <v>535</v>
      </c>
      <c r="C118" s="473" t="s">
        <v>723</v>
      </c>
      <c r="D118" s="440" t="s">
        <v>387</v>
      </c>
      <c r="E118" s="446">
        <v>15</v>
      </c>
      <c r="F118" s="446">
        <v>0</v>
      </c>
      <c r="G118" s="463" t="s">
        <v>685</v>
      </c>
      <c r="H118" s="440"/>
    </row>
    <row r="119" spans="1:8" x14ac:dyDescent="0.35">
      <c r="A119" s="468">
        <v>4</v>
      </c>
      <c r="B119" s="466" t="s">
        <v>535</v>
      </c>
      <c r="C119" s="474" t="s">
        <v>723</v>
      </c>
      <c r="D119" s="443" t="s">
        <v>282</v>
      </c>
      <c r="E119" s="447">
        <v>7.5</v>
      </c>
      <c r="F119" s="447">
        <v>0</v>
      </c>
      <c r="G119" s="463" t="s">
        <v>685</v>
      </c>
      <c r="H119" s="443" t="s">
        <v>686</v>
      </c>
    </row>
    <row r="120" spans="1:8" x14ac:dyDescent="0.35">
      <c r="A120" s="462">
        <v>4</v>
      </c>
      <c r="B120" s="461" t="s">
        <v>535</v>
      </c>
      <c r="C120" s="473" t="s">
        <v>745</v>
      </c>
      <c r="D120" s="440" t="s">
        <v>387</v>
      </c>
      <c r="E120" s="446">
        <v>15</v>
      </c>
      <c r="F120" s="446">
        <v>0</v>
      </c>
      <c r="G120" s="463" t="s">
        <v>685</v>
      </c>
      <c r="H120" s="440"/>
    </row>
    <row r="121" spans="1:8" x14ac:dyDescent="0.35">
      <c r="A121" s="468">
        <v>4</v>
      </c>
      <c r="B121" s="466" t="s">
        <v>535</v>
      </c>
      <c r="C121" s="474" t="s">
        <v>745</v>
      </c>
      <c r="D121" s="443" t="s">
        <v>282</v>
      </c>
      <c r="E121" s="447">
        <v>7.5</v>
      </c>
      <c r="F121" s="447">
        <v>0</v>
      </c>
      <c r="G121" s="463" t="s">
        <v>685</v>
      </c>
      <c r="H121" s="443" t="s">
        <v>686</v>
      </c>
    </row>
    <row r="122" spans="1:8" x14ac:dyDescent="0.35">
      <c r="A122" s="462">
        <v>4</v>
      </c>
      <c r="B122" s="461" t="s">
        <v>535</v>
      </c>
      <c r="C122" s="473" t="s">
        <v>724</v>
      </c>
      <c r="D122" s="440" t="s">
        <v>387</v>
      </c>
      <c r="E122" s="446">
        <v>15</v>
      </c>
      <c r="F122" s="446">
        <v>0</v>
      </c>
      <c r="G122" s="463" t="s">
        <v>685</v>
      </c>
      <c r="H122" s="440"/>
    </row>
    <row r="123" spans="1:8" x14ac:dyDescent="0.35">
      <c r="A123" s="468">
        <v>4</v>
      </c>
      <c r="B123" s="466" t="s">
        <v>535</v>
      </c>
      <c r="C123" s="474" t="s">
        <v>724</v>
      </c>
      <c r="D123" s="443" t="s">
        <v>282</v>
      </c>
      <c r="E123" s="447">
        <v>7.5</v>
      </c>
      <c r="F123" s="447">
        <v>0</v>
      </c>
      <c r="G123" s="463" t="s">
        <v>685</v>
      </c>
      <c r="H123" s="443" t="s">
        <v>686</v>
      </c>
    </row>
    <row r="124" spans="1:8" x14ac:dyDescent="0.35">
      <c r="A124" s="462">
        <v>5</v>
      </c>
      <c r="B124" s="461" t="s">
        <v>558</v>
      </c>
      <c r="C124" s="473" t="s">
        <v>740</v>
      </c>
      <c r="D124" s="440" t="s">
        <v>282</v>
      </c>
      <c r="E124" s="446">
        <v>7.5</v>
      </c>
      <c r="F124" s="446">
        <v>0</v>
      </c>
      <c r="G124" s="464" t="s">
        <v>687</v>
      </c>
      <c r="H124" s="440" t="s">
        <v>760</v>
      </c>
    </row>
    <row r="125" spans="1:8" x14ac:dyDescent="0.35">
      <c r="A125" s="468">
        <v>5</v>
      </c>
      <c r="B125" s="466" t="s">
        <v>558</v>
      </c>
      <c r="C125" s="474" t="s">
        <v>741</v>
      </c>
      <c r="D125" s="443" t="s">
        <v>282</v>
      </c>
      <c r="E125" s="447">
        <v>7.5</v>
      </c>
      <c r="F125" s="447">
        <v>7.5</v>
      </c>
      <c r="G125" s="465" t="s">
        <v>688</v>
      </c>
      <c r="H125" s="443" t="s">
        <v>750</v>
      </c>
    </row>
    <row r="126" spans="1:8" x14ac:dyDescent="0.35">
      <c r="A126" s="462">
        <v>5</v>
      </c>
      <c r="B126" s="461" t="s">
        <v>558</v>
      </c>
      <c r="C126" s="473" t="s">
        <v>718</v>
      </c>
      <c r="D126" s="440" t="s">
        <v>282</v>
      </c>
      <c r="E126" s="446">
        <v>7.5</v>
      </c>
      <c r="F126" s="446">
        <v>0</v>
      </c>
      <c r="G126" s="463" t="s">
        <v>685</v>
      </c>
      <c r="H126" s="440" t="s">
        <v>686</v>
      </c>
    </row>
    <row r="127" spans="1:8" x14ac:dyDescent="0.35">
      <c r="A127" s="468">
        <v>5</v>
      </c>
      <c r="B127" s="466" t="s">
        <v>558</v>
      </c>
      <c r="C127" s="474" t="s">
        <v>742</v>
      </c>
      <c r="D127" s="443" t="s">
        <v>282</v>
      </c>
      <c r="E127" s="447">
        <v>7.5</v>
      </c>
      <c r="F127" s="447">
        <v>0</v>
      </c>
      <c r="G127" s="463" t="s">
        <v>685</v>
      </c>
      <c r="H127" s="443" t="s">
        <v>686</v>
      </c>
    </row>
    <row r="128" spans="1:8" x14ac:dyDescent="0.35">
      <c r="A128" s="462">
        <v>5</v>
      </c>
      <c r="B128" s="461" t="s">
        <v>558</v>
      </c>
      <c r="C128" s="473" t="s">
        <v>720</v>
      </c>
      <c r="D128" s="440" t="s">
        <v>282</v>
      </c>
      <c r="E128" s="446">
        <v>7.5</v>
      </c>
      <c r="F128" s="446">
        <v>0</v>
      </c>
      <c r="G128" s="463" t="s">
        <v>685</v>
      </c>
      <c r="H128" s="440" t="s">
        <v>686</v>
      </c>
    </row>
    <row r="129" spans="1:8" x14ac:dyDescent="0.35">
      <c r="A129" s="468">
        <v>5</v>
      </c>
      <c r="B129" s="466" t="s">
        <v>558</v>
      </c>
      <c r="C129" s="474" t="s">
        <v>721</v>
      </c>
      <c r="D129" s="443" t="s">
        <v>282</v>
      </c>
      <c r="E129" s="447">
        <v>7.5</v>
      </c>
      <c r="F129" s="447">
        <v>0</v>
      </c>
      <c r="G129" s="463" t="s">
        <v>685</v>
      </c>
      <c r="H129" s="443" t="s">
        <v>686</v>
      </c>
    </row>
    <row r="130" spans="1:8" x14ac:dyDescent="0.35">
      <c r="A130" s="462">
        <v>5</v>
      </c>
      <c r="B130" s="461" t="s">
        <v>558</v>
      </c>
      <c r="C130" s="473" t="s">
        <v>722</v>
      </c>
      <c r="D130" s="440" t="s">
        <v>282</v>
      </c>
      <c r="E130" s="446">
        <v>7.5</v>
      </c>
      <c r="F130" s="446">
        <v>0</v>
      </c>
      <c r="G130" s="463" t="s">
        <v>685</v>
      </c>
      <c r="H130" s="440" t="s">
        <v>686</v>
      </c>
    </row>
    <row r="131" spans="1:8" x14ac:dyDescent="0.35">
      <c r="A131" s="468">
        <v>5</v>
      </c>
      <c r="B131" s="466" t="s">
        <v>558</v>
      </c>
      <c r="C131" s="474" t="s">
        <v>743</v>
      </c>
      <c r="D131" s="443" t="s">
        <v>282</v>
      </c>
      <c r="E131" s="447">
        <v>7.5</v>
      </c>
      <c r="F131" s="447">
        <v>0</v>
      </c>
      <c r="G131" s="463" t="s">
        <v>685</v>
      </c>
      <c r="H131" s="443" t="s">
        <v>686</v>
      </c>
    </row>
    <row r="132" spans="1:8" x14ac:dyDescent="0.35">
      <c r="A132" s="462">
        <v>5</v>
      </c>
      <c r="B132" s="461" t="s">
        <v>558</v>
      </c>
      <c r="C132" s="473" t="s">
        <v>744</v>
      </c>
      <c r="D132" s="440" t="s">
        <v>282</v>
      </c>
      <c r="E132" s="446">
        <v>7.5</v>
      </c>
      <c r="F132" s="446">
        <v>0</v>
      </c>
      <c r="G132" s="463" t="s">
        <v>685</v>
      </c>
      <c r="H132" s="440" t="s">
        <v>686</v>
      </c>
    </row>
    <row r="133" spans="1:8" x14ac:dyDescent="0.35">
      <c r="A133" s="468">
        <v>5</v>
      </c>
      <c r="B133" s="466" t="s">
        <v>558</v>
      </c>
      <c r="C133" s="474" t="s">
        <v>723</v>
      </c>
      <c r="D133" s="443" t="s">
        <v>282</v>
      </c>
      <c r="E133" s="447">
        <v>7.5</v>
      </c>
      <c r="F133" s="447">
        <v>0</v>
      </c>
      <c r="G133" s="463" t="s">
        <v>685</v>
      </c>
      <c r="H133" s="443" t="s">
        <v>686</v>
      </c>
    </row>
    <row r="134" spans="1:8" x14ac:dyDescent="0.35">
      <c r="A134" s="462">
        <v>5</v>
      </c>
      <c r="B134" s="461" t="s">
        <v>558</v>
      </c>
      <c r="C134" s="473" t="s">
        <v>745</v>
      </c>
      <c r="D134" s="440" t="s">
        <v>282</v>
      </c>
      <c r="E134" s="446">
        <v>7.5</v>
      </c>
      <c r="F134" s="446">
        <v>0</v>
      </c>
      <c r="G134" s="463" t="s">
        <v>685</v>
      </c>
      <c r="H134" s="440" t="s">
        <v>686</v>
      </c>
    </row>
    <row r="135" spans="1:8" x14ac:dyDescent="0.35">
      <c r="A135" s="468">
        <v>5</v>
      </c>
      <c r="B135" s="466" t="s">
        <v>558</v>
      </c>
      <c r="C135" s="474" t="s">
        <v>724</v>
      </c>
      <c r="D135" s="443" t="s">
        <v>282</v>
      </c>
      <c r="E135" s="447">
        <v>7.5</v>
      </c>
      <c r="F135" s="447">
        <v>0</v>
      </c>
      <c r="G135" s="463" t="s">
        <v>685</v>
      </c>
      <c r="H135" s="443" t="s">
        <v>686</v>
      </c>
    </row>
    <row r="136" spans="1:8" x14ac:dyDescent="0.35">
      <c r="A136" s="462">
        <v>5</v>
      </c>
      <c r="B136" s="461" t="s">
        <v>552</v>
      </c>
      <c r="C136" s="473" t="s">
        <v>740</v>
      </c>
      <c r="D136" s="440" t="s">
        <v>387</v>
      </c>
      <c r="E136" s="446">
        <v>15</v>
      </c>
      <c r="F136" s="446">
        <v>15</v>
      </c>
      <c r="G136" s="465" t="s">
        <v>688</v>
      </c>
      <c r="H136" s="440" t="s">
        <v>751</v>
      </c>
    </row>
    <row r="137" spans="1:8" x14ac:dyDescent="0.35">
      <c r="A137" s="468">
        <v>5</v>
      </c>
      <c r="B137" s="466" t="s">
        <v>552</v>
      </c>
      <c r="C137" s="474" t="s">
        <v>740</v>
      </c>
      <c r="D137" s="443" t="s">
        <v>282</v>
      </c>
      <c r="E137" s="447">
        <v>7.5</v>
      </c>
      <c r="F137" s="447">
        <v>0</v>
      </c>
      <c r="G137" s="464" t="s">
        <v>687</v>
      </c>
      <c r="H137" s="443" t="s">
        <v>760</v>
      </c>
    </row>
    <row r="138" spans="1:8" x14ac:dyDescent="0.35">
      <c r="A138" s="462">
        <v>5</v>
      </c>
      <c r="B138" s="461" t="s">
        <v>552</v>
      </c>
      <c r="C138" s="473" t="s">
        <v>741</v>
      </c>
      <c r="D138" s="440" t="s">
        <v>387</v>
      </c>
      <c r="E138" s="446">
        <v>15</v>
      </c>
      <c r="F138" s="446">
        <v>0</v>
      </c>
      <c r="G138" s="463" t="s">
        <v>685</v>
      </c>
      <c r="H138" s="440"/>
    </row>
    <row r="139" spans="1:8" x14ac:dyDescent="0.35">
      <c r="A139" s="468">
        <v>5</v>
      </c>
      <c r="B139" s="466" t="s">
        <v>552</v>
      </c>
      <c r="C139" s="474" t="s">
        <v>741</v>
      </c>
      <c r="D139" s="443" t="s">
        <v>282</v>
      </c>
      <c r="E139" s="447">
        <v>7.5</v>
      </c>
      <c r="F139" s="447">
        <v>7.5</v>
      </c>
      <c r="G139" s="465" t="s">
        <v>688</v>
      </c>
      <c r="H139" s="443" t="s">
        <v>752</v>
      </c>
    </row>
    <row r="140" spans="1:8" x14ac:dyDescent="0.35">
      <c r="A140" s="462">
        <v>5</v>
      </c>
      <c r="B140" s="461" t="s">
        <v>552</v>
      </c>
      <c r="C140" s="473" t="s">
        <v>718</v>
      </c>
      <c r="D140" s="440" t="s">
        <v>387</v>
      </c>
      <c r="E140" s="446">
        <v>15</v>
      </c>
      <c r="F140" s="446">
        <v>0</v>
      </c>
      <c r="G140" s="463" t="s">
        <v>685</v>
      </c>
      <c r="H140" s="440"/>
    </row>
    <row r="141" spans="1:8" x14ac:dyDescent="0.35">
      <c r="A141" s="468">
        <v>5</v>
      </c>
      <c r="B141" s="466" t="s">
        <v>552</v>
      </c>
      <c r="C141" s="474" t="s">
        <v>718</v>
      </c>
      <c r="D141" s="443" t="s">
        <v>282</v>
      </c>
      <c r="E141" s="447">
        <v>7.5</v>
      </c>
      <c r="F141" s="447">
        <v>0</v>
      </c>
      <c r="G141" s="463" t="s">
        <v>685</v>
      </c>
      <c r="H141" s="443" t="s">
        <v>686</v>
      </c>
    </row>
    <row r="142" spans="1:8" x14ac:dyDescent="0.35">
      <c r="A142" s="462">
        <v>5</v>
      </c>
      <c r="B142" s="461" t="s">
        <v>552</v>
      </c>
      <c r="C142" s="473" t="s">
        <v>718</v>
      </c>
      <c r="D142" s="440" t="s">
        <v>397</v>
      </c>
      <c r="E142" s="467"/>
      <c r="F142" s="446">
        <v>0</v>
      </c>
      <c r="G142" s="463" t="s">
        <v>685</v>
      </c>
      <c r="H142" s="440" t="s">
        <v>719</v>
      </c>
    </row>
    <row r="143" spans="1:8" x14ac:dyDescent="0.35">
      <c r="A143" s="468">
        <v>5</v>
      </c>
      <c r="B143" s="466" t="s">
        <v>552</v>
      </c>
      <c r="C143" s="474" t="s">
        <v>742</v>
      </c>
      <c r="D143" s="443" t="s">
        <v>387</v>
      </c>
      <c r="E143" s="447">
        <v>15</v>
      </c>
      <c r="F143" s="447">
        <v>0</v>
      </c>
      <c r="G143" s="463" t="s">
        <v>685</v>
      </c>
      <c r="H143" s="443"/>
    </row>
    <row r="144" spans="1:8" x14ac:dyDescent="0.35">
      <c r="A144" s="462">
        <v>5</v>
      </c>
      <c r="B144" s="461" t="s">
        <v>552</v>
      </c>
      <c r="C144" s="473" t="s">
        <v>742</v>
      </c>
      <c r="D144" s="440" t="s">
        <v>282</v>
      </c>
      <c r="E144" s="446">
        <v>7.5</v>
      </c>
      <c r="F144" s="446">
        <v>0</v>
      </c>
      <c r="G144" s="463" t="s">
        <v>685</v>
      </c>
      <c r="H144" s="440" t="s">
        <v>686</v>
      </c>
    </row>
    <row r="145" spans="1:8" x14ac:dyDescent="0.35">
      <c r="A145" s="468">
        <v>5</v>
      </c>
      <c r="B145" s="466" t="s">
        <v>552</v>
      </c>
      <c r="C145" s="474" t="s">
        <v>720</v>
      </c>
      <c r="D145" s="443" t="s">
        <v>387</v>
      </c>
      <c r="E145" s="447">
        <v>15</v>
      </c>
      <c r="F145" s="447">
        <v>0</v>
      </c>
      <c r="G145" s="463" t="s">
        <v>685</v>
      </c>
      <c r="H145" s="443"/>
    </row>
    <row r="146" spans="1:8" x14ac:dyDescent="0.35">
      <c r="A146" s="462">
        <v>5</v>
      </c>
      <c r="B146" s="461" t="s">
        <v>552</v>
      </c>
      <c r="C146" s="473" t="s">
        <v>720</v>
      </c>
      <c r="D146" s="440" t="s">
        <v>282</v>
      </c>
      <c r="E146" s="446">
        <v>7.5</v>
      </c>
      <c r="F146" s="446">
        <v>0</v>
      </c>
      <c r="G146" s="463" t="s">
        <v>685</v>
      </c>
      <c r="H146" s="440" t="s">
        <v>686</v>
      </c>
    </row>
    <row r="147" spans="1:8" x14ac:dyDescent="0.35">
      <c r="A147" s="468">
        <v>5</v>
      </c>
      <c r="B147" s="466" t="s">
        <v>552</v>
      </c>
      <c r="C147" s="474" t="s">
        <v>721</v>
      </c>
      <c r="D147" s="443" t="s">
        <v>387</v>
      </c>
      <c r="E147" s="447">
        <v>15</v>
      </c>
      <c r="F147" s="447">
        <v>0</v>
      </c>
      <c r="G147" s="463" t="s">
        <v>685</v>
      </c>
      <c r="H147" s="443"/>
    </row>
    <row r="148" spans="1:8" x14ac:dyDescent="0.35">
      <c r="A148" s="462">
        <v>5</v>
      </c>
      <c r="B148" s="461" t="s">
        <v>552</v>
      </c>
      <c r="C148" s="473" t="s">
        <v>721</v>
      </c>
      <c r="D148" s="440" t="s">
        <v>282</v>
      </c>
      <c r="E148" s="446">
        <v>7.5</v>
      </c>
      <c r="F148" s="446">
        <v>0</v>
      </c>
      <c r="G148" s="463" t="s">
        <v>685</v>
      </c>
      <c r="H148" s="440" t="s">
        <v>686</v>
      </c>
    </row>
    <row r="149" spans="1:8" x14ac:dyDescent="0.35">
      <c r="A149" s="468">
        <v>5</v>
      </c>
      <c r="B149" s="466" t="s">
        <v>552</v>
      </c>
      <c r="C149" s="474" t="s">
        <v>721</v>
      </c>
      <c r="D149" s="443" t="s">
        <v>397</v>
      </c>
      <c r="E149" s="467"/>
      <c r="F149" s="447">
        <v>0</v>
      </c>
      <c r="G149" s="463" t="s">
        <v>685</v>
      </c>
      <c r="H149" s="443" t="s">
        <v>719</v>
      </c>
    </row>
    <row r="150" spans="1:8" x14ac:dyDescent="0.35">
      <c r="A150" s="462">
        <v>5</v>
      </c>
      <c r="B150" s="461" t="s">
        <v>552</v>
      </c>
      <c r="C150" s="473" t="s">
        <v>722</v>
      </c>
      <c r="D150" s="440" t="s">
        <v>387</v>
      </c>
      <c r="E150" s="446">
        <v>15</v>
      </c>
      <c r="F150" s="446">
        <v>0</v>
      </c>
      <c r="G150" s="463" t="s">
        <v>685</v>
      </c>
      <c r="H150" s="440"/>
    </row>
    <row r="151" spans="1:8" x14ac:dyDescent="0.35">
      <c r="A151" s="468">
        <v>5</v>
      </c>
      <c r="B151" s="466" t="s">
        <v>552</v>
      </c>
      <c r="C151" s="474" t="s">
        <v>722</v>
      </c>
      <c r="D151" s="443" t="s">
        <v>282</v>
      </c>
      <c r="E151" s="447">
        <v>7.5</v>
      </c>
      <c r="F151" s="447">
        <v>0</v>
      </c>
      <c r="G151" s="463" t="s">
        <v>685</v>
      </c>
      <c r="H151" s="443" t="s">
        <v>686</v>
      </c>
    </row>
    <row r="152" spans="1:8" x14ac:dyDescent="0.35">
      <c r="A152" s="462">
        <v>5</v>
      </c>
      <c r="B152" s="461" t="s">
        <v>552</v>
      </c>
      <c r="C152" s="473" t="s">
        <v>743</v>
      </c>
      <c r="D152" s="440" t="s">
        <v>387</v>
      </c>
      <c r="E152" s="446">
        <v>15</v>
      </c>
      <c r="F152" s="446">
        <v>0</v>
      </c>
      <c r="G152" s="463" t="s">
        <v>685</v>
      </c>
      <c r="H152" s="440"/>
    </row>
    <row r="153" spans="1:8" x14ac:dyDescent="0.35">
      <c r="A153" s="468">
        <v>5</v>
      </c>
      <c r="B153" s="466" t="s">
        <v>552</v>
      </c>
      <c r="C153" s="474" t="s">
        <v>743</v>
      </c>
      <c r="D153" s="443" t="s">
        <v>282</v>
      </c>
      <c r="E153" s="447">
        <v>7.5</v>
      </c>
      <c r="F153" s="447">
        <v>0</v>
      </c>
      <c r="G153" s="463" t="s">
        <v>685</v>
      </c>
      <c r="H153" s="443" t="s">
        <v>686</v>
      </c>
    </row>
    <row r="154" spans="1:8" x14ac:dyDescent="0.35">
      <c r="A154" s="462">
        <v>5</v>
      </c>
      <c r="B154" s="461" t="s">
        <v>552</v>
      </c>
      <c r="C154" s="473" t="s">
        <v>744</v>
      </c>
      <c r="D154" s="440" t="s">
        <v>387</v>
      </c>
      <c r="E154" s="446">
        <v>15</v>
      </c>
      <c r="F154" s="446">
        <v>0</v>
      </c>
      <c r="G154" s="463" t="s">
        <v>685</v>
      </c>
      <c r="H154" s="440"/>
    </row>
    <row r="155" spans="1:8" x14ac:dyDescent="0.35">
      <c r="A155" s="468">
        <v>5</v>
      </c>
      <c r="B155" s="466" t="s">
        <v>552</v>
      </c>
      <c r="C155" s="474" t="s">
        <v>744</v>
      </c>
      <c r="D155" s="443" t="s">
        <v>282</v>
      </c>
      <c r="E155" s="447">
        <v>7.5</v>
      </c>
      <c r="F155" s="447">
        <v>0</v>
      </c>
      <c r="G155" s="463" t="s">
        <v>685</v>
      </c>
      <c r="H155" s="443" t="s">
        <v>686</v>
      </c>
    </row>
    <row r="156" spans="1:8" x14ac:dyDescent="0.35">
      <c r="A156" s="462">
        <v>5</v>
      </c>
      <c r="B156" s="461" t="s">
        <v>552</v>
      </c>
      <c r="C156" s="473" t="s">
        <v>744</v>
      </c>
      <c r="D156" s="440" t="s">
        <v>397</v>
      </c>
      <c r="E156" s="467"/>
      <c r="F156" s="446">
        <v>0</v>
      </c>
      <c r="G156" s="463" t="s">
        <v>685</v>
      </c>
      <c r="H156" s="440" t="s">
        <v>719</v>
      </c>
    </row>
    <row r="157" spans="1:8" x14ac:dyDescent="0.35">
      <c r="A157" s="468">
        <v>5</v>
      </c>
      <c r="B157" s="466" t="s">
        <v>552</v>
      </c>
      <c r="C157" s="474" t="s">
        <v>723</v>
      </c>
      <c r="D157" s="443" t="s">
        <v>387</v>
      </c>
      <c r="E157" s="447">
        <v>15</v>
      </c>
      <c r="F157" s="447">
        <v>0</v>
      </c>
      <c r="G157" s="463" t="s">
        <v>685</v>
      </c>
      <c r="H157" s="443"/>
    </row>
    <row r="158" spans="1:8" x14ac:dyDescent="0.35">
      <c r="A158" s="462">
        <v>5</v>
      </c>
      <c r="B158" s="461" t="s">
        <v>552</v>
      </c>
      <c r="C158" s="473" t="s">
        <v>723</v>
      </c>
      <c r="D158" s="440" t="s">
        <v>282</v>
      </c>
      <c r="E158" s="446">
        <v>7.5</v>
      </c>
      <c r="F158" s="446">
        <v>0</v>
      </c>
      <c r="G158" s="463" t="s">
        <v>685</v>
      </c>
      <c r="H158" s="440" t="s">
        <v>686</v>
      </c>
    </row>
    <row r="159" spans="1:8" x14ac:dyDescent="0.35">
      <c r="A159" s="468">
        <v>5</v>
      </c>
      <c r="B159" s="466" t="s">
        <v>552</v>
      </c>
      <c r="C159" s="474" t="s">
        <v>745</v>
      </c>
      <c r="D159" s="443" t="s">
        <v>387</v>
      </c>
      <c r="E159" s="447">
        <v>15</v>
      </c>
      <c r="F159" s="447">
        <v>0</v>
      </c>
      <c r="G159" s="463" t="s">
        <v>685</v>
      </c>
      <c r="H159" s="443"/>
    </row>
    <row r="160" spans="1:8" x14ac:dyDescent="0.35">
      <c r="A160" s="462">
        <v>5</v>
      </c>
      <c r="B160" s="461" t="s">
        <v>552</v>
      </c>
      <c r="C160" s="473" t="s">
        <v>745</v>
      </c>
      <c r="D160" s="440" t="s">
        <v>282</v>
      </c>
      <c r="E160" s="446">
        <v>7.5</v>
      </c>
      <c r="F160" s="446">
        <v>0</v>
      </c>
      <c r="G160" s="463" t="s">
        <v>685</v>
      </c>
      <c r="H160" s="440" t="s">
        <v>686</v>
      </c>
    </row>
    <row r="161" spans="1:8" x14ac:dyDescent="0.35">
      <c r="A161" s="468">
        <v>5</v>
      </c>
      <c r="B161" s="466" t="s">
        <v>552</v>
      </c>
      <c r="C161" s="474" t="s">
        <v>724</v>
      </c>
      <c r="D161" s="443" t="s">
        <v>387</v>
      </c>
      <c r="E161" s="447">
        <v>15</v>
      </c>
      <c r="F161" s="447">
        <v>0</v>
      </c>
      <c r="G161" s="463" t="s">
        <v>685</v>
      </c>
      <c r="H161" s="443"/>
    </row>
    <row r="162" spans="1:8" x14ac:dyDescent="0.35">
      <c r="A162" s="462">
        <v>5</v>
      </c>
      <c r="B162" s="461" t="s">
        <v>552</v>
      </c>
      <c r="C162" s="473" t="s">
        <v>724</v>
      </c>
      <c r="D162" s="440" t="s">
        <v>282</v>
      </c>
      <c r="E162" s="446">
        <v>7.5</v>
      </c>
      <c r="F162" s="446">
        <v>0</v>
      </c>
      <c r="G162" s="463" t="s">
        <v>685</v>
      </c>
      <c r="H162" s="440" t="s">
        <v>686</v>
      </c>
    </row>
    <row r="163" spans="1:8" x14ac:dyDescent="0.35">
      <c r="A163" s="468">
        <v>6</v>
      </c>
      <c r="B163" s="466" t="s">
        <v>45</v>
      </c>
      <c r="C163" s="474" t="s">
        <v>740</v>
      </c>
      <c r="D163" s="443" t="s">
        <v>387</v>
      </c>
      <c r="E163" s="447">
        <v>15</v>
      </c>
      <c r="F163" s="447">
        <v>15</v>
      </c>
      <c r="G163" s="465" t="s">
        <v>688</v>
      </c>
      <c r="H163" s="443" t="s">
        <v>746</v>
      </c>
    </row>
    <row r="164" spans="1:8" x14ac:dyDescent="0.35">
      <c r="A164" s="462">
        <v>6</v>
      </c>
      <c r="B164" s="461" t="s">
        <v>45</v>
      </c>
      <c r="C164" s="473" t="s">
        <v>740</v>
      </c>
      <c r="D164" s="440" t="s">
        <v>282</v>
      </c>
      <c r="E164" s="446">
        <v>7.5</v>
      </c>
      <c r="F164" s="446">
        <v>7.5</v>
      </c>
      <c r="G164" s="465" t="s">
        <v>688</v>
      </c>
      <c r="H164" s="440" t="s">
        <v>746</v>
      </c>
    </row>
    <row r="165" spans="1:8" x14ac:dyDescent="0.35">
      <c r="A165" s="468">
        <v>6</v>
      </c>
      <c r="B165" s="466" t="s">
        <v>45</v>
      </c>
      <c r="C165" s="474" t="s">
        <v>741</v>
      </c>
      <c r="D165" s="443" t="s">
        <v>387</v>
      </c>
      <c r="E165" s="447">
        <v>15</v>
      </c>
      <c r="F165" s="447">
        <v>0</v>
      </c>
      <c r="G165" s="463" t="s">
        <v>685</v>
      </c>
      <c r="H165" s="443"/>
    </row>
    <row r="166" spans="1:8" x14ac:dyDescent="0.35">
      <c r="A166" s="462">
        <v>6</v>
      </c>
      <c r="B166" s="461" t="s">
        <v>45</v>
      </c>
      <c r="C166" s="473" t="s">
        <v>741</v>
      </c>
      <c r="D166" s="440" t="s">
        <v>282</v>
      </c>
      <c r="E166" s="446">
        <v>7.5</v>
      </c>
      <c r="F166" s="446">
        <v>0</v>
      </c>
      <c r="G166" s="463" t="s">
        <v>685</v>
      </c>
      <c r="H166" s="440" t="s">
        <v>686</v>
      </c>
    </row>
    <row r="167" spans="1:8" x14ac:dyDescent="0.35">
      <c r="A167" s="468">
        <v>6</v>
      </c>
      <c r="B167" s="466" t="s">
        <v>45</v>
      </c>
      <c r="C167" s="474" t="s">
        <v>718</v>
      </c>
      <c r="D167" s="443" t="s">
        <v>387</v>
      </c>
      <c r="E167" s="447">
        <v>15</v>
      </c>
      <c r="F167" s="447">
        <v>0</v>
      </c>
      <c r="G167" s="463" t="s">
        <v>685</v>
      </c>
      <c r="H167" s="443"/>
    </row>
    <row r="168" spans="1:8" x14ac:dyDescent="0.35">
      <c r="A168" s="462">
        <v>6</v>
      </c>
      <c r="B168" s="461" t="s">
        <v>45</v>
      </c>
      <c r="C168" s="473" t="s">
        <v>718</v>
      </c>
      <c r="D168" s="440" t="s">
        <v>282</v>
      </c>
      <c r="E168" s="446">
        <v>7.5</v>
      </c>
      <c r="F168" s="446">
        <v>0</v>
      </c>
      <c r="G168" s="463" t="s">
        <v>685</v>
      </c>
      <c r="H168" s="440" t="s">
        <v>686</v>
      </c>
    </row>
    <row r="169" spans="1:8" x14ac:dyDescent="0.35">
      <c r="A169" s="468">
        <v>6</v>
      </c>
      <c r="B169" s="466" t="s">
        <v>45</v>
      </c>
      <c r="C169" s="474" t="s">
        <v>718</v>
      </c>
      <c r="D169" s="443" t="s">
        <v>397</v>
      </c>
      <c r="E169" s="467"/>
      <c r="F169" s="447">
        <v>0</v>
      </c>
      <c r="G169" s="463" t="s">
        <v>685</v>
      </c>
      <c r="H169" s="443" t="s">
        <v>719</v>
      </c>
    </row>
    <row r="170" spans="1:8" x14ac:dyDescent="0.35">
      <c r="A170" s="462">
        <v>6</v>
      </c>
      <c r="B170" s="461" t="s">
        <v>45</v>
      </c>
      <c r="C170" s="473" t="s">
        <v>742</v>
      </c>
      <c r="D170" s="440" t="s">
        <v>387</v>
      </c>
      <c r="E170" s="446">
        <v>15</v>
      </c>
      <c r="F170" s="446">
        <v>0</v>
      </c>
      <c r="G170" s="463" t="s">
        <v>685</v>
      </c>
      <c r="H170" s="440"/>
    </row>
    <row r="171" spans="1:8" x14ac:dyDescent="0.35">
      <c r="A171" s="468">
        <v>6</v>
      </c>
      <c r="B171" s="466" t="s">
        <v>45</v>
      </c>
      <c r="C171" s="474" t="s">
        <v>742</v>
      </c>
      <c r="D171" s="443" t="s">
        <v>282</v>
      </c>
      <c r="E171" s="447">
        <v>7.5</v>
      </c>
      <c r="F171" s="447">
        <v>0</v>
      </c>
      <c r="G171" s="463" t="s">
        <v>685</v>
      </c>
      <c r="H171" s="443" t="s">
        <v>686</v>
      </c>
    </row>
    <row r="172" spans="1:8" x14ac:dyDescent="0.35">
      <c r="A172" s="462">
        <v>6</v>
      </c>
      <c r="B172" s="461" t="s">
        <v>45</v>
      </c>
      <c r="C172" s="473" t="s">
        <v>720</v>
      </c>
      <c r="D172" s="440" t="s">
        <v>387</v>
      </c>
      <c r="E172" s="446">
        <v>15</v>
      </c>
      <c r="F172" s="446">
        <v>0</v>
      </c>
      <c r="G172" s="463" t="s">
        <v>685</v>
      </c>
      <c r="H172" s="440"/>
    </row>
    <row r="173" spans="1:8" x14ac:dyDescent="0.35">
      <c r="A173" s="468">
        <v>6</v>
      </c>
      <c r="B173" s="466" t="s">
        <v>45</v>
      </c>
      <c r="C173" s="474" t="s">
        <v>720</v>
      </c>
      <c r="D173" s="443" t="s">
        <v>282</v>
      </c>
      <c r="E173" s="447">
        <v>7.5</v>
      </c>
      <c r="F173" s="447">
        <v>0</v>
      </c>
      <c r="G173" s="463" t="s">
        <v>685</v>
      </c>
      <c r="H173" s="443" t="s">
        <v>686</v>
      </c>
    </row>
    <row r="174" spans="1:8" x14ac:dyDescent="0.35">
      <c r="A174" s="462">
        <v>6</v>
      </c>
      <c r="B174" s="461" t="s">
        <v>45</v>
      </c>
      <c r="C174" s="473" t="s">
        <v>721</v>
      </c>
      <c r="D174" s="440" t="s">
        <v>387</v>
      </c>
      <c r="E174" s="446">
        <v>15</v>
      </c>
      <c r="F174" s="446">
        <v>0</v>
      </c>
      <c r="G174" s="463" t="s">
        <v>685</v>
      </c>
      <c r="H174" s="440"/>
    </row>
    <row r="175" spans="1:8" x14ac:dyDescent="0.35">
      <c r="A175" s="468">
        <v>6</v>
      </c>
      <c r="B175" s="466" t="s">
        <v>45</v>
      </c>
      <c r="C175" s="474" t="s">
        <v>721</v>
      </c>
      <c r="D175" s="443" t="s">
        <v>282</v>
      </c>
      <c r="E175" s="447">
        <v>7.5</v>
      </c>
      <c r="F175" s="447">
        <v>0</v>
      </c>
      <c r="G175" s="463" t="s">
        <v>685</v>
      </c>
      <c r="H175" s="443" t="s">
        <v>686</v>
      </c>
    </row>
    <row r="176" spans="1:8" x14ac:dyDescent="0.35">
      <c r="A176" s="462">
        <v>6</v>
      </c>
      <c r="B176" s="461" t="s">
        <v>45</v>
      </c>
      <c r="C176" s="473" t="s">
        <v>721</v>
      </c>
      <c r="D176" s="440" t="s">
        <v>397</v>
      </c>
      <c r="E176" s="467"/>
      <c r="F176" s="446">
        <v>0</v>
      </c>
      <c r="G176" s="463" t="s">
        <v>685</v>
      </c>
      <c r="H176" s="440" t="s">
        <v>719</v>
      </c>
    </row>
    <row r="177" spans="1:8" x14ac:dyDescent="0.35">
      <c r="A177" s="468">
        <v>6</v>
      </c>
      <c r="B177" s="466" t="s">
        <v>45</v>
      </c>
      <c r="C177" s="474" t="s">
        <v>722</v>
      </c>
      <c r="D177" s="443" t="s">
        <v>387</v>
      </c>
      <c r="E177" s="447">
        <v>15</v>
      </c>
      <c r="F177" s="447">
        <v>0</v>
      </c>
      <c r="G177" s="463" t="s">
        <v>685</v>
      </c>
      <c r="H177" s="443"/>
    </row>
    <row r="178" spans="1:8" x14ac:dyDescent="0.35">
      <c r="A178" s="462">
        <v>6</v>
      </c>
      <c r="B178" s="461" t="s">
        <v>45</v>
      </c>
      <c r="C178" s="473" t="s">
        <v>722</v>
      </c>
      <c r="D178" s="440" t="s">
        <v>282</v>
      </c>
      <c r="E178" s="446">
        <v>7.5</v>
      </c>
      <c r="F178" s="446">
        <v>0</v>
      </c>
      <c r="G178" s="463" t="s">
        <v>685</v>
      </c>
      <c r="H178" s="440" t="s">
        <v>686</v>
      </c>
    </row>
    <row r="179" spans="1:8" x14ac:dyDescent="0.35">
      <c r="A179" s="468">
        <v>6</v>
      </c>
      <c r="B179" s="466" t="s">
        <v>45</v>
      </c>
      <c r="C179" s="474" t="s">
        <v>743</v>
      </c>
      <c r="D179" s="443" t="s">
        <v>387</v>
      </c>
      <c r="E179" s="447">
        <v>15</v>
      </c>
      <c r="F179" s="447">
        <v>0</v>
      </c>
      <c r="G179" s="463" t="s">
        <v>685</v>
      </c>
      <c r="H179" s="443"/>
    </row>
    <row r="180" spans="1:8" x14ac:dyDescent="0.35">
      <c r="A180" s="462">
        <v>6</v>
      </c>
      <c r="B180" s="461" t="s">
        <v>45</v>
      </c>
      <c r="C180" s="473" t="s">
        <v>743</v>
      </c>
      <c r="D180" s="440" t="s">
        <v>282</v>
      </c>
      <c r="E180" s="446">
        <v>7.5</v>
      </c>
      <c r="F180" s="446">
        <v>0</v>
      </c>
      <c r="G180" s="463" t="s">
        <v>685</v>
      </c>
      <c r="H180" s="440" t="s">
        <v>686</v>
      </c>
    </row>
    <row r="181" spans="1:8" x14ac:dyDescent="0.35">
      <c r="A181" s="468">
        <v>6</v>
      </c>
      <c r="B181" s="466" t="s">
        <v>45</v>
      </c>
      <c r="C181" s="474" t="s">
        <v>744</v>
      </c>
      <c r="D181" s="443" t="s">
        <v>387</v>
      </c>
      <c r="E181" s="447">
        <v>15</v>
      </c>
      <c r="F181" s="447">
        <v>0</v>
      </c>
      <c r="G181" s="463" t="s">
        <v>685</v>
      </c>
      <c r="H181" s="443"/>
    </row>
    <row r="182" spans="1:8" x14ac:dyDescent="0.35">
      <c r="A182" s="462">
        <v>6</v>
      </c>
      <c r="B182" s="461" t="s">
        <v>45</v>
      </c>
      <c r="C182" s="473" t="s">
        <v>744</v>
      </c>
      <c r="D182" s="440" t="s">
        <v>282</v>
      </c>
      <c r="E182" s="446">
        <v>7.5</v>
      </c>
      <c r="F182" s="446">
        <v>0</v>
      </c>
      <c r="G182" s="463" t="s">
        <v>685</v>
      </c>
      <c r="H182" s="440" t="s">
        <v>686</v>
      </c>
    </row>
    <row r="183" spans="1:8" x14ac:dyDescent="0.35">
      <c r="A183" s="468">
        <v>6</v>
      </c>
      <c r="B183" s="466" t="s">
        <v>45</v>
      </c>
      <c r="C183" s="474" t="s">
        <v>744</v>
      </c>
      <c r="D183" s="443" t="s">
        <v>397</v>
      </c>
      <c r="E183" s="467"/>
      <c r="F183" s="447">
        <v>0</v>
      </c>
      <c r="G183" s="463" t="s">
        <v>685</v>
      </c>
      <c r="H183" s="443" t="s">
        <v>719</v>
      </c>
    </row>
    <row r="184" spans="1:8" x14ac:dyDescent="0.35">
      <c r="A184" s="462">
        <v>6</v>
      </c>
      <c r="B184" s="461" t="s">
        <v>45</v>
      </c>
      <c r="C184" s="473" t="s">
        <v>723</v>
      </c>
      <c r="D184" s="440" t="s">
        <v>387</v>
      </c>
      <c r="E184" s="446">
        <v>15</v>
      </c>
      <c r="F184" s="446">
        <v>0</v>
      </c>
      <c r="G184" s="463" t="s">
        <v>685</v>
      </c>
      <c r="H184" s="440"/>
    </row>
    <row r="185" spans="1:8" x14ac:dyDescent="0.35">
      <c r="A185" s="468">
        <v>6</v>
      </c>
      <c r="B185" s="466" t="s">
        <v>45</v>
      </c>
      <c r="C185" s="474" t="s">
        <v>723</v>
      </c>
      <c r="D185" s="443" t="s">
        <v>282</v>
      </c>
      <c r="E185" s="447">
        <v>7.5</v>
      </c>
      <c r="F185" s="447">
        <v>0</v>
      </c>
      <c r="G185" s="463" t="s">
        <v>685</v>
      </c>
      <c r="H185" s="443" t="s">
        <v>686</v>
      </c>
    </row>
    <row r="186" spans="1:8" x14ac:dyDescent="0.35">
      <c r="A186" s="462">
        <v>6</v>
      </c>
      <c r="B186" s="461" t="s">
        <v>45</v>
      </c>
      <c r="C186" s="473" t="s">
        <v>745</v>
      </c>
      <c r="D186" s="440" t="s">
        <v>387</v>
      </c>
      <c r="E186" s="446">
        <v>15</v>
      </c>
      <c r="F186" s="446">
        <v>0</v>
      </c>
      <c r="G186" s="463" t="s">
        <v>685</v>
      </c>
      <c r="H186" s="440"/>
    </row>
    <row r="187" spans="1:8" x14ac:dyDescent="0.35">
      <c r="A187" s="468">
        <v>6</v>
      </c>
      <c r="B187" s="466" t="s">
        <v>45</v>
      </c>
      <c r="C187" s="474" t="s">
        <v>745</v>
      </c>
      <c r="D187" s="443" t="s">
        <v>282</v>
      </c>
      <c r="E187" s="447">
        <v>7.5</v>
      </c>
      <c r="F187" s="447">
        <v>0</v>
      </c>
      <c r="G187" s="463" t="s">
        <v>685</v>
      </c>
      <c r="H187" s="443" t="s">
        <v>686</v>
      </c>
    </row>
    <row r="188" spans="1:8" x14ac:dyDescent="0.35">
      <c r="A188" s="462">
        <v>6</v>
      </c>
      <c r="B188" s="461" t="s">
        <v>45</v>
      </c>
      <c r="C188" s="473" t="s">
        <v>724</v>
      </c>
      <c r="D188" s="440" t="s">
        <v>387</v>
      </c>
      <c r="E188" s="446">
        <v>15</v>
      </c>
      <c r="F188" s="446">
        <v>0</v>
      </c>
      <c r="G188" s="463" t="s">
        <v>685</v>
      </c>
      <c r="H188" s="440"/>
    </row>
    <row r="189" spans="1:8" x14ac:dyDescent="0.35">
      <c r="A189" s="468">
        <v>6</v>
      </c>
      <c r="B189" s="466" t="s">
        <v>45</v>
      </c>
      <c r="C189" s="474" t="s">
        <v>724</v>
      </c>
      <c r="D189" s="443" t="s">
        <v>282</v>
      </c>
      <c r="E189" s="447">
        <v>7.5</v>
      </c>
      <c r="F189" s="447">
        <v>0</v>
      </c>
      <c r="G189" s="463" t="s">
        <v>685</v>
      </c>
      <c r="H189" s="443" t="s">
        <v>686</v>
      </c>
    </row>
    <row r="190" spans="1:8" x14ac:dyDescent="0.35">
      <c r="A190" s="462">
        <v>7</v>
      </c>
      <c r="B190" s="461" t="s">
        <v>545</v>
      </c>
      <c r="C190" s="473" t="s">
        <v>740</v>
      </c>
      <c r="D190" s="440" t="s">
        <v>387</v>
      </c>
      <c r="E190" s="446">
        <v>15</v>
      </c>
      <c r="F190" s="446">
        <v>0</v>
      </c>
      <c r="G190" s="464" t="s">
        <v>687</v>
      </c>
      <c r="H190" s="440" t="s">
        <v>761</v>
      </c>
    </row>
    <row r="191" spans="1:8" x14ac:dyDescent="0.35">
      <c r="A191" s="468">
        <v>7</v>
      </c>
      <c r="B191" s="466" t="s">
        <v>545</v>
      </c>
      <c r="C191" s="474" t="s">
        <v>740</v>
      </c>
      <c r="D191" s="443" t="s">
        <v>282</v>
      </c>
      <c r="E191" s="447">
        <v>7.5</v>
      </c>
      <c r="F191" s="447">
        <v>15</v>
      </c>
      <c r="G191" s="465" t="s">
        <v>688</v>
      </c>
      <c r="H191" s="443" t="s">
        <v>746</v>
      </c>
    </row>
    <row r="192" spans="1:8" x14ac:dyDescent="0.35">
      <c r="A192" s="462">
        <v>7</v>
      </c>
      <c r="B192" s="461" t="s">
        <v>545</v>
      </c>
      <c r="C192" s="473" t="s">
        <v>741</v>
      </c>
      <c r="D192" s="440" t="s">
        <v>387</v>
      </c>
      <c r="E192" s="446">
        <v>15</v>
      </c>
      <c r="F192" s="446">
        <v>0</v>
      </c>
      <c r="G192" s="463" t="s">
        <v>685</v>
      </c>
      <c r="H192" s="440"/>
    </row>
    <row r="193" spans="1:8" x14ac:dyDescent="0.35">
      <c r="A193" s="468">
        <v>7</v>
      </c>
      <c r="B193" s="466" t="s">
        <v>545</v>
      </c>
      <c r="C193" s="474" t="s">
        <v>741</v>
      </c>
      <c r="D193" s="443" t="s">
        <v>282</v>
      </c>
      <c r="E193" s="447">
        <v>7.5</v>
      </c>
      <c r="F193" s="447">
        <v>0</v>
      </c>
      <c r="G193" s="463" t="s">
        <v>685</v>
      </c>
      <c r="H193" s="443" t="s">
        <v>686</v>
      </c>
    </row>
    <row r="194" spans="1:8" x14ac:dyDescent="0.35">
      <c r="A194" s="462">
        <v>7</v>
      </c>
      <c r="B194" s="461" t="s">
        <v>545</v>
      </c>
      <c r="C194" s="473" t="s">
        <v>718</v>
      </c>
      <c r="D194" s="440" t="s">
        <v>387</v>
      </c>
      <c r="E194" s="446">
        <v>15</v>
      </c>
      <c r="F194" s="446">
        <v>0</v>
      </c>
      <c r="G194" s="463" t="s">
        <v>685</v>
      </c>
      <c r="H194" s="440"/>
    </row>
    <row r="195" spans="1:8" x14ac:dyDescent="0.35">
      <c r="A195" s="468">
        <v>7</v>
      </c>
      <c r="B195" s="466" t="s">
        <v>545</v>
      </c>
      <c r="C195" s="474" t="s">
        <v>718</v>
      </c>
      <c r="D195" s="443" t="s">
        <v>282</v>
      </c>
      <c r="E195" s="447">
        <v>7.5</v>
      </c>
      <c r="F195" s="447">
        <v>0</v>
      </c>
      <c r="G195" s="463" t="s">
        <v>685</v>
      </c>
      <c r="H195" s="443" t="s">
        <v>686</v>
      </c>
    </row>
    <row r="196" spans="1:8" x14ac:dyDescent="0.35">
      <c r="A196" s="462">
        <v>7</v>
      </c>
      <c r="B196" s="461" t="s">
        <v>545</v>
      </c>
      <c r="C196" s="473" t="s">
        <v>718</v>
      </c>
      <c r="D196" s="440" t="s">
        <v>397</v>
      </c>
      <c r="E196" s="467"/>
      <c r="F196" s="446">
        <v>0</v>
      </c>
      <c r="G196" s="463" t="s">
        <v>685</v>
      </c>
      <c r="H196" s="440" t="s">
        <v>719</v>
      </c>
    </row>
    <row r="197" spans="1:8" x14ac:dyDescent="0.35">
      <c r="A197" s="468">
        <v>7</v>
      </c>
      <c r="B197" s="466" t="s">
        <v>545</v>
      </c>
      <c r="C197" s="474" t="s">
        <v>742</v>
      </c>
      <c r="D197" s="443" t="s">
        <v>387</v>
      </c>
      <c r="E197" s="447">
        <v>15</v>
      </c>
      <c r="F197" s="447">
        <v>0</v>
      </c>
      <c r="G197" s="463" t="s">
        <v>685</v>
      </c>
      <c r="H197" s="443"/>
    </row>
    <row r="198" spans="1:8" x14ac:dyDescent="0.35">
      <c r="A198" s="462">
        <v>7</v>
      </c>
      <c r="B198" s="461" t="s">
        <v>545</v>
      </c>
      <c r="C198" s="473" t="s">
        <v>742</v>
      </c>
      <c r="D198" s="440" t="s">
        <v>282</v>
      </c>
      <c r="E198" s="446">
        <v>7.5</v>
      </c>
      <c r="F198" s="446">
        <v>0</v>
      </c>
      <c r="G198" s="463" t="s">
        <v>685</v>
      </c>
      <c r="H198" s="440" t="s">
        <v>686</v>
      </c>
    </row>
    <row r="199" spans="1:8" x14ac:dyDescent="0.35">
      <c r="A199" s="468">
        <v>7</v>
      </c>
      <c r="B199" s="466" t="s">
        <v>545</v>
      </c>
      <c r="C199" s="474" t="s">
        <v>720</v>
      </c>
      <c r="D199" s="443" t="s">
        <v>387</v>
      </c>
      <c r="E199" s="447">
        <v>15</v>
      </c>
      <c r="F199" s="447">
        <v>0</v>
      </c>
      <c r="G199" s="463" t="s">
        <v>685</v>
      </c>
      <c r="H199" s="443"/>
    </row>
    <row r="200" spans="1:8" x14ac:dyDescent="0.35">
      <c r="A200" s="462">
        <v>7</v>
      </c>
      <c r="B200" s="461" t="s">
        <v>545</v>
      </c>
      <c r="C200" s="473" t="s">
        <v>720</v>
      </c>
      <c r="D200" s="440" t="s">
        <v>282</v>
      </c>
      <c r="E200" s="446">
        <v>7.5</v>
      </c>
      <c r="F200" s="446">
        <v>0</v>
      </c>
      <c r="G200" s="463" t="s">
        <v>685</v>
      </c>
      <c r="H200" s="440" t="s">
        <v>686</v>
      </c>
    </row>
    <row r="201" spans="1:8" x14ac:dyDescent="0.35">
      <c r="A201" s="468">
        <v>7</v>
      </c>
      <c r="B201" s="466" t="s">
        <v>545</v>
      </c>
      <c r="C201" s="474" t="s">
        <v>721</v>
      </c>
      <c r="D201" s="443" t="s">
        <v>387</v>
      </c>
      <c r="E201" s="447">
        <v>15</v>
      </c>
      <c r="F201" s="447">
        <v>0</v>
      </c>
      <c r="G201" s="463" t="s">
        <v>685</v>
      </c>
      <c r="H201" s="443"/>
    </row>
    <row r="202" spans="1:8" x14ac:dyDescent="0.35">
      <c r="A202" s="462">
        <v>7</v>
      </c>
      <c r="B202" s="461" t="s">
        <v>545</v>
      </c>
      <c r="C202" s="473" t="s">
        <v>721</v>
      </c>
      <c r="D202" s="440" t="s">
        <v>282</v>
      </c>
      <c r="E202" s="446">
        <v>7.5</v>
      </c>
      <c r="F202" s="446">
        <v>0</v>
      </c>
      <c r="G202" s="463" t="s">
        <v>685</v>
      </c>
      <c r="H202" s="440" t="s">
        <v>686</v>
      </c>
    </row>
    <row r="203" spans="1:8" x14ac:dyDescent="0.35">
      <c r="A203" s="468">
        <v>7</v>
      </c>
      <c r="B203" s="466" t="s">
        <v>545</v>
      </c>
      <c r="C203" s="474" t="s">
        <v>721</v>
      </c>
      <c r="D203" s="443" t="s">
        <v>397</v>
      </c>
      <c r="E203" s="467"/>
      <c r="F203" s="447">
        <v>0</v>
      </c>
      <c r="G203" s="463" t="s">
        <v>685</v>
      </c>
      <c r="H203" s="443" t="s">
        <v>719</v>
      </c>
    </row>
    <row r="204" spans="1:8" x14ac:dyDescent="0.35">
      <c r="A204" s="462">
        <v>7</v>
      </c>
      <c r="B204" s="461" t="s">
        <v>545</v>
      </c>
      <c r="C204" s="473" t="s">
        <v>722</v>
      </c>
      <c r="D204" s="440" t="s">
        <v>387</v>
      </c>
      <c r="E204" s="446">
        <v>15</v>
      </c>
      <c r="F204" s="446">
        <v>0</v>
      </c>
      <c r="G204" s="463" t="s">
        <v>685</v>
      </c>
      <c r="H204" s="440"/>
    </row>
    <row r="205" spans="1:8" x14ac:dyDescent="0.35">
      <c r="A205" s="468">
        <v>7</v>
      </c>
      <c r="B205" s="466" t="s">
        <v>545</v>
      </c>
      <c r="C205" s="474" t="s">
        <v>722</v>
      </c>
      <c r="D205" s="443" t="s">
        <v>282</v>
      </c>
      <c r="E205" s="447">
        <v>7.5</v>
      </c>
      <c r="F205" s="447">
        <v>0</v>
      </c>
      <c r="G205" s="463" t="s">
        <v>685</v>
      </c>
      <c r="H205" s="443" t="s">
        <v>686</v>
      </c>
    </row>
    <row r="206" spans="1:8" x14ac:dyDescent="0.35">
      <c r="A206" s="462">
        <v>7</v>
      </c>
      <c r="B206" s="461" t="s">
        <v>545</v>
      </c>
      <c r="C206" s="473" t="s">
        <v>743</v>
      </c>
      <c r="D206" s="440" t="s">
        <v>387</v>
      </c>
      <c r="E206" s="446">
        <v>15</v>
      </c>
      <c r="F206" s="446">
        <v>0</v>
      </c>
      <c r="G206" s="463" t="s">
        <v>685</v>
      </c>
      <c r="H206" s="440"/>
    </row>
    <row r="207" spans="1:8" x14ac:dyDescent="0.35">
      <c r="A207" s="468">
        <v>7</v>
      </c>
      <c r="B207" s="466" t="s">
        <v>545</v>
      </c>
      <c r="C207" s="474" t="s">
        <v>743</v>
      </c>
      <c r="D207" s="443" t="s">
        <v>282</v>
      </c>
      <c r="E207" s="447">
        <v>7.5</v>
      </c>
      <c r="F207" s="447">
        <v>0</v>
      </c>
      <c r="G207" s="463" t="s">
        <v>685</v>
      </c>
      <c r="H207" s="443" t="s">
        <v>686</v>
      </c>
    </row>
    <row r="208" spans="1:8" x14ac:dyDescent="0.35">
      <c r="A208" s="462">
        <v>7</v>
      </c>
      <c r="B208" s="461" t="s">
        <v>545</v>
      </c>
      <c r="C208" s="473" t="s">
        <v>744</v>
      </c>
      <c r="D208" s="440" t="s">
        <v>387</v>
      </c>
      <c r="E208" s="446">
        <v>15</v>
      </c>
      <c r="F208" s="446">
        <v>0</v>
      </c>
      <c r="G208" s="463" t="s">
        <v>685</v>
      </c>
      <c r="H208" s="440"/>
    </row>
    <row r="209" spans="1:8" x14ac:dyDescent="0.35">
      <c r="A209" s="468">
        <v>7</v>
      </c>
      <c r="B209" s="466" t="s">
        <v>545</v>
      </c>
      <c r="C209" s="474" t="s">
        <v>744</v>
      </c>
      <c r="D209" s="443" t="s">
        <v>282</v>
      </c>
      <c r="E209" s="447">
        <v>7.5</v>
      </c>
      <c r="F209" s="447">
        <v>0</v>
      </c>
      <c r="G209" s="463" t="s">
        <v>685</v>
      </c>
      <c r="H209" s="443" t="s">
        <v>686</v>
      </c>
    </row>
    <row r="210" spans="1:8" x14ac:dyDescent="0.35">
      <c r="A210" s="462">
        <v>7</v>
      </c>
      <c r="B210" s="461" t="s">
        <v>545</v>
      </c>
      <c r="C210" s="473" t="s">
        <v>744</v>
      </c>
      <c r="D210" s="440" t="s">
        <v>397</v>
      </c>
      <c r="E210" s="467"/>
      <c r="F210" s="446">
        <v>0</v>
      </c>
      <c r="G210" s="463" t="s">
        <v>685</v>
      </c>
      <c r="H210" s="440" t="s">
        <v>719</v>
      </c>
    </row>
    <row r="211" spans="1:8" x14ac:dyDescent="0.35">
      <c r="A211" s="468">
        <v>7</v>
      </c>
      <c r="B211" s="466" t="s">
        <v>545</v>
      </c>
      <c r="C211" s="474" t="s">
        <v>723</v>
      </c>
      <c r="D211" s="443" t="s">
        <v>387</v>
      </c>
      <c r="E211" s="447">
        <v>15</v>
      </c>
      <c r="F211" s="447">
        <v>0</v>
      </c>
      <c r="G211" s="463" t="s">
        <v>685</v>
      </c>
      <c r="H211" s="443"/>
    </row>
    <row r="212" spans="1:8" x14ac:dyDescent="0.35">
      <c r="A212" s="462">
        <v>7</v>
      </c>
      <c r="B212" s="461" t="s">
        <v>545</v>
      </c>
      <c r="C212" s="473" t="s">
        <v>723</v>
      </c>
      <c r="D212" s="440" t="s">
        <v>282</v>
      </c>
      <c r="E212" s="446">
        <v>7.5</v>
      </c>
      <c r="F212" s="446">
        <v>0</v>
      </c>
      <c r="G212" s="463" t="s">
        <v>685</v>
      </c>
      <c r="H212" s="440" t="s">
        <v>686</v>
      </c>
    </row>
    <row r="213" spans="1:8" x14ac:dyDescent="0.35">
      <c r="A213" s="468">
        <v>7</v>
      </c>
      <c r="B213" s="466" t="s">
        <v>545</v>
      </c>
      <c r="C213" s="474" t="s">
        <v>745</v>
      </c>
      <c r="D213" s="443" t="s">
        <v>387</v>
      </c>
      <c r="E213" s="447">
        <v>15</v>
      </c>
      <c r="F213" s="447">
        <v>0</v>
      </c>
      <c r="G213" s="463" t="s">
        <v>685</v>
      </c>
      <c r="H213" s="443"/>
    </row>
    <row r="214" spans="1:8" x14ac:dyDescent="0.35">
      <c r="A214" s="462">
        <v>7</v>
      </c>
      <c r="B214" s="461" t="s">
        <v>545</v>
      </c>
      <c r="C214" s="473" t="s">
        <v>745</v>
      </c>
      <c r="D214" s="440" t="s">
        <v>282</v>
      </c>
      <c r="E214" s="446">
        <v>7.5</v>
      </c>
      <c r="F214" s="446">
        <v>0</v>
      </c>
      <c r="G214" s="463" t="s">
        <v>685</v>
      </c>
      <c r="H214" s="440" t="s">
        <v>686</v>
      </c>
    </row>
    <row r="215" spans="1:8" x14ac:dyDescent="0.35">
      <c r="A215" s="468">
        <v>7</v>
      </c>
      <c r="B215" s="466" t="s">
        <v>545</v>
      </c>
      <c r="C215" s="474" t="s">
        <v>724</v>
      </c>
      <c r="D215" s="443" t="s">
        <v>387</v>
      </c>
      <c r="E215" s="447">
        <v>15</v>
      </c>
      <c r="F215" s="447">
        <v>0</v>
      </c>
      <c r="G215" s="463" t="s">
        <v>685</v>
      </c>
      <c r="H215" s="443"/>
    </row>
    <row r="216" spans="1:8" x14ac:dyDescent="0.35">
      <c r="A216" s="462">
        <v>7</v>
      </c>
      <c r="B216" s="461" t="s">
        <v>545</v>
      </c>
      <c r="C216" s="473" t="s">
        <v>724</v>
      </c>
      <c r="D216" s="440" t="s">
        <v>282</v>
      </c>
      <c r="E216" s="446">
        <v>7.5</v>
      </c>
      <c r="F216" s="446">
        <v>0</v>
      </c>
      <c r="G216" s="463" t="s">
        <v>685</v>
      </c>
      <c r="H216" s="440" t="s">
        <v>686</v>
      </c>
    </row>
    <row r="217" spans="1:8" x14ac:dyDescent="0.35">
      <c r="A217" s="468">
        <v>8</v>
      </c>
      <c r="B217" s="466" t="s">
        <v>547</v>
      </c>
      <c r="C217" s="474" t="s">
        <v>740</v>
      </c>
      <c r="D217" s="443" t="s">
        <v>387</v>
      </c>
      <c r="E217" s="447">
        <v>15</v>
      </c>
      <c r="F217" s="447">
        <v>15</v>
      </c>
      <c r="G217" s="465" t="s">
        <v>688</v>
      </c>
      <c r="H217" s="443" t="s">
        <v>746</v>
      </c>
    </row>
    <row r="218" spans="1:8" x14ac:dyDescent="0.35">
      <c r="A218" s="462">
        <v>8</v>
      </c>
      <c r="B218" s="461" t="s">
        <v>547</v>
      </c>
      <c r="C218" s="473" t="s">
        <v>740</v>
      </c>
      <c r="D218" s="440" t="s">
        <v>282</v>
      </c>
      <c r="E218" s="446">
        <v>7.5</v>
      </c>
      <c r="F218" s="446">
        <v>0</v>
      </c>
      <c r="G218" s="464" t="s">
        <v>687</v>
      </c>
      <c r="H218" s="440" t="s">
        <v>760</v>
      </c>
    </row>
    <row r="219" spans="1:8" x14ac:dyDescent="0.35">
      <c r="A219" s="468">
        <v>8</v>
      </c>
      <c r="B219" s="466" t="s">
        <v>547</v>
      </c>
      <c r="C219" s="474" t="s">
        <v>741</v>
      </c>
      <c r="D219" s="443" t="s">
        <v>387</v>
      </c>
      <c r="E219" s="447">
        <v>15</v>
      </c>
      <c r="F219" s="447">
        <v>0</v>
      </c>
      <c r="G219" s="463" t="s">
        <v>685</v>
      </c>
      <c r="H219" s="443"/>
    </row>
    <row r="220" spans="1:8" x14ac:dyDescent="0.35">
      <c r="A220" s="462">
        <v>8</v>
      </c>
      <c r="B220" s="461" t="s">
        <v>547</v>
      </c>
      <c r="C220" s="473" t="s">
        <v>741</v>
      </c>
      <c r="D220" s="440" t="s">
        <v>282</v>
      </c>
      <c r="E220" s="446">
        <v>7.5</v>
      </c>
      <c r="F220" s="446">
        <v>15</v>
      </c>
      <c r="G220" s="465" t="s">
        <v>688</v>
      </c>
      <c r="H220" s="440" t="s">
        <v>752</v>
      </c>
    </row>
    <row r="221" spans="1:8" x14ac:dyDescent="0.35">
      <c r="A221" s="468">
        <v>8</v>
      </c>
      <c r="B221" s="466" t="s">
        <v>547</v>
      </c>
      <c r="C221" s="474" t="s">
        <v>718</v>
      </c>
      <c r="D221" s="443" t="s">
        <v>387</v>
      </c>
      <c r="E221" s="447">
        <v>15</v>
      </c>
      <c r="F221" s="447">
        <v>0</v>
      </c>
      <c r="G221" s="463" t="s">
        <v>685</v>
      </c>
      <c r="H221" s="443"/>
    </row>
    <row r="222" spans="1:8" x14ac:dyDescent="0.35">
      <c r="A222" s="462">
        <v>8</v>
      </c>
      <c r="B222" s="461" t="s">
        <v>547</v>
      </c>
      <c r="C222" s="473" t="s">
        <v>718</v>
      </c>
      <c r="D222" s="440" t="s">
        <v>282</v>
      </c>
      <c r="E222" s="446">
        <v>7.5</v>
      </c>
      <c r="F222" s="446">
        <v>0</v>
      </c>
      <c r="G222" s="463" t="s">
        <v>685</v>
      </c>
      <c r="H222" s="440" t="s">
        <v>686</v>
      </c>
    </row>
    <row r="223" spans="1:8" x14ac:dyDescent="0.35">
      <c r="A223" s="468">
        <v>8</v>
      </c>
      <c r="B223" s="466" t="s">
        <v>547</v>
      </c>
      <c r="C223" s="474" t="s">
        <v>718</v>
      </c>
      <c r="D223" s="443" t="s">
        <v>397</v>
      </c>
      <c r="E223" s="467"/>
      <c r="F223" s="447">
        <v>0</v>
      </c>
      <c r="G223" s="463" t="s">
        <v>685</v>
      </c>
      <c r="H223" s="443" t="s">
        <v>719</v>
      </c>
    </row>
    <row r="224" spans="1:8" x14ac:dyDescent="0.35">
      <c r="A224" s="462">
        <v>8</v>
      </c>
      <c r="B224" s="461" t="s">
        <v>547</v>
      </c>
      <c r="C224" s="473" t="s">
        <v>742</v>
      </c>
      <c r="D224" s="440" t="s">
        <v>387</v>
      </c>
      <c r="E224" s="446">
        <v>15</v>
      </c>
      <c r="F224" s="446">
        <v>0</v>
      </c>
      <c r="G224" s="463" t="s">
        <v>685</v>
      </c>
      <c r="H224" s="440"/>
    </row>
    <row r="225" spans="1:8" x14ac:dyDescent="0.35">
      <c r="A225" s="468">
        <v>8</v>
      </c>
      <c r="B225" s="466" t="s">
        <v>547</v>
      </c>
      <c r="C225" s="474" t="s">
        <v>742</v>
      </c>
      <c r="D225" s="443" t="s">
        <v>282</v>
      </c>
      <c r="E225" s="447">
        <v>7.5</v>
      </c>
      <c r="F225" s="447">
        <v>0</v>
      </c>
      <c r="G225" s="463" t="s">
        <v>685</v>
      </c>
      <c r="H225" s="443" t="s">
        <v>686</v>
      </c>
    </row>
    <row r="226" spans="1:8" x14ac:dyDescent="0.35">
      <c r="A226" s="462">
        <v>8</v>
      </c>
      <c r="B226" s="461" t="s">
        <v>547</v>
      </c>
      <c r="C226" s="473" t="s">
        <v>720</v>
      </c>
      <c r="D226" s="440" t="s">
        <v>387</v>
      </c>
      <c r="E226" s="446">
        <v>15</v>
      </c>
      <c r="F226" s="446">
        <v>0</v>
      </c>
      <c r="G226" s="463" t="s">
        <v>685</v>
      </c>
      <c r="H226" s="440"/>
    </row>
    <row r="227" spans="1:8" x14ac:dyDescent="0.35">
      <c r="A227" s="468">
        <v>8</v>
      </c>
      <c r="B227" s="466" t="s">
        <v>547</v>
      </c>
      <c r="C227" s="474" t="s">
        <v>720</v>
      </c>
      <c r="D227" s="443" t="s">
        <v>282</v>
      </c>
      <c r="E227" s="447">
        <v>7.5</v>
      </c>
      <c r="F227" s="447">
        <v>0</v>
      </c>
      <c r="G227" s="463" t="s">
        <v>685</v>
      </c>
      <c r="H227" s="443" t="s">
        <v>686</v>
      </c>
    </row>
    <row r="228" spans="1:8" x14ac:dyDescent="0.35">
      <c r="A228" s="462">
        <v>8</v>
      </c>
      <c r="B228" s="461" t="s">
        <v>547</v>
      </c>
      <c r="C228" s="473" t="s">
        <v>721</v>
      </c>
      <c r="D228" s="440" t="s">
        <v>387</v>
      </c>
      <c r="E228" s="446">
        <v>15</v>
      </c>
      <c r="F228" s="446">
        <v>0</v>
      </c>
      <c r="G228" s="463" t="s">
        <v>685</v>
      </c>
      <c r="H228" s="440"/>
    </row>
    <row r="229" spans="1:8" x14ac:dyDescent="0.35">
      <c r="A229" s="468">
        <v>8</v>
      </c>
      <c r="B229" s="466" t="s">
        <v>547</v>
      </c>
      <c r="C229" s="474" t="s">
        <v>721</v>
      </c>
      <c r="D229" s="443" t="s">
        <v>282</v>
      </c>
      <c r="E229" s="447">
        <v>7.5</v>
      </c>
      <c r="F229" s="447">
        <v>0</v>
      </c>
      <c r="G229" s="463" t="s">
        <v>685</v>
      </c>
      <c r="H229" s="443" t="s">
        <v>686</v>
      </c>
    </row>
    <row r="230" spans="1:8" x14ac:dyDescent="0.35">
      <c r="A230" s="462">
        <v>8</v>
      </c>
      <c r="B230" s="461" t="s">
        <v>547</v>
      </c>
      <c r="C230" s="473" t="s">
        <v>721</v>
      </c>
      <c r="D230" s="440" t="s">
        <v>397</v>
      </c>
      <c r="E230" s="467"/>
      <c r="F230" s="446">
        <v>0</v>
      </c>
      <c r="G230" s="463" t="s">
        <v>685</v>
      </c>
      <c r="H230" s="440" t="s">
        <v>719</v>
      </c>
    </row>
    <row r="231" spans="1:8" x14ac:dyDescent="0.35">
      <c r="A231" s="468">
        <v>8</v>
      </c>
      <c r="B231" s="466" t="s">
        <v>547</v>
      </c>
      <c r="C231" s="474" t="s">
        <v>722</v>
      </c>
      <c r="D231" s="443" t="s">
        <v>387</v>
      </c>
      <c r="E231" s="447">
        <v>15</v>
      </c>
      <c r="F231" s="447">
        <v>0</v>
      </c>
      <c r="G231" s="463" t="s">
        <v>685</v>
      </c>
      <c r="H231" s="443"/>
    </row>
    <row r="232" spans="1:8" x14ac:dyDescent="0.35">
      <c r="A232" s="462">
        <v>8</v>
      </c>
      <c r="B232" s="461" t="s">
        <v>547</v>
      </c>
      <c r="C232" s="473" t="s">
        <v>722</v>
      </c>
      <c r="D232" s="440" t="s">
        <v>282</v>
      </c>
      <c r="E232" s="446">
        <v>7.5</v>
      </c>
      <c r="F232" s="446">
        <v>0</v>
      </c>
      <c r="G232" s="463" t="s">
        <v>685</v>
      </c>
      <c r="H232" s="440" t="s">
        <v>686</v>
      </c>
    </row>
    <row r="233" spans="1:8" x14ac:dyDescent="0.35">
      <c r="A233" s="468">
        <v>8</v>
      </c>
      <c r="B233" s="466" t="s">
        <v>547</v>
      </c>
      <c r="C233" s="474" t="s">
        <v>743</v>
      </c>
      <c r="D233" s="443" t="s">
        <v>387</v>
      </c>
      <c r="E233" s="447">
        <v>15</v>
      </c>
      <c r="F233" s="447">
        <v>0</v>
      </c>
      <c r="G233" s="463" t="s">
        <v>685</v>
      </c>
      <c r="H233" s="443"/>
    </row>
    <row r="234" spans="1:8" x14ac:dyDescent="0.35">
      <c r="A234" s="462">
        <v>8</v>
      </c>
      <c r="B234" s="461" t="s">
        <v>547</v>
      </c>
      <c r="C234" s="473" t="s">
        <v>743</v>
      </c>
      <c r="D234" s="440" t="s">
        <v>282</v>
      </c>
      <c r="E234" s="446">
        <v>7.5</v>
      </c>
      <c r="F234" s="446">
        <v>0</v>
      </c>
      <c r="G234" s="463" t="s">
        <v>685</v>
      </c>
      <c r="H234" s="440" t="s">
        <v>686</v>
      </c>
    </row>
    <row r="235" spans="1:8" x14ac:dyDescent="0.35">
      <c r="A235" s="468">
        <v>8</v>
      </c>
      <c r="B235" s="466" t="s">
        <v>547</v>
      </c>
      <c r="C235" s="474" t="s">
        <v>744</v>
      </c>
      <c r="D235" s="443" t="s">
        <v>387</v>
      </c>
      <c r="E235" s="447">
        <v>15</v>
      </c>
      <c r="F235" s="447">
        <v>0</v>
      </c>
      <c r="G235" s="463" t="s">
        <v>685</v>
      </c>
      <c r="H235" s="443"/>
    </row>
    <row r="236" spans="1:8" x14ac:dyDescent="0.35">
      <c r="A236" s="462">
        <v>8</v>
      </c>
      <c r="B236" s="461" t="s">
        <v>547</v>
      </c>
      <c r="C236" s="473" t="s">
        <v>744</v>
      </c>
      <c r="D236" s="440" t="s">
        <v>282</v>
      </c>
      <c r="E236" s="446">
        <v>7.5</v>
      </c>
      <c r="F236" s="446">
        <v>0</v>
      </c>
      <c r="G236" s="463" t="s">
        <v>685</v>
      </c>
      <c r="H236" s="440" t="s">
        <v>686</v>
      </c>
    </row>
    <row r="237" spans="1:8" x14ac:dyDescent="0.35">
      <c r="A237" s="468">
        <v>8</v>
      </c>
      <c r="B237" s="466" t="s">
        <v>547</v>
      </c>
      <c r="C237" s="474" t="s">
        <v>744</v>
      </c>
      <c r="D237" s="443" t="s">
        <v>397</v>
      </c>
      <c r="E237" s="467"/>
      <c r="F237" s="447">
        <v>0</v>
      </c>
      <c r="G237" s="463" t="s">
        <v>685</v>
      </c>
      <c r="H237" s="443" t="s">
        <v>719</v>
      </c>
    </row>
    <row r="238" spans="1:8" x14ac:dyDescent="0.35">
      <c r="A238" s="462">
        <v>8</v>
      </c>
      <c r="B238" s="461" t="s">
        <v>547</v>
      </c>
      <c r="C238" s="473" t="s">
        <v>723</v>
      </c>
      <c r="D238" s="440" t="s">
        <v>387</v>
      </c>
      <c r="E238" s="446">
        <v>15</v>
      </c>
      <c r="F238" s="446">
        <v>0</v>
      </c>
      <c r="G238" s="463" t="s">
        <v>685</v>
      </c>
      <c r="H238" s="440"/>
    </row>
    <row r="239" spans="1:8" x14ac:dyDescent="0.35">
      <c r="A239" s="468">
        <v>8</v>
      </c>
      <c r="B239" s="466" t="s">
        <v>547</v>
      </c>
      <c r="C239" s="474" t="s">
        <v>723</v>
      </c>
      <c r="D239" s="443" t="s">
        <v>282</v>
      </c>
      <c r="E239" s="447">
        <v>7.5</v>
      </c>
      <c r="F239" s="447">
        <v>0</v>
      </c>
      <c r="G239" s="463" t="s">
        <v>685</v>
      </c>
      <c r="H239" s="443" t="s">
        <v>686</v>
      </c>
    </row>
    <row r="240" spans="1:8" x14ac:dyDescent="0.35">
      <c r="A240" s="462">
        <v>8</v>
      </c>
      <c r="B240" s="461" t="s">
        <v>547</v>
      </c>
      <c r="C240" s="473" t="s">
        <v>745</v>
      </c>
      <c r="D240" s="440" t="s">
        <v>387</v>
      </c>
      <c r="E240" s="446">
        <v>15</v>
      </c>
      <c r="F240" s="446">
        <v>0</v>
      </c>
      <c r="G240" s="463" t="s">
        <v>685</v>
      </c>
      <c r="H240" s="440"/>
    </row>
    <row r="241" spans="1:8" x14ac:dyDescent="0.35">
      <c r="A241" s="468">
        <v>8</v>
      </c>
      <c r="B241" s="466" t="s">
        <v>547</v>
      </c>
      <c r="C241" s="474" t="s">
        <v>745</v>
      </c>
      <c r="D241" s="443" t="s">
        <v>282</v>
      </c>
      <c r="E241" s="447">
        <v>7.5</v>
      </c>
      <c r="F241" s="447">
        <v>0</v>
      </c>
      <c r="G241" s="463" t="s">
        <v>685</v>
      </c>
      <c r="H241" s="443" t="s">
        <v>686</v>
      </c>
    </row>
    <row r="242" spans="1:8" x14ac:dyDescent="0.35">
      <c r="A242" s="462">
        <v>8</v>
      </c>
      <c r="B242" s="461" t="s">
        <v>547</v>
      </c>
      <c r="C242" s="473" t="s">
        <v>724</v>
      </c>
      <c r="D242" s="440" t="s">
        <v>387</v>
      </c>
      <c r="E242" s="446">
        <v>15</v>
      </c>
      <c r="F242" s="446">
        <v>0</v>
      </c>
      <c r="G242" s="463" t="s">
        <v>685</v>
      </c>
      <c r="H242" s="440"/>
    </row>
    <row r="243" spans="1:8" x14ac:dyDescent="0.35">
      <c r="A243" s="468">
        <v>8</v>
      </c>
      <c r="B243" s="466" t="s">
        <v>547</v>
      </c>
      <c r="C243" s="474" t="s">
        <v>724</v>
      </c>
      <c r="D243" s="443" t="s">
        <v>282</v>
      </c>
      <c r="E243" s="447">
        <v>7.5</v>
      </c>
      <c r="F243" s="447">
        <v>0</v>
      </c>
      <c r="G243" s="463" t="s">
        <v>685</v>
      </c>
      <c r="H243" s="443" t="s">
        <v>686</v>
      </c>
    </row>
    <row r="244" spans="1:8" x14ac:dyDescent="0.35">
      <c r="A244" s="462">
        <v>9</v>
      </c>
      <c r="B244" s="461" t="s">
        <v>44</v>
      </c>
      <c r="C244" s="473" t="s">
        <v>740</v>
      </c>
      <c r="D244" s="440" t="s">
        <v>387</v>
      </c>
      <c r="E244" s="446">
        <v>15</v>
      </c>
      <c r="F244" s="446">
        <v>15</v>
      </c>
      <c r="G244" s="465" t="s">
        <v>688</v>
      </c>
      <c r="H244" s="440" t="s">
        <v>746</v>
      </c>
    </row>
    <row r="245" spans="1:8" x14ac:dyDescent="0.35">
      <c r="A245" s="468">
        <v>9</v>
      </c>
      <c r="B245" s="466" t="s">
        <v>44</v>
      </c>
      <c r="C245" s="474" t="s">
        <v>740</v>
      </c>
      <c r="D245" s="443" t="s">
        <v>282</v>
      </c>
      <c r="E245" s="447">
        <v>7.5</v>
      </c>
      <c r="F245" s="447">
        <v>7.5</v>
      </c>
      <c r="G245" s="465" t="s">
        <v>688</v>
      </c>
      <c r="H245" s="443" t="s">
        <v>749</v>
      </c>
    </row>
    <row r="246" spans="1:8" x14ac:dyDescent="0.35">
      <c r="A246" s="462">
        <v>9</v>
      </c>
      <c r="B246" s="461" t="s">
        <v>44</v>
      </c>
      <c r="C246" s="473" t="s">
        <v>741</v>
      </c>
      <c r="D246" s="440" t="s">
        <v>387</v>
      </c>
      <c r="E246" s="446">
        <v>15</v>
      </c>
      <c r="F246" s="446">
        <v>0</v>
      </c>
      <c r="G246" s="463" t="s">
        <v>685</v>
      </c>
      <c r="H246" s="440"/>
    </row>
    <row r="247" spans="1:8" x14ac:dyDescent="0.35">
      <c r="A247" s="468">
        <v>9</v>
      </c>
      <c r="B247" s="466" t="s">
        <v>44</v>
      </c>
      <c r="C247" s="474" t="s">
        <v>741</v>
      </c>
      <c r="D247" s="443" t="s">
        <v>282</v>
      </c>
      <c r="E247" s="447">
        <v>7.5</v>
      </c>
      <c r="F247" s="447">
        <v>0</v>
      </c>
      <c r="G247" s="463" t="s">
        <v>685</v>
      </c>
      <c r="H247" s="443" t="s">
        <v>686</v>
      </c>
    </row>
    <row r="248" spans="1:8" x14ac:dyDescent="0.35">
      <c r="A248" s="462">
        <v>9</v>
      </c>
      <c r="B248" s="461" t="s">
        <v>44</v>
      </c>
      <c r="C248" s="473" t="s">
        <v>718</v>
      </c>
      <c r="D248" s="440" t="s">
        <v>387</v>
      </c>
      <c r="E248" s="446">
        <v>15</v>
      </c>
      <c r="F248" s="446">
        <v>0</v>
      </c>
      <c r="G248" s="463" t="s">
        <v>685</v>
      </c>
      <c r="H248" s="440"/>
    </row>
    <row r="249" spans="1:8" x14ac:dyDescent="0.35">
      <c r="A249" s="468">
        <v>9</v>
      </c>
      <c r="B249" s="466" t="s">
        <v>44</v>
      </c>
      <c r="C249" s="474" t="s">
        <v>718</v>
      </c>
      <c r="D249" s="443" t="s">
        <v>282</v>
      </c>
      <c r="E249" s="447">
        <v>7.5</v>
      </c>
      <c r="F249" s="447">
        <v>0</v>
      </c>
      <c r="G249" s="463" t="s">
        <v>685</v>
      </c>
      <c r="H249" s="443" t="s">
        <v>686</v>
      </c>
    </row>
    <row r="250" spans="1:8" x14ac:dyDescent="0.35">
      <c r="A250" s="462">
        <v>9</v>
      </c>
      <c r="B250" s="461" t="s">
        <v>44</v>
      </c>
      <c r="C250" s="473" t="s">
        <v>718</v>
      </c>
      <c r="D250" s="440" t="s">
        <v>397</v>
      </c>
      <c r="E250" s="467"/>
      <c r="F250" s="446">
        <v>0</v>
      </c>
      <c r="G250" s="463" t="s">
        <v>685</v>
      </c>
      <c r="H250" s="440" t="s">
        <v>719</v>
      </c>
    </row>
    <row r="251" spans="1:8" x14ac:dyDescent="0.35">
      <c r="A251" s="468">
        <v>9</v>
      </c>
      <c r="B251" s="466" t="s">
        <v>44</v>
      </c>
      <c r="C251" s="474" t="s">
        <v>742</v>
      </c>
      <c r="D251" s="443" t="s">
        <v>387</v>
      </c>
      <c r="E251" s="447">
        <v>15</v>
      </c>
      <c r="F251" s="447">
        <v>0</v>
      </c>
      <c r="G251" s="463" t="s">
        <v>685</v>
      </c>
      <c r="H251" s="443"/>
    </row>
    <row r="252" spans="1:8" x14ac:dyDescent="0.35">
      <c r="A252" s="462">
        <v>9</v>
      </c>
      <c r="B252" s="461" t="s">
        <v>44</v>
      </c>
      <c r="C252" s="473" t="s">
        <v>742</v>
      </c>
      <c r="D252" s="440" t="s">
        <v>282</v>
      </c>
      <c r="E252" s="446">
        <v>7.5</v>
      </c>
      <c r="F252" s="446">
        <v>0</v>
      </c>
      <c r="G252" s="463" t="s">
        <v>685</v>
      </c>
      <c r="H252" s="440" t="s">
        <v>686</v>
      </c>
    </row>
    <row r="253" spans="1:8" x14ac:dyDescent="0.35">
      <c r="A253" s="468">
        <v>9</v>
      </c>
      <c r="B253" s="466" t="s">
        <v>44</v>
      </c>
      <c r="C253" s="474" t="s">
        <v>720</v>
      </c>
      <c r="D253" s="443" t="s">
        <v>387</v>
      </c>
      <c r="E253" s="447">
        <v>15</v>
      </c>
      <c r="F253" s="447">
        <v>0</v>
      </c>
      <c r="G253" s="463" t="s">
        <v>685</v>
      </c>
      <c r="H253" s="443"/>
    </row>
    <row r="254" spans="1:8" x14ac:dyDescent="0.35">
      <c r="A254" s="462">
        <v>9</v>
      </c>
      <c r="B254" s="461" t="s">
        <v>44</v>
      </c>
      <c r="C254" s="473" t="s">
        <v>720</v>
      </c>
      <c r="D254" s="440" t="s">
        <v>282</v>
      </c>
      <c r="E254" s="446">
        <v>7.5</v>
      </c>
      <c r="F254" s="446">
        <v>0</v>
      </c>
      <c r="G254" s="463" t="s">
        <v>685</v>
      </c>
      <c r="H254" s="440" t="s">
        <v>686</v>
      </c>
    </row>
    <row r="255" spans="1:8" x14ac:dyDescent="0.35">
      <c r="A255" s="468">
        <v>9</v>
      </c>
      <c r="B255" s="466" t="s">
        <v>44</v>
      </c>
      <c r="C255" s="474" t="s">
        <v>721</v>
      </c>
      <c r="D255" s="443" t="s">
        <v>387</v>
      </c>
      <c r="E255" s="447">
        <v>15</v>
      </c>
      <c r="F255" s="447">
        <v>0</v>
      </c>
      <c r="G255" s="463" t="s">
        <v>685</v>
      </c>
      <c r="H255" s="443"/>
    </row>
    <row r="256" spans="1:8" x14ac:dyDescent="0.35">
      <c r="A256" s="462">
        <v>9</v>
      </c>
      <c r="B256" s="461" t="s">
        <v>44</v>
      </c>
      <c r="C256" s="473" t="s">
        <v>721</v>
      </c>
      <c r="D256" s="440" t="s">
        <v>282</v>
      </c>
      <c r="E256" s="446">
        <v>7.5</v>
      </c>
      <c r="F256" s="446">
        <v>0</v>
      </c>
      <c r="G256" s="463" t="s">
        <v>685</v>
      </c>
      <c r="H256" s="440" t="s">
        <v>686</v>
      </c>
    </row>
    <row r="257" spans="1:8" x14ac:dyDescent="0.35">
      <c r="A257" s="468">
        <v>9</v>
      </c>
      <c r="B257" s="466" t="s">
        <v>44</v>
      </c>
      <c r="C257" s="474" t="s">
        <v>721</v>
      </c>
      <c r="D257" s="443" t="s">
        <v>397</v>
      </c>
      <c r="E257" s="467"/>
      <c r="F257" s="447">
        <v>0</v>
      </c>
      <c r="G257" s="463" t="s">
        <v>685</v>
      </c>
      <c r="H257" s="443" t="s">
        <v>719</v>
      </c>
    </row>
    <row r="258" spans="1:8" x14ac:dyDescent="0.35">
      <c r="A258" s="462">
        <v>9</v>
      </c>
      <c r="B258" s="461" t="s">
        <v>44</v>
      </c>
      <c r="C258" s="473" t="s">
        <v>722</v>
      </c>
      <c r="D258" s="440" t="s">
        <v>387</v>
      </c>
      <c r="E258" s="446">
        <v>15</v>
      </c>
      <c r="F258" s="446">
        <v>0</v>
      </c>
      <c r="G258" s="463" t="s">
        <v>685</v>
      </c>
      <c r="H258" s="440"/>
    </row>
    <row r="259" spans="1:8" x14ac:dyDescent="0.35">
      <c r="A259" s="468">
        <v>9</v>
      </c>
      <c r="B259" s="466" t="s">
        <v>44</v>
      </c>
      <c r="C259" s="474" t="s">
        <v>722</v>
      </c>
      <c r="D259" s="443" t="s">
        <v>282</v>
      </c>
      <c r="E259" s="447">
        <v>7.5</v>
      </c>
      <c r="F259" s="447">
        <v>0</v>
      </c>
      <c r="G259" s="463" t="s">
        <v>685</v>
      </c>
      <c r="H259" s="443" t="s">
        <v>686</v>
      </c>
    </row>
    <row r="260" spans="1:8" x14ac:dyDescent="0.35">
      <c r="A260" s="462">
        <v>9</v>
      </c>
      <c r="B260" s="461" t="s">
        <v>44</v>
      </c>
      <c r="C260" s="473" t="s">
        <v>743</v>
      </c>
      <c r="D260" s="440" t="s">
        <v>387</v>
      </c>
      <c r="E260" s="446">
        <v>15</v>
      </c>
      <c r="F260" s="446">
        <v>0</v>
      </c>
      <c r="G260" s="463" t="s">
        <v>685</v>
      </c>
      <c r="H260" s="440"/>
    </row>
    <row r="261" spans="1:8" x14ac:dyDescent="0.35">
      <c r="A261" s="468">
        <v>9</v>
      </c>
      <c r="B261" s="466" t="s">
        <v>44</v>
      </c>
      <c r="C261" s="474" t="s">
        <v>743</v>
      </c>
      <c r="D261" s="443" t="s">
        <v>282</v>
      </c>
      <c r="E261" s="447">
        <v>7.5</v>
      </c>
      <c r="F261" s="447">
        <v>0</v>
      </c>
      <c r="G261" s="463" t="s">
        <v>685</v>
      </c>
      <c r="H261" s="443" t="s">
        <v>686</v>
      </c>
    </row>
    <row r="262" spans="1:8" x14ac:dyDescent="0.35">
      <c r="A262" s="462">
        <v>9</v>
      </c>
      <c r="B262" s="461" t="s">
        <v>44</v>
      </c>
      <c r="C262" s="473" t="s">
        <v>744</v>
      </c>
      <c r="D262" s="440" t="s">
        <v>387</v>
      </c>
      <c r="E262" s="446">
        <v>15</v>
      </c>
      <c r="F262" s="446">
        <v>0</v>
      </c>
      <c r="G262" s="463" t="s">
        <v>685</v>
      </c>
      <c r="H262" s="440"/>
    </row>
    <row r="263" spans="1:8" x14ac:dyDescent="0.35">
      <c r="A263" s="468">
        <v>9</v>
      </c>
      <c r="B263" s="466" t="s">
        <v>44</v>
      </c>
      <c r="C263" s="474" t="s">
        <v>744</v>
      </c>
      <c r="D263" s="443" t="s">
        <v>282</v>
      </c>
      <c r="E263" s="447">
        <v>7.5</v>
      </c>
      <c r="F263" s="447">
        <v>0</v>
      </c>
      <c r="G263" s="463" t="s">
        <v>685</v>
      </c>
      <c r="H263" s="443" t="s">
        <v>686</v>
      </c>
    </row>
    <row r="264" spans="1:8" x14ac:dyDescent="0.35">
      <c r="A264" s="462">
        <v>9</v>
      </c>
      <c r="B264" s="461" t="s">
        <v>44</v>
      </c>
      <c r="C264" s="473" t="s">
        <v>744</v>
      </c>
      <c r="D264" s="440" t="s">
        <v>397</v>
      </c>
      <c r="E264" s="467"/>
      <c r="F264" s="446">
        <v>0</v>
      </c>
      <c r="G264" s="463" t="s">
        <v>685</v>
      </c>
      <c r="H264" s="440" t="s">
        <v>719</v>
      </c>
    </row>
    <row r="265" spans="1:8" x14ac:dyDescent="0.35">
      <c r="A265" s="468">
        <v>9</v>
      </c>
      <c r="B265" s="466" t="s">
        <v>44</v>
      </c>
      <c r="C265" s="474" t="s">
        <v>723</v>
      </c>
      <c r="D265" s="443" t="s">
        <v>387</v>
      </c>
      <c r="E265" s="447">
        <v>15</v>
      </c>
      <c r="F265" s="447">
        <v>0</v>
      </c>
      <c r="G265" s="463" t="s">
        <v>685</v>
      </c>
      <c r="H265" s="443"/>
    </row>
    <row r="266" spans="1:8" x14ac:dyDescent="0.35">
      <c r="A266" s="462">
        <v>9</v>
      </c>
      <c r="B266" s="461" t="s">
        <v>44</v>
      </c>
      <c r="C266" s="473" t="s">
        <v>723</v>
      </c>
      <c r="D266" s="440" t="s">
        <v>282</v>
      </c>
      <c r="E266" s="446">
        <v>7.5</v>
      </c>
      <c r="F266" s="446">
        <v>0</v>
      </c>
      <c r="G266" s="463" t="s">
        <v>685</v>
      </c>
      <c r="H266" s="440" t="s">
        <v>686</v>
      </c>
    </row>
    <row r="267" spans="1:8" x14ac:dyDescent="0.35">
      <c r="A267" s="468">
        <v>9</v>
      </c>
      <c r="B267" s="466" t="s">
        <v>44</v>
      </c>
      <c r="C267" s="474" t="s">
        <v>745</v>
      </c>
      <c r="D267" s="443" t="s">
        <v>387</v>
      </c>
      <c r="E267" s="447">
        <v>15</v>
      </c>
      <c r="F267" s="447">
        <v>0</v>
      </c>
      <c r="G267" s="463" t="s">
        <v>685</v>
      </c>
      <c r="H267" s="443"/>
    </row>
    <row r="268" spans="1:8" x14ac:dyDescent="0.35">
      <c r="A268" s="462">
        <v>9</v>
      </c>
      <c r="B268" s="461" t="s">
        <v>44</v>
      </c>
      <c r="C268" s="473" t="s">
        <v>745</v>
      </c>
      <c r="D268" s="440" t="s">
        <v>282</v>
      </c>
      <c r="E268" s="446">
        <v>7.5</v>
      </c>
      <c r="F268" s="446">
        <v>0</v>
      </c>
      <c r="G268" s="463" t="s">
        <v>685</v>
      </c>
      <c r="H268" s="440" t="s">
        <v>686</v>
      </c>
    </row>
    <row r="269" spans="1:8" x14ac:dyDescent="0.35">
      <c r="A269" s="468">
        <v>9</v>
      </c>
      <c r="B269" s="466" t="s">
        <v>44</v>
      </c>
      <c r="C269" s="474" t="s">
        <v>724</v>
      </c>
      <c r="D269" s="443" t="s">
        <v>387</v>
      </c>
      <c r="E269" s="447">
        <v>15</v>
      </c>
      <c r="F269" s="447">
        <v>0</v>
      </c>
      <c r="G269" s="463" t="s">
        <v>685</v>
      </c>
      <c r="H269" s="443"/>
    </row>
    <row r="270" spans="1:8" x14ac:dyDescent="0.35">
      <c r="A270" s="462">
        <v>9</v>
      </c>
      <c r="B270" s="461" t="s">
        <v>44</v>
      </c>
      <c r="C270" s="473" t="s">
        <v>724</v>
      </c>
      <c r="D270" s="440" t="s">
        <v>282</v>
      </c>
      <c r="E270" s="446">
        <v>7.5</v>
      </c>
      <c r="F270" s="446">
        <v>0</v>
      </c>
      <c r="G270" s="463" t="s">
        <v>685</v>
      </c>
      <c r="H270" s="440" t="s">
        <v>686</v>
      </c>
    </row>
    <row r="271" spans="1:8" x14ac:dyDescent="0.35">
      <c r="A271" s="468">
        <v>10</v>
      </c>
      <c r="B271" s="466" t="s">
        <v>549</v>
      </c>
      <c r="C271" s="474" t="s">
        <v>740</v>
      </c>
      <c r="D271" s="443" t="s">
        <v>387</v>
      </c>
      <c r="E271" s="447">
        <v>15</v>
      </c>
      <c r="F271" s="447">
        <v>0</v>
      </c>
      <c r="G271" s="464" t="s">
        <v>687</v>
      </c>
      <c r="H271" s="443" t="s">
        <v>761</v>
      </c>
    </row>
    <row r="272" spans="1:8" x14ac:dyDescent="0.35">
      <c r="A272" s="462">
        <v>10</v>
      </c>
      <c r="B272" s="461" t="s">
        <v>549</v>
      </c>
      <c r="C272" s="473" t="s">
        <v>740</v>
      </c>
      <c r="D272" s="440" t="s">
        <v>282</v>
      </c>
      <c r="E272" s="446">
        <v>7.5</v>
      </c>
      <c r="F272" s="446">
        <v>0</v>
      </c>
      <c r="G272" s="464" t="s">
        <v>687</v>
      </c>
      <c r="H272" s="440" t="s">
        <v>760</v>
      </c>
    </row>
    <row r="273" spans="1:8" x14ac:dyDescent="0.35">
      <c r="A273" s="468">
        <v>10</v>
      </c>
      <c r="B273" s="466" t="s">
        <v>549</v>
      </c>
      <c r="C273" s="474" t="s">
        <v>741</v>
      </c>
      <c r="D273" s="443" t="s">
        <v>387</v>
      </c>
      <c r="E273" s="447">
        <v>15</v>
      </c>
      <c r="F273" s="447">
        <v>0</v>
      </c>
      <c r="G273" s="463" t="s">
        <v>685</v>
      </c>
      <c r="H273" s="443"/>
    </row>
    <row r="274" spans="1:8" x14ac:dyDescent="0.35">
      <c r="A274" s="462">
        <v>10</v>
      </c>
      <c r="B274" s="461" t="s">
        <v>549</v>
      </c>
      <c r="C274" s="473" t="s">
        <v>741</v>
      </c>
      <c r="D274" s="440" t="s">
        <v>282</v>
      </c>
      <c r="E274" s="446">
        <v>7.5</v>
      </c>
      <c r="F274" s="446">
        <v>0</v>
      </c>
      <c r="G274" s="463" t="s">
        <v>685</v>
      </c>
      <c r="H274" s="440" t="s">
        <v>686</v>
      </c>
    </row>
    <row r="275" spans="1:8" x14ac:dyDescent="0.35">
      <c r="A275" s="468">
        <v>10</v>
      </c>
      <c r="B275" s="466" t="s">
        <v>549</v>
      </c>
      <c r="C275" s="474" t="s">
        <v>718</v>
      </c>
      <c r="D275" s="443" t="s">
        <v>387</v>
      </c>
      <c r="E275" s="447">
        <v>15</v>
      </c>
      <c r="F275" s="447">
        <v>0</v>
      </c>
      <c r="G275" s="463" t="s">
        <v>685</v>
      </c>
      <c r="H275" s="443"/>
    </row>
    <row r="276" spans="1:8" x14ac:dyDescent="0.35">
      <c r="A276" s="462">
        <v>10</v>
      </c>
      <c r="B276" s="461" t="s">
        <v>549</v>
      </c>
      <c r="C276" s="473" t="s">
        <v>718</v>
      </c>
      <c r="D276" s="440" t="s">
        <v>282</v>
      </c>
      <c r="E276" s="446">
        <v>7.5</v>
      </c>
      <c r="F276" s="446">
        <v>0</v>
      </c>
      <c r="G276" s="463" t="s">
        <v>685</v>
      </c>
      <c r="H276" s="440" t="s">
        <v>686</v>
      </c>
    </row>
    <row r="277" spans="1:8" x14ac:dyDescent="0.35">
      <c r="A277" s="468">
        <v>10</v>
      </c>
      <c r="B277" s="466" t="s">
        <v>549</v>
      </c>
      <c r="C277" s="474" t="s">
        <v>718</v>
      </c>
      <c r="D277" s="443" t="s">
        <v>397</v>
      </c>
      <c r="E277" s="467"/>
      <c r="F277" s="447">
        <v>0</v>
      </c>
      <c r="G277" s="463" t="s">
        <v>685</v>
      </c>
      <c r="H277" s="443" t="s">
        <v>719</v>
      </c>
    </row>
    <row r="278" spans="1:8" x14ac:dyDescent="0.35">
      <c r="A278" s="462">
        <v>10</v>
      </c>
      <c r="B278" s="461" t="s">
        <v>549</v>
      </c>
      <c r="C278" s="473" t="s">
        <v>742</v>
      </c>
      <c r="D278" s="440" t="s">
        <v>387</v>
      </c>
      <c r="E278" s="446">
        <v>15</v>
      </c>
      <c r="F278" s="446">
        <v>0</v>
      </c>
      <c r="G278" s="463" t="s">
        <v>685</v>
      </c>
      <c r="H278" s="440"/>
    </row>
    <row r="279" spans="1:8" x14ac:dyDescent="0.35">
      <c r="A279" s="468">
        <v>10</v>
      </c>
      <c r="B279" s="466" t="s">
        <v>549</v>
      </c>
      <c r="C279" s="474" t="s">
        <v>742</v>
      </c>
      <c r="D279" s="443" t="s">
        <v>282</v>
      </c>
      <c r="E279" s="447">
        <v>7.5</v>
      </c>
      <c r="F279" s="447">
        <v>0</v>
      </c>
      <c r="G279" s="463" t="s">
        <v>685</v>
      </c>
      <c r="H279" s="443" t="s">
        <v>686</v>
      </c>
    </row>
    <row r="280" spans="1:8" x14ac:dyDescent="0.35">
      <c r="A280" s="462">
        <v>10</v>
      </c>
      <c r="B280" s="461" t="s">
        <v>549</v>
      </c>
      <c r="C280" s="473" t="s">
        <v>720</v>
      </c>
      <c r="D280" s="440" t="s">
        <v>387</v>
      </c>
      <c r="E280" s="446">
        <v>15</v>
      </c>
      <c r="F280" s="446">
        <v>0</v>
      </c>
      <c r="G280" s="463" t="s">
        <v>685</v>
      </c>
      <c r="H280" s="440"/>
    </row>
    <row r="281" spans="1:8" x14ac:dyDescent="0.35">
      <c r="A281" s="468">
        <v>10</v>
      </c>
      <c r="B281" s="466" t="s">
        <v>549</v>
      </c>
      <c r="C281" s="474" t="s">
        <v>720</v>
      </c>
      <c r="D281" s="443" t="s">
        <v>282</v>
      </c>
      <c r="E281" s="447">
        <v>7.5</v>
      </c>
      <c r="F281" s="447">
        <v>0</v>
      </c>
      <c r="G281" s="463" t="s">
        <v>685</v>
      </c>
      <c r="H281" s="443" t="s">
        <v>686</v>
      </c>
    </row>
    <row r="282" spans="1:8" x14ac:dyDescent="0.35">
      <c r="A282" s="462">
        <v>10</v>
      </c>
      <c r="B282" s="461" t="s">
        <v>549</v>
      </c>
      <c r="C282" s="473" t="s">
        <v>721</v>
      </c>
      <c r="D282" s="440" t="s">
        <v>387</v>
      </c>
      <c r="E282" s="446">
        <v>15</v>
      </c>
      <c r="F282" s="446">
        <v>0</v>
      </c>
      <c r="G282" s="463" t="s">
        <v>685</v>
      </c>
      <c r="H282" s="440"/>
    </row>
    <row r="283" spans="1:8" x14ac:dyDescent="0.35">
      <c r="A283" s="468">
        <v>10</v>
      </c>
      <c r="B283" s="466" t="s">
        <v>549</v>
      </c>
      <c r="C283" s="474" t="s">
        <v>721</v>
      </c>
      <c r="D283" s="443" t="s">
        <v>282</v>
      </c>
      <c r="E283" s="447">
        <v>7.5</v>
      </c>
      <c r="F283" s="447">
        <v>0</v>
      </c>
      <c r="G283" s="463" t="s">
        <v>685</v>
      </c>
      <c r="H283" s="443" t="s">
        <v>686</v>
      </c>
    </row>
    <row r="284" spans="1:8" x14ac:dyDescent="0.35">
      <c r="A284" s="462">
        <v>10</v>
      </c>
      <c r="B284" s="461" t="s">
        <v>549</v>
      </c>
      <c r="C284" s="473" t="s">
        <v>721</v>
      </c>
      <c r="D284" s="440" t="s">
        <v>397</v>
      </c>
      <c r="E284" s="467"/>
      <c r="F284" s="446">
        <v>0</v>
      </c>
      <c r="G284" s="463" t="s">
        <v>685</v>
      </c>
      <c r="H284" s="440" t="s">
        <v>719</v>
      </c>
    </row>
    <row r="285" spans="1:8" x14ac:dyDescent="0.35">
      <c r="A285" s="468">
        <v>10</v>
      </c>
      <c r="B285" s="466" t="s">
        <v>549</v>
      </c>
      <c r="C285" s="474" t="s">
        <v>722</v>
      </c>
      <c r="D285" s="443" t="s">
        <v>387</v>
      </c>
      <c r="E285" s="447">
        <v>15</v>
      </c>
      <c r="F285" s="447">
        <v>0</v>
      </c>
      <c r="G285" s="463" t="s">
        <v>685</v>
      </c>
      <c r="H285" s="443"/>
    </row>
    <row r="286" spans="1:8" x14ac:dyDescent="0.35">
      <c r="A286" s="462">
        <v>10</v>
      </c>
      <c r="B286" s="461" t="s">
        <v>549</v>
      </c>
      <c r="C286" s="473" t="s">
        <v>722</v>
      </c>
      <c r="D286" s="440" t="s">
        <v>282</v>
      </c>
      <c r="E286" s="446">
        <v>7.5</v>
      </c>
      <c r="F286" s="446">
        <v>0</v>
      </c>
      <c r="G286" s="463" t="s">
        <v>685</v>
      </c>
      <c r="H286" s="440" t="s">
        <v>686</v>
      </c>
    </row>
    <row r="287" spans="1:8" x14ac:dyDescent="0.35">
      <c r="A287" s="468">
        <v>10</v>
      </c>
      <c r="B287" s="466" t="s">
        <v>549</v>
      </c>
      <c r="C287" s="474" t="s">
        <v>743</v>
      </c>
      <c r="D287" s="443" t="s">
        <v>387</v>
      </c>
      <c r="E287" s="447">
        <v>15</v>
      </c>
      <c r="F287" s="447">
        <v>0</v>
      </c>
      <c r="G287" s="463" t="s">
        <v>685</v>
      </c>
      <c r="H287" s="443"/>
    </row>
    <row r="288" spans="1:8" x14ac:dyDescent="0.35">
      <c r="A288" s="462">
        <v>10</v>
      </c>
      <c r="B288" s="461" t="s">
        <v>549</v>
      </c>
      <c r="C288" s="473" t="s">
        <v>743</v>
      </c>
      <c r="D288" s="440" t="s">
        <v>282</v>
      </c>
      <c r="E288" s="446">
        <v>7.5</v>
      </c>
      <c r="F288" s="446">
        <v>0</v>
      </c>
      <c r="G288" s="463" t="s">
        <v>685</v>
      </c>
      <c r="H288" s="440" t="s">
        <v>686</v>
      </c>
    </row>
    <row r="289" spans="1:8" x14ac:dyDescent="0.35">
      <c r="A289" s="468">
        <v>10</v>
      </c>
      <c r="B289" s="466" t="s">
        <v>549</v>
      </c>
      <c r="C289" s="474" t="s">
        <v>744</v>
      </c>
      <c r="D289" s="443" t="s">
        <v>387</v>
      </c>
      <c r="E289" s="447">
        <v>15</v>
      </c>
      <c r="F289" s="447">
        <v>0</v>
      </c>
      <c r="G289" s="463" t="s">
        <v>685</v>
      </c>
      <c r="H289" s="443"/>
    </row>
    <row r="290" spans="1:8" x14ac:dyDescent="0.35">
      <c r="A290" s="462">
        <v>10</v>
      </c>
      <c r="B290" s="461" t="s">
        <v>549</v>
      </c>
      <c r="C290" s="473" t="s">
        <v>744</v>
      </c>
      <c r="D290" s="440" t="s">
        <v>282</v>
      </c>
      <c r="E290" s="446">
        <v>7.5</v>
      </c>
      <c r="F290" s="446">
        <v>0</v>
      </c>
      <c r="G290" s="463" t="s">
        <v>685</v>
      </c>
      <c r="H290" s="440" t="s">
        <v>686</v>
      </c>
    </row>
    <row r="291" spans="1:8" x14ac:dyDescent="0.35">
      <c r="A291" s="468">
        <v>10</v>
      </c>
      <c r="B291" s="466" t="s">
        <v>549</v>
      </c>
      <c r="C291" s="474" t="s">
        <v>744</v>
      </c>
      <c r="D291" s="443" t="s">
        <v>397</v>
      </c>
      <c r="E291" s="467"/>
      <c r="F291" s="447">
        <v>0</v>
      </c>
      <c r="G291" s="463" t="s">
        <v>685</v>
      </c>
      <c r="H291" s="443" t="s">
        <v>719</v>
      </c>
    </row>
    <row r="292" spans="1:8" x14ac:dyDescent="0.35">
      <c r="A292" s="462">
        <v>10</v>
      </c>
      <c r="B292" s="461" t="s">
        <v>549</v>
      </c>
      <c r="C292" s="473" t="s">
        <v>723</v>
      </c>
      <c r="D292" s="440" t="s">
        <v>387</v>
      </c>
      <c r="E292" s="446">
        <v>15</v>
      </c>
      <c r="F292" s="446">
        <v>0</v>
      </c>
      <c r="G292" s="463" t="s">
        <v>685</v>
      </c>
      <c r="H292" s="440"/>
    </row>
    <row r="293" spans="1:8" x14ac:dyDescent="0.35">
      <c r="A293" s="468">
        <v>10</v>
      </c>
      <c r="B293" s="466" t="s">
        <v>549</v>
      </c>
      <c r="C293" s="474" t="s">
        <v>723</v>
      </c>
      <c r="D293" s="443" t="s">
        <v>282</v>
      </c>
      <c r="E293" s="447">
        <v>7.5</v>
      </c>
      <c r="F293" s="447">
        <v>0</v>
      </c>
      <c r="G293" s="463" t="s">
        <v>685</v>
      </c>
      <c r="H293" s="443" t="s">
        <v>686</v>
      </c>
    </row>
    <row r="294" spans="1:8" x14ac:dyDescent="0.35">
      <c r="A294" s="462">
        <v>10</v>
      </c>
      <c r="B294" s="461" t="s">
        <v>549</v>
      </c>
      <c r="C294" s="473" t="s">
        <v>745</v>
      </c>
      <c r="D294" s="440" t="s">
        <v>387</v>
      </c>
      <c r="E294" s="446">
        <v>15</v>
      </c>
      <c r="F294" s="446">
        <v>0</v>
      </c>
      <c r="G294" s="463" t="s">
        <v>685</v>
      </c>
      <c r="H294" s="440"/>
    </row>
    <row r="295" spans="1:8" x14ac:dyDescent="0.35">
      <c r="A295" s="468">
        <v>10</v>
      </c>
      <c r="B295" s="466" t="s">
        <v>549</v>
      </c>
      <c r="C295" s="474" t="s">
        <v>745</v>
      </c>
      <c r="D295" s="443" t="s">
        <v>282</v>
      </c>
      <c r="E295" s="447">
        <v>7.5</v>
      </c>
      <c r="F295" s="447">
        <v>0</v>
      </c>
      <c r="G295" s="463" t="s">
        <v>685</v>
      </c>
      <c r="H295" s="443" t="s">
        <v>686</v>
      </c>
    </row>
    <row r="296" spans="1:8" x14ac:dyDescent="0.35">
      <c r="A296" s="462">
        <v>10</v>
      </c>
      <c r="B296" s="461" t="s">
        <v>549</v>
      </c>
      <c r="C296" s="473" t="s">
        <v>724</v>
      </c>
      <c r="D296" s="440" t="s">
        <v>387</v>
      </c>
      <c r="E296" s="446">
        <v>15</v>
      </c>
      <c r="F296" s="446">
        <v>0</v>
      </c>
      <c r="G296" s="463" t="s">
        <v>685</v>
      </c>
      <c r="H296" s="440"/>
    </row>
    <row r="297" spans="1:8" x14ac:dyDescent="0.35">
      <c r="A297" s="468">
        <v>10</v>
      </c>
      <c r="B297" s="466" t="s">
        <v>549</v>
      </c>
      <c r="C297" s="474" t="s">
        <v>724</v>
      </c>
      <c r="D297" s="443" t="s">
        <v>282</v>
      </c>
      <c r="E297" s="447">
        <v>7.5</v>
      </c>
      <c r="F297" s="447">
        <v>0</v>
      </c>
      <c r="G297" s="463" t="s">
        <v>685</v>
      </c>
      <c r="H297" s="443" t="s">
        <v>686</v>
      </c>
    </row>
    <row r="298" spans="1:8" x14ac:dyDescent="0.35">
      <c r="A298" s="462">
        <v>11</v>
      </c>
      <c r="B298" s="461" t="s">
        <v>572</v>
      </c>
      <c r="C298" s="473" t="s">
        <v>740</v>
      </c>
      <c r="D298" s="440" t="s">
        <v>387</v>
      </c>
      <c r="E298" s="446">
        <v>15</v>
      </c>
      <c r="F298" s="446">
        <v>15</v>
      </c>
      <c r="G298" s="465" t="s">
        <v>688</v>
      </c>
      <c r="H298" s="440" t="s">
        <v>746</v>
      </c>
    </row>
    <row r="299" spans="1:8" x14ac:dyDescent="0.35">
      <c r="A299" s="468">
        <v>11</v>
      </c>
      <c r="B299" s="466" t="s">
        <v>572</v>
      </c>
      <c r="C299" s="474" t="s">
        <v>740</v>
      </c>
      <c r="D299" s="443" t="s">
        <v>282</v>
      </c>
      <c r="E299" s="447">
        <v>7.5</v>
      </c>
      <c r="F299" s="447">
        <v>15</v>
      </c>
      <c r="G299" s="465" t="s">
        <v>688</v>
      </c>
      <c r="H299" s="443" t="s">
        <v>749</v>
      </c>
    </row>
    <row r="300" spans="1:8" x14ac:dyDescent="0.35">
      <c r="A300" s="462">
        <v>11</v>
      </c>
      <c r="B300" s="461" t="s">
        <v>572</v>
      </c>
      <c r="C300" s="473" t="s">
        <v>741</v>
      </c>
      <c r="D300" s="440" t="s">
        <v>387</v>
      </c>
      <c r="E300" s="446">
        <v>15</v>
      </c>
      <c r="F300" s="446">
        <v>0</v>
      </c>
      <c r="G300" s="463" t="s">
        <v>685</v>
      </c>
      <c r="H300" s="440"/>
    </row>
    <row r="301" spans="1:8" x14ac:dyDescent="0.35">
      <c r="A301" s="468">
        <v>11</v>
      </c>
      <c r="B301" s="466" t="s">
        <v>572</v>
      </c>
      <c r="C301" s="474" t="s">
        <v>741</v>
      </c>
      <c r="D301" s="443" t="s">
        <v>282</v>
      </c>
      <c r="E301" s="447">
        <v>7.5</v>
      </c>
      <c r="F301" s="447">
        <v>0</v>
      </c>
      <c r="G301" s="463" t="s">
        <v>685</v>
      </c>
      <c r="H301" s="443" t="s">
        <v>686</v>
      </c>
    </row>
    <row r="302" spans="1:8" x14ac:dyDescent="0.35">
      <c r="A302" s="462">
        <v>11</v>
      </c>
      <c r="B302" s="461" t="s">
        <v>572</v>
      </c>
      <c r="C302" s="473" t="s">
        <v>718</v>
      </c>
      <c r="D302" s="440" t="s">
        <v>387</v>
      </c>
      <c r="E302" s="446">
        <v>15</v>
      </c>
      <c r="F302" s="446">
        <v>0</v>
      </c>
      <c r="G302" s="463" t="s">
        <v>685</v>
      </c>
      <c r="H302" s="440"/>
    </row>
    <row r="303" spans="1:8" x14ac:dyDescent="0.35">
      <c r="A303" s="468">
        <v>11</v>
      </c>
      <c r="B303" s="466" t="s">
        <v>572</v>
      </c>
      <c r="C303" s="474" t="s">
        <v>718</v>
      </c>
      <c r="D303" s="443" t="s">
        <v>282</v>
      </c>
      <c r="E303" s="447">
        <v>7.5</v>
      </c>
      <c r="F303" s="447">
        <v>0</v>
      </c>
      <c r="G303" s="463" t="s">
        <v>685</v>
      </c>
      <c r="H303" s="443" t="s">
        <v>686</v>
      </c>
    </row>
    <row r="304" spans="1:8" x14ac:dyDescent="0.35">
      <c r="A304" s="462">
        <v>11</v>
      </c>
      <c r="B304" s="461" t="s">
        <v>572</v>
      </c>
      <c r="C304" s="473" t="s">
        <v>718</v>
      </c>
      <c r="D304" s="440" t="s">
        <v>397</v>
      </c>
      <c r="E304" s="467"/>
      <c r="F304" s="446">
        <v>0</v>
      </c>
      <c r="G304" s="463" t="s">
        <v>685</v>
      </c>
      <c r="H304" s="440" t="s">
        <v>719</v>
      </c>
    </row>
    <row r="305" spans="1:8" x14ac:dyDescent="0.35">
      <c r="A305" s="468">
        <v>11</v>
      </c>
      <c r="B305" s="466" t="s">
        <v>572</v>
      </c>
      <c r="C305" s="474" t="s">
        <v>742</v>
      </c>
      <c r="D305" s="443" t="s">
        <v>387</v>
      </c>
      <c r="E305" s="447">
        <v>15</v>
      </c>
      <c r="F305" s="447">
        <v>0</v>
      </c>
      <c r="G305" s="463" t="s">
        <v>685</v>
      </c>
      <c r="H305" s="443"/>
    </row>
    <row r="306" spans="1:8" x14ac:dyDescent="0.35">
      <c r="A306" s="462">
        <v>11</v>
      </c>
      <c r="B306" s="461" t="s">
        <v>572</v>
      </c>
      <c r="C306" s="473" t="s">
        <v>742</v>
      </c>
      <c r="D306" s="440" t="s">
        <v>282</v>
      </c>
      <c r="E306" s="446">
        <v>7.5</v>
      </c>
      <c r="F306" s="446">
        <v>0</v>
      </c>
      <c r="G306" s="463" t="s">
        <v>685</v>
      </c>
      <c r="H306" s="440" t="s">
        <v>686</v>
      </c>
    </row>
    <row r="307" spans="1:8" x14ac:dyDescent="0.35">
      <c r="A307" s="468">
        <v>11</v>
      </c>
      <c r="B307" s="466" t="s">
        <v>572</v>
      </c>
      <c r="C307" s="474" t="s">
        <v>720</v>
      </c>
      <c r="D307" s="443" t="s">
        <v>387</v>
      </c>
      <c r="E307" s="447">
        <v>15</v>
      </c>
      <c r="F307" s="447">
        <v>0</v>
      </c>
      <c r="G307" s="463" t="s">
        <v>685</v>
      </c>
      <c r="H307" s="443"/>
    </row>
    <row r="308" spans="1:8" x14ac:dyDescent="0.35">
      <c r="A308" s="462">
        <v>11</v>
      </c>
      <c r="B308" s="461" t="s">
        <v>572</v>
      </c>
      <c r="C308" s="473" t="s">
        <v>720</v>
      </c>
      <c r="D308" s="440" t="s">
        <v>282</v>
      </c>
      <c r="E308" s="446">
        <v>7.5</v>
      </c>
      <c r="F308" s="446">
        <v>0</v>
      </c>
      <c r="G308" s="463" t="s">
        <v>685</v>
      </c>
      <c r="H308" s="440" t="s">
        <v>686</v>
      </c>
    </row>
    <row r="309" spans="1:8" x14ac:dyDescent="0.35">
      <c r="A309" s="468">
        <v>11</v>
      </c>
      <c r="B309" s="466" t="s">
        <v>572</v>
      </c>
      <c r="C309" s="474" t="s">
        <v>721</v>
      </c>
      <c r="D309" s="443" t="s">
        <v>387</v>
      </c>
      <c r="E309" s="447">
        <v>15</v>
      </c>
      <c r="F309" s="447">
        <v>0</v>
      </c>
      <c r="G309" s="463" t="s">
        <v>685</v>
      </c>
      <c r="H309" s="443"/>
    </row>
    <row r="310" spans="1:8" x14ac:dyDescent="0.35">
      <c r="A310" s="462">
        <v>11</v>
      </c>
      <c r="B310" s="461" t="s">
        <v>572</v>
      </c>
      <c r="C310" s="473" t="s">
        <v>721</v>
      </c>
      <c r="D310" s="440" t="s">
        <v>282</v>
      </c>
      <c r="E310" s="446">
        <v>7.5</v>
      </c>
      <c r="F310" s="446">
        <v>0</v>
      </c>
      <c r="G310" s="463" t="s">
        <v>685</v>
      </c>
      <c r="H310" s="440" t="s">
        <v>686</v>
      </c>
    </row>
    <row r="311" spans="1:8" x14ac:dyDescent="0.35">
      <c r="A311" s="468">
        <v>11</v>
      </c>
      <c r="B311" s="466" t="s">
        <v>572</v>
      </c>
      <c r="C311" s="474" t="s">
        <v>721</v>
      </c>
      <c r="D311" s="443" t="s">
        <v>397</v>
      </c>
      <c r="E311" s="467"/>
      <c r="F311" s="447">
        <v>0</v>
      </c>
      <c r="G311" s="463" t="s">
        <v>685</v>
      </c>
      <c r="H311" s="443" t="s">
        <v>719</v>
      </c>
    </row>
    <row r="312" spans="1:8" x14ac:dyDescent="0.35">
      <c r="A312" s="462">
        <v>11</v>
      </c>
      <c r="B312" s="461" t="s">
        <v>572</v>
      </c>
      <c r="C312" s="473" t="s">
        <v>722</v>
      </c>
      <c r="D312" s="440" t="s">
        <v>387</v>
      </c>
      <c r="E312" s="446">
        <v>15</v>
      </c>
      <c r="F312" s="446">
        <v>0</v>
      </c>
      <c r="G312" s="463" t="s">
        <v>685</v>
      </c>
      <c r="H312" s="440"/>
    </row>
    <row r="313" spans="1:8" x14ac:dyDescent="0.35">
      <c r="A313" s="468">
        <v>11</v>
      </c>
      <c r="B313" s="466" t="s">
        <v>572</v>
      </c>
      <c r="C313" s="474" t="s">
        <v>722</v>
      </c>
      <c r="D313" s="443" t="s">
        <v>282</v>
      </c>
      <c r="E313" s="447">
        <v>7.5</v>
      </c>
      <c r="F313" s="447">
        <v>0</v>
      </c>
      <c r="G313" s="463" t="s">
        <v>685</v>
      </c>
      <c r="H313" s="443" t="s">
        <v>686</v>
      </c>
    </row>
    <row r="314" spans="1:8" x14ac:dyDescent="0.35">
      <c r="A314" s="462">
        <v>11</v>
      </c>
      <c r="B314" s="461" t="s">
        <v>572</v>
      </c>
      <c r="C314" s="473" t="s">
        <v>743</v>
      </c>
      <c r="D314" s="440" t="s">
        <v>387</v>
      </c>
      <c r="E314" s="446">
        <v>15</v>
      </c>
      <c r="F314" s="446">
        <v>0</v>
      </c>
      <c r="G314" s="463" t="s">
        <v>685</v>
      </c>
      <c r="H314" s="440"/>
    </row>
    <row r="315" spans="1:8" x14ac:dyDescent="0.35">
      <c r="A315" s="468">
        <v>11</v>
      </c>
      <c r="B315" s="466" t="s">
        <v>572</v>
      </c>
      <c r="C315" s="474" t="s">
        <v>743</v>
      </c>
      <c r="D315" s="443" t="s">
        <v>282</v>
      </c>
      <c r="E315" s="447">
        <v>7.5</v>
      </c>
      <c r="F315" s="447">
        <v>0</v>
      </c>
      <c r="G315" s="463" t="s">
        <v>685</v>
      </c>
      <c r="H315" s="443" t="s">
        <v>686</v>
      </c>
    </row>
    <row r="316" spans="1:8" x14ac:dyDescent="0.35">
      <c r="A316" s="462">
        <v>11</v>
      </c>
      <c r="B316" s="461" t="s">
        <v>572</v>
      </c>
      <c r="C316" s="473" t="s">
        <v>744</v>
      </c>
      <c r="D316" s="440" t="s">
        <v>387</v>
      </c>
      <c r="E316" s="446">
        <v>15</v>
      </c>
      <c r="F316" s="446">
        <v>0</v>
      </c>
      <c r="G316" s="463" t="s">
        <v>685</v>
      </c>
      <c r="H316" s="440"/>
    </row>
    <row r="317" spans="1:8" x14ac:dyDescent="0.35">
      <c r="A317" s="468">
        <v>11</v>
      </c>
      <c r="B317" s="466" t="s">
        <v>572</v>
      </c>
      <c r="C317" s="474" t="s">
        <v>744</v>
      </c>
      <c r="D317" s="443" t="s">
        <v>282</v>
      </c>
      <c r="E317" s="447">
        <v>7.5</v>
      </c>
      <c r="F317" s="447">
        <v>0</v>
      </c>
      <c r="G317" s="463" t="s">
        <v>685</v>
      </c>
      <c r="H317" s="443" t="s">
        <v>686</v>
      </c>
    </row>
    <row r="318" spans="1:8" x14ac:dyDescent="0.35">
      <c r="A318" s="462">
        <v>11</v>
      </c>
      <c r="B318" s="461" t="s">
        <v>572</v>
      </c>
      <c r="C318" s="473" t="s">
        <v>744</v>
      </c>
      <c r="D318" s="440" t="s">
        <v>397</v>
      </c>
      <c r="E318" s="467"/>
      <c r="F318" s="446">
        <v>0</v>
      </c>
      <c r="G318" s="463" t="s">
        <v>685</v>
      </c>
      <c r="H318" s="440" t="s">
        <v>719</v>
      </c>
    </row>
    <row r="319" spans="1:8" x14ac:dyDescent="0.35">
      <c r="A319" s="468">
        <v>11</v>
      </c>
      <c r="B319" s="466" t="s">
        <v>572</v>
      </c>
      <c r="C319" s="474" t="s">
        <v>723</v>
      </c>
      <c r="D319" s="443" t="s">
        <v>387</v>
      </c>
      <c r="E319" s="447">
        <v>15</v>
      </c>
      <c r="F319" s="447">
        <v>0</v>
      </c>
      <c r="G319" s="463" t="s">
        <v>685</v>
      </c>
      <c r="H319" s="443"/>
    </row>
    <row r="320" spans="1:8" x14ac:dyDescent="0.35">
      <c r="A320" s="462">
        <v>11</v>
      </c>
      <c r="B320" s="461" t="s">
        <v>572</v>
      </c>
      <c r="C320" s="473" t="s">
        <v>723</v>
      </c>
      <c r="D320" s="440" t="s">
        <v>282</v>
      </c>
      <c r="E320" s="446">
        <v>7.5</v>
      </c>
      <c r="F320" s="446">
        <v>0</v>
      </c>
      <c r="G320" s="463" t="s">
        <v>685</v>
      </c>
      <c r="H320" s="440" t="s">
        <v>686</v>
      </c>
    </row>
    <row r="321" spans="1:8" x14ac:dyDescent="0.35">
      <c r="A321" s="468">
        <v>11</v>
      </c>
      <c r="B321" s="466" t="s">
        <v>572</v>
      </c>
      <c r="C321" s="474" t="s">
        <v>745</v>
      </c>
      <c r="D321" s="443" t="s">
        <v>387</v>
      </c>
      <c r="E321" s="447">
        <v>15</v>
      </c>
      <c r="F321" s="447">
        <v>0</v>
      </c>
      <c r="G321" s="463" t="s">
        <v>685</v>
      </c>
      <c r="H321" s="443"/>
    </row>
    <row r="322" spans="1:8" x14ac:dyDescent="0.35">
      <c r="A322" s="462">
        <v>11</v>
      </c>
      <c r="B322" s="461" t="s">
        <v>572</v>
      </c>
      <c r="C322" s="473" t="s">
        <v>745</v>
      </c>
      <c r="D322" s="440" t="s">
        <v>282</v>
      </c>
      <c r="E322" s="446">
        <v>7.5</v>
      </c>
      <c r="F322" s="446">
        <v>0</v>
      </c>
      <c r="G322" s="463" t="s">
        <v>685</v>
      </c>
      <c r="H322" s="440" t="s">
        <v>686</v>
      </c>
    </row>
    <row r="323" spans="1:8" x14ac:dyDescent="0.35">
      <c r="A323" s="468">
        <v>11</v>
      </c>
      <c r="B323" s="466" t="s">
        <v>572</v>
      </c>
      <c r="C323" s="474" t="s">
        <v>724</v>
      </c>
      <c r="D323" s="443" t="s">
        <v>387</v>
      </c>
      <c r="E323" s="447">
        <v>15</v>
      </c>
      <c r="F323" s="447">
        <v>0</v>
      </c>
      <c r="G323" s="463" t="s">
        <v>685</v>
      </c>
      <c r="H323" s="443"/>
    </row>
    <row r="324" spans="1:8" x14ac:dyDescent="0.35">
      <c r="A324" s="462">
        <v>11</v>
      </c>
      <c r="B324" s="461" t="s">
        <v>572</v>
      </c>
      <c r="C324" s="473" t="s">
        <v>724</v>
      </c>
      <c r="D324" s="440" t="s">
        <v>282</v>
      </c>
      <c r="E324" s="446">
        <v>7.5</v>
      </c>
      <c r="F324" s="446">
        <v>0</v>
      </c>
      <c r="G324" s="463" t="s">
        <v>685</v>
      </c>
      <c r="H324" s="440" t="s">
        <v>686</v>
      </c>
    </row>
    <row r="325" spans="1:8" x14ac:dyDescent="0.35">
      <c r="A325" s="468">
        <v>12</v>
      </c>
      <c r="B325" s="466" t="s">
        <v>528</v>
      </c>
      <c r="C325" s="474" t="s">
        <v>740</v>
      </c>
      <c r="D325" s="443" t="s">
        <v>387</v>
      </c>
      <c r="E325" s="447">
        <v>15</v>
      </c>
      <c r="F325" s="447">
        <v>15</v>
      </c>
      <c r="G325" s="465" t="s">
        <v>688</v>
      </c>
      <c r="H325" s="443" t="s">
        <v>753</v>
      </c>
    </row>
    <row r="326" spans="1:8" x14ac:dyDescent="0.35">
      <c r="A326" s="462">
        <v>12</v>
      </c>
      <c r="B326" s="461" t="s">
        <v>528</v>
      </c>
      <c r="C326" s="473" t="s">
        <v>740</v>
      </c>
      <c r="D326" s="440" t="s">
        <v>282</v>
      </c>
      <c r="E326" s="446">
        <v>7.5</v>
      </c>
      <c r="F326" s="446">
        <v>7.5</v>
      </c>
      <c r="G326" s="465" t="s">
        <v>688</v>
      </c>
      <c r="H326" s="440" t="s">
        <v>754</v>
      </c>
    </row>
    <row r="327" spans="1:8" x14ac:dyDescent="0.35">
      <c r="A327" s="468">
        <v>12</v>
      </c>
      <c r="B327" s="466" t="s">
        <v>528</v>
      </c>
      <c r="C327" s="474" t="s">
        <v>741</v>
      </c>
      <c r="D327" s="443" t="s">
        <v>387</v>
      </c>
      <c r="E327" s="447">
        <v>15</v>
      </c>
      <c r="F327" s="447">
        <v>0</v>
      </c>
      <c r="G327" s="463" t="s">
        <v>685</v>
      </c>
      <c r="H327" s="443"/>
    </row>
    <row r="328" spans="1:8" x14ac:dyDescent="0.35">
      <c r="A328" s="462">
        <v>12</v>
      </c>
      <c r="B328" s="461" t="s">
        <v>528</v>
      </c>
      <c r="C328" s="473" t="s">
        <v>741</v>
      </c>
      <c r="D328" s="440" t="s">
        <v>282</v>
      </c>
      <c r="E328" s="446">
        <v>7.5</v>
      </c>
      <c r="F328" s="446">
        <v>0</v>
      </c>
      <c r="G328" s="463" t="s">
        <v>685</v>
      </c>
      <c r="H328" s="440" t="s">
        <v>686</v>
      </c>
    </row>
    <row r="329" spans="1:8" x14ac:dyDescent="0.35">
      <c r="A329" s="468">
        <v>12</v>
      </c>
      <c r="B329" s="466" t="s">
        <v>528</v>
      </c>
      <c r="C329" s="474" t="s">
        <v>718</v>
      </c>
      <c r="D329" s="443" t="s">
        <v>387</v>
      </c>
      <c r="E329" s="447">
        <v>15</v>
      </c>
      <c r="F329" s="447">
        <v>0</v>
      </c>
      <c r="G329" s="463" t="s">
        <v>685</v>
      </c>
      <c r="H329" s="443"/>
    </row>
    <row r="330" spans="1:8" x14ac:dyDescent="0.35">
      <c r="A330" s="462">
        <v>12</v>
      </c>
      <c r="B330" s="461" t="s">
        <v>528</v>
      </c>
      <c r="C330" s="473" t="s">
        <v>718</v>
      </c>
      <c r="D330" s="440" t="s">
        <v>282</v>
      </c>
      <c r="E330" s="446">
        <v>7.5</v>
      </c>
      <c r="F330" s="446">
        <v>0</v>
      </c>
      <c r="G330" s="463" t="s">
        <v>685</v>
      </c>
      <c r="H330" s="440" t="s">
        <v>686</v>
      </c>
    </row>
    <row r="331" spans="1:8" x14ac:dyDescent="0.35">
      <c r="A331" s="468">
        <v>12</v>
      </c>
      <c r="B331" s="466" t="s">
        <v>528</v>
      </c>
      <c r="C331" s="474" t="s">
        <v>718</v>
      </c>
      <c r="D331" s="443" t="s">
        <v>397</v>
      </c>
      <c r="E331" s="467"/>
      <c r="F331" s="447">
        <v>0</v>
      </c>
      <c r="G331" s="463" t="s">
        <v>685</v>
      </c>
      <c r="H331" s="443" t="s">
        <v>719</v>
      </c>
    </row>
    <row r="332" spans="1:8" x14ac:dyDescent="0.35">
      <c r="A332" s="462">
        <v>12</v>
      </c>
      <c r="B332" s="461" t="s">
        <v>528</v>
      </c>
      <c r="C332" s="473" t="s">
        <v>742</v>
      </c>
      <c r="D332" s="440" t="s">
        <v>387</v>
      </c>
      <c r="E332" s="446">
        <v>15</v>
      </c>
      <c r="F332" s="446">
        <v>0</v>
      </c>
      <c r="G332" s="463" t="s">
        <v>685</v>
      </c>
      <c r="H332" s="440"/>
    </row>
    <row r="333" spans="1:8" x14ac:dyDescent="0.35">
      <c r="A333" s="468">
        <v>12</v>
      </c>
      <c r="B333" s="466" t="s">
        <v>528</v>
      </c>
      <c r="C333" s="474" t="s">
        <v>742</v>
      </c>
      <c r="D333" s="443" t="s">
        <v>282</v>
      </c>
      <c r="E333" s="447">
        <v>7.5</v>
      </c>
      <c r="F333" s="447">
        <v>0</v>
      </c>
      <c r="G333" s="463" t="s">
        <v>685</v>
      </c>
      <c r="H333" s="443" t="s">
        <v>686</v>
      </c>
    </row>
    <row r="334" spans="1:8" x14ac:dyDescent="0.35">
      <c r="A334" s="462">
        <v>12</v>
      </c>
      <c r="B334" s="461" t="s">
        <v>528</v>
      </c>
      <c r="C334" s="473" t="s">
        <v>720</v>
      </c>
      <c r="D334" s="440" t="s">
        <v>387</v>
      </c>
      <c r="E334" s="446">
        <v>15</v>
      </c>
      <c r="F334" s="446">
        <v>0</v>
      </c>
      <c r="G334" s="463" t="s">
        <v>685</v>
      </c>
      <c r="H334" s="440"/>
    </row>
    <row r="335" spans="1:8" x14ac:dyDescent="0.35">
      <c r="A335" s="468">
        <v>12</v>
      </c>
      <c r="B335" s="466" t="s">
        <v>528</v>
      </c>
      <c r="C335" s="474" t="s">
        <v>720</v>
      </c>
      <c r="D335" s="443" t="s">
        <v>282</v>
      </c>
      <c r="E335" s="447">
        <v>7.5</v>
      </c>
      <c r="F335" s="447">
        <v>0</v>
      </c>
      <c r="G335" s="463" t="s">
        <v>685</v>
      </c>
      <c r="H335" s="443" t="s">
        <v>686</v>
      </c>
    </row>
    <row r="336" spans="1:8" x14ac:dyDescent="0.35">
      <c r="A336" s="462">
        <v>12</v>
      </c>
      <c r="B336" s="461" t="s">
        <v>528</v>
      </c>
      <c r="C336" s="473" t="s">
        <v>721</v>
      </c>
      <c r="D336" s="440" t="s">
        <v>387</v>
      </c>
      <c r="E336" s="446">
        <v>15</v>
      </c>
      <c r="F336" s="446">
        <v>0</v>
      </c>
      <c r="G336" s="463" t="s">
        <v>685</v>
      </c>
      <c r="H336" s="440"/>
    </row>
    <row r="337" spans="1:8" x14ac:dyDescent="0.35">
      <c r="A337" s="468">
        <v>12</v>
      </c>
      <c r="B337" s="466" t="s">
        <v>528</v>
      </c>
      <c r="C337" s="474" t="s">
        <v>721</v>
      </c>
      <c r="D337" s="443" t="s">
        <v>282</v>
      </c>
      <c r="E337" s="447">
        <v>7.5</v>
      </c>
      <c r="F337" s="447">
        <v>0</v>
      </c>
      <c r="G337" s="463" t="s">
        <v>685</v>
      </c>
      <c r="H337" s="443" t="s">
        <v>686</v>
      </c>
    </row>
    <row r="338" spans="1:8" x14ac:dyDescent="0.35">
      <c r="A338" s="462">
        <v>12</v>
      </c>
      <c r="B338" s="461" t="s">
        <v>528</v>
      </c>
      <c r="C338" s="473" t="s">
        <v>721</v>
      </c>
      <c r="D338" s="440" t="s">
        <v>397</v>
      </c>
      <c r="E338" s="467"/>
      <c r="F338" s="446">
        <v>0</v>
      </c>
      <c r="G338" s="463" t="s">
        <v>685</v>
      </c>
      <c r="H338" s="440" t="s">
        <v>719</v>
      </c>
    </row>
    <row r="339" spans="1:8" x14ac:dyDescent="0.35">
      <c r="A339" s="468">
        <v>12</v>
      </c>
      <c r="B339" s="466" t="s">
        <v>528</v>
      </c>
      <c r="C339" s="474" t="s">
        <v>722</v>
      </c>
      <c r="D339" s="443" t="s">
        <v>387</v>
      </c>
      <c r="E339" s="447">
        <v>15</v>
      </c>
      <c r="F339" s="447">
        <v>0</v>
      </c>
      <c r="G339" s="463" t="s">
        <v>685</v>
      </c>
      <c r="H339" s="443"/>
    </row>
    <row r="340" spans="1:8" x14ac:dyDescent="0.35">
      <c r="A340" s="462">
        <v>12</v>
      </c>
      <c r="B340" s="461" t="s">
        <v>528</v>
      </c>
      <c r="C340" s="473" t="s">
        <v>722</v>
      </c>
      <c r="D340" s="440" t="s">
        <v>282</v>
      </c>
      <c r="E340" s="446">
        <v>7.5</v>
      </c>
      <c r="F340" s="446">
        <v>0</v>
      </c>
      <c r="G340" s="463" t="s">
        <v>685</v>
      </c>
      <c r="H340" s="440" t="s">
        <v>686</v>
      </c>
    </row>
    <row r="341" spans="1:8" x14ac:dyDescent="0.35">
      <c r="A341" s="468">
        <v>12</v>
      </c>
      <c r="B341" s="466" t="s">
        <v>528</v>
      </c>
      <c r="C341" s="474" t="s">
        <v>743</v>
      </c>
      <c r="D341" s="443" t="s">
        <v>387</v>
      </c>
      <c r="E341" s="447">
        <v>15</v>
      </c>
      <c r="F341" s="447">
        <v>0</v>
      </c>
      <c r="G341" s="463" t="s">
        <v>685</v>
      </c>
      <c r="H341" s="443"/>
    </row>
    <row r="342" spans="1:8" x14ac:dyDescent="0.35">
      <c r="A342" s="462">
        <v>12</v>
      </c>
      <c r="B342" s="461" t="s">
        <v>528</v>
      </c>
      <c r="C342" s="473" t="s">
        <v>743</v>
      </c>
      <c r="D342" s="440" t="s">
        <v>282</v>
      </c>
      <c r="E342" s="446">
        <v>7.5</v>
      </c>
      <c r="F342" s="446">
        <v>0</v>
      </c>
      <c r="G342" s="463" t="s">
        <v>685</v>
      </c>
      <c r="H342" s="440" t="s">
        <v>686</v>
      </c>
    </row>
    <row r="343" spans="1:8" x14ac:dyDescent="0.35">
      <c r="A343" s="468">
        <v>12</v>
      </c>
      <c r="B343" s="466" t="s">
        <v>528</v>
      </c>
      <c r="C343" s="474" t="s">
        <v>744</v>
      </c>
      <c r="D343" s="443" t="s">
        <v>387</v>
      </c>
      <c r="E343" s="447">
        <v>15</v>
      </c>
      <c r="F343" s="447">
        <v>0</v>
      </c>
      <c r="G343" s="463" t="s">
        <v>685</v>
      </c>
      <c r="H343" s="443"/>
    </row>
    <row r="344" spans="1:8" x14ac:dyDescent="0.35">
      <c r="A344" s="462">
        <v>12</v>
      </c>
      <c r="B344" s="461" t="s">
        <v>528</v>
      </c>
      <c r="C344" s="473" t="s">
        <v>744</v>
      </c>
      <c r="D344" s="440" t="s">
        <v>282</v>
      </c>
      <c r="E344" s="446">
        <v>7.5</v>
      </c>
      <c r="F344" s="446">
        <v>0</v>
      </c>
      <c r="G344" s="463" t="s">
        <v>685</v>
      </c>
      <c r="H344" s="440" t="s">
        <v>686</v>
      </c>
    </row>
    <row r="345" spans="1:8" x14ac:dyDescent="0.35">
      <c r="A345" s="468">
        <v>12</v>
      </c>
      <c r="B345" s="466" t="s">
        <v>528</v>
      </c>
      <c r="C345" s="474" t="s">
        <v>744</v>
      </c>
      <c r="D345" s="443" t="s">
        <v>397</v>
      </c>
      <c r="E345" s="467"/>
      <c r="F345" s="447">
        <v>0</v>
      </c>
      <c r="G345" s="463" t="s">
        <v>685</v>
      </c>
      <c r="H345" s="443" t="s">
        <v>719</v>
      </c>
    </row>
    <row r="346" spans="1:8" x14ac:dyDescent="0.35">
      <c r="A346" s="462">
        <v>12</v>
      </c>
      <c r="B346" s="461" t="s">
        <v>528</v>
      </c>
      <c r="C346" s="473" t="s">
        <v>723</v>
      </c>
      <c r="D346" s="440" t="s">
        <v>387</v>
      </c>
      <c r="E346" s="446">
        <v>15</v>
      </c>
      <c r="F346" s="446">
        <v>0</v>
      </c>
      <c r="G346" s="463" t="s">
        <v>685</v>
      </c>
      <c r="H346" s="440"/>
    </row>
    <row r="347" spans="1:8" x14ac:dyDescent="0.35">
      <c r="A347" s="468">
        <v>12</v>
      </c>
      <c r="B347" s="466" t="s">
        <v>528</v>
      </c>
      <c r="C347" s="474" t="s">
        <v>723</v>
      </c>
      <c r="D347" s="443" t="s">
        <v>282</v>
      </c>
      <c r="E347" s="447">
        <v>7.5</v>
      </c>
      <c r="F347" s="447">
        <v>0</v>
      </c>
      <c r="G347" s="463" t="s">
        <v>685</v>
      </c>
      <c r="H347" s="443" t="s">
        <v>686</v>
      </c>
    </row>
    <row r="348" spans="1:8" x14ac:dyDescent="0.35">
      <c r="A348" s="462">
        <v>12</v>
      </c>
      <c r="B348" s="461" t="s">
        <v>528</v>
      </c>
      <c r="C348" s="473" t="s">
        <v>745</v>
      </c>
      <c r="D348" s="440" t="s">
        <v>387</v>
      </c>
      <c r="E348" s="446">
        <v>15</v>
      </c>
      <c r="F348" s="446">
        <v>0</v>
      </c>
      <c r="G348" s="463" t="s">
        <v>685</v>
      </c>
      <c r="H348" s="440"/>
    </row>
    <row r="349" spans="1:8" x14ac:dyDescent="0.35">
      <c r="A349" s="468">
        <v>12</v>
      </c>
      <c r="B349" s="466" t="s">
        <v>528</v>
      </c>
      <c r="C349" s="474" t="s">
        <v>745</v>
      </c>
      <c r="D349" s="443" t="s">
        <v>282</v>
      </c>
      <c r="E349" s="447">
        <v>7.5</v>
      </c>
      <c r="F349" s="447">
        <v>0</v>
      </c>
      <c r="G349" s="463" t="s">
        <v>685</v>
      </c>
      <c r="H349" s="443" t="s">
        <v>686</v>
      </c>
    </row>
    <row r="350" spans="1:8" x14ac:dyDescent="0.35">
      <c r="A350" s="462">
        <v>12</v>
      </c>
      <c r="B350" s="461" t="s">
        <v>528</v>
      </c>
      <c r="C350" s="473" t="s">
        <v>724</v>
      </c>
      <c r="D350" s="440" t="s">
        <v>387</v>
      </c>
      <c r="E350" s="446">
        <v>15</v>
      </c>
      <c r="F350" s="446">
        <v>0</v>
      </c>
      <c r="G350" s="463" t="s">
        <v>685</v>
      </c>
      <c r="H350" s="440"/>
    </row>
    <row r="351" spans="1:8" x14ac:dyDescent="0.35">
      <c r="A351" s="468">
        <v>12</v>
      </c>
      <c r="B351" s="466" t="s">
        <v>528</v>
      </c>
      <c r="C351" s="474" t="s">
        <v>724</v>
      </c>
      <c r="D351" s="443" t="s">
        <v>282</v>
      </c>
      <c r="E351" s="447">
        <v>7.5</v>
      </c>
      <c r="F351" s="447">
        <v>0</v>
      </c>
      <c r="G351" s="463" t="s">
        <v>685</v>
      </c>
      <c r="H351" s="443" t="s">
        <v>686</v>
      </c>
    </row>
    <row r="352" spans="1:8" x14ac:dyDescent="0.35">
      <c r="A352" s="462">
        <v>12</v>
      </c>
      <c r="B352" s="461" t="s">
        <v>556</v>
      </c>
      <c r="C352" s="473" t="s">
        <v>740</v>
      </c>
      <c r="D352" s="440" t="s">
        <v>282</v>
      </c>
      <c r="E352" s="446">
        <v>7.5</v>
      </c>
      <c r="F352" s="446">
        <v>15</v>
      </c>
      <c r="G352" s="465" t="s">
        <v>688</v>
      </c>
      <c r="H352" s="440" t="s">
        <v>746</v>
      </c>
    </row>
    <row r="353" spans="1:8" x14ac:dyDescent="0.35">
      <c r="A353" s="468">
        <v>12</v>
      </c>
      <c r="B353" s="466" t="s">
        <v>556</v>
      </c>
      <c r="C353" s="474" t="s">
        <v>741</v>
      </c>
      <c r="D353" s="443" t="s">
        <v>282</v>
      </c>
      <c r="E353" s="447">
        <v>7.5</v>
      </c>
      <c r="F353" s="447">
        <v>0</v>
      </c>
      <c r="G353" s="463" t="s">
        <v>685</v>
      </c>
      <c r="H353" s="443" t="s">
        <v>686</v>
      </c>
    </row>
    <row r="354" spans="1:8" x14ac:dyDescent="0.35">
      <c r="A354" s="462">
        <v>12</v>
      </c>
      <c r="B354" s="461" t="s">
        <v>556</v>
      </c>
      <c r="C354" s="473" t="s">
        <v>718</v>
      </c>
      <c r="D354" s="440" t="s">
        <v>282</v>
      </c>
      <c r="E354" s="446">
        <v>7.5</v>
      </c>
      <c r="F354" s="446">
        <v>0</v>
      </c>
      <c r="G354" s="463" t="s">
        <v>685</v>
      </c>
      <c r="H354" s="440" t="s">
        <v>686</v>
      </c>
    </row>
    <row r="355" spans="1:8" x14ac:dyDescent="0.35">
      <c r="A355" s="468">
        <v>12</v>
      </c>
      <c r="B355" s="466" t="s">
        <v>556</v>
      </c>
      <c r="C355" s="474" t="s">
        <v>742</v>
      </c>
      <c r="D355" s="443" t="s">
        <v>282</v>
      </c>
      <c r="E355" s="447">
        <v>7.5</v>
      </c>
      <c r="F355" s="447">
        <v>0</v>
      </c>
      <c r="G355" s="463" t="s">
        <v>685</v>
      </c>
      <c r="H355" s="443" t="s">
        <v>686</v>
      </c>
    </row>
    <row r="356" spans="1:8" x14ac:dyDescent="0.35">
      <c r="A356" s="462">
        <v>12</v>
      </c>
      <c r="B356" s="461" t="s">
        <v>556</v>
      </c>
      <c r="C356" s="473" t="s">
        <v>720</v>
      </c>
      <c r="D356" s="440" t="s">
        <v>282</v>
      </c>
      <c r="E356" s="446">
        <v>7.5</v>
      </c>
      <c r="F356" s="446">
        <v>0</v>
      </c>
      <c r="G356" s="463" t="s">
        <v>685</v>
      </c>
      <c r="H356" s="440" t="s">
        <v>686</v>
      </c>
    </row>
    <row r="357" spans="1:8" x14ac:dyDescent="0.35">
      <c r="A357" s="468">
        <v>12</v>
      </c>
      <c r="B357" s="466" t="s">
        <v>556</v>
      </c>
      <c r="C357" s="474" t="s">
        <v>721</v>
      </c>
      <c r="D357" s="443" t="s">
        <v>282</v>
      </c>
      <c r="E357" s="447">
        <v>7.5</v>
      </c>
      <c r="F357" s="447">
        <v>0</v>
      </c>
      <c r="G357" s="463" t="s">
        <v>685</v>
      </c>
      <c r="H357" s="443" t="s">
        <v>686</v>
      </c>
    </row>
    <row r="358" spans="1:8" x14ac:dyDescent="0.35">
      <c r="A358" s="462">
        <v>12</v>
      </c>
      <c r="B358" s="461" t="s">
        <v>556</v>
      </c>
      <c r="C358" s="473" t="s">
        <v>722</v>
      </c>
      <c r="D358" s="440" t="s">
        <v>282</v>
      </c>
      <c r="E358" s="446">
        <v>7.5</v>
      </c>
      <c r="F358" s="446">
        <v>0</v>
      </c>
      <c r="G358" s="463" t="s">
        <v>685</v>
      </c>
      <c r="H358" s="440" t="s">
        <v>686</v>
      </c>
    </row>
    <row r="359" spans="1:8" x14ac:dyDescent="0.35">
      <c r="A359" s="468">
        <v>12</v>
      </c>
      <c r="B359" s="466" t="s">
        <v>556</v>
      </c>
      <c r="C359" s="474" t="s">
        <v>743</v>
      </c>
      <c r="D359" s="443" t="s">
        <v>282</v>
      </c>
      <c r="E359" s="447">
        <v>7.5</v>
      </c>
      <c r="F359" s="447">
        <v>0</v>
      </c>
      <c r="G359" s="463" t="s">
        <v>685</v>
      </c>
      <c r="H359" s="443" t="s">
        <v>686</v>
      </c>
    </row>
    <row r="360" spans="1:8" x14ac:dyDescent="0.35">
      <c r="A360" s="462">
        <v>12</v>
      </c>
      <c r="B360" s="461" t="s">
        <v>556</v>
      </c>
      <c r="C360" s="473" t="s">
        <v>744</v>
      </c>
      <c r="D360" s="440" t="s">
        <v>282</v>
      </c>
      <c r="E360" s="446">
        <v>7.5</v>
      </c>
      <c r="F360" s="446">
        <v>0</v>
      </c>
      <c r="G360" s="463" t="s">
        <v>685</v>
      </c>
      <c r="H360" s="440" t="s">
        <v>686</v>
      </c>
    </row>
    <row r="361" spans="1:8" x14ac:dyDescent="0.35">
      <c r="A361" s="468">
        <v>12</v>
      </c>
      <c r="B361" s="466" t="s">
        <v>556</v>
      </c>
      <c r="C361" s="474" t="s">
        <v>723</v>
      </c>
      <c r="D361" s="443" t="s">
        <v>282</v>
      </c>
      <c r="E361" s="447">
        <v>7.5</v>
      </c>
      <c r="F361" s="447">
        <v>0</v>
      </c>
      <c r="G361" s="463" t="s">
        <v>685</v>
      </c>
      <c r="H361" s="443" t="s">
        <v>686</v>
      </c>
    </row>
    <row r="362" spans="1:8" x14ac:dyDescent="0.35">
      <c r="A362" s="462">
        <v>12</v>
      </c>
      <c r="B362" s="461" t="s">
        <v>556</v>
      </c>
      <c r="C362" s="473" t="s">
        <v>745</v>
      </c>
      <c r="D362" s="440" t="s">
        <v>282</v>
      </c>
      <c r="E362" s="446">
        <v>7.5</v>
      </c>
      <c r="F362" s="446">
        <v>0</v>
      </c>
      <c r="G362" s="463" t="s">
        <v>685</v>
      </c>
      <c r="H362" s="440" t="s">
        <v>686</v>
      </c>
    </row>
    <row r="363" spans="1:8" x14ac:dyDescent="0.35">
      <c r="A363" s="468">
        <v>12</v>
      </c>
      <c r="B363" s="466" t="s">
        <v>556</v>
      </c>
      <c r="C363" s="474" t="s">
        <v>724</v>
      </c>
      <c r="D363" s="443" t="s">
        <v>282</v>
      </c>
      <c r="E363" s="447">
        <v>7.5</v>
      </c>
      <c r="F363" s="447">
        <v>0</v>
      </c>
      <c r="G363" s="463" t="s">
        <v>685</v>
      </c>
      <c r="H363" s="443" t="s">
        <v>686</v>
      </c>
    </row>
    <row r="364" spans="1:8" x14ac:dyDescent="0.35">
      <c r="A364" s="462">
        <v>13</v>
      </c>
      <c r="B364" s="461" t="s">
        <v>554</v>
      </c>
      <c r="C364" s="473" t="s">
        <v>740</v>
      </c>
      <c r="D364" s="440" t="s">
        <v>387</v>
      </c>
      <c r="E364" s="446">
        <v>15</v>
      </c>
      <c r="F364" s="446">
        <v>15</v>
      </c>
      <c r="G364" s="465" t="s">
        <v>688</v>
      </c>
      <c r="H364" s="440" t="s">
        <v>746</v>
      </c>
    </row>
    <row r="365" spans="1:8" x14ac:dyDescent="0.35">
      <c r="A365" s="468">
        <v>13</v>
      </c>
      <c r="B365" s="466" t="s">
        <v>554</v>
      </c>
      <c r="C365" s="474" t="s">
        <v>740</v>
      </c>
      <c r="D365" s="443" t="s">
        <v>282</v>
      </c>
      <c r="E365" s="447">
        <v>7.5</v>
      </c>
      <c r="F365" s="447">
        <v>15</v>
      </c>
      <c r="G365" s="465" t="s">
        <v>688</v>
      </c>
      <c r="H365" s="443" t="s">
        <v>746</v>
      </c>
    </row>
    <row r="366" spans="1:8" x14ac:dyDescent="0.35">
      <c r="A366" s="462">
        <v>13</v>
      </c>
      <c r="B366" s="461" t="s">
        <v>554</v>
      </c>
      <c r="C366" s="473" t="s">
        <v>741</v>
      </c>
      <c r="D366" s="440" t="s">
        <v>387</v>
      </c>
      <c r="E366" s="446">
        <v>15</v>
      </c>
      <c r="F366" s="446">
        <v>0</v>
      </c>
      <c r="G366" s="463" t="s">
        <v>685</v>
      </c>
      <c r="H366" s="440"/>
    </row>
    <row r="367" spans="1:8" x14ac:dyDescent="0.35">
      <c r="A367" s="468">
        <v>13</v>
      </c>
      <c r="B367" s="466" t="s">
        <v>554</v>
      </c>
      <c r="C367" s="474" t="s">
        <v>741</v>
      </c>
      <c r="D367" s="443" t="s">
        <v>282</v>
      </c>
      <c r="E367" s="447">
        <v>7.5</v>
      </c>
      <c r="F367" s="447">
        <v>0</v>
      </c>
      <c r="G367" s="463" t="s">
        <v>685</v>
      </c>
      <c r="H367" s="443" t="s">
        <v>686</v>
      </c>
    </row>
    <row r="368" spans="1:8" x14ac:dyDescent="0.35">
      <c r="A368" s="462">
        <v>13</v>
      </c>
      <c r="B368" s="461" t="s">
        <v>554</v>
      </c>
      <c r="C368" s="473" t="s">
        <v>718</v>
      </c>
      <c r="D368" s="440" t="s">
        <v>387</v>
      </c>
      <c r="E368" s="446">
        <v>15</v>
      </c>
      <c r="F368" s="446">
        <v>0</v>
      </c>
      <c r="G368" s="463" t="s">
        <v>685</v>
      </c>
      <c r="H368" s="440"/>
    </row>
    <row r="369" spans="1:8" x14ac:dyDescent="0.35">
      <c r="A369" s="468">
        <v>13</v>
      </c>
      <c r="B369" s="466" t="s">
        <v>554</v>
      </c>
      <c r="C369" s="474" t="s">
        <v>718</v>
      </c>
      <c r="D369" s="443" t="s">
        <v>282</v>
      </c>
      <c r="E369" s="447">
        <v>7.5</v>
      </c>
      <c r="F369" s="447">
        <v>0</v>
      </c>
      <c r="G369" s="463" t="s">
        <v>685</v>
      </c>
      <c r="H369" s="443" t="s">
        <v>686</v>
      </c>
    </row>
    <row r="370" spans="1:8" x14ac:dyDescent="0.35">
      <c r="A370" s="462">
        <v>13</v>
      </c>
      <c r="B370" s="461" t="s">
        <v>554</v>
      </c>
      <c r="C370" s="473" t="s">
        <v>718</v>
      </c>
      <c r="D370" s="440" t="s">
        <v>397</v>
      </c>
      <c r="E370" s="467"/>
      <c r="F370" s="446">
        <v>0</v>
      </c>
      <c r="G370" s="463" t="s">
        <v>685</v>
      </c>
      <c r="H370" s="440" t="s">
        <v>719</v>
      </c>
    </row>
    <row r="371" spans="1:8" x14ac:dyDescent="0.35">
      <c r="A371" s="468">
        <v>13</v>
      </c>
      <c r="B371" s="466" t="s">
        <v>554</v>
      </c>
      <c r="C371" s="474" t="s">
        <v>742</v>
      </c>
      <c r="D371" s="443" t="s">
        <v>387</v>
      </c>
      <c r="E371" s="447">
        <v>15</v>
      </c>
      <c r="F371" s="447">
        <v>0</v>
      </c>
      <c r="G371" s="463" t="s">
        <v>685</v>
      </c>
      <c r="H371" s="443"/>
    </row>
    <row r="372" spans="1:8" x14ac:dyDescent="0.35">
      <c r="A372" s="462">
        <v>13</v>
      </c>
      <c r="B372" s="461" t="s">
        <v>554</v>
      </c>
      <c r="C372" s="473" t="s">
        <v>742</v>
      </c>
      <c r="D372" s="440" t="s">
        <v>282</v>
      </c>
      <c r="E372" s="446">
        <v>7.5</v>
      </c>
      <c r="F372" s="446">
        <v>0</v>
      </c>
      <c r="G372" s="463" t="s">
        <v>685</v>
      </c>
      <c r="H372" s="440" t="s">
        <v>686</v>
      </c>
    </row>
    <row r="373" spans="1:8" x14ac:dyDescent="0.35">
      <c r="A373" s="468">
        <v>13</v>
      </c>
      <c r="B373" s="466" t="s">
        <v>554</v>
      </c>
      <c r="C373" s="474" t="s">
        <v>720</v>
      </c>
      <c r="D373" s="443" t="s">
        <v>387</v>
      </c>
      <c r="E373" s="447">
        <v>15</v>
      </c>
      <c r="F373" s="447">
        <v>0</v>
      </c>
      <c r="G373" s="463" t="s">
        <v>685</v>
      </c>
      <c r="H373" s="443"/>
    </row>
    <row r="374" spans="1:8" x14ac:dyDescent="0.35">
      <c r="A374" s="462">
        <v>13</v>
      </c>
      <c r="B374" s="461" t="s">
        <v>554</v>
      </c>
      <c r="C374" s="473" t="s">
        <v>720</v>
      </c>
      <c r="D374" s="440" t="s">
        <v>282</v>
      </c>
      <c r="E374" s="446">
        <v>7.5</v>
      </c>
      <c r="F374" s="446">
        <v>0</v>
      </c>
      <c r="G374" s="463" t="s">
        <v>685</v>
      </c>
      <c r="H374" s="440" t="s">
        <v>686</v>
      </c>
    </row>
    <row r="375" spans="1:8" x14ac:dyDescent="0.35">
      <c r="A375" s="468">
        <v>13</v>
      </c>
      <c r="B375" s="466" t="s">
        <v>554</v>
      </c>
      <c r="C375" s="474" t="s">
        <v>721</v>
      </c>
      <c r="D375" s="443" t="s">
        <v>387</v>
      </c>
      <c r="E375" s="447">
        <v>15</v>
      </c>
      <c r="F375" s="447">
        <v>0</v>
      </c>
      <c r="G375" s="463" t="s">
        <v>685</v>
      </c>
      <c r="H375" s="443"/>
    </row>
    <row r="376" spans="1:8" x14ac:dyDescent="0.35">
      <c r="A376" s="462">
        <v>13</v>
      </c>
      <c r="B376" s="461" t="s">
        <v>554</v>
      </c>
      <c r="C376" s="473" t="s">
        <v>721</v>
      </c>
      <c r="D376" s="440" t="s">
        <v>282</v>
      </c>
      <c r="E376" s="446">
        <v>7.5</v>
      </c>
      <c r="F376" s="446">
        <v>0</v>
      </c>
      <c r="G376" s="463" t="s">
        <v>685</v>
      </c>
      <c r="H376" s="440" t="s">
        <v>686</v>
      </c>
    </row>
    <row r="377" spans="1:8" x14ac:dyDescent="0.35">
      <c r="A377" s="468">
        <v>13</v>
      </c>
      <c r="B377" s="466" t="s">
        <v>554</v>
      </c>
      <c r="C377" s="474" t="s">
        <v>721</v>
      </c>
      <c r="D377" s="443" t="s">
        <v>397</v>
      </c>
      <c r="E377" s="467"/>
      <c r="F377" s="447">
        <v>0</v>
      </c>
      <c r="G377" s="463" t="s">
        <v>685</v>
      </c>
      <c r="H377" s="443" t="s">
        <v>719</v>
      </c>
    </row>
    <row r="378" spans="1:8" x14ac:dyDescent="0.35">
      <c r="A378" s="462">
        <v>13</v>
      </c>
      <c r="B378" s="461" t="s">
        <v>554</v>
      </c>
      <c r="C378" s="473" t="s">
        <v>722</v>
      </c>
      <c r="D378" s="440" t="s">
        <v>387</v>
      </c>
      <c r="E378" s="446">
        <v>15</v>
      </c>
      <c r="F378" s="446">
        <v>0</v>
      </c>
      <c r="G378" s="463" t="s">
        <v>685</v>
      </c>
      <c r="H378" s="440"/>
    </row>
    <row r="379" spans="1:8" x14ac:dyDescent="0.35">
      <c r="A379" s="468">
        <v>13</v>
      </c>
      <c r="B379" s="466" t="s">
        <v>554</v>
      </c>
      <c r="C379" s="474" t="s">
        <v>722</v>
      </c>
      <c r="D379" s="443" t="s">
        <v>282</v>
      </c>
      <c r="E379" s="447">
        <v>7.5</v>
      </c>
      <c r="F379" s="447">
        <v>0</v>
      </c>
      <c r="G379" s="463" t="s">
        <v>685</v>
      </c>
      <c r="H379" s="443" t="s">
        <v>686</v>
      </c>
    </row>
    <row r="380" spans="1:8" x14ac:dyDescent="0.35">
      <c r="A380" s="462">
        <v>13</v>
      </c>
      <c r="B380" s="461" t="s">
        <v>554</v>
      </c>
      <c r="C380" s="473" t="s">
        <v>743</v>
      </c>
      <c r="D380" s="440" t="s">
        <v>387</v>
      </c>
      <c r="E380" s="446">
        <v>15</v>
      </c>
      <c r="F380" s="446">
        <v>0</v>
      </c>
      <c r="G380" s="463" t="s">
        <v>685</v>
      </c>
      <c r="H380" s="440"/>
    </row>
    <row r="381" spans="1:8" x14ac:dyDescent="0.35">
      <c r="A381" s="468">
        <v>13</v>
      </c>
      <c r="B381" s="466" t="s">
        <v>554</v>
      </c>
      <c r="C381" s="474" t="s">
        <v>743</v>
      </c>
      <c r="D381" s="443" t="s">
        <v>282</v>
      </c>
      <c r="E381" s="447">
        <v>7.5</v>
      </c>
      <c r="F381" s="447">
        <v>0</v>
      </c>
      <c r="G381" s="463" t="s">
        <v>685</v>
      </c>
      <c r="H381" s="443" t="s">
        <v>686</v>
      </c>
    </row>
    <row r="382" spans="1:8" x14ac:dyDescent="0.35">
      <c r="A382" s="462">
        <v>13</v>
      </c>
      <c r="B382" s="461" t="s">
        <v>554</v>
      </c>
      <c r="C382" s="473" t="s">
        <v>744</v>
      </c>
      <c r="D382" s="440" t="s">
        <v>387</v>
      </c>
      <c r="E382" s="446">
        <v>15</v>
      </c>
      <c r="F382" s="446">
        <v>0</v>
      </c>
      <c r="G382" s="463" t="s">
        <v>685</v>
      </c>
      <c r="H382" s="440"/>
    </row>
    <row r="383" spans="1:8" x14ac:dyDescent="0.35">
      <c r="A383" s="468">
        <v>13</v>
      </c>
      <c r="B383" s="466" t="s">
        <v>554</v>
      </c>
      <c r="C383" s="474" t="s">
        <v>744</v>
      </c>
      <c r="D383" s="443" t="s">
        <v>282</v>
      </c>
      <c r="E383" s="447">
        <v>7.5</v>
      </c>
      <c r="F383" s="447">
        <v>0</v>
      </c>
      <c r="G383" s="463" t="s">
        <v>685</v>
      </c>
      <c r="H383" s="443" t="s">
        <v>686</v>
      </c>
    </row>
    <row r="384" spans="1:8" x14ac:dyDescent="0.35">
      <c r="A384" s="462">
        <v>13</v>
      </c>
      <c r="B384" s="461" t="s">
        <v>554</v>
      </c>
      <c r="C384" s="473" t="s">
        <v>744</v>
      </c>
      <c r="D384" s="440" t="s">
        <v>397</v>
      </c>
      <c r="E384" s="467"/>
      <c r="F384" s="446">
        <v>0</v>
      </c>
      <c r="G384" s="463" t="s">
        <v>685</v>
      </c>
      <c r="H384" s="440" t="s">
        <v>719</v>
      </c>
    </row>
    <row r="385" spans="1:8" x14ac:dyDescent="0.35">
      <c r="A385" s="468">
        <v>13</v>
      </c>
      <c r="B385" s="466" t="s">
        <v>554</v>
      </c>
      <c r="C385" s="474" t="s">
        <v>723</v>
      </c>
      <c r="D385" s="443" t="s">
        <v>387</v>
      </c>
      <c r="E385" s="447">
        <v>15</v>
      </c>
      <c r="F385" s="447">
        <v>0</v>
      </c>
      <c r="G385" s="463" t="s">
        <v>685</v>
      </c>
      <c r="H385" s="443"/>
    </row>
    <row r="386" spans="1:8" x14ac:dyDescent="0.35">
      <c r="A386" s="462">
        <v>13</v>
      </c>
      <c r="B386" s="461" t="s">
        <v>554</v>
      </c>
      <c r="C386" s="473" t="s">
        <v>723</v>
      </c>
      <c r="D386" s="440" t="s">
        <v>282</v>
      </c>
      <c r="E386" s="446">
        <v>7.5</v>
      </c>
      <c r="F386" s="446">
        <v>0</v>
      </c>
      <c r="G386" s="463" t="s">
        <v>685</v>
      </c>
      <c r="H386" s="440" t="s">
        <v>686</v>
      </c>
    </row>
    <row r="387" spans="1:8" x14ac:dyDescent="0.35">
      <c r="A387" s="468">
        <v>13</v>
      </c>
      <c r="B387" s="466" t="s">
        <v>554</v>
      </c>
      <c r="C387" s="474" t="s">
        <v>745</v>
      </c>
      <c r="D387" s="443" t="s">
        <v>387</v>
      </c>
      <c r="E387" s="447">
        <v>15</v>
      </c>
      <c r="F387" s="447">
        <v>0</v>
      </c>
      <c r="G387" s="463" t="s">
        <v>685</v>
      </c>
      <c r="H387" s="443"/>
    </row>
    <row r="388" spans="1:8" x14ac:dyDescent="0.35">
      <c r="A388" s="462">
        <v>13</v>
      </c>
      <c r="B388" s="461" t="s">
        <v>554</v>
      </c>
      <c r="C388" s="473" t="s">
        <v>745</v>
      </c>
      <c r="D388" s="440" t="s">
        <v>282</v>
      </c>
      <c r="E388" s="446">
        <v>7.5</v>
      </c>
      <c r="F388" s="446">
        <v>0</v>
      </c>
      <c r="G388" s="463" t="s">
        <v>685</v>
      </c>
      <c r="H388" s="440" t="s">
        <v>686</v>
      </c>
    </row>
    <row r="389" spans="1:8" x14ac:dyDescent="0.35">
      <c r="A389" s="468">
        <v>13</v>
      </c>
      <c r="B389" s="466" t="s">
        <v>554</v>
      </c>
      <c r="C389" s="474" t="s">
        <v>724</v>
      </c>
      <c r="D389" s="443" t="s">
        <v>387</v>
      </c>
      <c r="E389" s="447">
        <v>15</v>
      </c>
      <c r="F389" s="447">
        <v>0</v>
      </c>
      <c r="G389" s="463" t="s">
        <v>685</v>
      </c>
      <c r="H389" s="443"/>
    </row>
    <row r="390" spans="1:8" x14ac:dyDescent="0.35">
      <c r="A390" s="462">
        <v>13</v>
      </c>
      <c r="B390" s="461" t="s">
        <v>554</v>
      </c>
      <c r="C390" s="473" t="s">
        <v>724</v>
      </c>
      <c r="D390" s="440" t="s">
        <v>282</v>
      </c>
      <c r="E390" s="446">
        <v>7.5</v>
      </c>
      <c r="F390" s="446">
        <v>0</v>
      </c>
      <c r="G390" s="463" t="s">
        <v>685</v>
      </c>
      <c r="H390" s="440" t="s">
        <v>686</v>
      </c>
    </row>
    <row r="391" spans="1:8" x14ac:dyDescent="0.35">
      <c r="A391" s="468">
        <v>14</v>
      </c>
      <c r="B391" s="466" t="s">
        <v>554</v>
      </c>
      <c r="C391" s="474" t="s">
        <v>740</v>
      </c>
      <c r="D391" s="443" t="s">
        <v>387</v>
      </c>
      <c r="E391" s="447">
        <v>15</v>
      </c>
      <c r="F391" s="447">
        <v>15</v>
      </c>
      <c r="G391" s="465" t="s">
        <v>688</v>
      </c>
      <c r="H391" s="443" t="s">
        <v>746</v>
      </c>
    </row>
    <row r="392" spans="1:8" x14ac:dyDescent="0.35">
      <c r="A392" s="462">
        <v>14</v>
      </c>
      <c r="B392" s="461" t="s">
        <v>554</v>
      </c>
      <c r="C392" s="473" t="s">
        <v>740</v>
      </c>
      <c r="D392" s="440" t="s">
        <v>282</v>
      </c>
      <c r="E392" s="446">
        <v>7.5</v>
      </c>
      <c r="F392" s="446">
        <v>15</v>
      </c>
      <c r="G392" s="465" t="s">
        <v>688</v>
      </c>
      <c r="H392" s="440" t="s">
        <v>746</v>
      </c>
    </row>
    <row r="393" spans="1:8" x14ac:dyDescent="0.35">
      <c r="A393" s="468">
        <v>14</v>
      </c>
      <c r="B393" s="466" t="s">
        <v>554</v>
      </c>
      <c r="C393" s="474" t="s">
        <v>741</v>
      </c>
      <c r="D393" s="443" t="s">
        <v>387</v>
      </c>
      <c r="E393" s="447">
        <v>15</v>
      </c>
      <c r="F393" s="447">
        <v>0</v>
      </c>
      <c r="G393" s="463" t="s">
        <v>685</v>
      </c>
      <c r="H393" s="443"/>
    </row>
    <row r="394" spans="1:8" x14ac:dyDescent="0.35">
      <c r="A394" s="462">
        <v>14</v>
      </c>
      <c r="B394" s="461" t="s">
        <v>554</v>
      </c>
      <c r="C394" s="473" t="s">
        <v>741</v>
      </c>
      <c r="D394" s="440" t="s">
        <v>282</v>
      </c>
      <c r="E394" s="446">
        <v>7.5</v>
      </c>
      <c r="F394" s="446">
        <v>0</v>
      </c>
      <c r="G394" s="463" t="s">
        <v>685</v>
      </c>
      <c r="H394" s="440" t="s">
        <v>686</v>
      </c>
    </row>
    <row r="395" spans="1:8" x14ac:dyDescent="0.35">
      <c r="A395" s="468">
        <v>14</v>
      </c>
      <c r="B395" s="466" t="s">
        <v>554</v>
      </c>
      <c r="C395" s="474" t="s">
        <v>718</v>
      </c>
      <c r="D395" s="443" t="s">
        <v>387</v>
      </c>
      <c r="E395" s="447">
        <v>15</v>
      </c>
      <c r="F395" s="447">
        <v>0</v>
      </c>
      <c r="G395" s="463" t="s">
        <v>685</v>
      </c>
      <c r="H395" s="443"/>
    </row>
    <row r="396" spans="1:8" x14ac:dyDescent="0.35">
      <c r="A396" s="462">
        <v>14</v>
      </c>
      <c r="B396" s="461" t="s">
        <v>554</v>
      </c>
      <c r="C396" s="473" t="s">
        <v>718</v>
      </c>
      <c r="D396" s="440" t="s">
        <v>282</v>
      </c>
      <c r="E396" s="446">
        <v>7.5</v>
      </c>
      <c r="F396" s="446">
        <v>0</v>
      </c>
      <c r="G396" s="463" t="s">
        <v>685</v>
      </c>
      <c r="H396" s="440" t="s">
        <v>686</v>
      </c>
    </row>
    <row r="397" spans="1:8" x14ac:dyDescent="0.35">
      <c r="A397" s="468">
        <v>14</v>
      </c>
      <c r="B397" s="466" t="s">
        <v>554</v>
      </c>
      <c r="C397" s="474" t="s">
        <v>718</v>
      </c>
      <c r="D397" s="443" t="s">
        <v>397</v>
      </c>
      <c r="E397" s="467"/>
      <c r="F397" s="447">
        <v>0</v>
      </c>
      <c r="G397" s="463" t="s">
        <v>685</v>
      </c>
      <c r="H397" s="443" t="s">
        <v>719</v>
      </c>
    </row>
    <row r="398" spans="1:8" x14ac:dyDescent="0.35">
      <c r="A398" s="462">
        <v>14</v>
      </c>
      <c r="B398" s="461" t="s">
        <v>554</v>
      </c>
      <c r="C398" s="473" t="s">
        <v>742</v>
      </c>
      <c r="D398" s="440" t="s">
        <v>387</v>
      </c>
      <c r="E398" s="446">
        <v>15</v>
      </c>
      <c r="F398" s="446">
        <v>0</v>
      </c>
      <c r="G398" s="463" t="s">
        <v>685</v>
      </c>
      <c r="H398" s="440"/>
    </row>
    <row r="399" spans="1:8" x14ac:dyDescent="0.35">
      <c r="A399" s="468">
        <v>14</v>
      </c>
      <c r="B399" s="466" t="s">
        <v>554</v>
      </c>
      <c r="C399" s="474" t="s">
        <v>742</v>
      </c>
      <c r="D399" s="443" t="s">
        <v>282</v>
      </c>
      <c r="E399" s="447">
        <v>7.5</v>
      </c>
      <c r="F399" s="447">
        <v>0</v>
      </c>
      <c r="G399" s="463" t="s">
        <v>685</v>
      </c>
      <c r="H399" s="443" t="s">
        <v>686</v>
      </c>
    </row>
    <row r="400" spans="1:8" x14ac:dyDescent="0.35">
      <c r="A400" s="462">
        <v>14</v>
      </c>
      <c r="B400" s="461" t="s">
        <v>554</v>
      </c>
      <c r="C400" s="473" t="s">
        <v>720</v>
      </c>
      <c r="D400" s="440" t="s">
        <v>387</v>
      </c>
      <c r="E400" s="446">
        <v>15</v>
      </c>
      <c r="F400" s="446">
        <v>0</v>
      </c>
      <c r="G400" s="463" t="s">
        <v>685</v>
      </c>
      <c r="H400" s="440"/>
    </row>
    <row r="401" spans="1:8" x14ac:dyDescent="0.35">
      <c r="A401" s="468">
        <v>14</v>
      </c>
      <c r="B401" s="466" t="s">
        <v>554</v>
      </c>
      <c r="C401" s="474" t="s">
        <v>720</v>
      </c>
      <c r="D401" s="443" t="s">
        <v>282</v>
      </c>
      <c r="E401" s="447">
        <v>7.5</v>
      </c>
      <c r="F401" s="447">
        <v>0</v>
      </c>
      <c r="G401" s="463" t="s">
        <v>685</v>
      </c>
      <c r="H401" s="443" t="s">
        <v>686</v>
      </c>
    </row>
    <row r="402" spans="1:8" x14ac:dyDescent="0.35">
      <c r="A402" s="462">
        <v>14</v>
      </c>
      <c r="B402" s="461" t="s">
        <v>554</v>
      </c>
      <c r="C402" s="473" t="s">
        <v>721</v>
      </c>
      <c r="D402" s="440" t="s">
        <v>387</v>
      </c>
      <c r="E402" s="446">
        <v>15</v>
      </c>
      <c r="F402" s="446">
        <v>0</v>
      </c>
      <c r="G402" s="463" t="s">
        <v>685</v>
      </c>
      <c r="H402" s="440"/>
    </row>
    <row r="403" spans="1:8" x14ac:dyDescent="0.35">
      <c r="A403" s="468">
        <v>14</v>
      </c>
      <c r="B403" s="466" t="s">
        <v>554</v>
      </c>
      <c r="C403" s="474" t="s">
        <v>721</v>
      </c>
      <c r="D403" s="443" t="s">
        <v>282</v>
      </c>
      <c r="E403" s="447">
        <v>7.5</v>
      </c>
      <c r="F403" s="447">
        <v>0</v>
      </c>
      <c r="G403" s="463" t="s">
        <v>685</v>
      </c>
      <c r="H403" s="443" t="s">
        <v>686</v>
      </c>
    </row>
    <row r="404" spans="1:8" x14ac:dyDescent="0.35">
      <c r="A404" s="462">
        <v>14</v>
      </c>
      <c r="B404" s="461" t="s">
        <v>554</v>
      </c>
      <c r="C404" s="473" t="s">
        <v>721</v>
      </c>
      <c r="D404" s="440" t="s">
        <v>397</v>
      </c>
      <c r="E404" s="467"/>
      <c r="F404" s="446">
        <v>0</v>
      </c>
      <c r="G404" s="463" t="s">
        <v>685</v>
      </c>
      <c r="H404" s="440" t="s">
        <v>719</v>
      </c>
    </row>
    <row r="405" spans="1:8" x14ac:dyDescent="0.35">
      <c r="A405" s="468">
        <v>14</v>
      </c>
      <c r="B405" s="466" t="s">
        <v>554</v>
      </c>
      <c r="C405" s="474" t="s">
        <v>722</v>
      </c>
      <c r="D405" s="443" t="s">
        <v>387</v>
      </c>
      <c r="E405" s="447">
        <v>15</v>
      </c>
      <c r="F405" s="447">
        <v>0</v>
      </c>
      <c r="G405" s="463" t="s">
        <v>685</v>
      </c>
      <c r="H405" s="443"/>
    </row>
    <row r="406" spans="1:8" x14ac:dyDescent="0.35">
      <c r="A406" s="462">
        <v>14</v>
      </c>
      <c r="B406" s="461" t="s">
        <v>554</v>
      </c>
      <c r="C406" s="473" t="s">
        <v>722</v>
      </c>
      <c r="D406" s="440" t="s">
        <v>282</v>
      </c>
      <c r="E406" s="446">
        <v>7.5</v>
      </c>
      <c r="F406" s="446">
        <v>0</v>
      </c>
      <c r="G406" s="463" t="s">
        <v>685</v>
      </c>
      <c r="H406" s="440" t="s">
        <v>686</v>
      </c>
    </row>
    <row r="407" spans="1:8" x14ac:dyDescent="0.35">
      <c r="A407" s="468">
        <v>14</v>
      </c>
      <c r="B407" s="466" t="s">
        <v>554</v>
      </c>
      <c r="C407" s="474" t="s">
        <v>743</v>
      </c>
      <c r="D407" s="443" t="s">
        <v>387</v>
      </c>
      <c r="E407" s="447">
        <v>15</v>
      </c>
      <c r="F407" s="447">
        <v>0</v>
      </c>
      <c r="G407" s="463" t="s">
        <v>685</v>
      </c>
      <c r="H407" s="443"/>
    </row>
    <row r="408" spans="1:8" x14ac:dyDescent="0.35">
      <c r="A408" s="462">
        <v>14</v>
      </c>
      <c r="B408" s="461" t="s">
        <v>554</v>
      </c>
      <c r="C408" s="473" t="s">
        <v>743</v>
      </c>
      <c r="D408" s="440" t="s">
        <v>282</v>
      </c>
      <c r="E408" s="446">
        <v>7.5</v>
      </c>
      <c r="F408" s="446">
        <v>0</v>
      </c>
      <c r="G408" s="463" t="s">
        <v>685</v>
      </c>
      <c r="H408" s="440" t="s">
        <v>686</v>
      </c>
    </row>
    <row r="409" spans="1:8" x14ac:dyDescent="0.35">
      <c r="A409" s="468">
        <v>14</v>
      </c>
      <c r="B409" s="466" t="s">
        <v>554</v>
      </c>
      <c r="C409" s="474" t="s">
        <v>744</v>
      </c>
      <c r="D409" s="443" t="s">
        <v>387</v>
      </c>
      <c r="E409" s="447">
        <v>15</v>
      </c>
      <c r="F409" s="447">
        <v>0</v>
      </c>
      <c r="G409" s="463" t="s">
        <v>685</v>
      </c>
      <c r="H409" s="443"/>
    </row>
    <row r="410" spans="1:8" x14ac:dyDescent="0.35">
      <c r="A410" s="462">
        <v>14</v>
      </c>
      <c r="B410" s="461" t="s">
        <v>554</v>
      </c>
      <c r="C410" s="473" t="s">
        <v>744</v>
      </c>
      <c r="D410" s="440" t="s">
        <v>282</v>
      </c>
      <c r="E410" s="446">
        <v>7.5</v>
      </c>
      <c r="F410" s="446">
        <v>0</v>
      </c>
      <c r="G410" s="463" t="s">
        <v>685</v>
      </c>
      <c r="H410" s="440" t="s">
        <v>686</v>
      </c>
    </row>
    <row r="411" spans="1:8" x14ac:dyDescent="0.35">
      <c r="A411" s="468">
        <v>14</v>
      </c>
      <c r="B411" s="466" t="s">
        <v>554</v>
      </c>
      <c r="C411" s="474" t="s">
        <v>744</v>
      </c>
      <c r="D411" s="443" t="s">
        <v>397</v>
      </c>
      <c r="E411" s="467"/>
      <c r="F411" s="447">
        <v>0</v>
      </c>
      <c r="G411" s="463" t="s">
        <v>685</v>
      </c>
      <c r="H411" s="443" t="s">
        <v>719</v>
      </c>
    </row>
    <row r="412" spans="1:8" x14ac:dyDescent="0.35">
      <c r="A412" s="462">
        <v>14</v>
      </c>
      <c r="B412" s="461" t="s">
        <v>554</v>
      </c>
      <c r="C412" s="473" t="s">
        <v>723</v>
      </c>
      <c r="D412" s="440" t="s">
        <v>387</v>
      </c>
      <c r="E412" s="446">
        <v>15</v>
      </c>
      <c r="F412" s="446">
        <v>0</v>
      </c>
      <c r="G412" s="463" t="s">
        <v>685</v>
      </c>
      <c r="H412" s="440"/>
    </row>
    <row r="413" spans="1:8" x14ac:dyDescent="0.35">
      <c r="A413" s="468">
        <v>14</v>
      </c>
      <c r="B413" s="466" t="s">
        <v>554</v>
      </c>
      <c r="C413" s="474" t="s">
        <v>723</v>
      </c>
      <c r="D413" s="443" t="s">
        <v>282</v>
      </c>
      <c r="E413" s="447">
        <v>7.5</v>
      </c>
      <c r="F413" s="447">
        <v>0</v>
      </c>
      <c r="G413" s="463" t="s">
        <v>685</v>
      </c>
      <c r="H413" s="443" t="s">
        <v>686</v>
      </c>
    </row>
    <row r="414" spans="1:8" x14ac:dyDescent="0.35">
      <c r="A414" s="462">
        <v>14</v>
      </c>
      <c r="B414" s="461" t="s">
        <v>554</v>
      </c>
      <c r="C414" s="473" t="s">
        <v>745</v>
      </c>
      <c r="D414" s="440" t="s">
        <v>387</v>
      </c>
      <c r="E414" s="446">
        <v>15</v>
      </c>
      <c r="F414" s="446">
        <v>0</v>
      </c>
      <c r="G414" s="463" t="s">
        <v>685</v>
      </c>
      <c r="H414" s="440"/>
    </row>
    <row r="415" spans="1:8" x14ac:dyDescent="0.35">
      <c r="A415" s="468">
        <v>14</v>
      </c>
      <c r="B415" s="466" t="s">
        <v>554</v>
      </c>
      <c r="C415" s="474" t="s">
        <v>745</v>
      </c>
      <c r="D415" s="443" t="s">
        <v>282</v>
      </c>
      <c r="E415" s="447">
        <v>7.5</v>
      </c>
      <c r="F415" s="447">
        <v>0</v>
      </c>
      <c r="G415" s="463" t="s">
        <v>685</v>
      </c>
      <c r="H415" s="443" t="s">
        <v>686</v>
      </c>
    </row>
    <row r="416" spans="1:8" x14ac:dyDescent="0.35">
      <c r="A416" s="462">
        <v>14</v>
      </c>
      <c r="B416" s="461" t="s">
        <v>554</v>
      </c>
      <c r="C416" s="473" t="s">
        <v>724</v>
      </c>
      <c r="D416" s="440" t="s">
        <v>387</v>
      </c>
      <c r="E416" s="446">
        <v>15</v>
      </c>
      <c r="F416" s="446">
        <v>0</v>
      </c>
      <c r="G416" s="463" t="s">
        <v>685</v>
      </c>
      <c r="H416" s="440"/>
    </row>
    <row r="417" spans="1:8" x14ac:dyDescent="0.35">
      <c r="A417" s="468">
        <v>14</v>
      </c>
      <c r="B417" s="466" t="s">
        <v>554</v>
      </c>
      <c r="C417" s="474" t="s">
        <v>724</v>
      </c>
      <c r="D417" s="443" t="s">
        <v>282</v>
      </c>
      <c r="E417" s="447">
        <v>7.5</v>
      </c>
      <c r="F417" s="447">
        <v>0</v>
      </c>
      <c r="G417" s="463" t="s">
        <v>685</v>
      </c>
      <c r="H417" s="443" t="s">
        <v>686</v>
      </c>
    </row>
  </sheetData>
  <sheetProtection selectLockedCells="1"/>
  <autoFilter ref="A3:H417" xr:uid="{C0212A67-5905-4C68-B0D0-6745C8FE164C}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57"/>
  <sheetViews>
    <sheetView topLeftCell="A34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81" customWidth="1"/>
    <col min="8" max="8" width="47.26953125" style="231" bestFit="1" customWidth="1"/>
    <col min="9" max="9" width="19" style="481" customWidth="1"/>
    <col min="10" max="10" width="15.54296875" style="481" customWidth="1"/>
    <col min="11" max="11" width="17.54296875" style="231" customWidth="1"/>
    <col min="12" max="12" width="50.1796875" style="481" customWidth="1"/>
    <col min="13" max="13" width="21.453125" style="295" bestFit="1" customWidth="1"/>
    <col min="14" max="14" width="13.81640625" style="481" bestFit="1" customWidth="1"/>
    <col min="15" max="15" width="14.453125" style="481" bestFit="1" customWidth="1"/>
    <col min="16" max="17" width="14.81640625" style="481" bestFit="1" customWidth="1"/>
    <col min="18" max="18" width="22.26953125" style="481" customWidth="1"/>
    <col min="19" max="19" width="21" style="481" customWidth="1"/>
    <col min="20" max="20" width="16.81640625" style="481" bestFit="1" customWidth="1"/>
    <col min="21" max="21" width="16.453125" style="481" bestFit="1" customWidth="1"/>
    <col min="22" max="22" width="21.81640625" style="481" customWidth="1"/>
    <col min="23" max="23" width="15.26953125" style="481" bestFit="1" customWidth="1"/>
    <col min="24" max="24" width="34.81640625" style="481" customWidth="1"/>
    <col min="25" max="25" width="19.26953125" style="481" customWidth="1"/>
    <col min="26" max="26" width="22.54296875" style="481" customWidth="1"/>
    <col min="27" max="16384" width="11.453125" style="481"/>
  </cols>
  <sheetData>
    <row r="1" spans="1:18" ht="48" thickBot="1" x14ac:dyDescent="0.4">
      <c r="A1" s="221"/>
      <c r="B1" s="498" t="s">
        <v>42</v>
      </c>
      <c r="C1" s="499"/>
      <c r="D1" s="499"/>
      <c r="E1" s="499"/>
      <c r="G1" s="476"/>
      <c r="I1" s="476"/>
      <c r="J1" s="476"/>
      <c r="L1" s="476"/>
      <c r="M1" s="476"/>
    </row>
    <row r="2" spans="1:18" ht="21.75" customHeight="1" x14ac:dyDescent="0.35">
      <c r="C2" s="478" t="str">
        <f>IF(Daten!$AE$4=0,"Kontostand Sparkasse am 31.12."&amp;Startmenü!$F$1-1,"Kontostand Sparkasse am "&amp;TEXT(DATE(Startmenü!$F$1,Daten!$AE$4,1),"TT.MM.JJJJ"))</f>
        <v>Kontostand Sparkasse am 31.12.2023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88"/>
    </row>
    <row r="3" spans="1:18" ht="21.75" customHeight="1" thickBot="1" x14ac:dyDescent="0.4">
      <c r="C3" s="479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8251.010000000002</v>
      </c>
      <c r="M3" s="488"/>
    </row>
    <row r="4" spans="1:18" ht="7" customHeight="1" x14ac:dyDescent="0.35">
      <c r="M4" s="481"/>
    </row>
    <row r="5" spans="1:18" ht="7" customHeight="1" x14ac:dyDescent="0.35">
      <c r="M5" s="481"/>
    </row>
    <row r="6" spans="1:18" ht="50.25" customHeight="1" x14ac:dyDescent="0.35">
      <c r="C6" s="500" t="s">
        <v>41</v>
      </c>
      <c r="D6" s="500"/>
      <c r="E6" s="500"/>
      <c r="G6" s="476"/>
      <c r="M6" s="481"/>
      <c r="R6" s="258" t="str">
        <f>C25</f>
        <v>Auszug: ganzes Jahr 2024</v>
      </c>
    </row>
    <row r="7" spans="1:18" ht="10.5" customHeight="1" x14ac:dyDescent="0.35">
      <c r="M7" s="481"/>
    </row>
    <row r="8" spans="1:18" ht="15" customHeight="1" x14ac:dyDescent="0.35">
      <c r="B8" s="501" t="s">
        <v>24</v>
      </c>
      <c r="C8" s="12" t="s">
        <v>40</v>
      </c>
      <c r="D8" s="12"/>
      <c r="E8" s="234">
        <f>IF(SUMIFS(M28:M5000,G28:G5000,TRUE)=0,"",SUMIFS(M28:M5000,G28:G5000,TRUE))</f>
        <v>150</v>
      </c>
      <c r="M8" s="481"/>
    </row>
    <row r="9" spans="1:18" x14ac:dyDescent="0.35">
      <c r="B9" s="501"/>
      <c r="C9" s="13" t="s">
        <v>39</v>
      </c>
      <c r="D9" s="13"/>
      <c r="E9" s="235" t="str">
        <f>IF(SUMIFS(N28:N5000,G28:G5000,TRUE)=0,"",SUMIFS(N28:N5000,G28:G5000,TRUE))</f>
        <v/>
      </c>
      <c r="M9" s="481"/>
      <c r="P9" s="284"/>
    </row>
    <row r="10" spans="1:18" x14ac:dyDescent="0.35">
      <c r="B10" s="501"/>
      <c r="C10" s="12" t="s">
        <v>38</v>
      </c>
      <c r="D10" s="12"/>
      <c r="E10" s="234" t="str">
        <f>IF(SUMIFS(O28:O5000,G28:G5000,TRUE)=0,"",SUMIFS(O28:O5000,G28:G5000,TRUE))</f>
        <v/>
      </c>
      <c r="M10" s="481"/>
      <c r="P10" s="284"/>
    </row>
    <row r="11" spans="1:18" x14ac:dyDescent="0.35">
      <c r="B11" s="501"/>
      <c r="C11" s="13" t="s">
        <v>37</v>
      </c>
      <c r="D11" s="13"/>
      <c r="E11" s="235" t="str">
        <f>IF(SUMIFS(P28:P5000,G28:G5000,TRUE)=0,"",SUMIFS(P28:P5000,G28:G5000,TRUE))</f>
        <v/>
      </c>
      <c r="M11" s="481"/>
    </row>
    <row r="12" spans="1:18" x14ac:dyDescent="0.35">
      <c r="B12" s="501"/>
      <c r="C12" s="12" t="s">
        <v>36</v>
      </c>
      <c r="D12" s="12"/>
      <c r="E12" s="234" t="str">
        <f>IF(SUMIFS(Q28:Q5000,G28:G5000,TRUE)=0,"",SUMIFS(Q28:Q5000,G28:G5000,TRUE))</f>
        <v/>
      </c>
      <c r="M12" s="481"/>
      <c r="P12" s="284"/>
    </row>
    <row r="13" spans="1:18" x14ac:dyDescent="0.35">
      <c r="B13" s="501"/>
      <c r="C13" s="13" t="s">
        <v>32</v>
      </c>
      <c r="D13" s="13"/>
      <c r="E13" s="235" t="str">
        <f>IF(SUMIFS(R28:R5000,G28:G5000,TRUE)=0,"",SUMIFS(R28:R5000,G28:G5000,TRUE))</f>
        <v/>
      </c>
      <c r="M13" s="481"/>
      <c r="P13" s="284"/>
    </row>
    <row r="14" spans="1:18" ht="15" thickBot="1" x14ac:dyDescent="0.4">
      <c r="B14" s="501"/>
      <c r="C14" s="12" t="s">
        <v>35</v>
      </c>
      <c r="D14" s="12"/>
      <c r="E14" s="234">
        <f>IF(SUMIFS(S28:S5000,G28:G5000,TRUE)=0,"",SUMIFS(S28:S5000,G28:G5000,TRUE))</f>
        <v>304.86</v>
      </c>
      <c r="M14" s="481"/>
      <c r="P14" s="284"/>
    </row>
    <row r="15" spans="1:18" ht="19.5" thickTop="1" thickBot="1" x14ac:dyDescent="0.4">
      <c r="B15" s="502"/>
      <c r="C15" s="11" t="s">
        <v>28</v>
      </c>
      <c r="D15" s="11"/>
      <c r="E15" s="236">
        <f>SUM(E8:E14)</f>
        <v>454.86</v>
      </c>
      <c r="M15" s="481"/>
    </row>
    <row r="16" spans="1:18" ht="15" customHeight="1" x14ac:dyDescent="0.35">
      <c r="B16" s="503" t="s">
        <v>23</v>
      </c>
      <c r="C16" s="10" t="s">
        <v>34</v>
      </c>
      <c r="D16" s="10"/>
      <c r="E16" s="8">
        <f>IF(SUMIFS(T28:T5000,G28:G5000,TRUE)=0,"",SUMIFS(T28:T5000,G28:G5000,TRUE))</f>
        <v>-890.71</v>
      </c>
      <c r="M16" s="481"/>
    </row>
    <row r="17" spans="1:26" x14ac:dyDescent="0.35">
      <c r="B17" s="504"/>
      <c r="C17" s="5" t="s">
        <v>33</v>
      </c>
      <c r="D17" s="5"/>
      <c r="E17" s="3" t="str">
        <f>IF(SUMIFS(U28:U5000,G28:G5000,TRUE)=0,"",SUMIFS(U28:U5000,G28:G5000,TRUE))</f>
        <v/>
      </c>
      <c r="M17" s="481"/>
    </row>
    <row r="18" spans="1:26" x14ac:dyDescent="0.35">
      <c r="B18" s="504"/>
      <c r="C18" s="1" t="s">
        <v>32</v>
      </c>
      <c r="D18" s="1"/>
      <c r="E18" s="6" t="str">
        <f>IF(SUMIFS(V28:V5000,G28:G5000,TRUE)=0,"",SUMIFS(V28:V5000,G28:G5000,TRUE))</f>
        <v/>
      </c>
      <c r="M18" s="481"/>
    </row>
    <row r="19" spans="1:26" x14ac:dyDescent="0.35">
      <c r="B19" s="504"/>
      <c r="C19" s="5" t="s">
        <v>31</v>
      </c>
      <c r="D19" s="5"/>
      <c r="E19" s="3" t="str">
        <f>IF(SUMIFS(W28:W5000,G28:G5000,TRUE)=0,"",SUMIFS(W28:W5000,G28:G5000,TRUE))</f>
        <v/>
      </c>
      <c r="M19" s="481"/>
    </row>
    <row r="20" spans="1:26" x14ac:dyDescent="0.35">
      <c r="B20" s="504"/>
      <c r="C20" s="1" t="s">
        <v>30</v>
      </c>
      <c r="D20" s="1"/>
      <c r="E20" s="6" t="str">
        <f>IF(SUMIFS(X28:X5000,G28:G5000,TRUE)=0,"",SUMIFS(X28:X5000,G28:G5000,TRUE))</f>
        <v/>
      </c>
      <c r="M20" s="481"/>
    </row>
    <row r="21" spans="1:26" x14ac:dyDescent="0.35">
      <c r="B21" s="504"/>
      <c r="C21" s="5" t="s">
        <v>29</v>
      </c>
      <c r="D21" s="5"/>
      <c r="E21" s="3" t="str">
        <f>IF(SUMIFS(Y28:Y5000,G28:G5000,TRUE)=0,"",SUMIFS(Y28:Y5000,G28:G5000,TRUE))</f>
        <v/>
      </c>
      <c r="M21" s="481"/>
    </row>
    <row r="22" spans="1:26" ht="18.5" x14ac:dyDescent="0.35">
      <c r="B22" s="504"/>
      <c r="C22" s="2" t="s">
        <v>28</v>
      </c>
      <c r="D22" s="223"/>
      <c r="E22" s="237">
        <f>SUM(E16:E21)</f>
        <v>-890.71</v>
      </c>
      <c r="M22" s="481"/>
    </row>
    <row r="23" spans="1:26" x14ac:dyDescent="0.35">
      <c r="B23" s="504"/>
      <c r="C23" s="1" t="s">
        <v>27</v>
      </c>
      <c r="D23" s="1"/>
      <c r="E23" s="6" t="str">
        <f>IF(SUMIFS(Z28:Z5000,G28:G5000,TRUE)=0,"",SUMIFS(Z28:Z5000,G28:G5000,TRUE))</f>
        <v/>
      </c>
      <c r="M23" s="481"/>
    </row>
    <row r="24" spans="1:26" x14ac:dyDescent="0.35">
      <c r="M24" s="481"/>
    </row>
    <row r="25" spans="1:26" ht="26" x14ac:dyDescent="0.35">
      <c r="A25" s="505" t="s">
        <v>26</v>
      </c>
      <c r="B25" s="506"/>
      <c r="C25" s="507" t="s">
        <v>739</v>
      </c>
      <c r="D25" s="508"/>
      <c r="E25" s="508"/>
      <c r="F25" s="490"/>
      <c r="G25" s="490"/>
      <c r="H25" s="490"/>
      <c r="I25" s="490"/>
      <c r="J25" s="490"/>
      <c r="K25" s="490"/>
      <c r="L25" s="491"/>
      <c r="M25" s="489" t="str">
        <f>C6</f>
        <v>Konto Sparkasse</v>
      </c>
      <c r="N25" s="490"/>
      <c r="O25" s="490"/>
      <c r="P25" s="490"/>
      <c r="Q25" s="490"/>
      <c r="R25" s="490"/>
      <c r="S25" s="490"/>
      <c r="T25" s="490"/>
      <c r="U25" s="490"/>
      <c r="V25" s="490"/>
      <c r="W25" s="490"/>
      <c r="X25" s="490"/>
      <c r="Y25" s="490"/>
      <c r="Z25" s="491"/>
    </row>
    <row r="26" spans="1:26" s="285" customFormat="1" ht="21" x14ac:dyDescent="0.35">
      <c r="A26" s="492" t="s">
        <v>25</v>
      </c>
      <c r="B26" s="493"/>
      <c r="C26" s="494"/>
      <c r="D26" s="494"/>
      <c r="E26" s="495"/>
      <c r="F26" s="224"/>
      <c r="G26" s="475"/>
      <c r="H26" s="224"/>
      <c r="I26" s="475"/>
      <c r="J26" s="475"/>
      <c r="K26" s="224"/>
      <c r="L26" s="475"/>
      <c r="M26" s="496" t="s">
        <v>24</v>
      </c>
      <c r="N26" s="490"/>
      <c r="O26" s="490"/>
      <c r="P26" s="490"/>
      <c r="Q26" s="490"/>
      <c r="R26" s="490"/>
      <c r="S26" s="490"/>
      <c r="T26" s="497" t="s">
        <v>23</v>
      </c>
      <c r="U26" s="490"/>
      <c r="V26" s="490"/>
      <c r="W26" s="490"/>
      <c r="X26" s="490"/>
      <c r="Y26" s="490"/>
      <c r="Z26" s="491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474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  <row r="28" spans="1:26" x14ac:dyDescent="0.35">
      <c r="A28" s="438">
        <v>45293</v>
      </c>
      <c r="B28" s="444">
        <v>15</v>
      </c>
      <c r="C28" s="439" t="s">
        <v>537</v>
      </c>
      <c r="D28" s="439" t="s">
        <v>538</v>
      </c>
      <c r="E28" s="439" t="s">
        <v>652</v>
      </c>
      <c r="F28" s="439" t="s">
        <v>689</v>
      </c>
      <c r="G28" s="440" t="b">
        <f>IF(A28="","",IF(Daten!$AE$4=0,TRUE,MONTH(A28)=Daten!$AE$4))</f>
        <v>1</v>
      </c>
      <c r="H28" s="453" t="s">
        <v>282</v>
      </c>
      <c r="I28" s="454" t="s">
        <v>58</v>
      </c>
      <c r="J28" s="455"/>
      <c r="K28" s="439" t="s">
        <v>650</v>
      </c>
      <c r="L28" s="457"/>
      <c r="M28" s="446">
        <v>15</v>
      </c>
      <c r="N28" s="446"/>
      <c r="O28" s="446"/>
      <c r="P28" s="446"/>
      <c r="Q28" s="446"/>
      <c r="R28" s="446"/>
      <c r="S28" s="446"/>
      <c r="T28" s="446"/>
      <c r="U28" s="446"/>
      <c r="V28" s="446"/>
      <c r="W28" s="446"/>
      <c r="X28" s="446"/>
      <c r="Y28" s="446"/>
      <c r="Z28" s="446"/>
    </row>
    <row r="29" spans="1:26" x14ac:dyDescent="0.35">
      <c r="A29" s="441">
        <v>45293</v>
      </c>
      <c r="B29" s="445">
        <v>15</v>
      </c>
      <c r="C29" s="442" t="s">
        <v>568</v>
      </c>
      <c r="D29" s="442" t="s">
        <v>569</v>
      </c>
      <c r="E29" s="442" t="s">
        <v>672</v>
      </c>
      <c r="F29" s="442" t="s">
        <v>689</v>
      </c>
      <c r="G29" s="443" t="b">
        <f>IF(A29="","",IF(Daten!$AE$4=0,TRUE,MONTH(A29)=Daten!$AE$4))</f>
        <v>1</v>
      </c>
      <c r="H29" s="453" t="s">
        <v>282</v>
      </c>
      <c r="I29" s="454" t="s">
        <v>58</v>
      </c>
      <c r="J29" s="456"/>
      <c r="K29" s="442" t="s">
        <v>650</v>
      </c>
      <c r="L29" s="458"/>
      <c r="M29" s="447">
        <v>15</v>
      </c>
      <c r="N29" s="447"/>
      <c r="O29" s="447"/>
      <c r="P29" s="447"/>
      <c r="Q29" s="447"/>
      <c r="R29" s="447"/>
      <c r="S29" s="447"/>
      <c r="T29" s="447"/>
      <c r="U29" s="447"/>
      <c r="V29" s="447"/>
      <c r="W29" s="447"/>
      <c r="X29" s="447"/>
      <c r="Y29" s="447"/>
      <c r="Z29" s="447"/>
    </row>
    <row r="30" spans="1:26" x14ac:dyDescent="0.35">
      <c r="A30" s="438">
        <v>45293</v>
      </c>
      <c r="B30" s="444">
        <v>15</v>
      </c>
      <c r="C30" s="439" t="s">
        <v>568</v>
      </c>
      <c r="D30" s="439" t="s">
        <v>569</v>
      </c>
      <c r="E30" s="439" t="s">
        <v>651</v>
      </c>
      <c r="F30" s="439" t="s">
        <v>689</v>
      </c>
      <c r="G30" s="440" t="b">
        <f>IF(A30="","",IF(Daten!$AE$4=0,TRUE,MONTH(A30)=Daten!$AE$4))</f>
        <v>1</v>
      </c>
      <c r="H30" s="453" t="s">
        <v>387</v>
      </c>
      <c r="I30" s="454" t="s">
        <v>58</v>
      </c>
      <c r="J30" s="455"/>
      <c r="K30" s="439" t="s">
        <v>650</v>
      </c>
      <c r="L30" s="457"/>
      <c r="M30" s="446"/>
      <c r="N30" s="446"/>
      <c r="O30" s="446"/>
      <c r="P30" s="446"/>
      <c r="Q30" s="446"/>
      <c r="R30" s="446"/>
      <c r="S30" s="446">
        <v>15</v>
      </c>
      <c r="T30" s="446"/>
      <c r="U30" s="446"/>
      <c r="V30" s="446"/>
      <c r="W30" s="446"/>
      <c r="X30" s="446"/>
      <c r="Y30" s="446"/>
      <c r="Z30" s="446"/>
    </row>
    <row r="31" spans="1:26" x14ac:dyDescent="0.35">
      <c r="A31" s="441">
        <v>45293</v>
      </c>
      <c r="B31" s="445">
        <v>15</v>
      </c>
      <c r="C31" s="442" t="s">
        <v>44</v>
      </c>
      <c r="D31" s="442" t="s">
        <v>541</v>
      </c>
      <c r="E31" s="442" t="s">
        <v>356</v>
      </c>
      <c r="F31" s="442" t="s">
        <v>689</v>
      </c>
      <c r="G31" s="443" t="b">
        <f>IF(A31="","",IF(Daten!$AE$4=0,TRUE,MONTH(A31)=Daten!$AE$4))</f>
        <v>1</v>
      </c>
      <c r="H31" s="453" t="s">
        <v>387</v>
      </c>
      <c r="I31" s="454" t="s">
        <v>58</v>
      </c>
      <c r="J31" s="456"/>
      <c r="K31" s="442" t="s">
        <v>650</v>
      </c>
      <c r="L31" s="458"/>
      <c r="M31" s="447"/>
      <c r="N31" s="447"/>
      <c r="O31" s="447"/>
      <c r="P31" s="447"/>
      <c r="Q31" s="447"/>
      <c r="R31" s="447"/>
      <c r="S31" s="447">
        <v>15</v>
      </c>
      <c r="T31" s="447"/>
      <c r="U31" s="447"/>
      <c r="V31" s="447"/>
      <c r="W31" s="447"/>
      <c r="X31" s="447"/>
      <c r="Y31" s="447"/>
      <c r="Z31" s="447"/>
    </row>
    <row r="32" spans="1:26" x14ac:dyDescent="0.35">
      <c r="A32" s="438">
        <v>45293</v>
      </c>
      <c r="B32" s="444">
        <v>15</v>
      </c>
      <c r="C32" s="439" t="s">
        <v>572</v>
      </c>
      <c r="D32" s="439" t="s">
        <v>542</v>
      </c>
      <c r="E32" s="439" t="s">
        <v>665</v>
      </c>
      <c r="F32" s="439" t="s">
        <v>689</v>
      </c>
      <c r="G32" s="440" t="b">
        <f>IF(A32="","",IF(Daten!$AE$4=0,TRUE,MONTH(A32)=Daten!$AE$4))</f>
        <v>1</v>
      </c>
      <c r="H32" s="453" t="s">
        <v>387</v>
      </c>
      <c r="I32" s="454" t="s">
        <v>58</v>
      </c>
      <c r="J32" s="455"/>
      <c r="K32" s="439" t="s">
        <v>650</v>
      </c>
      <c r="L32" s="457"/>
      <c r="M32" s="446"/>
      <c r="N32" s="446"/>
      <c r="O32" s="446"/>
      <c r="P32" s="446"/>
      <c r="Q32" s="446"/>
      <c r="R32" s="446"/>
      <c r="S32" s="446">
        <v>15</v>
      </c>
      <c r="T32" s="446"/>
      <c r="U32" s="446"/>
      <c r="V32" s="446"/>
      <c r="W32" s="446"/>
      <c r="X32" s="446"/>
      <c r="Y32" s="446"/>
      <c r="Z32" s="446"/>
    </row>
    <row r="33" spans="1:26" x14ac:dyDescent="0.35">
      <c r="A33" s="441">
        <v>45293</v>
      </c>
      <c r="B33" s="445">
        <v>7.5</v>
      </c>
      <c r="C33" s="442" t="s">
        <v>46</v>
      </c>
      <c r="D33" s="442" t="s">
        <v>544</v>
      </c>
      <c r="E33" s="442" t="s">
        <v>662</v>
      </c>
      <c r="F33" s="442" t="s">
        <v>689</v>
      </c>
      <c r="G33" s="443" t="b">
        <f>IF(A33="","",IF(Daten!$AE$4=0,TRUE,MONTH(A33)=Daten!$AE$4))</f>
        <v>1</v>
      </c>
      <c r="H33" s="453" t="s">
        <v>282</v>
      </c>
      <c r="I33" s="454" t="s">
        <v>58</v>
      </c>
      <c r="J33" s="456"/>
      <c r="K33" s="442" t="s">
        <v>650</v>
      </c>
      <c r="L33" s="458"/>
      <c r="M33" s="447">
        <v>7.5</v>
      </c>
      <c r="N33" s="447"/>
      <c r="O33" s="447"/>
      <c r="P33" s="447"/>
      <c r="Q33" s="447"/>
      <c r="R33" s="447"/>
      <c r="S33" s="447"/>
      <c r="T33" s="447"/>
      <c r="U33" s="447"/>
      <c r="V33" s="447"/>
      <c r="W33" s="447"/>
      <c r="X33" s="447"/>
      <c r="Y33" s="447"/>
      <c r="Z33" s="447"/>
    </row>
    <row r="34" spans="1:26" x14ac:dyDescent="0.35">
      <c r="A34" s="438">
        <v>45293</v>
      </c>
      <c r="B34" s="444">
        <v>15</v>
      </c>
      <c r="C34" s="439" t="s">
        <v>45</v>
      </c>
      <c r="D34" s="439" t="s">
        <v>551</v>
      </c>
      <c r="E34" s="439" t="s">
        <v>664</v>
      </c>
      <c r="F34" s="439" t="s">
        <v>689</v>
      </c>
      <c r="G34" s="440" t="b">
        <f>IF(A34="","",IF(Daten!$AE$4=0,TRUE,MONTH(A34)=Daten!$AE$4))</f>
        <v>1</v>
      </c>
      <c r="H34" s="453" t="s">
        <v>387</v>
      </c>
      <c r="I34" s="454" t="s">
        <v>58</v>
      </c>
      <c r="J34" s="455"/>
      <c r="K34" s="439" t="s">
        <v>650</v>
      </c>
      <c r="L34" s="457"/>
      <c r="M34" s="446"/>
      <c r="N34" s="446"/>
      <c r="O34" s="446"/>
      <c r="P34" s="446"/>
      <c r="Q34" s="446"/>
      <c r="R34" s="446"/>
      <c r="S34" s="446">
        <v>15</v>
      </c>
      <c r="T34" s="446"/>
      <c r="U34" s="446"/>
      <c r="V34" s="446"/>
      <c r="W34" s="446"/>
      <c r="X34" s="446"/>
      <c r="Y34" s="446"/>
      <c r="Z34" s="446"/>
    </row>
    <row r="35" spans="1:26" x14ac:dyDescent="0.35">
      <c r="A35" s="441">
        <v>45293</v>
      </c>
      <c r="B35" s="445">
        <v>15</v>
      </c>
      <c r="C35" s="442" t="s">
        <v>46</v>
      </c>
      <c r="D35" s="442" t="s">
        <v>544</v>
      </c>
      <c r="E35" s="442" t="s">
        <v>649</v>
      </c>
      <c r="F35" s="442" t="s">
        <v>689</v>
      </c>
      <c r="G35" s="443" t="b">
        <f>IF(A35="","",IF(Daten!$AE$4=0,TRUE,MONTH(A35)=Daten!$AE$4))</f>
        <v>1</v>
      </c>
      <c r="H35" s="453" t="s">
        <v>387</v>
      </c>
      <c r="I35" s="454" t="s">
        <v>58</v>
      </c>
      <c r="J35" s="456"/>
      <c r="K35" s="442" t="s">
        <v>650</v>
      </c>
      <c r="L35" s="458"/>
      <c r="M35" s="447"/>
      <c r="N35" s="447"/>
      <c r="O35" s="447"/>
      <c r="P35" s="447"/>
      <c r="Q35" s="447"/>
      <c r="R35" s="447"/>
      <c r="S35" s="447">
        <v>15</v>
      </c>
      <c r="T35" s="447"/>
      <c r="U35" s="447"/>
      <c r="V35" s="447"/>
      <c r="W35" s="447"/>
      <c r="X35" s="447"/>
      <c r="Y35" s="447"/>
      <c r="Z35" s="447"/>
    </row>
    <row r="36" spans="1:26" x14ac:dyDescent="0.35">
      <c r="A36" s="438">
        <v>45293</v>
      </c>
      <c r="B36" s="444">
        <v>7.5</v>
      </c>
      <c r="C36" s="439" t="s">
        <v>45</v>
      </c>
      <c r="D36" s="439" t="s">
        <v>551</v>
      </c>
      <c r="E36" s="439" t="s">
        <v>358</v>
      </c>
      <c r="F36" s="439" t="s">
        <v>689</v>
      </c>
      <c r="G36" s="440" t="b">
        <f>IF(A36="","",IF(Daten!$AE$4=0,TRUE,MONTH(A36)=Daten!$AE$4))</f>
        <v>1</v>
      </c>
      <c r="H36" s="453" t="s">
        <v>282</v>
      </c>
      <c r="I36" s="454" t="s">
        <v>58</v>
      </c>
      <c r="J36" s="455"/>
      <c r="K36" s="439" t="s">
        <v>650</v>
      </c>
      <c r="L36" s="457"/>
      <c r="M36" s="446">
        <v>7.5</v>
      </c>
      <c r="N36" s="446"/>
      <c r="O36" s="446"/>
      <c r="P36" s="446"/>
      <c r="Q36" s="446"/>
      <c r="R36" s="446"/>
      <c r="S36" s="446"/>
      <c r="T36" s="446"/>
      <c r="U36" s="446"/>
      <c r="V36" s="446"/>
      <c r="W36" s="446"/>
      <c r="X36" s="446"/>
      <c r="Y36" s="446"/>
      <c r="Z36" s="446"/>
    </row>
    <row r="37" spans="1:26" x14ac:dyDescent="0.35">
      <c r="A37" s="441">
        <v>45293</v>
      </c>
      <c r="B37" s="445">
        <v>15</v>
      </c>
      <c r="C37" s="442" t="s">
        <v>545</v>
      </c>
      <c r="D37" s="442" t="s">
        <v>546</v>
      </c>
      <c r="E37" s="442" t="s">
        <v>663</v>
      </c>
      <c r="F37" s="442" t="s">
        <v>689</v>
      </c>
      <c r="G37" s="443" t="b">
        <f>IF(A37="","",IF(Daten!$AE$4=0,TRUE,MONTH(A37)=Daten!$AE$4))</f>
        <v>1</v>
      </c>
      <c r="H37" s="453" t="s">
        <v>282</v>
      </c>
      <c r="I37" s="454" t="s">
        <v>58</v>
      </c>
      <c r="J37" s="456"/>
      <c r="K37" s="442" t="s">
        <v>650</v>
      </c>
      <c r="L37" s="458"/>
      <c r="M37" s="447">
        <v>15</v>
      </c>
      <c r="N37" s="447"/>
      <c r="O37" s="447"/>
      <c r="P37" s="447"/>
      <c r="Q37" s="447"/>
      <c r="R37" s="447"/>
      <c r="S37" s="447"/>
      <c r="T37" s="447"/>
      <c r="U37" s="447"/>
      <c r="V37" s="447"/>
      <c r="W37" s="447"/>
      <c r="X37" s="447"/>
      <c r="Y37" s="447"/>
      <c r="Z37" s="447"/>
    </row>
    <row r="38" spans="1:26" x14ac:dyDescent="0.35">
      <c r="A38" s="438">
        <v>45293</v>
      </c>
      <c r="B38" s="444">
        <v>15</v>
      </c>
      <c r="C38" s="439" t="s">
        <v>547</v>
      </c>
      <c r="D38" s="439" t="s">
        <v>548</v>
      </c>
      <c r="E38" s="439" t="s">
        <v>357</v>
      </c>
      <c r="F38" s="439" t="s">
        <v>689</v>
      </c>
      <c r="G38" s="440" t="b">
        <f>IF(A38="","",IF(Daten!$AE$4=0,TRUE,MONTH(A38)=Daten!$AE$4))</f>
        <v>1</v>
      </c>
      <c r="H38" s="453" t="s">
        <v>387</v>
      </c>
      <c r="I38" s="454" t="s">
        <v>58</v>
      </c>
      <c r="J38" s="455"/>
      <c r="K38" s="439" t="s">
        <v>650</v>
      </c>
      <c r="L38" s="457"/>
      <c r="M38" s="446"/>
      <c r="N38" s="446"/>
      <c r="O38" s="446"/>
      <c r="P38" s="446"/>
      <c r="Q38" s="446"/>
      <c r="R38" s="446"/>
      <c r="S38" s="446">
        <v>15</v>
      </c>
      <c r="T38" s="446"/>
      <c r="U38" s="446"/>
      <c r="V38" s="446"/>
      <c r="W38" s="446"/>
      <c r="X38" s="446"/>
      <c r="Y38" s="446"/>
      <c r="Z38" s="446"/>
    </row>
    <row r="39" spans="1:26" x14ac:dyDescent="0.35">
      <c r="A39" s="441">
        <v>45293</v>
      </c>
      <c r="B39" s="445">
        <v>15</v>
      </c>
      <c r="C39" s="442" t="s">
        <v>554</v>
      </c>
      <c r="D39" s="442" t="s">
        <v>555</v>
      </c>
      <c r="E39" s="442" t="s">
        <v>668</v>
      </c>
      <c r="F39" s="442" t="s">
        <v>689</v>
      </c>
      <c r="G39" s="443" t="b">
        <f>IF(A39="","",IF(Daten!$AE$4=0,TRUE,MONTH(A39)=Daten!$AE$4))</f>
        <v>1</v>
      </c>
      <c r="H39" s="453" t="s">
        <v>282</v>
      </c>
      <c r="I39" s="454" t="s">
        <v>58</v>
      </c>
      <c r="J39" s="456"/>
      <c r="K39" s="442" t="s">
        <v>650</v>
      </c>
      <c r="L39" s="458"/>
      <c r="M39" s="447">
        <v>15</v>
      </c>
      <c r="N39" s="447"/>
      <c r="O39" s="447"/>
      <c r="P39" s="447"/>
      <c r="Q39" s="447"/>
      <c r="R39" s="447"/>
      <c r="S39" s="447"/>
      <c r="T39" s="447"/>
      <c r="U39" s="447"/>
      <c r="V39" s="447"/>
      <c r="W39" s="447"/>
      <c r="X39" s="447"/>
      <c r="Y39" s="447"/>
      <c r="Z39" s="447"/>
    </row>
    <row r="40" spans="1:26" x14ac:dyDescent="0.35">
      <c r="A40" s="438">
        <v>45293</v>
      </c>
      <c r="B40" s="444">
        <v>15</v>
      </c>
      <c r="C40" s="439" t="s">
        <v>556</v>
      </c>
      <c r="D40" s="439" t="s">
        <v>557</v>
      </c>
      <c r="E40" s="439" t="s">
        <v>667</v>
      </c>
      <c r="F40" s="439" t="s">
        <v>689</v>
      </c>
      <c r="G40" s="440" t="b">
        <f>IF(A40="","",IF(Daten!$AE$4=0,TRUE,MONTH(A40)=Daten!$AE$4))</f>
        <v>1</v>
      </c>
      <c r="H40" s="453" t="s">
        <v>282</v>
      </c>
      <c r="I40" s="454" t="s">
        <v>58</v>
      </c>
      <c r="J40" s="455"/>
      <c r="K40" s="439" t="s">
        <v>650</v>
      </c>
      <c r="L40" s="457"/>
      <c r="M40" s="446">
        <v>15</v>
      </c>
      <c r="N40" s="446"/>
      <c r="O40" s="446"/>
      <c r="P40" s="446"/>
      <c r="Q40" s="446"/>
      <c r="R40" s="446"/>
      <c r="S40" s="446"/>
      <c r="T40" s="446"/>
      <c r="U40" s="446"/>
      <c r="V40" s="446"/>
      <c r="W40" s="446"/>
      <c r="X40" s="446"/>
      <c r="Y40" s="446"/>
      <c r="Z40" s="446"/>
    </row>
    <row r="41" spans="1:26" x14ac:dyDescent="0.35">
      <c r="A41" s="441">
        <v>45293</v>
      </c>
      <c r="B41" s="445">
        <v>15</v>
      </c>
      <c r="C41" s="442" t="s">
        <v>554</v>
      </c>
      <c r="D41" s="442" t="s">
        <v>555</v>
      </c>
      <c r="E41" s="442" t="s">
        <v>666</v>
      </c>
      <c r="F41" s="442" t="s">
        <v>689</v>
      </c>
      <c r="G41" s="443" t="b">
        <f>IF(A41="","",IF(Daten!$AE$4=0,TRUE,MONTH(A41)=Daten!$AE$4))</f>
        <v>1</v>
      </c>
      <c r="H41" s="453" t="s">
        <v>387</v>
      </c>
      <c r="I41" s="454" t="s">
        <v>58</v>
      </c>
      <c r="J41" s="456"/>
      <c r="K41" s="442" t="s">
        <v>650</v>
      </c>
      <c r="L41" s="458"/>
      <c r="M41" s="447"/>
      <c r="N41" s="447"/>
      <c r="O41" s="447"/>
      <c r="P41" s="447"/>
      <c r="Q41" s="447"/>
      <c r="R41" s="447"/>
      <c r="S41" s="447">
        <v>15</v>
      </c>
      <c r="T41" s="447"/>
      <c r="U41" s="447"/>
      <c r="V41" s="447"/>
      <c r="W41" s="447"/>
      <c r="X41" s="447"/>
      <c r="Y41" s="447"/>
      <c r="Z41" s="447"/>
    </row>
    <row r="42" spans="1:26" ht="29" x14ac:dyDescent="0.35">
      <c r="A42" s="438">
        <v>45294</v>
      </c>
      <c r="B42" s="444">
        <v>7.5</v>
      </c>
      <c r="C42" s="439" t="s">
        <v>703</v>
      </c>
      <c r="D42" s="439" t="s">
        <v>701</v>
      </c>
      <c r="E42" s="439" t="s">
        <v>708</v>
      </c>
      <c r="F42" s="439" t="s">
        <v>689</v>
      </c>
      <c r="G42" s="440" t="b">
        <f>IF(A42="","",IF(Daten!$AE$4=0,TRUE,MONTH(A42)=Daten!$AE$4))</f>
        <v>1</v>
      </c>
      <c r="H42" s="469" t="s">
        <v>717</v>
      </c>
      <c r="I42" s="454" t="s">
        <v>58</v>
      </c>
      <c r="J42" s="455"/>
      <c r="K42" s="439" t="s">
        <v>650</v>
      </c>
      <c r="L42" s="457" t="s">
        <v>738</v>
      </c>
      <c r="M42" s="446"/>
      <c r="N42" s="446"/>
      <c r="O42" s="446"/>
      <c r="P42" s="446"/>
      <c r="Q42" s="446"/>
      <c r="R42" s="446"/>
      <c r="S42" s="446"/>
      <c r="T42" s="446"/>
      <c r="U42" s="446"/>
      <c r="V42" s="446"/>
      <c r="W42" s="446"/>
      <c r="X42" s="446"/>
      <c r="Y42" s="446"/>
      <c r="Z42" s="446"/>
    </row>
    <row r="43" spans="1:26" x14ac:dyDescent="0.35">
      <c r="A43" s="441">
        <v>45294</v>
      </c>
      <c r="B43" s="445">
        <v>7.5</v>
      </c>
      <c r="C43" s="442" t="s">
        <v>654</v>
      </c>
      <c r="D43" s="442" t="s">
        <v>543</v>
      </c>
      <c r="E43" s="442" t="s">
        <v>661</v>
      </c>
      <c r="F43" s="442" t="s">
        <v>689</v>
      </c>
      <c r="G43" s="443" t="b">
        <f>IF(A43="","",IF(Daten!$AE$4=0,TRUE,MONTH(A43)=Daten!$AE$4))</f>
        <v>1</v>
      </c>
      <c r="H43" s="453" t="s">
        <v>282</v>
      </c>
      <c r="I43" s="454" t="s">
        <v>58</v>
      </c>
      <c r="J43" s="456"/>
      <c r="K43" s="442" t="s">
        <v>650</v>
      </c>
      <c r="L43" s="458"/>
      <c r="M43" s="447">
        <v>7.5</v>
      </c>
      <c r="N43" s="447"/>
      <c r="O43" s="447"/>
      <c r="P43" s="447"/>
      <c r="Q43" s="447"/>
      <c r="R43" s="447"/>
      <c r="S43" s="447"/>
      <c r="T43" s="447"/>
      <c r="U43" s="447"/>
      <c r="V43" s="447"/>
      <c r="W43" s="447"/>
      <c r="X43" s="447"/>
      <c r="Y43" s="447"/>
      <c r="Z43" s="447"/>
    </row>
    <row r="44" spans="1:26" x14ac:dyDescent="0.35">
      <c r="A44" s="438">
        <v>45294</v>
      </c>
      <c r="B44" s="444">
        <v>7.5</v>
      </c>
      <c r="C44" s="439" t="s">
        <v>44</v>
      </c>
      <c r="D44" s="439" t="s">
        <v>541</v>
      </c>
      <c r="E44" s="439" t="s">
        <v>657</v>
      </c>
      <c r="F44" s="439" t="s">
        <v>689</v>
      </c>
      <c r="G44" s="440" t="b">
        <f>IF(A44="","",IF(Daten!$AE$4=0,TRUE,MONTH(A44)=Daten!$AE$4))</f>
        <v>1</v>
      </c>
      <c r="H44" s="453" t="s">
        <v>282</v>
      </c>
      <c r="I44" s="454" t="s">
        <v>58</v>
      </c>
      <c r="J44" s="455"/>
      <c r="K44" s="439" t="s">
        <v>650</v>
      </c>
      <c r="L44" s="457"/>
      <c r="M44" s="446">
        <v>7.5</v>
      </c>
      <c r="N44" s="446"/>
      <c r="O44" s="446"/>
      <c r="P44" s="446"/>
      <c r="Q44" s="446"/>
      <c r="R44" s="446"/>
      <c r="S44" s="446"/>
      <c r="T44" s="446"/>
      <c r="U44" s="446"/>
      <c r="V44" s="446"/>
      <c r="W44" s="446"/>
      <c r="X44" s="446"/>
      <c r="Y44" s="446"/>
      <c r="Z44" s="446"/>
    </row>
    <row r="45" spans="1:26" x14ac:dyDescent="0.35">
      <c r="A45" s="441">
        <v>45294</v>
      </c>
      <c r="B45" s="445">
        <v>15</v>
      </c>
      <c r="C45" s="442" t="s">
        <v>572</v>
      </c>
      <c r="D45" s="442" t="s">
        <v>542</v>
      </c>
      <c r="E45" s="442" t="s">
        <v>658</v>
      </c>
      <c r="F45" s="442" t="s">
        <v>689</v>
      </c>
      <c r="G45" s="443" t="b">
        <f>IF(A45="","",IF(Daten!$AE$4=0,TRUE,MONTH(A45)=Daten!$AE$4))</f>
        <v>1</v>
      </c>
      <c r="H45" s="453" t="s">
        <v>282</v>
      </c>
      <c r="I45" s="454" t="s">
        <v>58</v>
      </c>
      <c r="J45" s="456"/>
      <c r="K45" s="442" t="s">
        <v>650</v>
      </c>
      <c r="L45" s="458"/>
      <c r="M45" s="447">
        <v>15</v>
      </c>
      <c r="N45" s="447"/>
      <c r="O45" s="447"/>
      <c r="P45" s="447"/>
      <c r="Q45" s="447"/>
      <c r="R45" s="447"/>
      <c r="S45" s="447"/>
      <c r="T45" s="447"/>
      <c r="U45" s="447"/>
      <c r="V45" s="447"/>
      <c r="W45" s="447"/>
      <c r="X45" s="447"/>
      <c r="Y45" s="447"/>
      <c r="Z45" s="447"/>
    </row>
    <row r="46" spans="1:26" x14ac:dyDescent="0.35">
      <c r="A46" s="438">
        <v>45294</v>
      </c>
      <c r="B46" s="444">
        <v>15</v>
      </c>
      <c r="C46" s="439" t="s">
        <v>535</v>
      </c>
      <c r="D46" s="439" t="s">
        <v>536</v>
      </c>
      <c r="E46" s="439" t="s">
        <v>660</v>
      </c>
      <c r="F46" s="439" t="s">
        <v>689</v>
      </c>
      <c r="G46" s="440" t="b">
        <f>IF(A46="","",IF(Daten!$AE$4=0,TRUE,MONTH(A46)=Daten!$AE$4))</f>
        <v>1</v>
      </c>
      <c r="H46" s="453" t="s">
        <v>387</v>
      </c>
      <c r="I46" s="454" t="s">
        <v>58</v>
      </c>
      <c r="J46" s="455"/>
      <c r="K46" s="439" t="s">
        <v>650</v>
      </c>
      <c r="L46" s="457"/>
      <c r="M46" s="446"/>
      <c r="N46" s="446"/>
      <c r="O46" s="446"/>
      <c r="P46" s="446"/>
      <c r="Q46" s="446"/>
      <c r="R46" s="446"/>
      <c r="S46" s="446">
        <v>15</v>
      </c>
      <c r="T46" s="446"/>
      <c r="U46" s="446"/>
      <c r="V46" s="446"/>
      <c r="W46" s="446"/>
      <c r="X46" s="446"/>
      <c r="Y46" s="446"/>
      <c r="Z46" s="446"/>
    </row>
    <row r="47" spans="1:26" x14ac:dyDescent="0.35">
      <c r="A47" s="441">
        <v>45294</v>
      </c>
      <c r="B47" s="445">
        <v>15</v>
      </c>
      <c r="C47" s="442" t="s">
        <v>654</v>
      </c>
      <c r="D47" s="442" t="s">
        <v>543</v>
      </c>
      <c r="E47" s="442" t="s">
        <v>659</v>
      </c>
      <c r="F47" s="442" t="s">
        <v>689</v>
      </c>
      <c r="G47" s="443" t="b">
        <f>IF(A47="","",IF(Daten!$AE$4=0,TRUE,MONTH(A47)=Daten!$AE$4))</f>
        <v>1</v>
      </c>
      <c r="H47" s="453" t="s">
        <v>387</v>
      </c>
      <c r="I47" s="454" t="s">
        <v>58</v>
      </c>
      <c r="J47" s="456"/>
      <c r="K47" s="442" t="s">
        <v>650</v>
      </c>
      <c r="L47" s="458"/>
      <c r="M47" s="447"/>
      <c r="N47" s="447"/>
      <c r="O47" s="447"/>
      <c r="P47" s="447"/>
      <c r="Q47" s="447"/>
      <c r="R47" s="447"/>
      <c r="S47" s="447">
        <v>15</v>
      </c>
      <c r="T47" s="447"/>
      <c r="U47" s="447"/>
      <c r="V47" s="447"/>
      <c r="W47" s="447"/>
      <c r="X47" s="447"/>
      <c r="Y47" s="447"/>
      <c r="Z47" s="447"/>
    </row>
    <row r="48" spans="1:26" ht="29" x14ac:dyDescent="0.35">
      <c r="A48" s="438">
        <v>45294</v>
      </c>
      <c r="B48" s="444">
        <v>7.5</v>
      </c>
      <c r="C48" s="439" t="s">
        <v>703</v>
      </c>
      <c r="D48" s="439" t="s">
        <v>701</v>
      </c>
      <c r="E48" s="439" t="s">
        <v>709</v>
      </c>
      <c r="F48" s="439" t="s">
        <v>680</v>
      </c>
      <c r="G48" s="440" t="b">
        <f>IF(A48="","",IF(Daten!$AE$4=0,TRUE,MONTH(A48)=Daten!$AE$4))</f>
        <v>1</v>
      </c>
      <c r="H48" s="469" t="s">
        <v>717</v>
      </c>
      <c r="I48" s="454" t="s">
        <v>58</v>
      </c>
      <c r="J48" s="455"/>
      <c r="K48" s="439" t="s">
        <v>650</v>
      </c>
      <c r="L48" s="457" t="s">
        <v>738</v>
      </c>
      <c r="M48" s="446"/>
      <c r="N48" s="446"/>
      <c r="O48" s="446"/>
      <c r="P48" s="446"/>
      <c r="Q48" s="446"/>
      <c r="R48" s="446"/>
      <c r="S48" s="446"/>
      <c r="T48" s="446"/>
      <c r="U48" s="446"/>
      <c r="V48" s="446"/>
      <c r="W48" s="446"/>
      <c r="X48" s="446"/>
      <c r="Y48" s="446"/>
      <c r="Z48" s="446"/>
    </row>
    <row r="49" spans="1:26" x14ac:dyDescent="0.35">
      <c r="A49" s="441">
        <v>45296</v>
      </c>
      <c r="B49" s="445">
        <v>15</v>
      </c>
      <c r="C49" s="442" t="s">
        <v>537</v>
      </c>
      <c r="D49" s="442" t="s">
        <v>538</v>
      </c>
      <c r="E49" s="442" t="s">
        <v>656</v>
      </c>
      <c r="F49" s="442" t="s">
        <v>689</v>
      </c>
      <c r="G49" s="443" t="b">
        <f>IF(A49="","",IF(Daten!$AE$4=0,TRUE,MONTH(A49)=Daten!$AE$4))</f>
        <v>1</v>
      </c>
      <c r="H49" s="453" t="s">
        <v>387</v>
      </c>
      <c r="I49" s="454" t="s">
        <v>58</v>
      </c>
      <c r="J49" s="456"/>
      <c r="K49" s="442" t="s">
        <v>650</v>
      </c>
      <c r="L49" s="458"/>
      <c r="M49" s="447"/>
      <c r="N49" s="447"/>
      <c r="O49" s="447"/>
      <c r="P49" s="447"/>
      <c r="Q49" s="447"/>
      <c r="R49" s="447"/>
      <c r="S49" s="447">
        <v>15</v>
      </c>
      <c r="T49" s="447"/>
      <c r="U49" s="447"/>
      <c r="V49" s="447"/>
      <c r="W49" s="447"/>
      <c r="X49" s="447"/>
      <c r="Y49" s="447"/>
      <c r="Z49" s="447"/>
    </row>
    <row r="50" spans="1:26" x14ac:dyDescent="0.35">
      <c r="A50" s="438">
        <v>45296</v>
      </c>
      <c r="B50" s="444">
        <v>-830.77</v>
      </c>
      <c r="C50" s="439" t="s">
        <v>702</v>
      </c>
      <c r="D50" s="439" t="s">
        <v>540</v>
      </c>
      <c r="E50" s="439" t="s">
        <v>707</v>
      </c>
      <c r="F50" s="439" t="s">
        <v>653</v>
      </c>
      <c r="G50" s="440" t="b">
        <f>IF(A50="","",IF(Daten!$AE$4=0,TRUE,MONTH(A50)=Daten!$AE$4))</f>
        <v>1</v>
      </c>
      <c r="H50" s="453" t="s">
        <v>423</v>
      </c>
      <c r="I50" s="454" t="s">
        <v>58</v>
      </c>
      <c r="J50" s="455"/>
      <c r="K50" s="439" t="s">
        <v>650</v>
      </c>
      <c r="L50" s="457"/>
      <c r="M50" s="446"/>
      <c r="N50" s="446"/>
      <c r="O50" s="446"/>
      <c r="P50" s="446"/>
      <c r="Q50" s="446"/>
      <c r="R50" s="446"/>
      <c r="S50" s="446"/>
      <c r="T50" s="446">
        <v>-830.77</v>
      </c>
      <c r="U50" s="446"/>
      <c r="V50" s="446"/>
      <c r="W50" s="446"/>
      <c r="X50" s="446"/>
      <c r="Y50" s="446"/>
      <c r="Z50" s="446"/>
    </row>
    <row r="51" spans="1:26" x14ac:dyDescent="0.35">
      <c r="A51" s="441">
        <v>45307</v>
      </c>
      <c r="B51" s="445">
        <v>-59.94</v>
      </c>
      <c r="C51" s="442" t="s">
        <v>704</v>
      </c>
      <c r="D51" s="442" t="s">
        <v>705</v>
      </c>
      <c r="E51" s="442" t="s">
        <v>706</v>
      </c>
      <c r="F51" s="442" t="s">
        <v>653</v>
      </c>
      <c r="G51" s="443" t="b">
        <f>IF(A51="","",IF(Daten!$AE$4=0,TRUE,MONTH(A51)=Daten!$AE$4))</f>
        <v>1</v>
      </c>
      <c r="H51" s="453" t="s">
        <v>361</v>
      </c>
      <c r="I51" s="454" t="s">
        <v>58</v>
      </c>
      <c r="J51" s="456"/>
      <c r="K51" s="442" t="s">
        <v>650</v>
      </c>
      <c r="L51" s="458"/>
      <c r="M51" s="447"/>
      <c r="N51" s="447"/>
      <c r="O51" s="447"/>
      <c r="P51" s="447"/>
      <c r="Q51" s="447"/>
      <c r="R51" s="447"/>
      <c r="S51" s="447"/>
      <c r="T51" s="447">
        <v>-59.94</v>
      </c>
      <c r="U51" s="447"/>
      <c r="V51" s="447"/>
      <c r="W51" s="447"/>
      <c r="X51" s="447"/>
      <c r="Y51" s="447"/>
      <c r="Z51" s="447"/>
    </row>
    <row r="52" spans="1:26" x14ac:dyDescent="0.35">
      <c r="A52" s="438">
        <v>45309</v>
      </c>
      <c r="B52" s="444">
        <v>15</v>
      </c>
      <c r="C52" s="439" t="s">
        <v>528</v>
      </c>
      <c r="D52" s="439" t="s">
        <v>529</v>
      </c>
      <c r="E52" s="439" t="s">
        <v>655</v>
      </c>
      <c r="F52" s="439" t="s">
        <v>689</v>
      </c>
      <c r="G52" s="440" t="b">
        <f>IF(A52="","",IF(Daten!$AE$4=0,TRUE,MONTH(A52)=Daten!$AE$4))</f>
        <v>1</v>
      </c>
      <c r="H52" s="453" t="s">
        <v>387</v>
      </c>
      <c r="I52" s="454" t="s">
        <v>58</v>
      </c>
      <c r="J52" s="455"/>
      <c r="K52" s="439" t="s">
        <v>650</v>
      </c>
      <c r="L52" s="457"/>
      <c r="M52" s="446"/>
      <c r="N52" s="446"/>
      <c r="O52" s="446"/>
      <c r="P52" s="446"/>
      <c r="Q52" s="446"/>
      <c r="R52" s="446"/>
      <c r="S52" s="446">
        <v>15</v>
      </c>
      <c r="T52" s="446"/>
      <c r="U52" s="446"/>
      <c r="V52" s="446"/>
      <c r="W52" s="446"/>
      <c r="X52" s="446"/>
      <c r="Y52" s="446"/>
      <c r="Z52" s="446"/>
    </row>
    <row r="53" spans="1:26" x14ac:dyDescent="0.35">
      <c r="A53" s="441">
        <v>45316</v>
      </c>
      <c r="B53" s="445">
        <v>15</v>
      </c>
      <c r="C53" s="442" t="s">
        <v>552</v>
      </c>
      <c r="D53" s="442" t="s">
        <v>553</v>
      </c>
      <c r="E53" s="442" t="s">
        <v>671</v>
      </c>
      <c r="F53" s="442" t="s">
        <v>689</v>
      </c>
      <c r="G53" s="443" t="b">
        <f>IF(A53="","",IF(Daten!$AE$4=0,TRUE,MONTH(A53)=Daten!$AE$4))</f>
        <v>1</v>
      </c>
      <c r="H53" s="453" t="s">
        <v>387</v>
      </c>
      <c r="I53" s="454" t="s">
        <v>58</v>
      </c>
      <c r="J53" s="456"/>
      <c r="K53" s="442" t="s">
        <v>650</v>
      </c>
      <c r="L53" s="458"/>
      <c r="M53" s="447"/>
      <c r="N53" s="447"/>
      <c r="O53" s="447"/>
      <c r="P53" s="447"/>
      <c r="Q53" s="447"/>
      <c r="R53" s="447"/>
      <c r="S53" s="447">
        <v>15</v>
      </c>
      <c r="T53" s="447"/>
      <c r="U53" s="447"/>
      <c r="V53" s="447"/>
      <c r="W53" s="447"/>
      <c r="X53" s="447"/>
      <c r="Y53" s="447"/>
      <c r="Z53" s="447"/>
    </row>
    <row r="54" spans="1:26" x14ac:dyDescent="0.35">
      <c r="A54" s="438">
        <v>45317</v>
      </c>
      <c r="B54" s="444">
        <v>7.5</v>
      </c>
      <c r="C54" s="439" t="s">
        <v>558</v>
      </c>
      <c r="D54" s="439" t="s">
        <v>559</v>
      </c>
      <c r="E54" s="439" t="s">
        <v>670</v>
      </c>
      <c r="F54" s="439" t="s">
        <v>689</v>
      </c>
      <c r="G54" s="440" t="b">
        <f>IF(A54="","",IF(Daten!$AE$4=0,TRUE,MONTH(A54)=Daten!$AE$4))</f>
        <v>1</v>
      </c>
      <c r="H54" s="453" t="s">
        <v>282</v>
      </c>
      <c r="I54" s="454" t="s">
        <v>57</v>
      </c>
      <c r="J54" s="455"/>
      <c r="K54" s="439" t="s">
        <v>650</v>
      </c>
      <c r="L54" s="457"/>
      <c r="M54" s="446">
        <v>7.5</v>
      </c>
      <c r="N54" s="446"/>
      <c r="O54" s="446"/>
      <c r="P54" s="446"/>
      <c r="Q54" s="446"/>
      <c r="R54" s="446"/>
      <c r="S54" s="446"/>
      <c r="T54" s="446"/>
      <c r="U54" s="446"/>
      <c r="V54" s="446"/>
      <c r="W54" s="446"/>
      <c r="X54" s="446"/>
      <c r="Y54" s="446"/>
      <c r="Z54" s="446"/>
    </row>
    <row r="55" spans="1:26" x14ac:dyDescent="0.35">
      <c r="A55" s="441">
        <v>45320</v>
      </c>
      <c r="B55" s="445">
        <v>124.86</v>
      </c>
      <c r="C55" s="442" t="s">
        <v>697</v>
      </c>
      <c r="D55" s="442" t="s">
        <v>532</v>
      </c>
      <c r="E55" s="442" t="s">
        <v>681</v>
      </c>
      <c r="F55" s="442" t="s">
        <v>694</v>
      </c>
      <c r="G55" s="443" t="b">
        <f>IF(A55="","",IF(Daten!$AE$4=0,TRUE,MONTH(A55)=Daten!$AE$4))</f>
        <v>1</v>
      </c>
      <c r="H55" s="453" t="s">
        <v>756</v>
      </c>
      <c r="I55" s="454" t="s">
        <v>58</v>
      </c>
      <c r="J55" s="456"/>
      <c r="K55" s="442" t="s">
        <v>650</v>
      </c>
      <c r="L55" s="458"/>
      <c r="M55" s="447"/>
      <c r="N55" s="447"/>
      <c r="O55" s="447"/>
      <c r="P55" s="447"/>
      <c r="Q55" s="447"/>
      <c r="R55" s="447"/>
      <c r="S55" s="447">
        <v>124.86</v>
      </c>
      <c r="T55" s="447"/>
      <c r="U55" s="447"/>
      <c r="V55" s="447"/>
      <c r="W55" s="447"/>
      <c r="X55" s="447"/>
      <c r="Y55" s="447"/>
      <c r="Z55" s="447"/>
    </row>
    <row r="56" spans="1:26" x14ac:dyDescent="0.35">
      <c r="A56" s="438">
        <v>45320</v>
      </c>
      <c r="B56" s="444">
        <v>7.5</v>
      </c>
      <c r="C56" s="439" t="s">
        <v>552</v>
      </c>
      <c r="D56" s="439" t="s">
        <v>553</v>
      </c>
      <c r="E56" s="439" t="s">
        <v>669</v>
      </c>
      <c r="F56" s="439" t="s">
        <v>689</v>
      </c>
      <c r="G56" s="440" t="b">
        <f>IF(A56="","",IF(Daten!$AE$4=0,TRUE,MONTH(A56)=Daten!$AE$4))</f>
        <v>1</v>
      </c>
      <c r="H56" s="453" t="s">
        <v>282</v>
      </c>
      <c r="I56" s="454" t="s">
        <v>57</v>
      </c>
      <c r="J56" s="455"/>
      <c r="K56" s="439" t="s">
        <v>650</v>
      </c>
      <c r="L56" s="457"/>
      <c r="M56" s="446">
        <v>7.5</v>
      </c>
      <c r="N56" s="446"/>
      <c r="O56" s="446"/>
      <c r="P56" s="446"/>
      <c r="Q56" s="446"/>
      <c r="R56" s="446"/>
      <c r="S56" s="446"/>
      <c r="T56" s="446"/>
      <c r="U56" s="446"/>
      <c r="V56" s="446"/>
      <c r="W56" s="446"/>
      <c r="X56" s="446"/>
      <c r="Y56" s="446"/>
      <c r="Z56" s="446"/>
    </row>
    <row r="57" spans="1:26" x14ac:dyDescent="0.35">
      <c r="A57" s="441">
        <v>45320</v>
      </c>
      <c r="B57" s="445">
        <v>15</v>
      </c>
      <c r="C57" s="442" t="s">
        <v>547</v>
      </c>
      <c r="D57" s="442" t="s">
        <v>548</v>
      </c>
      <c r="E57" s="442" t="s">
        <v>282</v>
      </c>
      <c r="F57" s="442" t="s">
        <v>689</v>
      </c>
      <c r="G57" s="443" t="b">
        <f>IF(A57="","",IF(Daten!$AE$4=0,TRUE,MONTH(A57)=Daten!$AE$4))</f>
        <v>1</v>
      </c>
      <c r="H57" s="453" t="s">
        <v>282</v>
      </c>
      <c r="I57" s="454" t="s">
        <v>57</v>
      </c>
      <c r="J57" s="456"/>
      <c r="K57" s="442" t="s">
        <v>650</v>
      </c>
      <c r="L57" s="458"/>
      <c r="M57" s="447">
        <v>15</v>
      </c>
      <c r="N57" s="447"/>
      <c r="O57" s="447"/>
      <c r="P57" s="447"/>
      <c r="Q57" s="447"/>
      <c r="R57" s="447"/>
      <c r="S57" s="447"/>
      <c r="T57" s="447"/>
      <c r="U57" s="447"/>
      <c r="V57" s="447"/>
      <c r="W57" s="447"/>
      <c r="X57" s="447"/>
      <c r="Y57" s="447"/>
      <c r="Z57" s="447"/>
    </row>
  </sheetData>
  <sheetProtection sheet="1" objects="1" scenarios="1" selectLockedCells="1"/>
  <autoFilter ref="A27:Z27" xr:uid="{2989E6A1-D645-4B25-8A09-02B4C7F71BF5}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7" xr:uid="{F1440ABE-891F-4244-9EDF-D3652F0D9C4B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1416050</xdr:colOff>
                <xdr:row>7</xdr:row>
                <xdr:rowOff>158750</xdr:rowOff>
              </from>
              <to>
                <xdr:col>6</xdr:col>
                <xdr:colOff>1301750</xdr:colOff>
                <xdr:row>14</xdr:row>
                <xdr:rowOff>184150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7DE12C91-05A9-4D50-BFFF-348B2BC7F98E}">
          <x14:formula1>
            <xm:f>Daten!$AF$4:$AF$14</xm:f>
          </x14:formula1>
          <xm:sqref>H28</xm:sqref>
        </x14:dataValidation>
        <x14:dataValidation type="list" errorStyle="information" allowBlank="1" xr:uid="{C98F73AB-3D98-403B-95BA-AC4692DAD430}">
          <x14:formula1>
            <xm:f>Daten!$AF$4:$AF$14</xm:f>
          </x14:formula1>
          <xm:sqref>H29</xm:sqref>
        </x14:dataValidation>
        <x14:dataValidation type="list" errorStyle="information" allowBlank="1" xr:uid="{4E86AFC9-50A6-4331-9F84-EC119BB69A56}">
          <x14:formula1>
            <xm:f>Daten!$AF$4:$AF$14</xm:f>
          </x14:formula1>
          <xm:sqref>H30</xm:sqref>
        </x14:dataValidation>
        <x14:dataValidation type="list" errorStyle="information" allowBlank="1" xr:uid="{36167A86-5DC8-4417-A6D6-146BE54A37F6}">
          <x14:formula1>
            <xm:f>Daten!$AF$4:$AF$14</xm:f>
          </x14:formula1>
          <xm:sqref>H31</xm:sqref>
        </x14:dataValidation>
        <x14:dataValidation type="list" errorStyle="information" allowBlank="1" xr:uid="{02D3AA62-14DE-4DCD-B5B7-B57A825FA21C}">
          <x14:formula1>
            <xm:f>Daten!$AF$4:$AF$14</xm:f>
          </x14:formula1>
          <xm:sqref>H32</xm:sqref>
        </x14:dataValidation>
        <x14:dataValidation type="list" errorStyle="information" allowBlank="1" xr:uid="{2AE59AB0-971F-4A66-A964-B36C4984C6E0}">
          <x14:formula1>
            <xm:f>Daten!$AF$4:$AF$14</xm:f>
          </x14:formula1>
          <xm:sqref>H33</xm:sqref>
        </x14:dataValidation>
        <x14:dataValidation type="list" errorStyle="information" allowBlank="1" xr:uid="{8CB946AE-0734-4BA0-939E-6A15E038990C}">
          <x14:formula1>
            <xm:f>Daten!$AF$4:$AF$14</xm:f>
          </x14:formula1>
          <xm:sqref>H34</xm:sqref>
        </x14:dataValidation>
        <x14:dataValidation type="list" errorStyle="information" allowBlank="1" xr:uid="{AD703B5F-2E95-4BD6-8331-A0FCF9FD376E}">
          <x14:formula1>
            <xm:f>Daten!$AF$4:$AF$14</xm:f>
          </x14:formula1>
          <xm:sqref>H35</xm:sqref>
        </x14:dataValidation>
        <x14:dataValidation type="list" errorStyle="information" allowBlank="1" xr:uid="{0A35D0BE-553A-4D98-BA6E-F90C57A028F4}">
          <x14:formula1>
            <xm:f>Daten!$AF$4:$AF$14</xm:f>
          </x14:formula1>
          <xm:sqref>H36</xm:sqref>
        </x14:dataValidation>
        <x14:dataValidation type="list" errorStyle="information" allowBlank="1" xr:uid="{057517FF-F884-4BB5-A171-D116996273E7}">
          <x14:formula1>
            <xm:f>Daten!$AF$4:$AF$14</xm:f>
          </x14:formula1>
          <xm:sqref>H37</xm:sqref>
        </x14:dataValidation>
        <x14:dataValidation type="list" errorStyle="information" allowBlank="1" xr:uid="{262385F5-32BC-41A6-9440-33DD40FB53B2}">
          <x14:formula1>
            <xm:f>Daten!$AF$4:$AF$14</xm:f>
          </x14:formula1>
          <xm:sqref>H38</xm:sqref>
        </x14:dataValidation>
        <x14:dataValidation type="list" errorStyle="information" allowBlank="1" xr:uid="{0BDC8CFB-158F-4EA3-9083-4A897C823AF3}">
          <x14:formula1>
            <xm:f>Daten!$AF$4:$AF$14</xm:f>
          </x14:formula1>
          <xm:sqref>H39</xm:sqref>
        </x14:dataValidation>
        <x14:dataValidation type="list" errorStyle="information" allowBlank="1" xr:uid="{6200F7AF-9F30-43C8-909C-6A7CDC0294D2}">
          <x14:formula1>
            <xm:f>Daten!$AF$4:$AF$14</xm:f>
          </x14:formula1>
          <xm:sqref>H40</xm:sqref>
        </x14:dataValidation>
        <x14:dataValidation type="list" errorStyle="information" allowBlank="1" xr:uid="{D9A5AA8D-49A2-45D0-B361-4402D0016393}">
          <x14:formula1>
            <xm:f>Daten!$AF$4:$AF$14</xm:f>
          </x14:formula1>
          <xm:sqref>H41</xm:sqref>
        </x14:dataValidation>
        <x14:dataValidation type="list" errorStyle="information" allowBlank="1" xr:uid="{9A825D89-1653-469D-BAB6-40CB46EAA94D}">
          <x14:formula1>
            <xm:f>Daten!$AF$4:$AF$14</xm:f>
          </x14:formula1>
          <xm:sqref>H42</xm:sqref>
        </x14:dataValidation>
        <x14:dataValidation type="list" errorStyle="information" allowBlank="1" xr:uid="{CAB59BE4-35A9-4A98-B017-5BA49B758F1F}">
          <x14:formula1>
            <xm:f>Daten!$AF$4:$AF$14</xm:f>
          </x14:formula1>
          <xm:sqref>H43</xm:sqref>
        </x14:dataValidation>
        <x14:dataValidation type="list" errorStyle="information" allowBlank="1" xr:uid="{AC0C502A-B716-493E-875A-A133D880E92B}">
          <x14:formula1>
            <xm:f>Daten!$AF$4:$AF$14</xm:f>
          </x14:formula1>
          <xm:sqref>H44</xm:sqref>
        </x14:dataValidation>
        <x14:dataValidation type="list" errorStyle="information" allowBlank="1" xr:uid="{53A3B919-FAF2-4A6E-9D77-26DB24384BC3}">
          <x14:formula1>
            <xm:f>Daten!$AF$4:$AF$14</xm:f>
          </x14:formula1>
          <xm:sqref>H45</xm:sqref>
        </x14:dataValidation>
        <x14:dataValidation type="list" errorStyle="information" allowBlank="1" xr:uid="{39103235-AE6D-4915-84DD-E93C87D56DD4}">
          <x14:formula1>
            <xm:f>Daten!$AF$4:$AF$14</xm:f>
          </x14:formula1>
          <xm:sqref>H46</xm:sqref>
        </x14:dataValidation>
        <x14:dataValidation type="list" errorStyle="information" allowBlank="1" xr:uid="{F786D1A6-21EE-4909-8574-ED52374523EC}">
          <x14:formula1>
            <xm:f>Daten!$AF$4:$AF$14</xm:f>
          </x14:formula1>
          <xm:sqref>H47</xm:sqref>
        </x14:dataValidation>
        <x14:dataValidation type="list" errorStyle="information" allowBlank="1" xr:uid="{B9346823-9426-4961-83DC-87ED5889BD55}">
          <x14:formula1>
            <xm:f>Daten!$AF$4:$AF$14</xm:f>
          </x14:formula1>
          <xm:sqref>H48</xm:sqref>
        </x14:dataValidation>
        <x14:dataValidation type="list" errorStyle="information" allowBlank="1" xr:uid="{B310BE0B-5DB3-48A0-B4F6-0E9CF471A3DB}">
          <x14:formula1>
            <xm:f>Daten!$AF$4:$AF$14</xm:f>
          </x14:formula1>
          <xm:sqref>H49</xm:sqref>
        </x14:dataValidation>
        <x14:dataValidation type="list" errorStyle="information" allowBlank="1" xr:uid="{734C8878-67E2-4FB4-B215-DED43A2CF2B7}">
          <x14:formula1>
            <xm:f>Daten!$AG$4:$AG$18</xm:f>
          </x14:formula1>
          <xm:sqref>H50</xm:sqref>
        </x14:dataValidation>
        <x14:dataValidation type="list" errorStyle="information" allowBlank="1" xr:uid="{9B4F76BD-DFC2-443C-8FD9-F1ABA9F9448B}">
          <x14:formula1>
            <xm:f>Daten!$AG$4:$AG$18</xm:f>
          </x14:formula1>
          <xm:sqref>H51</xm:sqref>
        </x14:dataValidation>
        <x14:dataValidation type="list" errorStyle="information" allowBlank="1" xr:uid="{6EE79F30-7775-44A2-B68E-6C926F786A24}">
          <x14:formula1>
            <xm:f>Daten!$AF$4:$AF$14</xm:f>
          </x14:formula1>
          <xm:sqref>H52</xm:sqref>
        </x14:dataValidation>
        <x14:dataValidation type="list" errorStyle="information" allowBlank="1" xr:uid="{18ED0418-25DC-4D59-821C-46259D27E446}">
          <x14:formula1>
            <xm:f>Daten!$AF$4:$AF$14</xm:f>
          </x14:formula1>
          <xm:sqref>H53</xm:sqref>
        </x14:dataValidation>
        <x14:dataValidation type="list" errorStyle="information" allowBlank="1" xr:uid="{C20D449F-062F-4BAC-8A1F-0A242DB6EC45}">
          <x14:formula1>
            <xm:f>Daten!$AF$4:$AF$14</xm:f>
          </x14:formula1>
          <xm:sqref>H54</xm:sqref>
        </x14:dataValidation>
        <x14:dataValidation type="list" errorStyle="information" allowBlank="1" xr:uid="{3B5F15F0-BA77-4BD9-8477-B66A54C0897C}">
          <x14:formula1>
            <xm:f>Daten!$AF$4:$AF$14</xm:f>
          </x14:formula1>
          <xm:sqref>H55</xm:sqref>
        </x14:dataValidation>
        <x14:dataValidation type="list" errorStyle="information" allowBlank="1" xr:uid="{9C2F1CE5-BA24-4B28-BB8F-B974B04E88FA}">
          <x14:formula1>
            <xm:f>Daten!$AF$4:$AF$14</xm:f>
          </x14:formula1>
          <xm:sqref>H56</xm:sqref>
        </x14:dataValidation>
        <x14:dataValidation type="list" errorStyle="information" allowBlank="1" xr:uid="{8DF445E4-CCEF-4705-8F60-0BE3CC949A16}">
          <x14:formula1>
            <xm:f>Daten!$AF$4:$AF$14</xm:f>
          </x14:formula1>
          <xm:sqref>H57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81" customWidth="1"/>
    <col min="2" max="2" width="11.26953125" style="476" customWidth="1"/>
    <col min="3" max="3" width="28.7265625" style="481" customWidth="1"/>
    <col min="4" max="4" width="20.453125" style="481" customWidth="1"/>
    <col min="5" max="5" width="12.26953125" style="481" customWidth="1"/>
    <col min="6" max="6" width="16" style="295" customWidth="1"/>
    <col min="7" max="7" width="18" style="481" customWidth="1"/>
    <col min="8" max="8" width="11.453125" style="481" customWidth="1"/>
    <col min="9" max="9" width="12.7265625" style="481" customWidth="1"/>
    <col min="10" max="10" width="13.54296875" style="481" customWidth="1"/>
    <col min="11" max="11" width="12.453125" style="481" customWidth="1"/>
    <col min="12" max="12" width="18.453125" style="481" customWidth="1"/>
    <col min="13" max="13" width="19.7265625" style="481" customWidth="1"/>
    <col min="14" max="14" width="23.1796875" style="481" customWidth="1"/>
    <col min="15" max="15" width="15.26953125" style="481" customWidth="1"/>
    <col min="16" max="16" width="13.7265625" style="481" customWidth="1"/>
    <col min="17" max="17" width="16.54296875" style="481" customWidth="1"/>
    <col min="18" max="18" width="14.1796875" style="481" customWidth="1"/>
    <col min="19" max="19" width="25.26953125" style="481" customWidth="1"/>
    <col min="20" max="20" width="20.7265625" style="481" customWidth="1"/>
    <col min="21" max="16384" width="11.453125" style="481"/>
  </cols>
  <sheetData>
    <row r="1" spans="1:13" ht="15" thickBot="1" x14ac:dyDescent="0.4">
      <c r="F1" s="481"/>
    </row>
    <row r="2" spans="1:13" ht="21.75" customHeight="1" x14ac:dyDescent="0.35">
      <c r="B2" s="521" t="s">
        <v>444</v>
      </c>
      <c r="C2" s="522"/>
      <c r="D2" s="17">
        <v>0</v>
      </c>
      <c r="F2" s="481"/>
    </row>
    <row r="3" spans="1:13" ht="21.75" customHeight="1" thickBot="1" x14ac:dyDescent="0.4">
      <c r="B3" s="523" t="s">
        <v>445</v>
      </c>
      <c r="C3" s="524"/>
      <c r="D3" s="16" t="s">
        <v>446</v>
      </c>
      <c r="F3" s="481"/>
    </row>
    <row r="4" spans="1:13" x14ac:dyDescent="0.35">
      <c r="F4" s="481"/>
    </row>
    <row r="5" spans="1:13" ht="50.25" customHeight="1" x14ac:dyDescent="0.35">
      <c r="B5" s="525" t="s">
        <v>62</v>
      </c>
      <c r="C5" s="525"/>
      <c r="D5" s="525"/>
      <c r="F5" s="481"/>
      <c r="M5" s="15" t="str">
        <f>C24</f>
        <v>xxx  2024</v>
      </c>
    </row>
    <row r="6" spans="1:13" ht="10.5" customHeight="1" x14ac:dyDescent="0.35">
      <c r="F6" s="481"/>
    </row>
    <row r="7" spans="1:13" x14ac:dyDescent="0.35">
      <c r="A7" s="509" t="s">
        <v>24</v>
      </c>
      <c r="B7" s="12" t="s">
        <v>40</v>
      </c>
      <c r="C7" s="286"/>
      <c r="D7" s="287" t="str">
        <f>IF(SUM(G27:G1048576)=0,"",SUM(G27:G1048576))</f>
        <v/>
      </c>
      <c r="F7" s="481"/>
    </row>
    <row r="8" spans="1:13" x14ac:dyDescent="0.35">
      <c r="A8" s="509"/>
      <c r="B8" s="13" t="s">
        <v>39</v>
      </c>
      <c r="C8" s="288"/>
      <c r="D8" s="289" t="str">
        <f>IF(SUM(H27:H1048576)=0,"",SUM(H27:H1048576))</f>
        <v/>
      </c>
      <c r="F8" s="481"/>
      <c r="I8" s="284"/>
    </row>
    <row r="9" spans="1:13" x14ac:dyDescent="0.35">
      <c r="A9" s="509"/>
      <c r="B9" s="12" t="s">
        <v>38</v>
      </c>
      <c r="C9" s="286"/>
      <c r="D9" s="287" t="str">
        <f>IF(SUM(I27:I1048576)=0,"",SUM(I27:I1048576))</f>
        <v/>
      </c>
      <c r="F9" s="481"/>
      <c r="I9" s="284"/>
    </row>
    <row r="10" spans="1:13" x14ac:dyDescent="0.35">
      <c r="A10" s="509"/>
      <c r="B10" s="13" t="s">
        <v>37</v>
      </c>
      <c r="C10" s="288"/>
      <c r="D10" s="289" t="str">
        <f>IF(SUM(J27:J1048576)=0,"",SUM(J27:J1048576))</f>
        <v/>
      </c>
      <c r="F10" s="481"/>
    </row>
    <row r="11" spans="1:13" x14ac:dyDescent="0.35">
      <c r="A11" s="509"/>
      <c r="B11" s="12" t="s">
        <v>36</v>
      </c>
      <c r="C11" s="286"/>
      <c r="D11" s="287" t="str">
        <f>IF(SUM(K27:K1048576)=0,"",SUM(K27:K1048576))</f>
        <v/>
      </c>
      <c r="F11" s="481"/>
      <c r="I11" s="284"/>
    </row>
    <row r="12" spans="1:13" x14ac:dyDescent="0.35">
      <c r="A12" s="509"/>
      <c r="B12" s="13" t="s">
        <v>32</v>
      </c>
      <c r="C12" s="288"/>
      <c r="D12" s="289" t="str">
        <f>IF(SUM(L27:L1048576)=0,"",SUM(L27:L1048576))</f>
        <v/>
      </c>
      <c r="F12" s="481"/>
      <c r="I12" s="284"/>
    </row>
    <row r="13" spans="1:13" ht="15" thickBot="1" x14ac:dyDescent="0.4">
      <c r="A13" s="509"/>
      <c r="B13" s="12" t="s">
        <v>35</v>
      </c>
      <c r="C13" s="286"/>
      <c r="D13" s="287" t="str">
        <f>IF(SUM(N27:N1048576)=0,"",SUM(N27:N1048576))</f>
        <v/>
      </c>
      <c r="F13" s="481"/>
      <c r="I13" s="284"/>
    </row>
    <row r="14" spans="1:13" ht="19" thickTop="1" x14ac:dyDescent="0.35">
      <c r="A14" s="509"/>
      <c r="B14" s="11" t="s">
        <v>28</v>
      </c>
      <c r="C14" s="290"/>
      <c r="D14" s="291">
        <f>SUM(D7:D13)</f>
        <v>0</v>
      </c>
      <c r="F14" s="481"/>
    </row>
    <row r="15" spans="1:13" ht="15" thickBot="1" x14ac:dyDescent="0.4">
      <c r="A15" s="480"/>
      <c r="B15" s="13" t="s">
        <v>27</v>
      </c>
      <c r="C15" s="288"/>
      <c r="D15" s="289" t="str">
        <f>IF(SUM(N27:N1048576)=0,"",SUM(N27:N1048576))</f>
        <v/>
      </c>
      <c r="F15" s="481"/>
    </row>
    <row r="16" spans="1:13" x14ac:dyDescent="0.35">
      <c r="A16" s="510" t="s">
        <v>23</v>
      </c>
      <c r="B16" s="10" t="s">
        <v>34</v>
      </c>
      <c r="C16" s="9"/>
      <c r="D16" s="8" t="str">
        <f>IF(SUM(O27:O1048576)=0,"",SUM(O27:O1048576))</f>
        <v/>
      </c>
      <c r="F16" s="481"/>
    </row>
    <row r="17" spans="1:20" x14ac:dyDescent="0.35">
      <c r="A17" s="511"/>
      <c r="B17" s="5" t="s">
        <v>33</v>
      </c>
      <c r="C17" s="4"/>
      <c r="D17" s="3" t="str">
        <f>IF(SUM(P27:P1048576)=0,"",SUM(P27:P1048576))</f>
        <v/>
      </c>
      <c r="F17" s="481"/>
    </row>
    <row r="18" spans="1:20" x14ac:dyDescent="0.35">
      <c r="A18" s="511"/>
      <c r="B18" s="1" t="s">
        <v>32</v>
      </c>
      <c r="C18" s="7"/>
      <c r="D18" s="6" t="str">
        <f>IF(SUM(Q27:Q1048576)=0,"",SUM(Q27:Q1048576))</f>
        <v/>
      </c>
      <c r="F18" s="481"/>
    </row>
    <row r="19" spans="1:20" x14ac:dyDescent="0.35">
      <c r="A19" s="511"/>
      <c r="B19" s="5" t="s">
        <v>31</v>
      </c>
      <c r="C19" s="4"/>
      <c r="D19" s="3" t="str">
        <f>IF(SUM(R27:R1048576)=0,"",SUM(R27:R1048576))</f>
        <v/>
      </c>
      <c r="F19" s="481"/>
    </row>
    <row r="20" spans="1:20" x14ac:dyDescent="0.35">
      <c r="A20" s="511"/>
      <c r="B20" s="1" t="s">
        <v>30</v>
      </c>
      <c r="C20" s="7"/>
      <c r="D20" s="6" t="str">
        <f>IF(SUM(S27:S1048576)=0,"",SUM(S27:S1048576))</f>
        <v/>
      </c>
      <c r="F20" s="481"/>
    </row>
    <row r="21" spans="1:20" x14ac:dyDescent="0.35">
      <c r="A21" s="511"/>
      <c r="B21" s="5" t="s">
        <v>29</v>
      </c>
      <c r="C21" s="4"/>
      <c r="D21" s="3" t="str">
        <f>IF(SUM(T27:T1048576)=0,"",SUM(T27:T1048576))</f>
        <v/>
      </c>
      <c r="F21" s="481"/>
    </row>
    <row r="22" spans="1:20" ht="18.5" x14ac:dyDescent="0.35">
      <c r="A22" s="511"/>
      <c r="B22" s="2" t="s">
        <v>28</v>
      </c>
      <c r="C22" s="292"/>
      <c r="D22" s="293">
        <f>SUM(D16:D21)</f>
        <v>0</v>
      </c>
      <c r="F22" s="481"/>
    </row>
    <row r="23" spans="1:20" x14ac:dyDescent="0.35">
      <c r="F23" s="481"/>
    </row>
    <row r="24" spans="1:20" ht="26" x14ac:dyDescent="0.35">
      <c r="B24" s="477" t="s">
        <v>61</v>
      </c>
      <c r="C24" s="512" t="s">
        <v>447</v>
      </c>
      <c r="D24" s="490"/>
      <c r="E24" s="490"/>
      <c r="F24" s="513"/>
      <c r="G24" s="514" t="str">
        <f>B5</f>
        <v>Vereinskasse</v>
      </c>
      <c r="H24" s="515"/>
      <c r="I24" s="515"/>
      <c r="J24" s="515"/>
      <c r="K24" s="515"/>
      <c r="L24" s="515"/>
      <c r="M24" s="515"/>
      <c r="N24" s="515"/>
      <c r="O24" s="515"/>
      <c r="P24" s="515"/>
      <c r="Q24" s="515"/>
      <c r="R24" s="515"/>
      <c r="S24" s="515"/>
      <c r="T24" s="515"/>
    </row>
    <row r="25" spans="1:20" s="285" customFormat="1" ht="21" x14ac:dyDescent="0.35">
      <c r="B25" s="177"/>
      <c r="C25" s="294"/>
      <c r="D25" s="294"/>
      <c r="E25" s="294"/>
      <c r="F25" s="294"/>
      <c r="G25" s="516" t="s">
        <v>24</v>
      </c>
      <c r="H25" s="517"/>
      <c r="I25" s="517"/>
      <c r="J25" s="517"/>
      <c r="K25" s="517"/>
      <c r="L25" s="517"/>
      <c r="M25" s="517"/>
      <c r="N25" s="518"/>
      <c r="O25" s="519" t="s">
        <v>23</v>
      </c>
      <c r="P25" s="520"/>
      <c r="Q25" s="520"/>
      <c r="R25" s="520"/>
      <c r="S25" s="520"/>
      <c r="T25" s="520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516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88"/>
    </row>
    <row r="28" spans="1:20" x14ac:dyDescent="0.35">
      <c r="F28" s="488"/>
    </row>
    <row r="29" spans="1:20" x14ac:dyDescent="0.35">
      <c r="F29" s="488"/>
    </row>
    <row r="30" spans="1:20" x14ac:dyDescent="0.35">
      <c r="F30" s="488"/>
    </row>
    <row r="31" spans="1:20" x14ac:dyDescent="0.35">
      <c r="F31" s="488"/>
    </row>
    <row r="32" spans="1:20" x14ac:dyDescent="0.35">
      <c r="F32" s="488"/>
    </row>
    <row r="33" spans="6:6" x14ac:dyDescent="0.35">
      <c r="F33" s="488"/>
    </row>
    <row r="34" spans="6:6" x14ac:dyDescent="0.35">
      <c r="F34" s="488"/>
    </row>
    <row r="35" spans="6:6" x14ac:dyDescent="0.35">
      <c r="F35" s="488"/>
    </row>
    <row r="36" spans="6:6" x14ac:dyDescent="0.35">
      <c r="F36" s="488"/>
    </row>
    <row r="37" spans="6:6" x14ac:dyDescent="0.35">
      <c r="F37" s="488"/>
    </row>
    <row r="38" spans="6:6" x14ac:dyDescent="0.35">
      <c r="F38" s="488"/>
    </row>
    <row r="39" spans="6:6" x14ac:dyDescent="0.35">
      <c r="F39" s="488"/>
    </row>
    <row r="40" spans="6:6" x14ac:dyDescent="0.35">
      <c r="F40" s="488"/>
    </row>
    <row r="41" spans="6:6" x14ac:dyDescent="0.35">
      <c r="F41" s="488"/>
    </row>
    <row r="42" spans="6:6" x14ac:dyDescent="0.35">
      <c r="F42" s="488"/>
    </row>
    <row r="43" spans="6:6" x14ac:dyDescent="0.35">
      <c r="F43" s="488"/>
    </row>
    <row r="44" spans="6:6" x14ac:dyDescent="0.35">
      <c r="F44" s="488"/>
    </row>
    <row r="45" spans="6:6" x14ac:dyDescent="0.35">
      <c r="F45" s="488"/>
    </row>
    <row r="46" spans="6:6" x14ac:dyDescent="0.35">
      <c r="F46" s="488"/>
    </row>
    <row r="47" spans="6:6" x14ac:dyDescent="0.35">
      <c r="F47" s="488"/>
    </row>
    <row r="48" spans="6:6" x14ac:dyDescent="0.35">
      <c r="F48" s="488"/>
    </row>
    <row r="49" spans="6:6" x14ac:dyDescent="0.35">
      <c r="F49" s="488"/>
    </row>
    <row r="50" spans="6:6" x14ac:dyDescent="0.35">
      <c r="F50" s="488"/>
    </row>
    <row r="51" spans="6:6" x14ac:dyDescent="0.35">
      <c r="F51" s="488"/>
    </row>
    <row r="52" spans="6:6" x14ac:dyDescent="0.35">
      <c r="F52" s="488"/>
    </row>
    <row r="53" spans="6:6" x14ac:dyDescent="0.35">
      <c r="F53" s="488"/>
    </row>
    <row r="54" spans="6:6" x14ac:dyDescent="0.35">
      <c r="F54" s="488"/>
    </row>
    <row r="55" spans="6:6" x14ac:dyDescent="0.35">
      <c r="F55" s="488"/>
    </row>
    <row r="56" spans="6:6" x14ac:dyDescent="0.35">
      <c r="F56" s="488"/>
    </row>
    <row r="57" spans="6:6" x14ac:dyDescent="0.35">
      <c r="F57" s="488"/>
    </row>
    <row r="58" spans="6:6" x14ac:dyDescent="0.35">
      <c r="F58" s="488"/>
    </row>
    <row r="59" spans="6:6" x14ac:dyDescent="0.35">
      <c r="F59" s="488"/>
    </row>
    <row r="60" spans="6:6" x14ac:dyDescent="0.35">
      <c r="F60" s="488"/>
    </row>
    <row r="61" spans="6:6" x14ac:dyDescent="0.35">
      <c r="F61" s="488"/>
    </row>
    <row r="62" spans="6:6" x14ac:dyDescent="0.35">
      <c r="F62" s="488"/>
    </row>
    <row r="63" spans="6:6" x14ac:dyDescent="0.35">
      <c r="F63" s="488"/>
    </row>
    <row r="64" spans="6:6" x14ac:dyDescent="0.35">
      <c r="F64" s="488"/>
    </row>
    <row r="65" spans="6:6" x14ac:dyDescent="0.35">
      <c r="F65" s="488"/>
    </row>
    <row r="66" spans="6:6" x14ac:dyDescent="0.35">
      <c r="F66" s="488"/>
    </row>
    <row r="67" spans="6:6" x14ac:dyDescent="0.35">
      <c r="F67" s="488"/>
    </row>
    <row r="68" spans="6:6" x14ac:dyDescent="0.35">
      <c r="F68" s="488"/>
    </row>
    <row r="69" spans="6:6" x14ac:dyDescent="0.35">
      <c r="F69" s="488"/>
    </row>
    <row r="70" spans="6:6" x14ac:dyDescent="0.35">
      <c r="F70" s="488"/>
    </row>
    <row r="71" spans="6:6" x14ac:dyDescent="0.35">
      <c r="F71" s="488"/>
    </row>
    <row r="72" spans="6:6" x14ac:dyDescent="0.35">
      <c r="F72" s="488"/>
    </row>
    <row r="73" spans="6:6" x14ac:dyDescent="0.35">
      <c r="F73" s="488"/>
    </row>
    <row r="74" spans="6:6" x14ac:dyDescent="0.35">
      <c r="F74" s="488"/>
    </row>
    <row r="75" spans="6:6" x14ac:dyDescent="0.35">
      <c r="F75" s="488"/>
    </row>
    <row r="76" spans="6:6" x14ac:dyDescent="0.35">
      <c r="F76" s="488"/>
    </row>
    <row r="77" spans="6:6" x14ac:dyDescent="0.35">
      <c r="F77" s="488"/>
    </row>
    <row r="78" spans="6:6" x14ac:dyDescent="0.35">
      <c r="F78" s="488"/>
    </row>
    <row r="79" spans="6:6" x14ac:dyDescent="0.35">
      <c r="F79" s="488"/>
    </row>
    <row r="80" spans="6:6" x14ac:dyDescent="0.35">
      <c r="F80" s="488"/>
    </row>
    <row r="81" spans="6:6" x14ac:dyDescent="0.35">
      <c r="F81" s="488"/>
    </row>
    <row r="82" spans="6:6" x14ac:dyDescent="0.35">
      <c r="F82" s="488"/>
    </row>
    <row r="83" spans="6:6" x14ac:dyDescent="0.35">
      <c r="F83" s="488"/>
    </row>
    <row r="84" spans="6:6" x14ac:dyDescent="0.35">
      <c r="F84" s="488"/>
    </row>
    <row r="85" spans="6:6" x14ac:dyDescent="0.35">
      <c r="F85" s="488"/>
    </row>
    <row r="86" spans="6:6" x14ac:dyDescent="0.35">
      <c r="F86" s="488"/>
    </row>
    <row r="87" spans="6:6" x14ac:dyDescent="0.35">
      <c r="F87" s="488"/>
    </row>
    <row r="88" spans="6:6" x14ac:dyDescent="0.35">
      <c r="F88" s="488"/>
    </row>
    <row r="89" spans="6:6" x14ac:dyDescent="0.35">
      <c r="F89" s="488"/>
    </row>
    <row r="90" spans="6:6" x14ac:dyDescent="0.35">
      <c r="F90" s="488"/>
    </row>
    <row r="91" spans="6:6" x14ac:dyDescent="0.35">
      <c r="F91" s="488"/>
    </row>
    <row r="92" spans="6:6" x14ac:dyDescent="0.35">
      <c r="F92" s="488"/>
    </row>
    <row r="93" spans="6:6" x14ac:dyDescent="0.35">
      <c r="F93" s="488"/>
    </row>
    <row r="94" spans="6:6" x14ac:dyDescent="0.35">
      <c r="F94" s="488"/>
    </row>
    <row r="95" spans="6:6" x14ac:dyDescent="0.35">
      <c r="F95" s="488"/>
    </row>
    <row r="96" spans="6:6" x14ac:dyDescent="0.35">
      <c r="F96" s="488"/>
    </row>
    <row r="97" spans="6:6" x14ac:dyDescent="0.35">
      <c r="F97" s="488"/>
    </row>
    <row r="98" spans="6:6" x14ac:dyDescent="0.35">
      <c r="F98" s="488"/>
    </row>
    <row r="99" spans="6:6" x14ac:dyDescent="0.35">
      <c r="F99" s="488"/>
    </row>
    <row r="100" spans="6:6" x14ac:dyDescent="0.35">
      <c r="F100" s="488"/>
    </row>
    <row r="101" spans="6:6" x14ac:dyDescent="0.35">
      <c r="F101" s="488"/>
    </row>
    <row r="102" spans="6:6" x14ac:dyDescent="0.35">
      <c r="F102" s="488"/>
    </row>
    <row r="103" spans="6:6" x14ac:dyDescent="0.35">
      <c r="F103" s="488"/>
    </row>
    <row r="104" spans="6:6" x14ac:dyDescent="0.35">
      <c r="F104" s="488"/>
    </row>
    <row r="105" spans="6:6" x14ac:dyDescent="0.35">
      <c r="F105" s="488"/>
    </row>
    <row r="106" spans="6:6" x14ac:dyDescent="0.35">
      <c r="F106" s="488"/>
    </row>
    <row r="107" spans="6:6" x14ac:dyDescent="0.35">
      <c r="F107" s="488"/>
    </row>
    <row r="108" spans="6:6" x14ac:dyDescent="0.35">
      <c r="F108" s="488"/>
    </row>
    <row r="109" spans="6:6" x14ac:dyDescent="0.35">
      <c r="F109" s="488"/>
    </row>
    <row r="110" spans="6:6" x14ac:dyDescent="0.35">
      <c r="F110" s="488"/>
    </row>
    <row r="111" spans="6:6" x14ac:dyDescent="0.35">
      <c r="F111" s="488"/>
    </row>
    <row r="112" spans="6:6" x14ac:dyDescent="0.35">
      <c r="F112" s="488"/>
    </row>
    <row r="113" spans="6:6" x14ac:dyDescent="0.35">
      <c r="F113" s="488"/>
    </row>
    <row r="114" spans="6:6" x14ac:dyDescent="0.35">
      <c r="F114" s="488"/>
    </row>
    <row r="115" spans="6:6" x14ac:dyDescent="0.35">
      <c r="F115" s="488"/>
    </row>
    <row r="116" spans="6:6" x14ac:dyDescent="0.35">
      <c r="F116" s="488"/>
    </row>
    <row r="117" spans="6:6" x14ac:dyDescent="0.35">
      <c r="F117" s="488"/>
    </row>
    <row r="118" spans="6:6" x14ac:dyDescent="0.35">
      <c r="F118" s="488"/>
    </row>
    <row r="119" spans="6:6" x14ac:dyDescent="0.35">
      <c r="F119" s="488"/>
    </row>
    <row r="120" spans="6:6" x14ac:dyDescent="0.35">
      <c r="F120" s="488"/>
    </row>
    <row r="121" spans="6:6" x14ac:dyDescent="0.35">
      <c r="F121" s="488"/>
    </row>
    <row r="122" spans="6:6" x14ac:dyDescent="0.35">
      <c r="F122" s="488"/>
    </row>
    <row r="123" spans="6:6" x14ac:dyDescent="0.35">
      <c r="F123" s="488"/>
    </row>
    <row r="124" spans="6:6" x14ac:dyDescent="0.35">
      <c r="F124" s="488"/>
    </row>
    <row r="125" spans="6:6" x14ac:dyDescent="0.35">
      <c r="F125" s="488"/>
    </row>
    <row r="126" spans="6:6" x14ac:dyDescent="0.35">
      <c r="F126" s="488"/>
    </row>
    <row r="127" spans="6:6" x14ac:dyDescent="0.35">
      <c r="F127" s="488"/>
    </row>
    <row r="128" spans="6:6" x14ac:dyDescent="0.35">
      <c r="F128" s="488"/>
    </row>
    <row r="129" spans="6:6" x14ac:dyDescent="0.35">
      <c r="F129" s="488"/>
    </row>
    <row r="130" spans="6:6" x14ac:dyDescent="0.35">
      <c r="F130" s="488"/>
    </row>
    <row r="131" spans="6:6" x14ac:dyDescent="0.35">
      <c r="F131" s="488"/>
    </row>
    <row r="132" spans="6:6" x14ac:dyDescent="0.35">
      <c r="F132" s="488"/>
    </row>
    <row r="133" spans="6:6" x14ac:dyDescent="0.35">
      <c r="F133" s="488"/>
    </row>
    <row r="134" spans="6:6" x14ac:dyDescent="0.35">
      <c r="F134" s="488"/>
    </row>
    <row r="135" spans="6:6" x14ac:dyDescent="0.35">
      <c r="F135" s="488"/>
    </row>
    <row r="136" spans="6:6" x14ac:dyDescent="0.35">
      <c r="F136" s="488"/>
    </row>
    <row r="137" spans="6:6" x14ac:dyDescent="0.35">
      <c r="F137" s="488"/>
    </row>
    <row r="138" spans="6:6" x14ac:dyDescent="0.35">
      <c r="F138" s="488"/>
    </row>
    <row r="139" spans="6:6" x14ac:dyDescent="0.35">
      <c r="F139" s="488"/>
    </row>
    <row r="140" spans="6:6" x14ac:dyDescent="0.35">
      <c r="F140" s="488"/>
    </row>
    <row r="141" spans="6:6" x14ac:dyDescent="0.35">
      <c r="F141" s="488"/>
    </row>
    <row r="142" spans="6:6" x14ac:dyDescent="0.35">
      <c r="F142" s="488"/>
    </row>
    <row r="143" spans="6:6" x14ac:dyDescent="0.35">
      <c r="F143" s="488"/>
    </row>
    <row r="144" spans="6:6" x14ac:dyDescent="0.35">
      <c r="F144" s="488"/>
    </row>
    <row r="145" spans="6:6" x14ac:dyDescent="0.35">
      <c r="F145" s="488"/>
    </row>
    <row r="146" spans="6:6" x14ac:dyDescent="0.35">
      <c r="F146" s="488"/>
    </row>
    <row r="147" spans="6:6" x14ac:dyDescent="0.35">
      <c r="F147" s="488"/>
    </row>
    <row r="148" spans="6:6" x14ac:dyDescent="0.35">
      <c r="F148" s="488"/>
    </row>
    <row r="149" spans="6:6" x14ac:dyDescent="0.35">
      <c r="F149" s="488"/>
    </row>
    <row r="150" spans="6:6" x14ac:dyDescent="0.35">
      <c r="F150" s="488"/>
    </row>
    <row r="151" spans="6:6" x14ac:dyDescent="0.35">
      <c r="F151" s="488"/>
    </row>
    <row r="152" spans="6:6" x14ac:dyDescent="0.35">
      <c r="F152" s="488"/>
    </row>
    <row r="153" spans="6:6" x14ac:dyDescent="0.35">
      <c r="F153" s="488"/>
    </row>
    <row r="154" spans="6:6" x14ac:dyDescent="0.35">
      <c r="F154" s="488"/>
    </row>
    <row r="155" spans="6:6" x14ac:dyDescent="0.35">
      <c r="F155" s="488"/>
    </row>
    <row r="156" spans="6:6" x14ac:dyDescent="0.35">
      <c r="F156" s="488"/>
    </row>
    <row r="157" spans="6:6" x14ac:dyDescent="0.35">
      <c r="F157" s="488"/>
    </row>
    <row r="158" spans="6:6" x14ac:dyDescent="0.35">
      <c r="F158" s="488"/>
    </row>
    <row r="159" spans="6:6" x14ac:dyDescent="0.35">
      <c r="F159" s="488"/>
    </row>
    <row r="160" spans="6:6" x14ac:dyDescent="0.35">
      <c r="F160" s="488"/>
    </row>
    <row r="161" spans="6:6" x14ac:dyDescent="0.35">
      <c r="F161" s="488"/>
    </row>
    <row r="162" spans="6:6" x14ac:dyDescent="0.35">
      <c r="F162" s="488"/>
    </row>
    <row r="163" spans="6:6" x14ac:dyDescent="0.35">
      <c r="F163" s="488"/>
    </row>
    <row r="164" spans="6:6" x14ac:dyDescent="0.35">
      <c r="F164" s="488"/>
    </row>
    <row r="165" spans="6:6" x14ac:dyDescent="0.35">
      <c r="F165" s="488"/>
    </row>
    <row r="166" spans="6:6" x14ac:dyDescent="0.35">
      <c r="F166" s="488"/>
    </row>
    <row r="167" spans="6:6" x14ac:dyDescent="0.35">
      <c r="F167" s="488"/>
    </row>
    <row r="168" spans="6:6" x14ac:dyDescent="0.35">
      <c r="F168" s="488"/>
    </row>
    <row r="169" spans="6:6" x14ac:dyDescent="0.35">
      <c r="F169" s="488"/>
    </row>
    <row r="170" spans="6:6" x14ac:dyDescent="0.35">
      <c r="F170" s="488"/>
    </row>
    <row r="171" spans="6:6" x14ac:dyDescent="0.35">
      <c r="F171" s="488"/>
    </row>
    <row r="172" spans="6:6" x14ac:dyDescent="0.35">
      <c r="F172" s="488"/>
    </row>
    <row r="173" spans="6:6" x14ac:dyDescent="0.35">
      <c r="F173" s="488"/>
    </row>
    <row r="174" spans="6:6" x14ac:dyDescent="0.35">
      <c r="F174" s="488"/>
    </row>
    <row r="175" spans="6:6" x14ac:dyDescent="0.35">
      <c r="F175" s="488"/>
    </row>
    <row r="176" spans="6:6" x14ac:dyDescent="0.35">
      <c r="F176" s="488"/>
    </row>
    <row r="177" spans="6:6" x14ac:dyDescent="0.35">
      <c r="F177" s="488"/>
    </row>
    <row r="178" spans="6:6" x14ac:dyDescent="0.35">
      <c r="F178" s="488"/>
    </row>
    <row r="179" spans="6:6" x14ac:dyDescent="0.35">
      <c r="F179" s="488"/>
    </row>
    <row r="180" spans="6:6" x14ac:dyDescent="0.35">
      <c r="F180" s="488"/>
    </row>
    <row r="181" spans="6:6" x14ac:dyDescent="0.35">
      <c r="F181" s="488"/>
    </row>
    <row r="182" spans="6:6" x14ac:dyDescent="0.35">
      <c r="F182" s="488"/>
    </row>
    <row r="183" spans="6:6" x14ac:dyDescent="0.35">
      <c r="F183" s="488"/>
    </row>
    <row r="184" spans="6:6" x14ac:dyDescent="0.35">
      <c r="F184" s="488"/>
    </row>
    <row r="185" spans="6:6" x14ac:dyDescent="0.35">
      <c r="F185" s="488"/>
    </row>
    <row r="186" spans="6:6" x14ac:dyDescent="0.35">
      <c r="F186" s="488"/>
    </row>
    <row r="187" spans="6:6" x14ac:dyDescent="0.35">
      <c r="F187" s="488"/>
    </row>
    <row r="188" spans="6:6" x14ac:dyDescent="0.35">
      <c r="F188" s="488"/>
    </row>
    <row r="189" spans="6:6" x14ac:dyDescent="0.35">
      <c r="F189" s="488"/>
    </row>
    <row r="190" spans="6:6" x14ac:dyDescent="0.35">
      <c r="F190" s="488"/>
    </row>
    <row r="191" spans="6:6" x14ac:dyDescent="0.35">
      <c r="F191" s="488"/>
    </row>
    <row r="192" spans="6:6" x14ac:dyDescent="0.35">
      <c r="F192" s="488"/>
    </row>
    <row r="193" spans="6:6" x14ac:dyDescent="0.35">
      <c r="F193" s="488"/>
    </row>
    <row r="194" spans="6:6" x14ac:dyDescent="0.35">
      <c r="F194" s="488"/>
    </row>
    <row r="195" spans="6:6" x14ac:dyDescent="0.35">
      <c r="F195" s="488"/>
    </row>
    <row r="196" spans="6:6" x14ac:dyDescent="0.35">
      <c r="F196" s="488"/>
    </row>
    <row r="197" spans="6:6" x14ac:dyDescent="0.35">
      <c r="F197" s="488"/>
    </row>
    <row r="198" spans="6:6" x14ac:dyDescent="0.35">
      <c r="F198" s="488"/>
    </row>
    <row r="199" spans="6:6" x14ac:dyDescent="0.35">
      <c r="F199" s="488"/>
    </row>
    <row r="200" spans="6:6" x14ac:dyDescent="0.35">
      <c r="F200" s="488"/>
    </row>
    <row r="201" spans="6:6" x14ac:dyDescent="0.35">
      <c r="F201" s="488"/>
    </row>
    <row r="202" spans="6:6" x14ac:dyDescent="0.35">
      <c r="F202" s="488"/>
    </row>
    <row r="203" spans="6:6" x14ac:dyDescent="0.35">
      <c r="F203" s="488"/>
    </row>
    <row r="204" spans="6:6" x14ac:dyDescent="0.35">
      <c r="F204" s="488"/>
    </row>
    <row r="205" spans="6:6" x14ac:dyDescent="0.35">
      <c r="F205" s="488"/>
    </row>
    <row r="206" spans="6:6" x14ac:dyDescent="0.35">
      <c r="F206" s="488"/>
    </row>
    <row r="207" spans="6:6" x14ac:dyDescent="0.35">
      <c r="F207" s="488"/>
    </row>
    <row r="208" spans="6:6" x14ac:dyDescent="0.35">
      <c r="F208" s="488"/>
    </row>
    <row r="209" spans="6:6" x14ac:dyDescent="0.35">
      <c r="F209" s="488"/>
    </row>
    <row r="210" spans="6:6" x14ac:dyDescent="0.35">
      <c r="F210" s="488"/>
    </row>
    <row r="211" spans="6:6" x14ac:dyDescent="0.35">
      <c r="F211" s="488"/>
    </row>
    <row r="212" spans="6:6" x14ac:dyDescent="0.35">
      <c r="F212" s="488"/>
    </row>
    <row r="213" spans="6:6" x14ac:dyDescent="0.35">
      <c r="F213" s="488"/>
    </row>
    <row r="214" spans="6:6" x14ac:dyDescent="0.35">
      <c r="F214" s="488"/>
    </row>
    <row r="215" spans="6:6" x14ac:dyDescent="0.35">
      <c r="F215" s="488"/>
    </row>
    <row r="216" spans="6:6" x14ac:dyDescent="0.35">
      <c r="F216" s="488"/>
    </row>
    <row r="217" spans="6:6" x14ac:dyDescent="0.35">
      <c r="F217" s="488"/>
    </row>
    <row r="218" spans="6:6" x14ac:dyDescent="0.35">
      <c r="F218" s="488"/>
    </row>
    <row r="219" spans="6:6" x14ac:dyDescent="0.35">
      <c r="F219" s="488"/>
    </row>
    <row r="220" spans="6:6" x14ac:dyDescent="0.35">
      <c r="F220" s="488"/>
    </row>
    <row r="221" spans="6:6" x14ac:dyDescent="0.35">
      <c r="F221" s="488"/>
    </row>
    <row r="222" spans="6:6" x14ac:dyDescent="0.35">
      <c r="F222" s="488"/>
    </row>
    <row r="223" spans="6:6" x14ac:dyDescent="0.35">
      <c r="F223" s="488"/>
    </row>
    <row r="224" spans="6:6" x14ac:dyDescent="0.35">
      <c r="F224" s="488"/>
    </row>
    <row r="225" spans="6:6" x14ac:dyDescent="0.35">
      <c r="F225" s="488"/>
    </row>
    <row r="226" spans="6:6" x14ac:dyDescent="0.35">
      <c r="F226" s="488"/>
    </row>
    <row r="227" spans="6:6" x14ac:dyDescent="0.35">
      <c r="F227" s="488"/>
    </row>
    <row r="228" spans="6:6" x14ac:dyDescent="0.35">
      <c r="F228" s="488"/>
    </row>
    <row r="229" spans="6:6" x14ac:dyDescent="0.35">
      <c r="F229" s="488"/>
    </row>
    <row r="230" spans="6:6" x14ac:dyDescent="0.35">
      <c r="F230" s="488"/>
    </row>
    <row r="231" spans="6:6" x14ac:dyDescent="0.35">
      <c r="F231" s="488"/>
    </row>
    <row r="232" spans="6:6" x14ac:dyDescent="0.35">
      <c r="F232" s="488"/>
    </row>
    <row r="233" spans="6:6" x14ac:dyDescent="0.35">
      <c r="F233" s="488"/>
    </row>
    <row r="234" spans="6:6" x14ac:dyDescent="0.35">
      <c r="F234" s="488"/>
    </row>
    <row r="235" spans="6:6" x14ac:dyDescent="0.35">
      <c r="F235" s="488"/>
    </row>
    <row r="236" spans="6:6" x14ac:dyDescent="0.35">
      <c r="F236" s="488"/>
    </row>
    <row r="237" spans="6:6" x14ac:dyDescent="0.35">
      <c r="F237" s="488"/>
    </row>
    <row r="238" spans="6:6" x14ac:dyDescent="0.35">
      <c r="F238" s="488"/>
    </row>
    <row r="239" spans="6:6" x14ac:dyDescent="0.35">
      <c r="F239" s="488"/>
    </row>
    <row r="240" spans="6:6" x14ac:dyDescent="0.35">
      <c r="F240" s="488"/>
    </row>
    <row r="241" spans="6:6" x14ac:dyDescent="0.35">
      <c r="F241" s="488"/>
    </row>
    <row r="242" spans="6:6" x14ac:dyDescent="0.35">
      <c r="F242" s="488"/>
    </row>
    <row r="243" spans="6:6" x14ac:dyDescent="0.35">
      <c r="F243" s="488"/>
    </row>
    <row r="244" spans="6:6" x14ac:dyDescent="0.35">
      <c r="F244" s="488"/>
    </row>
    <row r="245" spans="6:6" x14ac:dyDescent="0.35">
      <c r="F245" s="488"/>
    </row>
    <row r="246" spans="6:6" x14ac:dyDescent="0.35">
      <c r="F246" s="488"/>
    </row>
    <row r="247" spans="6:6" x14ac:dyDescent="0.35">
      <c r="F247" s="488"/>
    </row>
    <row r="248" spans="6:6" x14ac:dyDescent="0.35">
      <c r="F248" s="488"/>
    </row>
    <row r="249" spans="6:6" x14ac:dyDescent="0.35">
      <c r="F249" s="488"/>
    </row>
    <row r="250" spans="6:6" x14ac:dyDescent="0.35">
      <c r="F250" s="488"/>
    </row>
    <row r="251" spans="6:6" x14ac:dyDescent="0.35">
      <c r="F251" s="488"/>
    </row>
    <row r="252" spans="6:6" x14ac:dyDescent="0.35">
      <c r="F252" s="488"/>
    </row>
    <row r="253" spans="6:6" x14ac:dyDescent="0.35">
      <c r="F253" s="488"/>
    </row>
    <row r="254" spans="6:6" x14ac:dyDescent="0.35">
      <c r="F254" s="488"/>
    </row>
    <row r="255" spans="6:6" x14ac:dyDescent="0.35">
      <c r="F255" s="488"/>
    </row>
    <row r="256" spans="6:6" x14ac:dyDescent="0.35">
      <c r="F256" s="488"/>
    </row>
    <row r="257" spans="6:6" x14ac:dyDescent="0.35">
      <c r="F257" s="488"/>
    </row>
    <row r="258" spans="6:6" x14ac:dyDescent="0.35">
      <c r="F258" s="488"/>
    </row>
    <row r="259" spans="6:6" x14ac:dyDescent="0.35">
      <c r="F259" s="488"/>
    </row>
    <row r="260" spans="6:6" x14ac:dyDescent="0.35">
      <c r="F260" s="488"/>
    </row>
    <row r="261" spans="6:6" x14ac:dyDescent="0.35">
      <c r="F261" s="488"/>
    </row>
    <row r="262" spans="6:6" x14ac:dyDescent="0.35">
      <c r="F262" s="488"/>
    </row>
    <row r="263" spans="6:6" x14ac:dyDescent="0.35">
      <c r="F263" s="488"/>
    </row>
    <row r="264" spans="6:6" x14ac:dyDescent="0.35">
      <c r="F264" s="488"/>
    </row>
    <row r="265" spans="6:6" x14ac:dyDescent="0.35">
      <c r="F265" s="488"/>
    </row>
    <row r="266" spans="6:6" x14ac:dyDescent="0.35">
      <c r="F266" s="488"/>
    </row>
    <row r="267" spans="6:6" x14ac:dyDescent="0.35">
      <c r="F267" s="488"/>
    </row>
    <row r="268" spans="6:6" x14ac:dyDescent="0.35">
      <c r="F268" s="488"/>
    </row>
    <row r="269" spans="6:6" x14ac:dyDescent="0.35">
      <c r="F269" s="488"/>
    </row>
    <row r="270" spans="6:6" x14ac:dyDescent="0.35">
      <c r="F270" s="488"/>
    </row>
    <row r="271" spans="6:6" x14ac:dyDescent="0.35">
      <c r="F271" s="488"/>
    </row>
    <row r="272" spans="6:6" x14ac:dyDescent="0.35">
      <c r="F272" s="488"/>
    </row>
    <row r="273" spans="6:6" x14ac:dyDescent="0.35">
      <c r="F273" s="488"/>
    </row>
    <row r="274" spans="6:6" x14ac:dyDescent="0.35">
      <c r="F274" s="488"/>
    </row>
    <row r="275" spans="6:6" x14ac:dyDescent="0.35">
      <c r="F275" s="488"/>
    </row>
    <row r="276" spans="6:6" x14ac:dyDescent="0.35">
      <c r="F276" s="488"/>
    </row>
    <row r="277" spans="6:6" x14ac:dyDescent="0.35">
      <c r="F277" s="488"/>
    </row>
    <row r="278" spans="6:6" x14ac:dyDescent="0.35">
      <c r="F278" s="488"/>
    </row>
    <row r="279" spans="6:6" x14ac:dyDescent="0.35">
      <c r="F279" s="488"/>
    </row>
    <row r="280" spans="6:6" x14ac:dyDescent="0.35">
      <c r="F280" s="488"/>
    </row>
    <row r="281" spans="6:6" x14ac:dyDescent="0.35">
      <c r="F281" s="488"/>
    </row>
    <row r="282" spans="6:6" x14ac:dyDescent="0.35">
      <c r="F282" s="488"/>
    </row>
    <row r="283" spans="6:6" x14ac:dyDescent="0.35">
      <c r="F283" s="488"/>
    </row>
    <row r="284" spans="6:6" x14ac:dyDescent="0.35">
      <c r="F284" s="488"/>
    </row>
    <row r="285" spans="6:6" x14ac:dyDescent="0.35">
      <c r="F285" s="488"/>
    </row>
    <row r="286" spans="6:6" x14ac:dyDescent="0.35">
      <c r="F286" s="488"/>
    </row>
    <row r="287" spans="6:6" x14ac:dyDescent="0.35">
      <c r="F287" s="488"/>
    </row>
    <row r="288" spans="6:6" x14ac:dyDescent="0.35">
      <c r="F288" s="488"/>
    </row>
    <row r="289" spans="6:6" x14ac:dyDescent="0.35">
      <c r="F289" s="488"/>
    </row>
    <row r="290" spans="6:6" x14ac:dyDescent="0.35">
      <c r="F290" s="488"/>
    </row>
    <row r="291" spans="6:6" x14ac:dyDescent="0.35">
      <c r="F291" s="488"/>
    </row>
    <row r="292" spans="6:6" x14ac:dyDescent="0.35">
      <c r="F292" s="488"/>
    </row>
    <row r="293" spans="6:6" x14ac:dyDescent="0.35">
      <c r="F293" s="488"/>
    </row>
    <row r="294" spans="6:6" x14ac:dyDescent="0.35">
      <c r="F294" s="488"/>
    </row>
    <row r="295" spans="6:6" x14ac:dyDescent="0.35">
      <c r="F295" s="488"/>
    </row>
    <row r="296" spans="6:6" x14ac:dyDescent="0.35">
      <c r="F296" s="488"/>
    </row>
    <row r="297" spans="6:6" x14ac:dyDescent="0.35">
      <c r="F297" s="488"/>
    </row>
    <row r="298" spans="6:6" x14ac:dyDescent="0.35">
      <c r="F298" s="488"/>
    </row>
    <row r="299" spans="6:6" x14ac:dyDescent="0.35">
      <c r="F299" s="488"/>
    </row>
    <row r="300" spans="6:6" x14ac:dyDescent="0.35">
      <c r="F300" s="488"/>
    </row>
    <row r="301" spans="6:6" x14ac:dyDescent="0.35">
      <c r="F301" s="488"/>
    </row>
    <row r="302" spans="6:6" x14ac:dyDescent="0.35">
      <c r="F302" s="488"/>
    </row>
    <row r="303" spans="6:6" x14ac:dyDescent="0.35">
      <c r="F303" s="488"/>
    </row>
    <row r="304" spans="6:6" x14ac:dyDescent="0.35">
      <c r="F304" s="488"/>
    </row>
    <row r="305" spans="6:6" x14ac:dyDescent="0.35">
      <c r="F305" s="488"/>
    </row>
    <row r="306" spans="6:6" x14ac:dyDescent="0.35">
      <c r="F306" s="488"/>
    </row>
    <row r="307" spans="6:6" x14ac:dyDescent="0.35">
      <c r="F307" s="488"/>
    </row>
    <row r="308" spans="6:6" x14ac:dyDescent="0.35">
      <c r="F308" s="488"/>
    </row>
    <row r="309" spans="6:6" x14ac:dyDescent="0.35">
      <c r="F309" s="488"/>
    </row>
    <row r="310" spans="6:6" x14ac:dyDescent="0.35">
      <c r="F310" s="488"/>
    </row>
    <row r="311" spans="6:6" x14ac:dyDescent="0.35">
      <c r="F311" s="488"/>
    </row>
    <row r="312" spans="6:6" x14ac:dyDescent="0.35">
      <c r="F312" s="488"/>
    </row>
    <row r="313" spans="6:6" x14ac:dyDescent="0.35">
      <c r="F313" s="488"/>
    </row>
    <row r="314" spans="6:6" x14ac:dyDescent="0.35">
      <c r="F314" s="488"/>
    </row>
    <row r="315" spans="6:6" x14ac:dyDescent="0.35">
      <c r="F315" s="488"/>
    </row>
    <row r="316" spans="6:6" x14ac:dyDescent="0.35">
      <c r="F316" s="488"/>
    </row>
    <row r="317" spans="6:6" x14ac:dyDescent="0.35">
      <c r="F317" s="488"/>
    </row>
    <row r="318" spans="6:6" x14ac:dyDescent="0.35">
      <c r="F318" s="488"/>
    </row>
    <row r="319" spans="6:6" x14ac:dyDescent="0.35">
      <c r="F319" s="488"/>
    </row>
    <row r="320" spans="6:6" x14ac:dyDescent="0.35">
      <c r="F320" s="488"/>
    </row>
    <row r="321" spans="6:6" x14ac:dyDescent="0.35">
      <c r="F321" s="488"/>
    </row>
    <row r="322" spans="6:6" x14ac:dyDescent="0.35">
      <c r="F322" s="488"/>
    </row>
    <row r="323" spans="6:6" x14ac:dyDescent="0.35">
      <c r="F323" s="488"/>
    </row>
    <row r="324" spans="6:6" x14ac:dyDescent="0.35">
      <c r="F324" s="488"/>
    </row>
    <row r="325" spans="6:6" x14ac:dyDescent="0.35">
      <c r="F325" s="488"/>
    </row>
    <row r="326" spans="6:6" x14ac:dyDescent="0.35">
      <c r="F326" s="488"/>
    </row>
    <row r="327" spans="6:6" x14ac:dyDescent="0.35">
      <c r="F327" s="488"/>
    </row>
    <row r="328" spans="6:6" x14ac:dyDescent="0.35">
      <c r="F328" s="488"/>
    </row>
    <row r="329" spans="6:6" x14ac:dyDescent="0.35">
      <c r="F329" s="488"/>
    </row>
    <row r="330" spans="6:6" x14ac:dyDescent="0.35">
      <c r="F330" s="488"/>
    </row>
    <row r="331" spans="6:6" x14ac:dyDescent="0.35">
      <c r="F331" s="488"/>
    </row>
    <row r="332" spans="6:6" x14ac:dyDescent="0.35">
      <c r="F332" s="488"/>
    </row>
    <row r="333" spans="6:6" x14ac:dyDescent="0.35">
      <c r="F333" s="488"/>
    </row>
    <row r="334" spans="6:6" x14ac:dyDescent="0.35">
      <c r="F334" s="488"/>
    </row>
    <row r="335" spans="6:6" x14ac:dyDescent="0.35">
      <c r="F335" s="488"/>
    </row>
    <row r="336" spans="6:6" x14ac:dyDescent="0.35">
      <c r="F336" s="488"/>
    </row>
    <row r="337" spans="6:6" x14ac:dyDescent="0.35">
      <c r="F337" s="488"/>
    </row>
    <row r="338" spans="6:6" x14ac:dyDescent="0.35">
      <c r="F338" s="488"/>
    </row>
    <row r="339" spans="6:6" x14ac:dyDescent="0.35">
      <c r="F339" s="488"/>
    </row>
    <row r="340" spans="6:6" x14ac:dyDescent="0.35">
      <c r="F340" s="488"/>
    </row>
    <row r="341" spans="6:6" x14ac:dyDescent="0.35">
      <c r="F341" s="488"/>
    </row>
    <row r="342" spans="6:6" x14ac:dyDescent="0.35">
      <c r="F342" s="488"/>
    </row>
    <row r="343" spans="6:6" x14ac:dyDescent="0.35">
      <c r="F343" s="488"/>
    </row>
    <row r="344" spans="6:6" x14ac:dyDescent="0.35">
      <c r="F344" s="488"/>
    </row>
    <row r="345" spans="6:6" x14ac:dyDescent="0.35">
      <c r="F345" s="488"/>
    </row>
    <row r="346" spans="6:6" x14ac:dyDescent="0.35">
      <c r="F346" s="488"/>
    </row>
    <row r="347" spans="6:6" x14ac:dyDescent="0.35">
      <c r="F347" s="488"/>
    </row>
    <row r="348" spans="6:6" x14ac:dyDescent="0.35">
      <c r="F348" s="488"/>
    </row>
    <row r="349" spans="6:6" x14ac:dyDescent="0.35">
      <c r="F349" s="488"/>
    </row>
    <row r="350" spans="6:6" x14ac:dyDescent="0.35">
      <c r="F350" s="488"/>
    </row>
    <row r="351" spans="6:6" x14ac:dyDescent="0.35">
      <c r="F351" s="488"/>
    </row>
    <row r="352" spans="6:6" x14ac:dyDescent="0.35">
      <c r="F352" s="488"/>
    </row>
    <row r="353" spans="6:6" x14ac:dyDescent="0.35">
      <c r="F353" s="488"/>
    </row>
    <row r="354" spans="6:6" x14ac:dyDescent="0.35">
      <c r="F354" s="488"/>
    </row>
    <row r="355" spans="6:6" x14ac:dyDescent="0.35">
      <c r="F355" s="488"/>
    </row>
    <row r="356" spans="6:6" x14ac:dyDescent="0.35">
      <c r="F356" s="488"/>
    </row>
    <row r="357" spans="6:6" x14ac:dyDescent="0.35">
      <c r="F357" s="488"/>
    </row>
    <row r="358" spans="6:6" x14ac:dyDescent="0.35">
      <c r="F358" s="488"/>
    </row>
    <row r="359" spans="6:6" x14ac:dyDescent="0.35">
      <c r="F359" s="488"/>
    </row>
    <row r="360" spans="6:6" x14ac:dyDescent="0.35">
      <c r="F360" s="488"/>
    </row>
    <row r="361" spans="6:6" x14ac:dyDescent="0.35">
      <c r="F361" s="488"/>
    </row>
    <row r="362" spans="6:6" x14ac:dyDescent="0.35">
      <c r="F362" s="488"/>
    </row>
    <row r="363" spans="6:6" x14ac:dyDescent="0.35">
      <c r="F363" s="488"/>
    </row>
    <row r="364" spans="6:6" x14ac:dyDescent="0.35">
      <c r="F364" s="488"/>
    </row>
    <row r="365" spans="6:6" x14ac:dyDescent="0.35">
      <c r="F365" s="488"/>
    </row>
    <row r="366" spans="6:6" x14ac:dyDescent="0.35">
      <c r="F366" s="488"/>
    </row>
    <row r="367" spans="6:6" x14ac:dyDescent="0.35">
      <c r="F367" s="488"/>
    </row>
    <row r="368" spans="6:6" x14ac:dyDescent="0.35">
      <c r="F368" s="488"/>
    </row>
    <row r="369" spans="6:6" x14ac:dyDescent="0.35">
      <c r="F369" s="488"/>
    </row>
    <row r="370" spans="6:6" x14ac:dyDescent="0.35">
      <c r="F370" s="488"/>
    </row>
    <row r="371" spans="6:6" x14ac:dyDescent="0.35">
      <c r="F371" s="488"/>
    </row>
    <row r="372" spans="6:6" x14ac:dyDescent="0.35">
      <c r="F372" s="488"/>
    </row>
    <row r="373" spans="6:6" x14ac:dyDescent="0.35">
      <c r="F373" s="488"/>
    </row>
    <row r="374" spans="6:6" x14ac:dyDescent="0.35">
      <c r="F374" s="488"/>
    </row>
    <row r="375" spans="6:6" x14ac:dyDescent="0.35">
      <c r="F375" s="488"/>
    </row>
    <row r="376" spans="6:6" x14ac:dyDescent="0.35">
      <c r="F376" s="488"/>
    </row>
    <row r="377" spans="6:6" x14ac:dyDescent="0.35">
      <c r="F377" s="488"/>
    </row>
    <row r="378" spans="6:6" x14ac:dyDescent="0.35">
      <c r="F378" s="488"/>
    </row>
    <row r="379" spans="6:6" x14ac:dyDescent="0.35">
      <c r="F379" s="488"/>
    </row>
    <row r="380" spans="6:6" x14ac:dyDescent="0.35">
      <c r="F380" s="488"/>
    </row>
    <row r="381" spans="6:6" x14ac:dyDescent="0.35">
      <c r="F381" s="488"/>
    </row>
    <row r="382" spans="6:6" x14ac:dyDescent="0.35">
      <c r="F382" s="488"/>
    </row>
    <row r="383" spans="6:6" x14ac:dyDescent="0.35">
      <c r="F383" s="488"/>
    </row>
    <row r="384" spans="6:6" x14ac:dyDescent="0.35">
      <c r="F384" s="488"/>
    </row>
    <row r="385" spans="6:6" x14ac:dyDescent="0.35">
      <c r="F385" s="488"/>
    </row>
    <row r="386" spans="6:6" x14ac:dyDescent="0.35">
      <c r="F386" s="488"/>
    </row>
    <row r="387" spans="6:6" x14ac:dyDescent="0.35">
      <c r="F387" s="488"/>
    </row>
    <row r="388" spans="6:6" x14ac:dyDescent="0.35">
      <c r="F388" s="488"/>
    </row>
    <row r="389" spans="6:6" x14ac:dyDescent="0.35">
      <c r="F389" s="488"/>
    </row>
    <row r="390" spans="6:6" x14ac:dyDescent="0.35">
      <c r="F390" s="488"/>
    </row>
    <row r="391" spans="6:6" x14ac:dyDescent="0.35">
      <c r="F391" s="488"/>
    </row>
    <row r="392" spans="6:6" x14ac:dyDescent="0.35">
      <c r="F392" s="488"/>
    </row>
    <row r="393" spans="6:6" x14ac:dyDescent="0.35">
      <c r="F393" s="488"/>
    </row>
    <row r="394" spans="6:6" x14ac:dyDescent="0.35">
      <c r="F394" s="488"/>
    </row>
    <row r="395" spans="6:6" x14ac:dyDescent="0.35">
      <c r="F395" s="488"/>
    </row>
    <row r="396" spans="6:6" x14ac:dyDescent="0.35">
      <c r="F396" s="488"/>
    </row>
    <row r="397" spans="6:6" x14ac:dyDescent="0.35">
      <c r="F397" s="488"/>
    </row>
    <row r="398" spans="6:6" x14ac:dyDescent="0.35">
      <c r="F398" s="488"/>
    </row>
    <row r="399" spans="6:6" x14ac:dyDescent="0.35">
      <c r="F399" s="488"/>
    </row>
    <row r="400" spans="6:6" x14ac:dyDescent="0.35">
      <c r="F400" s="488"/>
    </row>
    <row r="401" spans="6:6" x14ac:dyDescent="0.35">
      <c r="F401" s="488"/>
    </row>
    <row r="402" spans="6:6" x14ac:dyDescent="0.35">
      <c r="F402" s="488"/>
    </row>
    <row r="403" spans="6:6" x14ac:dyDescent="0.35">
      <c r="F403" s="488"/>
    </row>
    <row r="404" spans="6:6" x14ac:dyDescent="0.35">
      <c r="F404" s="488"/>
    </row>
    <row r="405" spans="6:6" x14ac:dyDescent="0.35">
      <c r="F405" s="488"/>
    </row>
    <row r="406" spans="6:6" x14ac:dyDescent="0.35">
      <c r="F406" s="488"/>
    </row>
    <row r="407" spans="6:6" x14ac:dyDescent="0.35">
      <c r="F407" s="488"/>
    </row>
    <row r="408" spans="6:6" x14ac:dyDescent="0.35">
      <c r="F408" s="488"/>
    </row>
    <row r="409" spans="6:6" x14ac:dyDescent="0.35">
      <c r="F409" s="488"/>
    </row>
    <row r="410" spans="6:6" x14ac:dyDescent="0.35">
      <c r="F410" s="488"/>
    </row>
    <row r="411" spans="6:6" x14ac:dyDescent="0.35">
      <c r="F411" s="488"/>
    </row>
    <row r="412" spans="6:6" x14ac:dyDescent="0.35">
      <c r="F412" s="488"/>
    </row>
    <row r="413" spans="6:6" x14ac:dyDescent="0.35">
      <c r="F413" s="488"/>
    </row>
    <row r="414" spans="6:6" x14ac:dyDescent="0.35">
      <c r="F414" s="488"/>
    </row>
    <row r="415" spans="6:6" x14ac:dyDescent="0.35">
      <c r="F415" s="488"/>
    </row>
    <row r="416" spans="6:6" x14ac:dyDescent="0.35">
      <c r="F416" s="488"/>
    </row>
    <row r="417" spans="6:6" x14ac:dyDescent="0.35">
      <c r="F417" s="488"/>
    </row>
    <row r="418" spans="6:6" x14ac:dyDescent="0.35">
      <c r="F418" s="488"/>
    </row>
    <row r="419" spans="6:6" x14ac:dyDescent="0.35">
      <c r="F419" s="488"/>
    </row>
    <row r="420" spans="6:6" x14ac:dyDescent="0.35">
      <c r="F420" s="488"/>
    </row>
    <row r="421" spans="6:6" x14ac:dyDescent="0.35">
      <c r="F421" s="488"/>
    </row>
    <row r="422" spans="6:6" x14ac:dyDescent="0.35">
      <c r="F422" s="488"/>
    </row>
    <row r="423" spans="6:6" x14ac:dyDescent="0.35">
      <c r="F423" s="488"/>
    </row>
    <row r="424" spans="6:6" x14ac:dyDescent="0.35">
      <c r="F424" s="488"/>
    </row>
    <row r="425" spans="6:6" x14ac:dyDescent="0.35">
      <c r="F425" s="488"/>
    </row>
    <row r="426" spans="6:6" x14ac:dyDescent="0.35">
      <c r="F426" s="488"/>
    </row>
    <row r="427" spans="6:6" x14ac:dyDescent="0.35">
      <c r="F427" s="488"/>
    </row>
    <row r="428" spans="6:6" x14ac:dyDescent="0.35">
      <c r="F428" s="488"/>
    </row>
    <row r="429" spans="6:6" x14ac:dyDescent="0.35">
      <c r="F429" s="488"/>
    </row>
    <row r="430" spans="6:6" x14ac:dyDescent="0.35">
      <c r="F430" s="488"/>
    </row>
    <row r="431" spans="6:6" x14ac:dyDescent="0.35">
      <c r="F431" s="488"/>
    </row>
    <row r="432" spans="6:6" x14ac:dyDescent="0.35">
      <c r="F432" s="488"/>
    </row>
    <row r="433" spans="6:6" x14ac:dyDescent="0.35">
      <c r="F433" s="488"/>
    </row>
    <row r="434" spans="6:6" x14ac:dyDescent="0.35">
      <c r="F434" s="488"/>
    </row>
    <row r="435" spans="6:6" x14ac:dyDescent="0.35">
      <c r="F435" s="488"/>
    </row>
    <row r="436" spans="6:6" x14ac:dyDescent="0.35">
      <c r="F436" s="488"/>
    </row>
    <row r="437" spans="6:6" x14ac:dyDescent="0.35">
      <c r="F437" s="488"/>
    </row>
    <row r="438" spans="6:6" x14ac:dyDescent="0.35">
      <c r="F438" s="488"/>
    </row>
    <row r="439" spans="6:6" x14ac:dyDescent="0.35">
      <c r="F439" s="488"/>
    </row>
    <row r="440" spans="6:6" x14ac:dyDescent="0.35">
      <c r="F440" s="488"/>
    </row>
    <row r="441" spans="6:6" x14ac:dyDescent="0.35">
      <c r="F441" s="488"/>
    </row>
    <row r="442" spans="6:6" x14ac:dyDescent="0.35">
      <c r="F442" s="488"/>
    </row>
    <row r="443" spans="6:6" x14ac:dyDescent="0.35">
      <c r="F443" s="488"/>
    </row>
    <row r="444" spans="6:6" x14ac:dyDescent="0.35">
      <c r="F444" s="488"/>
    </row>
    <row r="445" spans="6:6" x14ac:dyDescent="0.35">
      <c r="F445" s="488"/>
    </row>
    <row r="446" spans="6:6" x14ac:dyDescent="0.35">
      <c r="F446" s="488"/>
    </row>
    <row r="447" spans="6:6" x14ac:dyDescent="0.35">
      <c r="F447" s="488"/>
    </row>
    <row r="448" spans="6:6" x14ac:dyDescent="0.35">
      <c r="F448" s="488"/>
    </row>
    <row r="449" spans="6:6" x14ac:dyDescent="0.35">
      <c r="F449" s="488"/>
    </row>
    <row r="450" spans="6:6" x14ac:dyDescent="0.35">
      <c r="F450" s="488"/>
    </row>
    <row r="451" spans="6:6" x14ac:dyDescent="0.35">
      <c r="F451" s="488"/>
    </row>
    <row r="452" spans="6:6" x14ac:dyDescent="0.35">
      <c r="F452" s="488"/>
    </row>
    <row r="453" spans="6:6" x14ac:dyDescent="0.35">
      <c r="F453" s="488"/>
    </row>
    <row r="454" spans="6:6" x14ac:dyDescent="0.35">
      <c r="F454" s="488"/>
    </row>
    <row r="455" spans="6:6" x14ac:dyDescent="0.35">
      <c r="F455" s="488"/>
    </row>
    <row r="456" spans="6:6" x14ac:dyDescent="0.35">
      <c r="F456" s="488"/>
    </row>
    <row r="457" spans="6:6" x14ac:dyDescent="0.35">
      <c r="F457" s="488"/>
    </row>
    <row r="458" spans="6:6" x14ac:dyDescent="0.35">
      <c r="F458" s="488"/>
    </row>
    <row r="459" spans="6:6" x14ac:dyDescent="0.35">
      <c r="F459" s="488"/>
    </row>
    <row r="460" spans="6:6" x14ac:dyDescent="0.35">
      <c r="F460" s="488"/>
    </row>
    <row r="461" spans="6:6" x14ac:dyDescent="0.35">
      <c r="F461" s="488"/>
    </row>
    <row r="462" spans="6:6" x14ac:dyDescent="0.35">
      <c r="F462" s="488"/>
    </row>
    <row r="463" spans="6:6" x14ac:dyDescent="0.35">
      <c r="F463" s="488"/>
    </row>
    <row r="464" spans="6:6" x14ac:dyDescent="0.35">
      <c r="F464" s="488"/>
    </row>
    <row r="465" spans="6:6" x14ac:dyDescent="0.35">
      <c r="F465" s="488"/>
    </row>
    <row r="466" spans="6:6" x14ac:dyDescent="0.35">
      <c r="F466" s="488"/>
    </row>
    <row r="467" spans="6:6" x14ac:dyDescent="0.35">
      <c r="F467" s="488"/>
    </row>
    <row r="468" spans="6:6" x14ac:dyDescent="0.35">
      <c r="F468" s="488"/>
    </row>
    <row r="469" spans="6:6" x14ac:dyDescent="0.35">
      <c r="F469" s="488"/>
    </row>
    <row r="470" spans="6:6" x14ac:dyDescent="0.35">
      <c r="F470" s="488"/>
    </row>
    <row r="471" spans="6:6" x14ac:dyDescent="0.35">
      <c r="F471" s="488"/>
    </row>
    <row r="472" spans="6:6" x14ac:dyDescent="0.35">
      <c r="F472" s="488"/>
    </row>
    <row r="473" spans="6:6" x14ac:dyDescent="0.35">
      <c r="F473" s="488"/>
    </row>
    <row r="474" spans="6:6" x14ac:dyDescent="0.35">
      <c r="F474" s="488"/>
    </row>
    <row r="475" spans="6:6" x14ac:dyDescent="0.35">
      <c r="F475" s="488"/>
    </row>
    <row r="476" spans="6:6" x14ac:dyDescent="0.35">
      <c r="F476" s="488"/>
    </row>
    <row r="477" spans="6:6" x14ac:dyDescent="0.35">
      <c r="F477" s="488"/>
    </row>
    <row r="478" spans="6:6" x14ac:dyDescent="0.35">
      <c r="F478" s="488"/>
    </row>
    <row r="479" spans="6:6" x14ac:dyDescent="0.35">
      <c r="F479" s="488"/>
    </row>
    <row r="480" spans="6:6" x14ac:dyDescent="0.35">
      <c r="F480" s="488"/>
    </row>
    <row r="481" spans="6:6" x14ac:dyDescent="0.35">
      <c r="F481" s="488"/>
    </row>
    <row r="482" spans="6:6" x14ac:dyDescent="0.35">
      <c r="F482" s="488"/>
    </row>
    <row r="483" spans="6:6" x14ac:dyDescent="0.35">
      <c r="F483" s="488"/>
    </row>
    <row r="484" spans="6:6" x14ac:dyDescent="0.35">
      <c r="F484" s="488"/>
    </row>
    <row r="485" spans="6:6" x14ac:dyDescent="0.35">
      <c r="F485" s="488"/>
    </row>
    <row r="486" spans="6:6" x14ac:dyDescent="0.35">
      <c r="F486" s="488"/>
    </row>
    <row r="487" spans="6:6" x14ac:dyDescent="0.35">
      <c r="F487" s="488"/>
    </row>
    <row r="488" spans="6:6" x14ac:dyDescent="0.35">
      <c r="F488" s="488"/>
    </row>
    <row r="489" spans="6:6" x14ac:dyDescent="0.35">
      <c r="F489" s="488"/>
    </row>
    <row r="490" spans="6:6" x14ac:dyDescent="0.35">
      <c r="F490" s="488"/>
    </row>
    <row r="491" spans="6:6" x14ac:dyDescent="0.35">
      <c r="F491" s="488"/>
    </row>
    <row r="492" spans="6:6" x14ac:dyDescent="0.35">
      <c r="F492" s="488"/>
    </row>
    <row r="493" spans="6:6" x14ac:dyDescent="0.35">
      <c r="F493" s="488"/>
    </row>
    <row r="494" spans="6:6" x14ac:dyDescent="0.35">
      <c r="F494" s="488"/>
    </row>
    <row r="495" spans="6:6" x14ac:dyDescent="0.35">
      <c r="F495" s="488"/>
    </row>
    <row r="496" spans="6:6" x14ac:dyDescent="0.35">
      <c r="F496" s="488"/>
    </row>
    <row r="497" spans="6:6" x14ac:dyDescent="0.35">
      <c r="F497" s="488"/>
    </row>
    <row r="498" spans="6:6" x14ac:dyDescent="0.35">
      <c r="F498" s="488"/>
    </row>
    <row r="499" spans="6:6" x14ac:dyDescent="0.35">
      <c r="F499" s="488"/>
    </row>
    <row r="500" spans="6:6" x14ac:dyDescent="0.35">
      <c r="F500" s="488"/>
    </row>
    <row r="501" spans="6:6" x14ac:dyDescent="0.35">
      <c r="F501" s="488"/>
    </row>
    <row r="502" spans="6:6" x14ac:dyDescent="0.35">
      <c r="F502" s="488"/>
    </row>
    <row r="503" spans="6:6" x14ac:dyDescent="0.35">
      <c r="F503" s="488"/>
    </row>
    <row r="504" spans="6:6" x14ac:dyDescent="0.35">
      <c r="F504" s="488"/>
    </row>
    <row r="505" spans="6:6" x14ac:dyDescent="0.35">
      <c r="F505" s="488"/>
    </row>
    <row r="506" spans="6:6" x14ac:dyDescent="0.35">
      <c r="F506" s="488"/>
    </row>
    <row r="507" spans="6:6" x14ac:dyDescent="0.35">
      <c r="F507" s="488"/>
    </row>
    <row r="508" spans="6:6" x14ac:dyDescent="0.35">
      <c r="F508" s="488"/>
    </row>
    <row r="509" spans="6:6" x14ac:dyDescent="0.35">
      <c r="F509" s="488"/>
    </row>
    <row r="510" spans="6:6" x14ac:dyDescent="0.35">
      <c r="F510" s="488"/>
    </row>
    <row r="511" spans="6:6" x14ac:dyDescent="0.35">
      <c r="F511" s="488"/>
    </row>
    <row r="512" spans="6:6" x14ac:dyDescent="0.35">
      <c r="F512" s="488"/>
    </row>
    <row r="513" spans="6:6" x14ac:dyDescent="0.35">
      <c r="F513" s="488"/>
    </row>
    <row r="514" spans="6:6" x14ac:dyDescent="0.35">
      <c r="F514" s="488"/>
    </row>
    <row r="515" spans="6:6" x14ac:dyDescent="0.35">
      <c r="F515" s="488"/>
    </row>
    <row r="516" spans="6:6" x14ac:dyDescent="0.35">
      <c r="F516" s="488"/>
    </row>
    <row r="517" spans="6:6" x14ac:dyDescent="0.35">
      <c r="F517" s="488"/>
    </row>
    <row r="518" spans="6:6" x14ac:dyDescent="0.35">
      <c r="F518" s="488"/>
    </row>
    <row r="519" spans="6:6" x14ac:dyDescent="0.35">
      <c r="F519" s="488"/>
    </row>
    <row r="520" spans="6:6" x14ac:dyDescent="0.35">
      <c r="F520" s="488"/>
    </row>
    <row r="521" spans="6:6" x14ac:dyDescent="0.35">
      <c r="F521" s="488"/>
    </row>
    <row r="522" spans="6:6" x14ac:dyDescent="0.35">
      <c r="F522" s="488"/>
    </row>
    <row r="523" spans="6:6" x14ac:dyDescent="0.35">
      <c r="F523" s="488"/>
    </row>
    <row r="524" spans="6:6" x14ac:dyDescent="0.35">
      <c r="F524" s="488"/>
    </row>
    <row r="525" spans="6:6" x14ac:dyDescent="0.35">
      <c r="F525" s="488"/>
    </row>
    <row r="526" spans="6:6" x14ac:dyDescent="0.35">
      <c r="F526" s="488"/>
    </row>
    <row r="527" spans="6:6" x14ac:dyDescent="0.35">
      <c r="F527" s="488"/>
    </row>
    <row r="528" spans="6:6" x14ac:dyDescent="0.35">
      <c r="F528" s="488"/>
    </row>
    <row r="529" spans="6:6" x14ac:dyDescent="0.35">
      <c r="F529" s="488"/>
    </row>
    <row r="530" spans="6:6" x14ac:dyDescent="0.35">
      <c r="F530" s="488"/>
    </row>
    <row r="531" spans="6:6" x14ac:dyDescent="0.35">
      <c r="F531" s="488"/>
    </row>
    <row r="532" spans="6:6" x14ac:dyDescent="0.35">
      <c r="F532" s="488"/>
    </row>
    <row r="533" spans="6:6" x14ac:dyDescent="0.35">
      <c r="F533" s="488"/>
    </row>
    <row r="534" spans="6:6" x14ac:dyDescent="0.35">
      <c r="F534" s="488"/>
    </row>
    <row r="535" spans="6:6" x14ac:dyDescent="0.35">
      <c r="F535" s="488"/>
    </row>
    <row r="536" spans="6:6" x14ac:dyDescent="0.35">
      <c r="F536" s="488"/>
    </row>
    <row r="537" spans="6:6" x14ac:dyDescent="0.35">
      <c r="F537" s="488"/>
    </row>
    <row r="538" spans="6:6" x14ac:dyDescent="0.35">
      <c r="F538" s="488"/>
    </row>
    <row r="539" spans="6:6" x14ac:dyDescent="0.35">
      <c r="F539" s="488"/>
    </row>
    <row r="540" spans="6:6" x14ac:dyDescent="0.35">
      <c r="F540" s="488"/>
    </row>
    <row r="541" spans="6:6" x14ac:dyDescent="0.35">
      <c r="F541" s="488"/>
    </row>
    <row r="542" spans="6:6" x14ac:dyDescent="0.35">
      <c r="F542" s="488"/>
    </row>
    <row r="543" spans="6:6" x14ac:dyDescent="0.35">
      <c r="F543" s="488"/>
    </row>
    <row r="544" spans="6:6" x14ac:dyDescent="0.35">
      <c r="F544" s="488"/>
    </row>
    <row r="545" spans="6:6" x14ac:dyDescent="0.35">
      <c r="F545" s="488"/>
    </row>
    <row r="546" spans="6:6" x14ac:dyDescent="0.35">
      <c r="F546" s="488"/>
    </row>
    <row r="547" spans="6:6" x14ac:dyDescent="0.35">
      <c r="F547" s="488"/>
    </row>
    <row r="548" spans="6:6" x14ac:dyDescent="0.35">
      <c r="F548" s="488"/>
    </row>
    <row r="549" spans="6:6" x14ac:dyDescent="0.35">
      <c r="F549" s="488"/>
    </row>
    <row r="550" spans="6:6" x14ac:dyDescent="0.35">
      <c r="F550" s="488"/>
    </row>
    <row r="551" spans="6:6" x14ac:dyDescent="0.35">
      <c r="F551" s="488"/>
    </row>
    <row r="552" spans="6:6" x14ac:dyDescent="0.35">
      <c r="F552" s="488"/>
    </row>
    <row r="553" spans="6:6" x14ac:dyDescent="0.35">
      <c r="F553" s="488"/>
    </row>
    <row r="554" spans="6:6" x14ac:dyDescent="0.35">
      <c r="F554" s="488"/>
    </row>
    <row r="555" spans="6:6" x14ac:dyDescent="0.35">
      <c r="F555" s="488"/>
    </row>
    <row r="556" spans="6:6" x14ac:dyDescent="0.35">
      <c r="F556" s="488"/>
    </row>
    <row r="557" spans="6:6" x14ac:dyDescent="0.35">
      <c r="F557" s="488"/>
    </row>
    <row r="558" spans="6:6" x14ac:dyDescent="0.35">
      <c r="F558" s="488"/>
    </row>
    <row r="559" spans="6:6" x14ac:dyDescent="0.35">
      <c r="F559" s="488"/>
    </row>
    <row r="560" spans="6:6" x14ac:dyDescent="0.35">
      <c r="F560" s="488"/>
    </row>
    <row r="561" spans="6:6" x14ac:dyDescent="0.35">
      <c r="F561" s="488"/>
    </row>
    <row r="562" spans="6:6" x14ac:dyDescent="0.35">
      <c r="F562" s="488"/>
    </row>
    <row r="563" spans="6:6" x14ac:dyDescent="0.35">
      <c r="F563" s="488"/>
    </row>
    <row r="564" spans="6:6" x14ac:dyDescent="0.35">
      <c r="F564" s="488"/>
    </row>
    <row r="565" spans="6:6" x14ac:dyDescent="0.35">
      <c r="F565" s="488"/>
    </row>
    <row r="566" spans="6:6" x14ac:dyDescent="0.35">
      <c r="F566" s="488"/>
    </row>
    <row r="567" spans="6:6" x14ac:dyDescent="0.35">
      <c r="F567" s="488"/>
    </row>
    <row r="568" spans="6:6" x14ac:dyDescent="0.35">
      <c r="F568" s="488"/>
    </row>
    <row r="569" spans="6:6" x14ac:dyDescent="0.35">
      <c r="F569" s="488"/>
    </row>
    <row r="570" spans="6:6" x14ac:dyDescent="0.35">
      <c r="F570" s="488"/>
    </row>
    <row r="571" spans="6:6" x14ac:dyDescent="0.35">
      <c r="F571" s="488"/>
    </row>
    <row r="572" spans="6:6" x14ac:dyDescent="0.35">
      <c r="F572" s="488"/>
    </row>
    <row r="573" spans="6:6" x14ac:dyDescent="0.35">
      <c r="F573" s="488"/>
    </row>
    <row r="574" spans="6:6" x14ac:dyDescent="0.35">
      <c r="F574" s="488"/>
    </row>
    <row r="575" spans="6:6" x14ac:dyDescent="0.35">
      <c r="F575" s="488"/>
    </row>
    <row r="576" spans="6:6" x14ac:dyDescent="0.35">
      <c r="F576" s="488"/>
    </row>
    <row r="577" spans="6:6" x14ac:dyDescent="0.35">
      <c r="F577" s="488"/>
    </row>
    <row r="578" spans="6:6" x14ac:dyDescent="0.35">
      <c r="F578" s="488"/>
    </row>
    <row r="579" spans="6:6" x14ac:dyDescent="0.35">
      <c r="F579" s="488"/>
    </row>
    <row r="580" spans="6:6" x14ac:dyDescent="0.35">
      <c r="F580" s="488"/>
    </row>
    <row r="581" spans="6:6" x14ac:dyDescent="0.35">
      <c r="F581" s="488"/>
    </row>
    <row r="582" spans="6:6" x14ac:dyDescent="0.35">
      <c r="F582" s="488"/>
    </row>
    <row r="583" spans="6:6" x14ac:dyDescent="0.35">
      <c r="F583" s="488"/>
    </row>
    <row r="584" spans="6:6" x14ac:dyDescent="0.35">
      <c r="F584" s="488"/>
    </row>
    <row r="585" spans="6:6" x14ac:dyDescent="0.35">
      <c r="F585" s="488"/>
    </row>
    <row r="586" spans="6:6" x14ac:dyDescent="0.35">
      <c r="F586" s="488"/>
    </row>
    <row r="587" spans="6:6" x14ac:dyDescent="0.35">
      <c r="F587" s="488"/>
    </row>
    <row r="588" spans="6:6" x14ac:dyDescent="0.35">
      <c r="F588" s="488"/>
    </row>
    <row r="589" spans="6:6" x14ac:dyDescent="0.35">
      <c r="F589" s="488"/>
    </row>
    <row r="590" spans="6:6" x14ac:dyDescent="0.35">
      <c r="F590" s="488"/>
    </row>
    <row r="591" spans="6:6" x14ac:dyDescent="0.35">
      <c r="F591" s="488"/>
    </row>
    <row r="592" spans="6:6" x14ac:dyDescent="0.35">
      <c r="F592" s="488"/>
    </row>
    <row r="593" spans="6:6" x14ac:dyDescent="0.35">
      <c r="F593" s="488"/>
    </row>
    <row r="594" spans="6:6" x14ac:dyDescent="0.35">
      <c r="F594" s="488"/>
    </row>
    <row r="595" spans="6:6" x14ac:dyDescent="0.35">
      <c r="F595" s="488"/>
    </row>
    <row r="596" spans="6:6" x14ac:dyDescent="0.35">
      <c r="F596" s="488"/>
    </row>
    <row r="597" spans="6:6" x14ac:dyDescent="0.35">
      <c r="F597" s="488"/>
    </row>
    <row r="598" spans="6:6" x14ac:dyDescent="0.35">
      <c r="F598" s="488"/>
    </row>
    <row r="599" spans="6:6" x14ac:dyDescent="0.35">
      <c r="F599" s="488"/>
    </row>
    <row r="600" spans="6:6" x14ac:dyDescent="0.35">
      <c r="F600" s="488"/>
    </row>
    <row r="601" spans="6:6" x14ac:dyDescent="0.35">
      <c r="F601" s="488"/>
    </row>
    <row r="602" spans="6:6" x14ac:dyDescent="0.35">
      <c r="F602" s="488"/>
    </row>
    <row r="603" spans="6:6" x14ac:dyDescent="0.35">
      <c r="F603" s="488"/>
    </row>
    <row r="604" spans="6:6" x14ac:dyDescent="0.35">
      <c r="F604" s="488"/>
    </row>
    <row r="605" spans="6:6" x14ac:dyDescent="0.35">
      <c r="F605" s="488"/>
    </row>
    <row r="606" spans="6:6" x14ac:dyDescent="0.35">
      <c r="F606" s="488"/>
    </row>
    <row r="607" spans="6:6" x14ac:dyDescent="0.35">
      <c r="F607" s="488"/>
    </row>
    <row r="608" spans="6:6" x14ac:dyDescent="0.35">
      <c r="F608" s="488"/>
    </row>
    <row r="609" spans="6:6" x14ac:dyDescent="0.35">
      <c r="F609" s="488"/>
    </row>
    <row r="610" spans="6:6" x14ac:dyDescent="0.35">
      <c r="F610" s="488"/>
    </row>
    <row r="611" spans="6:6" x14ac:dyDescent="0.35">
      <c r="F611" s="488"/>
    </row>
    <row r="612" spans="6:6" x14ac:dyDescent="0.35">
      <c r="F612" s="488"/>
    </row>
    <row r="613" spans="6:6" x14ac:dyDescent="0.35">
      <c r="F613" s="488"/>
    </row>
    <row r="614" spans="6:6" x14ac:dyDescent="0.35">
      <c r="F614" s="488"/>
    </row>
    <row r="615" spans="6:6" x14ac:dyDescent="0.35">
      <c r="F615" s="488"/>
    </row>
    <row r="616" spans="6:6" x14ac:dyDescent="0.35">
      <c r="F616" s="488"/>
    </row>
    <row r="617" spans="6:6" x14ac:dyDescent="0.35">
      <c r="F617" s="488"/>
    </row>
    <row r="618" spans="6:6" x14ac:dyDescent="0.35">
      <c r="F618" s="488"/>
    </row>
    <row r="619" spans="6:6" x14ac:dyDescent="0.35">
      <c r="F619" s="488"/>
    </row>
    <row r="620" spans="6:6" x14ac:dyDescent="0.35">
      <c r="F620" s="488"/>
    </row>
    <row r="621" spans="6:6" x14ac:dyDescent="0.35">
      <c r="F621" s="488"/>
    </row>
    <row r="622" spans="6:6" x14ac:dyDescent="0.35">
      <c r="F622" s="488"/>
    </row>
    <row r="623" spans="6:6" x14ac:dyDescent="0.35">
      <c r="F623" s="488"/>
    </row>
    <row r="624" spans="6:6" x14ac:dyDescent="0.35">
      <c r="F624" s="488"/>
    </row>
    <row r="625" spans="6:6" x14ac:dyDescent="0.35">
      <c r="F625" s="488"/>
    </row>
    <row r="626" spans="6:6" x14ac:dyDescent="0.35">
      <c r="F626" s="488"/>
    </row>
    <row r="627" spans="6:6" x14ac:dyDescent="0.35">
      <c r="F627" s="488"/>
    </row>
    <row r="628" spans="6:6" x14ac:dyDescent="0.35">
      <c r="F628" s="488"/>
    </row>
    <row r="629" spans="6:6" x14ac:dyDescent="0.35">
      <c r="F629" s="488"/>
    </row>
    <row r="630" spans="6:6" x14ac:dyDescent="0.35">
      <c r="F630" s="488"/>
    </row>
    <row r="631" spans="6:6" x14ac:dyDescent="0.35">
      <c r="F631" s="488"/>
    </row>
    <row r="632" spans="6:6" x14ac:dyDescent="0.35">
      <c r="F632" s="488"/>
    </row>
    <row r="633" spans="6:6" x14ac:dyDescent="0.35">
      <c r="F633" s="488"/>
    </row>
    <row r="634" spans="6:6" x14ac:dyDescent="0.35">
      <c r="F634" s="488"/>
    </row>
    <row r="635" spans="6:6" x14ac:dyDescent="0.35">
      <c r="F635" s="488"/>
    </row>
    <row r="636" spans="6:6" x14ac:dyDescent="0.35">
      <c r="F636" s="488"/>
    </row>
    <row r="637" spans="6:6" x14ac:dyDescent="0.35">
      <c r="F637" s="488"/>
    </row>
    <row r="638" spans="6:6" x14ac:dyDescent="0.35">
      <c r="F638" s="488"/>
    </row>
    <row r="639" spans="6:6" x14ac:dyDescent="0.35">
      <c r="F639" s="488"/>
    </row>
    <row r="640" spans="6:6" x14ac:dyDescent="0.35">
      <c r="F640" s="488"/>
    </row>
    <row r="641" spans="6:6" x14ac:dyDescent="0.35">
      <c r="F641" s="488"/>
    </row>
    <row r="642" spans="6:6" x14ac:dyDescent="0.35">
      <c r="F642" s="488"/>
    </row>
    <row r="643" spans="6:6" x14ac:dyDescent="0.35">
      <c r="F643" s="488"/>
    </row>
    <row r="644" spans="6:6" x14ac:dyDescent="0.35">
      <c r="F644" s="488"/>
    </row>
    <row r="645" spans="6:6" x14ac:dyDescent="0.35">
      <c r="F645" s="488"/>
    </row>
    <row r="646" spans="6:6" x14ac:dyDescent="0.35">
      <c r="F646" s="488"/>
    </row>
    <row r="647" spans="6:6" x14ac:dyDescent="0.35">
      <c r="F647" s="488"/>
    </row>
    <row r="648" spans="6:6" x14ac:dyDescent="0.35">
      <c r="F648" s="488"/>
    </row>
    <row r="649" spans="6:6" x14ac:dyDescent="0.35">
      <c r="F649" s="488"/>
    </row>
    <row r="650" spans="6:6" x14ac:dyDescent="0.35">
      <c r="F650" s="488"/>
    </row>
    <row r="651" spans="6:6" x14ac:dyDescent="0.35">
      <c r="F651" s="488"/>
    </row>
    <row r="652" spans="6:6" x14ac:dyDescent="0.35">
      <c r="F652" s="488"/>
    </row>
    <row r="653" spans="6:6" x14ac:dyDescent="0.35">
      <c r="F653" s="488"/>
    </row>
    <row r="654" spans="6:6" x14ac:dyDescent="0.35">
      <c r="F654" s="488"/>
    </row>
    <row r="655" spans="6:6" x14ac:dyDescent="0.35">
      <c r="F655" s="488"/>
    </row>
    <row r="656" spans="6:6" x14ac:dyDescent="0.35">
      <c r="F656" s="488"/>
    </row>
    <row r="657" spans="6:6" x14ac:dyDescent="0.35">
      <c r="F657" s="488"/>
    </row>
    <row r="658" spans="6:6" x14ac:dyDescent="0.35">
      <c r="F658" s="488"/>
    </row>
    <row r="659" spans="6:6" x14ac:dyDescent="0.35">
      <c r="F659" s="488"/>
    </row>
    <row r="660" spans="6:6" x14ac:dyDescent="0.35">
      <c r="F660" s="488"/>
    </row>
    <row r="661" spans="6:6" x14ac:dyDescent="0.35">
      <c r="F661" s="488"/>
    </row>
    <row r="662" spans="6:6" x14ac:dyDescent="0.35">
      <c r="F662" s="488"/>
    </row>
    <row r="663" spans="6:6" x14ac:dyDescent="0.35">
      <c r="F663" s="488"/>
    </row>
    <row r="664" spans="6:6" x14ac:dyDescent="0.35">
      <c r="F664" s="488"/>
    </row>
    <row r="665" spans="6:6" x14ac:dyDescent="0.35">
      <c r="F665" s="488"/>
    </row>
    <row r="666" spans="6:6" x14ac:dyDescent="0.35">
      <c r="F666" s="488"/>
    </row>
    <row r="667" spans="6:6" x14ac:dyDescent="0.35">
      <c r="F667" s="488"/>
    </row>
    <row r="668" spans="6:6" x14ac:dyDescent="0.35">
      <c r="F668" s="488"/>
    </row>
    <row r="669" spans="6:6" x14ac:dyDescent="0.35">
      <c r="F669" s="488"/>
    </row>
    <row r="670" spans="6:6" x14ac:dyDescent="0.35">
      <c r="F670" s="488"/>
    </row>
    <row r="671" spans="6:6" x14ac:dyDescent="0.35">
      <c r="F671" s="488"/>
    </row>
    <row r="672" spans="6:6" x14ac:dyDescent="0.35">
      <c r="F672" s="488"/>
    </row>
    <row r="673" spans="6:6" x14ac:dyDescent="0.35">
      <c r="F673" s="488"/>
    </row>
    <row r="674" spans="6:6" x14ac:dyDescent="0.35">
      <c r="F674" s="488"/>
    </row>
    <row r="675" spans="6:6" x14ac:dyDescent="0.35">
      <c r="F675" s="488"/>
    </row>
    <row r="676" spans="6:6" x14ac:dyDescent="0.35">
      <c r="F676" s="488"/>
    </row>
    <row r="677" spans="6:6" x14ac:dyDescent="0.35">
      <c r="F677" s="488"/>
    </row>
    <row r="678" spans="6:6" x14ac:dyDescent="0.35">
      <c r="F678" s="488"/>
    </row>
    <row r="679" spans="6:6" x14ac:dyDescent="0.35">
      <c r="F679" s="488"/>
    </row>
    <row r="680" spans="6:6" x14ac:dyDescent="0.35">
      <c r="F680" s="488"/>
    </row>
    <row r="681" spans="6:6" x14ac:dyDescent="0.35">
      <c r="F681" s="488"/>
    </row>
    <row r="682" spans="6:6" x14ac:dyDescent="0.35">
      <c r="F682" s="488"/>
    </row>
    <row r="683" spans="6:6" x14ac:dyDescent="0.35">
      <c r="F683" s="488"/>
    </row>
    <row r="684" spans="6:6" x14ac:dyDescent="0.35">
      <c r="F684" s="488"/>
    </row>
    <row r="685" spans="6:6" x14ac:dyDescent="0.35">
      <c r="F685" s="488"/>
    </row>
    <row r="686" spans="6:6" x14ac:dyDescent="0.35">
      <c r="F686" s="488"/>
    </row>
    <row r="687" spans="6:6" x14ac:dyDescent="0.35">
      <c r="F687" s="488"/>
    </row>
    <row r="688" spans="6:6" x14ac:dyDescent="0.35">
      <c r="F688" s="488"/>
    </row>
    <row r="689" spans="6:6" x14ac:dyDescent="0.35">
      <c r="F689" s="488"/>
    </row>
    <row r="690" spans="6:6" x14ac:dyDescent="0.35">
      <c r="F690" s="488"/>
    </row>
    <row r="691" spans="6:6" x14ac:dyDescent="0.35">
      <c r="F691" s="488"/>
    </row>
    <row r="692" spans="6:6" x14ac:dyDescent="0.35">
      <c r="F692" s="488"/>
    </row>
    <row r="693" spans="6:6" x14ac:dyDescent="0.35">
      <c r="F693" s="488"/>
    </row>
    <row r="694" spans="6:6" x14ac:dyDescent="0.35">
      <c r="F694" s="488"/>
    </row>
    <row r="695" spans="6:6" x14ac:dyDescent="0.35">
      <c r="F695" s="488"/>
    </row>
    <row r="696" spans="6:6" x14ac:dyDescent="0.35">
      <c r="F696" s="488"/>
    </row>
    <row r="697" spans="6:6" x14ac:dyDescent="0.35">
      <c r="F697" s="488"/>
    </row>
    <row r="698" spans="6:6" x14ac:dyDescent="0.35">
      <c r="F698" s="488"/>
    </row>
    <row r="699" spans="6:6" x14ac:dyDescent="0.35">
      <c r="F699" s="488"/>
    </row>
    <row r="700" spans="6:6" x14ac:dyDescent="0.35">
      <c r="F700" s="488"/>
    </row>
    <row r="701" spans="6:6" x14ac:dyDescent="0.35">
      <c r="F701" s="488"/>
    </row>
    <row r="702" spans="6:6" x14ac:dyDescent="0.35">
      <c r="F702" s="488"/>
    </row>
    <row r="703" spans="6:6" x14ac:dyDescent="0.35">
      <c r="F703" s="488"/>
    </row>
    <row r="704" spans="6:6" x14ac:dyDescent="0.35">
      <c r="F704" s="488"/>
    </row>
    <row r="705" spans="6:6" x14ac:dyDescent="0.35">
      <c r="F705" s="488"/>
    </row>
    <row r="706" spans="6:6" x14ac:dyDescent="0.35">
      <c r="F706" s="488"/>
    </row>
    <row r="707" spans="6:6" x14ac:dyDescent="0.35">
      <c r="F707" s="488"/>
    </row>
    <row r="708" spans="6:6" x14ac:dyDescent="0.35">
      <c r="F708" s="488"/>
    </row>
    <row r="709" spans="6:6" x14ac:dyDescent="0.35">
      <c r="F709" s="488"/>
    </row>
    <row r="710" spans="6:6" x14ac:dyDescent="0.35">
      <c r="F710" s="488"/>
    </row>
    <row r="711" spans="6:6" x14ac:dyDescent="0.35">
      <c r="F711" s="488"/>
    </row>
    <row r="712" spans="6:6" x14ac:dyDescent="0.35">
      <c r="F712" s="488"/>
    </row>
    <row r="713" spans="6:6" x14ac:dyDescent="0.35">
      <c r="F713" s="488"/>
    </row>
    <row r="714" spans="6:6" x14ac:dyDescent="0.35">
      <c r="F714" s="488"/>
    </row>
    <row r="715" spans="6:6" x14ac:dyDescent="0.35">
      <c r="F715" s="488"/>
    </row>
    <row r="716" spans="6:6" x14ac:dyDescent="0.35">
      <c r="F716" s="488"/>
    </row>
    <row r="717" spans="6:6" x14ac:dyDescent="0.35">
      <c r="F717" s="488"/>
    </row>
    <row r="718" spans="6:6" x14ac:dyDescent="0.35">
      <c r="F718" s="488"/>
    </row>
    <row r="719" spans="6:6" x14ac:dyDescent="0.35">
      <c r="F719" s="488"/>
    </row>
    <row r="720" spans="6:6" x14ac:dyDescent="0.35">
      <c r="F720" s="488"/>
    </row>
    <row r="721" spans="6:6" x14ac:dyDescent="0.35">
      <c r="F721" s="488"/>
    </row>
    <row r="722" spans="6:6" x14ac:dyDescent="0.35">
      <c r="F722" s="488"/>
    </row>
    <row r="723" spans="6:6" x14ac:dyDescent="0.35">
      <c r="F723" s="488"/>
    </row>
    <row r="724" spans="6:6" x14ac:dyDescent="0.35">
      <c r="F724" s="488"/>
    </row>
    <row r="725" spans="6:6" x14ac:dyDescent="0.35">
      <c r="F725" s="488"/>
    </row>
    <row r="726" spans="6:6" x14ac:dyDescent="0.35">
      <c r="F726" s="488"/>
    </row>
    <row r="727" spans="6:6" x14ac:dyDescent="0.35">
      <c r="F727" s="488"/>
    </row>
    <row r="728" spans="6:6" x14ac:dyDescent="0.35">
      <c r="F728" s="488"/>
    </row>
    <row r="729" spans="6:6" x14ac:dyDescent="0.35">
      <c r="F729" s="488"/>
    </row>
    <row r="730" spans="6:6" x14ac:dyDescent="0.35">
      <c r="F730" s="488"/>
    </row>
    <row r="731" spans="6:6" x14ac:dyDescent="0.35">
      <c r="F731" s="488"/>
    </row>
    <row r="732" spans="6:6" x14ac:dyDescent="0.35">
      <c r="F732" s="488"/>
    </row>
    <row r="733" spans="6:6" x14ac:dyDescent="0.35">
      <c r="F733" s="488"/>
    </row>
    <row r="734" spans="6:6" x14ac:dyDescent="0.35">
      <c r="F734" s="488"/>
    </row>
    <row r="735" spans="6:6" x14ac:dyDescent="0.35">
      <c r="F735" s="488"/>
    </row>
    <row r="736" spans="6:6" x14ac:dyDescent="0.35">
      <c r="F736" s="488"/>
    </row>
    <row r="737" spans="6:6" x14ac:dyDescent="0.35">
      <c r="F737" s="488"/>
    </row>
    <row r="738" spans="6:6" x14ac:dyDescent="0.35">
      <c r="F738" s="488"/>
    </row>
    <row r="739" spans="6:6" x14ac:dyDescent="0.35">
      <c r="F739" s="488"/>
    </row>
    <row r="740" spans="6:6" x14ac:dyDescent="0.35">
      <c r="F740" s="488"/>
    </row>
    <row r="741" spans="6:6" x14ac:dyDescent="0.35">
      <c r="F741" s="488"/>
    </row>
    <row r="742" spans="6:6" x14ac:dyDescent="0.35">
      <c r="F742" s="488"/>
    </row>
    <row r="743" spans="6:6" x14ac:dyDescent="0.35">
      <c r="F743" s="488"/>
    </row>
    <row r="744" spans="6:6" x14ac:dyDescent="0.35">
      <c r="F744" s="488"/>
    </row>
    <row r="745" spans="6:6" x14ac:dyDescent="0.35">
      <c r="F745" s="488"/>
    </row>
    <row r="746" spans="6:6" x14ac:dyDescent="0.35">
      <c r="F746" s="488"/>
    </row>
    <row r="747" spans="6:6" x14ac:dyDescent="0.35">
      <c r="F747" s="488"/>
    </row>
    <row r="748" spans="6:6" x14ac:dyDescent="0.35">
      <c r="F748" s="488"/>
    </row>
    <row r="749" spans="6:6" x14ac:dyDescent="0.35">
      <c r="F749" s="488"/>
    </row>
    <row r="750" spans="6:6" x14ac:dyDescent="0.35">
      <c r="F750" s="488"/>
    </row>
    <row r="751" spans="6:6" x14ac:dyDescent="0.35">
      <c r="F751" s="488"/>
    </row>
    <row r="752" spans="6:6" x14ac:dyDescent="0.35">
      <c r="F752" s="488"/>
    </row>
    <row r="753" spans="6:6" x14ac:dyDescent="0.35">
      <c r="F753" s="488"/>
    </row>
    <row r="754" spans="6:6" x14ac:dyDescent="0.35">
      <c r="F754" s="488"/>
    </row>
    <row r="755" spans="6:6" x14ac:dyDescent="0.35">
      <c r="F755" s="488"/>
    </row>
    <row r="756" spans="6:6" x14ac:dyDescent="0.35">
      <c r="F756" s="488"/>
    </row>
    <row r="757" spans="6:6" x14ac:dyDescent="0.35">
      <c r="F757" s="488"/>
    </row>
    <row r="758" spans="6:6" x14ac:dyDescent="0.35">
      <c r="F758" s="488"/>
    </row>
    <row r="759" spans="6:6" x14ac:dyDescent="0.35">
      <c r="F759" s="488"/>
    </row>
    <row r="760" spans="6:6" x14ac:dyDescent="0.35">
      <c r="F760" s="488"/>
    </row>
    <row r="761" spans="6:6" x14ac:dyDescent="0.35">
      <c r="F761" s="488"/>
    </row>
    <row r="762" spans="6:6" x14ac:dyDescent="0.35">
      <c r="F762" s="488"/>
    </row>
    <row r="763" spans="6:6" x14ac:dyDescent="0.35">
      <c r="F763" s="488"/>
    </row>
    <row r="764" spans="6:6" x14ac:dyDescent="0.35">
      <c r="F764" s="488"/>
    </row>
    <row r="765" spans="6:6" x14ac:dyDescent="0.35">
      <c r="F765" s="488"/>
    </row>
    <row r="766" spans="6:6" x14ac:dyDescent="0.35">
      <c r="F766" s="488"/>
    </row>
    <row r="767" spans="6:6" x14ac:dyDescent="0.35">
      <c r="F767" s="488"/>
    </row>
    <row r="768" spans="6:6" x14ac:dyDescent="0.35">
      <c r="F768" s="488"/>
    </row>
    <row r="769" spans="6:6" x14ac:dyDescent="0.35">
      <c r="F769" s="488"/>
    </row>
    <row r="770" spans="6:6" x14ac:dyDescent="0.35">
      <c r="F770" s="488"/>
    </row>
    <row r="771" spans="6:6" x14ac:dyDescent="0.35">
      <c r="F771" s="488"/>
    </row>
    <row r="772" spans="6:6" x14ac:dyDescent="0.35">
      <c r="F772" s="488"/>
    </row>
    <row r="773" spans="6:6" x14ac:dyDescent="0.35">
      <c r="F773" s="488"/>
    </row>
    <row r="774" spans="6:6" x14ac:dyDescent="0.35">
      <c r="F774" s="488"/>
    </row>
    <row r="775" spans="6:6" x14ac:dyDescent="0.35">
      <c r="F775" s="488"/>
    </row>
    <row r="776" spans="6:6" x14ac:dyDescent="0.35">
      <c r="F776" s="488"/>
    </row>
    <row r="777" spans="6:6" x14ac:dyDescent="0.35">
      <c r="F777" s="488"/>
    </row>
    <row r="778" spans="6:6" x14ac:dyDescent="0.35">
      <c r="F778" s="488"/>
    </row>
    <row r="779" spans="6:6" x14ac:dyDescent="0.35">
      <c r="F779" s="488"/>
    </row>
    <row r="780" spans="6:6" x14ac:dyDescent="0.35">
      <c r="F780" s="488"/>
    </row>
    <row r="781" spans="6:6" x14ac:dyDescent="0.35">
      <c r="F781" s="488"/>
    </row>
    <row r="782" spans="6:6" x14ac:dyDescent="0.35">
      <c r="F782" s="488"/>
    </row>
    <row r="783" spans="6:6" x14ac:dyDescent="0.35">
      <c r="F783" s="488"/>
    </row>
    <row r="784" spans="6:6" x14ac:dyDescent="0.35">
      <c r="F784" s="488"/>
    </row>
    <row r="785" spans="6:6" x14ac:dyDescent="0.35">
      <c r="F785" s="488"/>
    </row>
    <row r="786" spans="6:6" x14ac:dyDescent="0.35">
      <c r="F786" s="488"/>
    </row>
    <row r="787" spans="6:6" x14ac:dyDescent="0.35">
      <c r="F787" s="488"/>
    </row>
    <row r="788" spans="6:6" x14ac:dyDescent="0.35">
      <c r="F788" s="488"/>
    </row>
    <row r="789" spans="6:6" x14ac:dyDescent="0.35">
      <c r="F789" s="488"/>
    </row>
    <row r="790" spans="6:6" x14ac:dyDescent="0.35">
      <c r="F790" s="488"/>
    </row>
    <row r="791" spans="6:6" x14ac:dyDescent="0.35">
      <c r="F791" s="488"/>
    </row>
    <row r="792" spans="6:6" x14ac:dyDescent="0.35">
      <c r="F792" s="488"/>
    </row>
    <row r="793" spans="6:6" x14ac:dyDescent="0.35">
      <c r="F793" s="488"/>
    </row>
    <row r="794" spans="6:6" x14ac:dyDescent="0.35">
      <c r="F794" s="488"/>
    </row>
    <row r="795" spans="6:6" x14ac:dyDescent="0.35">
      <c r="F795" s="488"/>
    </row>
    <row r="796" spans="6:6" x14ac:dyDescent="0.35">
      <c r="F796" s="488"/>
    </row>
    <row r="797" spans="6:6" x14ac:dyDescent="0.35">
      <c r="F797" s="488"/>
    </row>
    <row r="798" spans="6:6" x14ac:dyDescent="0.35">
      <c r="F798" s="488"/>
    </row>
    <row r="799" spans="6:6" x14ac:dyDescent="0.35">
      <c r="F799" s="488"/>
    </row>
    <row r="800" spans="6:6" x14ac:dyDescent="0.35">
      <c r="F800" s="488"/>
    </row>
    <row r="801" spans="6:6" x14ac:dyDescent="0.35">
      <c r="F801" s="488"/>
    </row>
    <row r="802" spans="6:6" x14ac:dyDescent="0.35">
      <c r="F802" s="488"/>
    </row>
    <row r="803" spans="6:6" x14ac:dyDescent="0.35">
      <c r="F803" s="488"/>
    </row>
    <row r="804" spans="6:6" x14ac:dyDescent="0.35">
      <c r="F804" s="488"/>
    </row>
    <row r="805" spans="6:6" x14ac:dyDescent="0.35">
      <c r="F805" s="488"/>
    </row>
    <row r="806" spans="6:6" x14ac:dyDescent="0.35">
      <c r="F806" s="488"/>
    </row>
    <row r="807" spans="6:6" x14ac:dyDescent="0.35">
      <c r="F807" s="488"/>
    </row>
    <row r="808" spans="6:6" x14ac:dyDescent="0.35">
      <c r="F808" s="488"/>
    </row>
    <row r="809" spans="6:6" x14ac:dyDescent="0.35">
      <c r="F809" s="488"/>
    </row>
    <row r="810" spans="6:6" x14ac:dyDescent="0.35">
      <c r="F810" s="488"/>
    </row>
    <row r="811" spans="6:6" x14ac:dyDescent="0.35">
      <c r="F811" s="488"/>
    </row>
    <row r="812" spans="6:6" x14ac:dyDescent="0.35">
      <c r="F812" s="488"/>
    </row>
    <row r="813" spans="6:6" x14ac:dyDescent="0.35">
      <c r="F813" s="488"/>
    </row>
    <row r="814" spans="6:6" x14ac:dyDescent="0.35">
      <c r="F814" s="488"/>
    </row>
    <row r="815" spans="6:6" x14ac:dyDescent="0.35">
      <c r="F815" s="488"/>
    </row>
    <row r="816" spans="6:6" x14ac:dyDescent="0.35">
      <c r="F816" s="488"/>
    </row>
    <row r="817" spans="6:6" x14ac:dyDescent="0.35">
      <c r="F817" s="488"/>
    </row>
    <row r="818" spans="6:6" x14ac:dyDescent="0.35">
      <c r="F818" s="488"/>
    </row>
    <row r="819" spans="6:6" x14ac:dyDescent="0.35">
      <c r="F819" s="488"/>
    </row>
    <row r="820" spans="6:6" x14ac:dyDescent="0.35">
      <c r="F820" s="488"/>
    </row>
    <row r="821" spans="6:6" x14ac:dyDescent="0.35">
      <c r="F821" s="488"/>
    </row>
    <row r="822" spans="6:6" x14ac:dyDescent="0.35">
      <c r="F822" s="488"/>
    </row>
    <row r="823" spans="6:6" x14ac:dyDescent="0.35">
      <c r="F823" s="488"/>
    </row>
    <row r="824" spans="6:6" x14ac:dyDescent="0.35">
      <c r="F824" s="488"/>
    </row>
    <row r="825" spans="6:6" x14ac:dyDescent="0.35">
      <c r="F825" s="488"/>
    </row>
    <row r="826" spans="6:6" x14ac:dyDescent="0.35">
      <c r="F826" s="488"/>
    </row>
    <row r="827" spans="6:6" x14ac:dyDescent="0.35">
      <c r="F827" s="488"/>
    </row>
    <row r="828" spans="6:6" x14ac:dyDescent="0.35">
      <c r="F828" s="488"/>
    </row>
    <row r="829" spans="6:6" x14ac:dyDescent="0.35">
      <c r="F829" s="488"/>
    </row>
    <row r="830" spans="6:6" x14ac:dyDescent="0.35">
      <c r="F830" s="488"/>
    </row>
    <row r="831" spans="6:6" x14ac:dyDescent="0.35">
      <c r="F831" s="488"/>
    </row>
    <row r="832" spans="6:6" x14ac:dyDescent="0.35">
      <c r="F832" s="488"/>
    </row>
    <row r="833" spans="6:6" x14ac:dyDescent="0.35">
      <c r="F833" s="488"/>
    </row>
    <row r="834" spans="6:6" x14ac:dyDescent="0.35">
      <c r="F834" s="488"/>
    </row>
    <row r="835" spans="6:6" x14ac:dyDescent="0.35">
      <c r="F835" s="488"/>
    </row>
    <row r="836" spans="6:6" x14ac:dyDescent="0.35">
      <c r="F836" s="488"/>
    </row>
    <row r="837" spans="6:6" x14ac:dyDescent="0.35">
      <c r="F837" s="488"/>
    </row>
    <row r="838" spans="6:6" x14ac:dyDescent="0.35">
      <c r="F838" s="488"/>
    </row>
    <row r="839" spans="6:6" x14ac:dyDescent="0.35">
      <c r="F839" s="488"/>
    </row>
    <row r="840" spans="6:6" x14ac:dyDescent="0.35">
      <c r="F840" s="488"/>
    </row>
    <row r="841" spans="6:6" x14ac:dyDescent="0.35">
      <c r="F841" s="488"/>
    </row>
    <row r="842" spans="6:6" x14ac:dyDescent="0.35">
      <c r="F842" s="488"/>
    </row>
    <row r="843" spans="6:6" x14ac:dyDescent="0.35">
      <c r="F843" s="488"/>
    </row>
    <row r="844" spans="6:6" x14ac:dyDescent="0.35">
      <c r="F844" s="488"/>
    </row>
    <row r="845" spans="6:6" x14ac:dyDescent="0.35">
      <c r="F845" s="488"/>
    </row>
    <row r="846" spans="6:6" x14ac:dyDescent="0.35">
      <c r="F846" s="488"/>
    </row>
    <row r="847" spans="6:6" x14ac:dyDescent="0.35">
      <c r="F847" s="488"/>
    </row>
    <row r="848" spans="6:6" x14ac:dyDescent="0.35">
      <c r="F848" s="488"/>
    </row>
    <row r="849" spans="6:6" x14ac:dyDescent="0.35">
      <c r="F849" s="488"/>
    </row>
    <row r="850" spans="6:6" x14ac:dyDescent="0.35">
      <c r="F850" s="488"/>
    </row>
    <row r="851" spans="6:6" x14ac:dyDescent="0.35">
      <c r="F851" s="488"/>
    </row>
    <row r="852" spans="6:6" x14ac:dyDescent="0.35">
      <c r="F852" s="488"/>
    </row>
    <row r="853" spans="6:6" x14ac:dyDescent="0.35">
      <c r="F853" s="488"/>
    </row>
    <row r="854" spans="6:6" x14ac:dyDescent="0.35">
      <c r="F854" s="488"/>
    </row>
    <row r="855" spans="6:6" x14ac:dyDescent="0.35">
      <c r="F855" s="488"/>
    </row>
    <row r="856" spans="6:6" x14ac:dyDescent="0.35">
      <c r="F856" s="488"/>
    </row>
    <row r="857" spans="6:6" x14ac:dyDescent="0.35">
      <c r="F857" s="488"/>
    </row>
    <row r="858" spans="6:6" x14ac:dyDescent="0.35">
      <c r="F858" s="488"/>
    </row>
    <row r="859" spans="6:6" x14ac:dyDescent="0.35">
      <c r="F859" s="488"/>
    </row>
    <row r="860" spans="6:6" x14ac:dyDescent="0.35">
      <c r="F860" s="488"/>
    </row>
    <row r="861" spans="6:6" x14ac:dyDescent="0.35">
      <c r="F861" s="488"/>
    </row>
    <row r="862" spans="6:6" x14ac:dyDescent="0.35">
      <c r="F862" s="488"/>
    </row>
    <row r="863" spans="6:6" x14ac:dyDescent="0.35">
      <c r="F863" s="488"/>
    </row>
    <row r="864" spans="6:6" x14ac:dyDescent="0.35">
      <c r="F864" s="488"/>
    </row>
    <row r="865" spans="6:6" x14ac:dyDescent="0.35">
      <c r="F865" s="488"/>
    </row>
    <row r="866" spans="6:6" x14ac:dyDescent="0.35">
      <c r="F866" s="488"/>
    </row>
    <row r="867" spans="6:6" x14ac:dyDescent="0.35">
      <c r="F867" s="488"/>
    </row>
    <row r="868" spans="6:6" x14ac:dyDescent="0.35">
      <c r="F868" s="488"/>
    </row>
    <row r="869" spans="6:6" x14ac:dyDescent="0.35">
      <c r="F869" s="488"/>
    </row>
    <row r="870" spans="6:6" x14ac:dyDescent="0.35">
      <c r="F870" s="488"/>
    </row>
    <row r="871" spans="6:6" x14ac:dyDescent="0.35">
      <c r="F871" s="488"/>
    </row>
    <row r="872" spans="6:6" x14ac:dyDescent="0.35">
      <c r="F872" s="488"/>
    </row>
    <row r="873" spans="6:6" x14ac:dyDescent="0.35">
      <c r="F873" s="488"/>
    </row>
    <row r="874" spans="6:6" x14ac:dyDescent="0.35">
      <c r="F874" s="488"/>
    </row>
    <row r="875" spans="6:6" x14ac:dyDescent="0.35">
      <c r="F875" s="488"/>
    </row>
    <row r="876" spans="6:6" x14ac:dyDescent="0.35">
      <c r="F876" s="488"/>
    </row>
    <row r="877" spans="6:6" x14ac:dyDescent="0.35">
      <c r="F877" s="488"/>
    </row>
    <row r="878" spans="6:6" x14ac:dyDescent="0.35">
      <c r="F878" s="488"/>
    </row>
    <row r="879" spans="6:6" x14ac:dyDescent="0.35">
      <c r="F879" s="488"/>
    </row>
    <row r="880" spans="6:6" x14ac:dyDescent="0.35">
      <c r="F880" s="488"/>
    </row>
    <row r="881" spans="6:6" x14ac:dyDescent="0.35">
      <c r="F881" s="488"/>
    </row>
    <row r="882" spans="6:6" x14ac:dyDescent="0.35">
      <c r="F882" s="488"/>
    </row>
    <row r="883" spans="6:6" x14ac:dyDescent="0.35">
      <c r="F883" s="488"/>
    </row>
    <row r="884" spans="6:6" x14ac:dyDescent="0.35">
      <c r="F884" s="488"/>
    </row>
    <row r="885" spans="6:6" x14ac:dyDescent="0.35">
      <c r="F885" s="488"/>
    </row>
    <row r="886" spans="6:6" x14ac:dyDescent="0.35">
      <c r="F886" s="488"/>
    </row>
    <row r="887" spans="6:6" x14ac:dyDescent="0.35">
      <c r="F887" s="488"/>
    </row>
    <row r="888" spans="6:6" x14ac:dyDescent="0.35">
      <c r="F888" s="488"/>
    </row>
    <row r="889" spans="6:6" x14ac:dyDescent="0.35">
      <c r="F889" s="488"/>
    </row>
    <row r="890" spans="6:6" x14ac:dyDescent="0.35">
      <c r="F890" s="488"/>
    </row>
    <row r="891" spans="6:6" x14ac:dyDescent="0.35">
      <c r="F891" s="488"/>
    </row>
    <row r="892" spans="6:6" x14ac:dyDescent="0.35">
      <c r="F892" s="488"/>
    </row>
    <row r="893" spans="6:6" x14ac:dyDescent="0.35">
      <c r="F893" s="488"/>
    </row>
    <row r="894" spans="6:6" x14ac:dyDescent="0.35">
      <c r="F894" s="488"/>
    </row>
    <row r="895" spans="6:6" x14ac:dyDescent="0.35">
      <c r="F895" s="488"/>
    </row>
    <row r="896" spans="6:6" x14ac:dyDescent="0.35">
      <c r="F896" s="488"/>
    </row>
    <row r="897" spans="6:6" x14ac:dyDescent="0.35">
      <c r="F897" s="488"/>
    </row>
    <row r="898" spans="6:6" x14ac:dyDescent="0.35">
      <c r="F898" s="488"/>
    </row>
    <row r="899" spans="6:6" x14ac:dyDescent="0.35">
      <c r="F899" s="488"/>
    </row>
    <row r="900" spans="6:6" x14ac:dyDescent="0.35">
      <c r="F900" s="488"/>
    </row>
    <row r="901" spans="6:6" x14ac:dyDescent="0.35">
      <c r="F901" s="488"/>
    </row>
    <row r="902" spans="6:6" x14ac:dyDescent="0.35">
      <c r="F902" s="488"/>
    </row>
    <row r="903" spans="6:6" x14ac:dyDescent="0.35">
      <c r="F903" s="488"/>
    </row>
    <row r="904" spans="6:6" x14ac:dyDescent="0.35">
      <c r="F904" s="488"/>
    </row>
    <row r="905" spans="6:6" x14ac:dyDescent="0.35">
      <c r="F905" s="488"/>
    </row>
    <row r="906" spans="6:6" x14ac:dyDescent="0.35">
      <c r="F906" s="488"/>
    </row>
    <row r="907" spans="6:6" x14ac:dyDescent="0.35">
      <c r="F907" s="488"/>
    </row>
    <row r="908" spans="6:6" x14ac:dyDescent="0.35">
      <c r="F908" s="488"/>
    </row>
    <row r="909" spans="6:6" x14ac:dyDescent="0.35">
      <c r="F909" s="488"/>
    </row>
    <row r="910" spans="6:6" x14ac:dyDescent="0.35">
      <c r="F910" s="488"/>
    </row>
    <row r="911" spans="6:6" x14ac:dyDescent="0.35">
      <c r="F911" s="488"/>
    </row>
    <row r="912" spans="6:6" x14ac:dyDescent="0.35">
      <c r="F912" s="488"/>
    </row>
    <row r="913" spans="6:6" x14ac:dyDescent="0.35">
      <c r="F913" s="488"/>
    </row>
    <row r="914" spans="6:6" x14ac:dyDescent="0.35">
      <c r="F914" s="488"/>
    </row>
    <row r="915" spans="6:6" x14ac:dyDescent="0.35">
      <c r="F915" s="488"/>
    </row>
    <row r="916" spans="6:6" x14ac:dyDescent="0.35">
      <c r="F916" s="488"/>
    </row>
    <row r="917" spans="6:6" x14ac:dyDescent="0.35">
      <c r="F917" s="488"/>
    </row>
    <row r="918" spans="6:6" x14ac:dyDescent="0.35">
      <c r="F918" s="488"/>
    </row>
    <row r="919" spans="6:6" x14ac:dyDescent="0.35">
      <c r="F919" s="488"/>
    </row>
    <row r="920" spans="6:6" x14ac:dyDescent="0.35">
      <c r="F920" s="488"/>
    </row>
    <row r="921" spans="6:6" x14ac:dyDescent="0.35">
      <c r="F921" s="488"/>
    </row>
    <row r="922" spans="6:6" x14ac:dyDescent="0.35">
      <c r="F922" s="488"/>
    </row>
    <row r="923" spans="6:6" x14ac:dyDescent="0.35">
      <c r="F923" s="488"/>
    </row>
    <row r="924" spans="6:6" x14ac:dyDescent="0.35">
      <c r="F924" s="488"/>
    </row>
    <row r="925" spans="6:6" x14ac:dyDescent="0.35">
      <c r="F925" s="488"/>
    </row>
    <row r="926" spans="6:6" x14ac:dyDescent="0.35">
      <c r="F926" s="488"/>
    </row>
    <row r="927" spans="6:6" x14ac:dyDescent="0.35">
      <c r="F927" s="488"/>
    </row>
    <row r="928" spans="6:6" x14ac:dyDescent="0.35">
      <c r="F928" s="488"/>
    </row>
    <row r="929" spans="6:6" x14ac:dyDescent="0.35">
      <c r="F929" s="488"/>
    </row>
    <row r="930" spans="6:6" x14ac:dyDescent="0.35">
      <c r="F930" s="488"/>
    </row>
    <row r="931" spans="6:6" x14ac:dyDescent="0.35">
      <c r="F931" s="488"/>
    </row>
    <row r="932" spans="6:6" x14ac:dyDescent="0.35">
      <c r="F932" s="488"/>
    </row>
    <row r="933" spans="6:6" x14ac:dyDescent="0.35">
      <c r="F933" s="488"/>
    </row>
    <row r="934" spans="6:6" x14ac:dyDescent="0.35">
      <c r="F934" s="488"/>
    </row>
    <row r="935" spans="6:6" x14ac:dyDescent="0.35">
      <c r="F935" s="488"/>
    </row>
    <row r="936" spans="6:6" x14ac:dyDescent="0.35">
      <c r="F936" s="488"/>
    </row>
    <row r="937" spans="6:6" x14ac:dyDescent="0.35">
      <c r="F937" s="488"/>
    </row>
    <row r="938" spans="6:6" x14ac:dyDescent="0.35">
      <c r="F938" s="488"/>
    </row>
    <row r="939" spans="6:6" x14ac:dyDescent="0.35">
      <c r="F939" s="488"/>
    </row>
    <row r="940" spans="6:6" x14ac:dyDescent="0.35">
      <c r="F940" s="488"/>
    </row>
    <row r="941" spans="6:6" x14ac:dyDescent="0.35">
      <c r="F941" s="488"/>
    </row>
    <row r="942" spans="6:6" x14ac:dyDescent="0.35">
      <c r="F942" s="488"/>
    </row>
    <row r="943" spans="6:6" x14ac:dyDescent="0.35">
      <c r="F943" s="488"/>
    </row>
    <row r="944" spans="6:6" x14ac:dyDescent="0.35">
      <c r="F944" s="488"/>
    </row>
    <row r="945" spans="6:6" x14ac:dyDescent="0.35">
      <c r="F945" s="488"/>
    </row>
    <row r="946" spans="6:6" x14ac:dyDescent="0.35">
      <c r="F946" s="488"/>
    </row>
    <row r="947" spans="6:6" x14ac:dyDescent="0.35">
      <c r="F947" s="488"/>
    </row>
    <row r="948" spans="6:6" x14ac:dyDescent="0.35">
      <c r="F948" s="488"/>
    </row>
    <row r="949" spans="6:6" x14ac:dyDescent="0.35">
      <c r="F949" s="488"/>
    </row>
    <row r="950" spans="6:6" x14ac:dyDescent="0.35">
      <c r="F950" s="488"/>
    </row>
    <row r="951" spans="6:6" x14ac:dyDescent="0.35">
      <c r="F951" s="488"/>
    </row>
    <row r="952" spans="6:6" x14ac:dyDescent="0.35">
      <c r="F952" s="488"/>
    </row>
    <row r="953" spans="6:6" x14ac:dyDescent="0.35">
      <c r="F953" s="488"/>
    </row>
    <row r="954" spans="6:6" x14ac:dyDescent="0.35">
      <c r="F954" s="488"/>
    </row>
    <row r="955" spans="6:6" x14ac:dyDescent="0.35">
      <c r="F955" s="488"/>
    </row>
    <row r="956" spans="6:6" x14ac:dyDescent="0.35">
      <c r="F956" s="488"/>
    </row>
    <row r="957" spans="6:6" x14ac:dyDescent="0.35">
      <c r="F957" s="488"/>
    </row>
    <row r="958" spans="6:6" x14ac:dyDescent="0.35">
      <c r="F958" s="488"/>
    </row>
    <row r="959" spans="6:6" x14ac:dyDescent="0.35">
      <c r="F959" s="488"/>
    </row>
    <row r="960" spans="6:6" x14ac:dyDescent="0.35">
      <c r="F960" s="488"/>
    </row>
    <row r="961" spans="6:6" x14ac:dyDescent="0.35">
      <c r="F961" s="488"/>
    </row>
    <row r="962" spans="6:6" x14ac:dyDescent="0.35">
      <c r="F962" s="488"/>
    </row>
    <row r="963" spans="6:6" x14ac:dyDescent="0.35">
      <c r="F963" s="488"/>
    </row>
    <row r="964" spans="6:6" x14ac:dyDescent="0.35">
      <c r="F964" s="488"/>
    </row>
    <row r="965" spans="6:6" x14ac:dyDescent="0.35">
      <c r="F965" s="488"/>
    </row>
    <row r="966" spans="6:6" x14ac:dyDescent="0.35">
      <c r="F966" s="488"/>
    </row>
    <row r="967" spans="6:6" x14ac:dyDescent="0.35">
      <c r="F967" s="488"/>
    </row>
    <row r="968" spans="6:6" x14ac:dyDescent="0.35">
      <c r="F968" s="488"/>
    </row>
    <row r="969" spans="6:6" x14ac:dyDescent="0.35">
      <c r="F969" s="488"/>
    </row>
    <row r="970" spans="6:6" x14ac:dyDescent="0.35">
      <c r="F970" s="488"/>
    </row>
    <row r="971" spans="6:6" x14ac:dyDescent="0.35">
      <c r="F971" s="488"/>
    </row>
    <row r="972" spans="6:6" x14ac:dyDescent="0.35">
      <c r="F972" s="488"/>
    </row>
    <row r="973" spans="6:6" x14ac:dyDescent="0.35">
      <c r="F973" s="488"/>
    </row>
    <row r="974" spans="6:6" x14ac:dyDescent="0.35">
      <c r="F974" s="488"/>
    </row>
    <row r="975" spans="6:6" x14ac:dyDescent="0.35">
      <c r="F975" s="488"/>
    </row>
    <row r="976" spans="6:6" x14ac:dyDescent="0.35">
      <c r="F976" s="488"/>
    </row>
    <row r="977" spans="6:6" x14ac:dyDescent="0.35">
      <c r="F977" s="488"/>
    </row>
    <row r="978" spans="6:6" x14ac:dyDescent="0.35">
      <c r="F978" s="488"/>
    </row>
    <row r="979" spans="6:6" x14ac:dyDescent="0.35">
      <c r="F979" s="488"/>
    </row>
    <row r="980" spans="6:6" x14ac:dyDescent="0.35">
      <c r="F980" s="488"/>
    </row>
    <row r="981" spans="6:6" x14ac:dyDescent="0.35">
      <c r="F981" s="488"/>
    </row>
    <row r="982" spans="6:6" x14ac:dyDescent="0.35">
      <c r="F982" s="488"/>
    </row>
    <row r="983" spans="6:6" x14ac:dyDescent="0.35">
      <c r="F983" s="488"/>
    </row>
    <row r="984" spans="6:6" x14ac:dyDescent="0.35">
      <c r="F984" s="488"/>
    </row>
    <row r="985" spans="6:6" x14ac:dyDescent="0.35">
      <c r="F985" s="488"/>
    </row>
    <row r="986" spans="6:6" x14ac:dyDescent="0.35">
      <c r="F986" s="488"/>
    </row>
    <row r="987" spans="6:6" x14ac:dyDescent="0.35">
      <c r="F987" s="488"/>
    </row>
    <row r="988" spans="6:6" x14ac:dyDescent="0.35">
      <c r="F988" s="488"/>
    </row>
    <row r="989" spans="6:6" x14ac:dyDescent="0.35">
      <c r="F989" s="488"/>
    </row>
    <row r="990" spans="6:6" x14ac:dyDescent="0.35">
      <c r="F990" s="488"/>
    </row>
    <row r="991" spans="6:6" x14ac:dyDescent="0.35">
      <c r="F991" s="488"/>
    </row>
    <row r="992" spans="6:6" x14ac:dyDescent="0.35">
      <c r="F992" s="488"/>
    </row>
    <row r="993" spans="6:6" x14ac:dyDescent="0.35">
      <c r="F993" s="488"/>
    </row>
    <row r="994" spans="6:6" x14ac:dyDescent="0.35">
      <c r="F994" s="488"/>
    </row>
    <row r="995" spans="6:6" x14ac:dyDescent="0.35">
      <c r="F995" s="488"/>
    </row>
    <row r="996" spans="6:6" x14ac:dyDescent="0.35">
      <c r="F996" s="488"/>
    </row>
    <row r="997" spans="6:6" x14ac:dyDescent="0.35">
      <c r="F997" s="488"/>
    </row>
    <row r="998" spans="6:6" x14ac:dyDescent="0.35">
      <c r="F998" s="488"/>
    </row>
    <row r="999" spans="6:6" x14ac:dyDescent="0.35">
      <c r="F999" s="488"/>
    </row>
    <row r="1000" spans="6:6" x14ac:dyDescent="0.35">
      <c r="F1000" s="488"/>
    </row>
    <row r="1001" spans="6:6" x14ac:dyDescent="0.35">
      <c r="F1001" s="488"/>
    </row>
    <row r="1002" spans="6:6" x14ac:dyDescent="0.35">
      <c r="F1002" s="488"/>
    </row>
    <row r="1003" spans="6:6" x14ac:dyDescent="0.35">
      <c r="F1003" s="488"/>
    </row>
    <row r="1004" spans="6:6" x14ac:dyDescent="0.35">
      <c r="F1004" s="488"/>
    </row>
    <row r="1005" spans="6:6" x14ac:dyDescent="0.35">
      <c r="F1005" s="488"/>
    </row>
    <row r="1006" spans="6:6" x14ac:dyDescent="0.35">
      <c r="F1006" s="488"/>
    </row>
    <row r="1007" spans="6:6" x14ac:dyDescent="0.35">
      <c r="F1007" s="488"/>
    </row>
    <row r="1008" spans="6:6" x14ac:dyDescent="0.35">
      <c r="F1008" s="488"/>
    </row>
    <row r="1009" spans="6:6" x14ac:dyDescent="0.35">
      <c r="F1009" s="488"/>
    </row>
    <row r="1010" spans="6:6" x14ac:dyDescent="0.35">
      <c r="F1010" s="488"/>
    </row>
    <row r="1011" spans="6:6" x14ac:dyDescent="0.35">
      <c r="F1011" s="488"/>
    </row>
    <row r="1012" spans="6:6" x14ac:dyDescent="0.35">
      <c r="F1012" s="488"/>
    </row>
    <row r="1013" spans="6:6" x14ac:dyDescent="0.35">
      <c r="F1013" s="488"/>
    </row>
    <row r="1014" spans="6:6" x14ac:dyDescent="0.35">
      <c r="F1014" s="488"/>
    </row>
    <row r="1015" spans="6:6" x14ac:dyDescent="0.35">
      <c r="F1015" s="488"/>
    </row>
    <row r="1016" spans="6:6" x14ac:dyDescent="0.35">
      <c r="F1016" s="488"/>
    </row>
    <row r="1017" spans="6:6" x14ac:dyDescent="0.35">
      <c r="F1017" s="488"/>
    </row>
    <row r="1018" spans="6:6" x14ac:dyDescent="0.35">
      <c r="F1018" s="488"/>
    </row>
    <row r="1019" spans="6:6" x14ac:dyDescent="0.35">
      <c r="F1019" s="488"/>
    </row>
    <row r="1020" spans="6:6" x14ac:dyDescent="0.35">
      <c r="F1020" s="488"/>
    </row>
    <row r="1021" spans="6:6" x14ac:dyDescent="0.35">
      <c r="F1021" s="488"/>
    </row>
    <row r="1022" spans="6:6" x14ac:dyDescent="0.35">
      <c r="F1022" s="488"/>
    </row>
    <row r="1023" spans="6:6" x14ac:dyDescent="0.35">
      <c r="F1023" s="488"/>
    </row>
    <row r="1024" spans="6:6" x14ac:dyDescent="0.35">
      <c r="F1024" s="488"/>
    </row>
    <row r="1025" spans="6:6" x14ac:dyDescent="0.35">
      <c r="F1025" s="488"/>
    </row>
    <row r="1026" spans="6:6" x14ac:dyDescent="0.35">
      <c r="F1026" s="488"/>
    </row>
    <row r="1027" spans="6:6" x14ac:dyDescent="0.35">
      <c r="F1027" s="488"/>
    </row>
    <row r="1028" spans="6:6" x14ac:dyDescent="0.35">
      <c r="F1028" s="488"/>
    </row>
    <row r="1029" spans="6:6" x14ac:dyDescent="0.35">
      <c r="F1029" s="488"/>
    </row>
    <row r="1030" spans="6:6" x14ac:dyDescent="0.35">
      <c r="F1030" s="488"/>
    </row>
    <row r="1031" spans="6:6" x14ac:dyDescent="0.35">
      <c r="F1031" s="488"/>
    </row>
    <row r="1032" spans="6:6" x14ac:dyDescent="0.35">
      <c r="F1032" s="488"/>
    </row>
    <row r="1033" spans="6:6" x14ac:dyDescent="0.35">
      <c r="F1033" s="488"/>
    </row>
    <row r="1034" spans="6:6" x14ac:dyDescent="0.35">
      <c r="F1034" s="488"/>
    </row>
    <row r="1035" spans="6:6" x14ac:dyDescent="0.35">
      <c r="F1035" s="488"/>
    </row>
    <row r="1036" spans="6:6" x14ac:dyDescent="0.35">
      <c r="F1036" s="488"/>
    </row>
    <row r="1037" spans="6:6" x14ac:dyDescent="0.35">
      <c r="F1037" s="488"/>
    </row>
    <row r="1038" spans="6:6" x14ac:dyDescent="0.35">
      <c r="F1038" s="488"/>
    </row>
    <row r="1039" spans="6:6" x14ac:dyDescent="0.35">
      <c r="F1039" s="488"/>
    </row>
    <row r="1040" spans="6:6" x14ac:dyDescent="0.35">
      <c r="F1040" s="488"/>
    </row>
    <row r="1041" spans="6:6" x14ac:dyDescent="0.35">
      <c r="F1041" s="488"/>
    </row>
    <row r="1042" spans="6:6" x14ac:dyDescent="0.35">
      <c r="F1042" s="488"/>
    </row>
    <row r="1043" spans="6:6" x14ac:dyDescent="0.35">
      <c r="F1043" s="488"/>
    </row>
    <row r="1044" spans="6:6" x14ac:dyDescent="0.35">
      <c r="F1044" s="488"/>
    </row>
    <row r="1045" spans="6:6" x14ac:dyDescent="0.35">
      <c r="F1045" s="488"/>
    </row>
    <row r="1046" spans="6:6" x14ac:dyDescent="0.35">
      <c r="F1046" s="488"/>
    </row>
    <row r="1047" spans="6:6" x14ac:dyDescent="0.35">
      <c r="F1047" s="488"/>
    </row>
    <row r="1048" spans="6:6" x14ac:dyDescent="0.35">
      <c r="F1048" s="488"/>
    </row>
    <row r="1049" spans="6:6" x14ac:dyDescent="0.35">
      <c r="F1049" s="488"/>
    </row>
    <row r="1050" spans="6:6" x14ac:dyDescent="0.35">
      <c r="F1050" s="488"/>
    </row>
    <row r="1051" spans="6:6" x14ac:dyDescent="0.35">
      <c r="F1051" s="488"/>
    </row>
    <row r="1052" spans="6:6" x14ac:dyDescent="0.35">
      <c r="F1052" s="488"/>
    </row>
    <row r="1053" spans="6:6" x14ac:dyDescent="0.35">
      <c r="F1053" s="488"/>
    </row>
    <row r="1054" spans="6:6" x14ac:dyDescent="0.35">
      <c r="F1054" s="488"/>
    </row>
    <row r="1055" spans="6:6" x14ac:dyDescent="0.35">
      <c r="F1055" s="488"/>
    </row>
    <row r="1056" spans="6:6" x14ac:dyDescent="0.35">
      <c r="F1056" s="488"/>
    </row>
    <row r="1057" spans="6:6" x14ac:dyDescent="0.35">
      <c r="F1057" s="488"/>
    </row>
    <row r="1058" spans="6:6" x14ac:dyDescent="0.35">
      <c r="F1058" s="488"/>
    </row>
    <row r="1059" spans="6:6" x14ac:dyDescent="0.35">
      <c r="F1059" s="488"/>
    </row>
    <row r="1060" spans="6:6" x14ac:dyDescent="0.35">
      <c r="F1060" s="488"/>
    </row>
    <row r="1061" spans="6:6" x14ac:dyDescent="0.35">
      <c r="F1061" s="488"/>
    </row>
    <row r="1062" spans="6:6" x14ac:dyDescent="0.35">
      <c r="F1062" s="488"/>
    </row>
    <row r="1063" spans="6:6" x14ac:dyDescent="0.35">
      <c r="F1063" s="488"/>
    </row>
    <row r="1064" spans="6:6" x14ac:dyDescent="0.35">
      <c r="F1064" s="488"/>
    </row>
    <row r="1065" spans="6:6" x14ac:dyDescent="0.35">
      <c r="F1065" s="488"/>
    </row>
    <row r="1066" spans="6:6" x14ac:dyDescent="0.35">
      <c r="F1066" s="488"/>
    </row>
    <row r="1067" spans="6:6" x14ac:dyDescent="0.35">
      <c r="F1067" s="488"/>
    </row>
    <row r="1068" spans="6:6" x14ac:dyDescent="0.35">
      <c r="F1068" s="488"/>
    </row>
    <row r="1069" spans="6:6" x14ac:dyDescent="0.35">
      <c r="F1069" s="488"/>
    </row>
    <row r="1070" spans="6:6" x14ac:dyDescent="0.35">
      <c r="F1070" s="488"/>
    </row>
    <row r="1071" spans="6:6" x14ac:dyDescent="0.35">
      <c r="F1071" s="488"/>
    </row>
    <row r="1072" spans="6:6" x14ac:dyDescent="0.35">
      <c r="F1072" s="488"/>
    </row>
    <row r="1073" spans="6:6" x14ac:dyDescent="0.35">
      <c r="F1073" s="488"/>
    </row>
    <row r="1074" spans="6:6" x14ac:dyDescent="0.35">
      <c r="F1074" s="488"/>
    </row>
    <row r="1075" spans="6:6" x14ac:dyDescent="0.35">
      <c r="F1075" s="488"/>
    </row>
    <row r="1076" spans="6:6" x14ac:dyDescent="0.35">
      <c r="F1076" s="488"/>
    </row>
    <row r="1077" spans="6:6" x14ac:dyDescent="0.35">
      <c r="F1077" s="488"/>
    </row>
    <row r="1078" spans="6:6" x14ac:dyDescent="0.35">
      <c r="F1078" s="488"/>
    </row>
    <row r="1079" spans="6:6" x14ac:dyDescent="0.35">
      <c r="F1079" s="488"/>
    </row>
    <row r="1080" spans="6:6" x14ac:dyDescent="0.35">
      <c r="F1080" s="488"/>
    </row>
    <row r="1081" spans="6:6" x14ac:dyDescent="0.35">
      <c r="F1081" s="488"/>
    </row>
    <row r="1082" spans="6:6" x14ac:dyDescent="0.35">
      <c r="F1082" s="488"/>
    </row>
    <row r="1083" spans="6:6" x14ac:dyDescent="0.35">
      <c r="F1083" s="488"/>
    </row>
    <row r="1084" spans="6:6" x14ac:dyDescent="0.35">
      <c r="F1084" s="488"/>
    </row>
    <row r="1085" spans="6:6" x14ac:dyDescent="0.35">
      <c r="F1085" s="488"/>
    </row>
    <row r="1086" spans="6:6" x14ac:dyDescent="0.35">
      <c r="F1086" s="488"/>
    </row>
    <row r="1087" spans="6:6" x14ac:dyDescent="0.35">
      <c r="F1087" s="488"/>
    </row>
    <row r="1088" spans="6:6" x14ac:dyDescent="0.35">
      <c r="F1088" s="488"/>
    </row>
    <row r="1089" spans="6:6" x14ac:dyDescent="0.35">
      <c r="F1089" s="488"/>
    </row>
    <row r="1090" spans="6:6" x14ac:dyDescent="0.35">
      <c r="F1090" s="488"/>
    </row>
    <row r="1091" spans="6:6" x14ac:dyDescent="0.35">
      <c r="F1091" s="488"/>
    </row>
    <row r="1092" spans="6:6" x14ac:dyDescent="0.35">
      <c r="F1092" s="488"/>
    </row>
    <row r="1093" spans="6:6" x14ac:dyDescent="0.35">
      <c r="F1093" s="488"/>
    </row>
    <row r="1094" spans="6:6" x14ac:dyDescent="0.35">
      <c r="F1094" s="488"/>
    </row>
    <row r="1095" spans="6:6" x14ac:dyDescent="0.35">
      <c r="F1095" s="488"/>
    </row>
    <row r="1096" spans="6:6" x14ac:dyDescent="0.35">
      <c r="F1096" s="488"/>
    </row>
    <row r="1097" spans="6:6" x14ac:dyDescent="0.35">
      <c r="F1097" s="488"/>
    </row>
    <row r="1098" spans="6:6" x14ac:dyDescent="0.35">
      <c r="F1098" s="488"/>
    </row>
    <row r="1099" spans="6:6" x14ac:dyDescent="0.35">
      <c r="F1099" s="488"/>
    </row>
    <row r="1100" spans="6:6" x14ac:dyDescent="0.35">
      <c r="F1100" s="488"/>
    </row>
    <row r="1101" spans="6:6" x14ac:dyDescent="0.35">
      <c r="F1101" s="488"/>
    </row>
    <row r="1102" spans="6:6" x14ac:dyDescent="0.35">
      <c r="F1102" s="488"/>
    </row>
    <row r="1103" spans="6:6" x14ac:dyDescent="0.35">
      <c r="F1103" s="488"/>
    </row>
    <row r="1104" spans="6:6" x14ac:dyDescent="0.35">
      <c r="F1104" s="488"/>
    </row>
    <row r="1105" spans="6:6" x14ac:dyDescent="0.35">
      <c r="F1105" s="488"/>
    </row>
    <row r="1106" spans="6:6" x14ac:dyDescent="0.35">
      <c r="F1106" s="488"/>
    </row>
    <row r="1107" spans="6:6" x14ac:dyDescent="0.35">
      <c r="F1107" s="488"/>
    </row>
    <row r="1108" spans="6:6" x14ac:dyDescent="0.35">
      <c r="F1108" s="488"/>
    </row>
    <row r="1109" spans="6:6" x14ac:dyDescent="0.35">
      <c r="F1109" s="488"/>
    </row>
    <row r="1110" spans="6:6" x14ac:dyDescent="0.35">
      <c r="F1110" s="488"/>
    </row>
    <row r="1111" spans="6:6" x14ac:dyDescent="0.35">
      <c r="F1111" s="488"/>
    </row>
    <row r="1112" spans="6:6" x14ac:dyDescent="0.35">
      <c r="F1112" s="488"/>
    </row>
    <row r="1113" spans="6:6" x14ac:dyDescent="0.35">
      <c r="F1113" s="488"/>
    </row>
    <row r="1114" spans="6:6" x14ac:dyDescent="0.35">
      <c r="F1114" s="488"/>
    </row>
    <row r="1115" spans="6:6" x14ac:dyDescent="0.35">
      <c r="F1115" s="488"/>
    </row>
    <row r="1116" spans="6:6" x14ac:dyDescent="0.35">
      <c r="F1116" s="488"/>
    </row>
    <row r="1117" spans="6:6" x14ac:dyDescent="0.35">
      <c r="F1117" s="488"/>
    </row>
    <row r="1118" spans="6:6" x14ac:dyDescent="0.35">
      <c r="F1118" s="488"/>
    </row>
    <row r="1119" spans="6:6" x14ac:dyDescent="0.35">
      <c r="F1119" s="488"/>
    </row>
    <row r="1120" spans="6:6" x14ac:dyDescent="0.35">
      <c r="F1120" s="488"/>
    </row>
    <row r="1121" spans="6:6" x14ac:dyDescent="0.35">
      <c r="F1121" s="488"/>
    </row>
    <row r="1122" spans="6:6" x14ac:dyDescent="0.35">
      <c r="F1122" s="488"/>
    </row>
    <row r="1123" spans="6:6" x14ac:dyDescent="0.35">
      <c r="F1123" s="488"/>
    </row>
    <row r="1124" spans="6:6" x14ac:dyDescent="0.35">
      <c r="F1124" s="488"/>
    </row>
    <row r="1125" spans="6:6" x14ac:dyDescent="0.35">
      <c r="F1125" s="488"/>
    </row>
    <row r="1126" spans="6:6" x14ac:dyDescent="0.35">
      <c r="F1126" s="488"/>
    </row>
    <row r="1127" spans="6:6" x14ac:dyDescent="0.35">
      <c r="F1127" s="488"/>
    </row>
    <row r="1128" spans="6:6" x14ac:dyDescent="0.35">
      <c r="F1128" s="488"/>
    </row>
    <row r="1129" spans="6:6" x14ac:dyDescent="0.35">
      <c r="F1129" s="488"/>
    </row>
    <row r="1130" spans="6:6" x14ac:dyDescent="0.35">
      <c r="F1130" s="488"/>
    </row>
    <row r="1131" spans="6:6" x14ac:dyDescent="0.35">
      <c r="F1131" s="488"/>
    </row>
    <row r="1132" spans="6:6" x14ac:dyDescent="0.35">
      <c r="F1132" s="488"/>
    </row>
    <row r="1133" spans="6:6" x14ac:dyDescent="0.35">
      <c r="F1133" s="488"/>
    </row>
    <row r="1134" spans="6:6" x14ac:dyDescent="0.35">
      <c r="F1134" s="488"/>
    </row>
    <row r="1135" spans="6:6" x14ac:dyDescent="0.35">
      <c r="F1135" s="488"/>
    </row>
    <row r="1136" spans="6:6" x14ac:dyDescent="0.35">
      <c r="F1136" s="488"/>
    </row>
    <row r="1137" spans="6:6" x14ac:dyDescent="0.35">
      <c r="F1137" s="488"/>
    </row>
    <row r="1138" spans="6:6" x14ac:dyDescent="0.35">
      <c r="F1138" s="488"/>
    </row>
    <row r="1139" spans="6:6" x14ac:dyDescent="0.35">
      <c r="F1139" s="488"/>
    </row>
    <row r="1140" spans="6:6" x14ac:dyDescent="0.35">
      <c r="F1140" s="488"/>
    </row>
    <row r="1141" spans="6:6" x14ac:dyDescent="0.35">
      <c r="F1141" s="488"/>
    </row>
    <row r="1142" spans="6:6" x14ac:dyDescent="0.35">
      <c r="F1142" s="488"/>
    </row>
    <row r="1143" spans="6:6" x14ac:dyDescent="0.35">
      <c r="F1143" s="488"/>
    </row>
    <row r="1144" spans="6:6" x14ac:dyDescent="0.35">
      <c r="F1144" s="488"/>
    </row>
    <row r="1145" spans="6:6" x14ac:dyDescent="0.35">
      <c r="F1145" s="488"/>
    </row>
    <row r="1146" spans="6:6" x14ac:dyDescent="0.35">
      <c r="F1146" s="488"/>
    </row>
    <row r="1147" spans="6:6" x14ac:dyDescent="0.35">
      <c r="F1147" s="488"/>
    </row>
    <row r="1148" spans="6:6" x14ac:dyDescent="0.35">
      <c r="F1148" s="488"/>
    </row>
    <row r="1149" spans="6:6" x14ac:dyDescent="0.35">
      <c r="F1149" s="488"/>
    </row>
    <row r="1150" spans="6:6" x14ac:dyDescent="0.35">
      <c r="F1150" s="488"/>
    </row>
    <row r="1151" spans="6:6" x14ac:dyDescent="0.35">
      <c r="F1151" s="488"/>
    </row>
    <row r="1152" spans="6:6" x14ac:dyDescent="0.35">
      <c r="F1152" s="488"/>
    </row>
    <row r="1153" spans="6:6" x14ac:dyDescent="0.35">
      <c r="F1153" s="488"/>
    </row>
    <row r="1154" spans="6:6" x14ac:dyDescent="0.35">
      <c r="F1154" s="488"/>
    </row>
    <row r="1155" spans="6:6" x14ac:dyDescent="0.35">
      <c r="F1155" s="488"/>
    </row>
    <row r="1156" spans="6:6" x14ac:dyDescent="0.35">
      <c r="F1156" s="488"/>
    </row>
    <row r="1157" spans="6:6" x14ac:dyDescent="0.35">
      <c r="F1157" s="488"/>
    </row>
    <row r="1158" spans="6:6" x14ac:dyDescent="0.35">
      <c r="F1158" s="488"/>
    </row>
    <row r="1159" spans="6:6" x14ac:dyDescent="0.35">
      <c r="F1159" s="488"/>
    </row>
    <row r="1160" spans="6:6" x14ac:dyDescent="0.35">
      <c r="F1160" s="488"/>
    </row>
    <row r="1161" spans="6:6" x14ac:dyDescent="0.35">
      <c r="F1161" s="488"/>
    </row>
    <row r="1162" spans="6:6" x14ac:dyDescent="0.35">
      <c r="F1162" s="488"/>
    </row>
    <row r="1163" spans="6:6" x14ac:dyDescent="0.35">
      <c r="F1163" s="488"/>
    </row>
    <row r="1164" spans="6:6" x14ac:dyDescent="0.35">
      <c r="F1164" s="488"/>
    </row>
    <row r="1165" spans="6:6" x14ac:dyDescent="0.35">
      <c r="F1165" s="488"/>
    </row>
    <row r="1166" spans="6:6" x14ac:dyDescent="0.35">
      <c r="F1166" s="488"/>
    </row>
    <row r="1167" spans="6:6" x14ac:dyDescent="0.35">
      <c r="F1167" s="488"/>
    </row>
    <row r="1168" spans="6:6" x14ac:dyDescent="0.35">
      <c r="F1168" s="488"/>
    </row>
    <row r="1169" spans="6:6" x14ac:dyDescent="0.35">
      <c r="F1169" s="488"/>
    </row>
    <row r="1170" spans="6:6" x14ac:dyDescent="0.35">
      <c r="F1170" s="488"/>
    </row>
    <row r="1171" spans="6:6" x14ac:dyDescent="0.35">
      <c r="F1171" s="488"/>
    </row>
    <row r="1172" spans="6:6" x14ac:dyDescent="0.35">
      <c r="F1172" s="488"/>
    </row>
    <row r="1173" spans="6:6" x14ac:dyDescent="0.35">
      <c r="F1173" s="488"/>
    </row>
    <row r="1174" spans="6:6" x14ac:dyDescent="0.35">
      <c r="F1174" s="488"/>
    </row>
    <row r="1175" spans="6:6" x14ac:dyDescent="0.35">
      <c r="F1175" s="488"/>
    </row>
    <row r="1176" spans="6:6" x14ac:dyDescent="0.35">
      <c r="F1176" s="488"/>
    </row>
    <row r="1177" spans="6:6" x14ac:dyDescent="0.35">
      <c r="F1177" s="488"/>
    </row>
    <row r="1178" spans="6:6" x14ac:dyDescent="0.35">
      <c r="F1178" s="488"/>
    </row>
    <row r="1179" spans="6:6" x14ac:dyDescent="0.35">
      <c r="F1179" s="488"/>
    </row>
    <row r="1180" spans="6:6" x14ac:dyDescent="0.35">
      <c r="F1180" s="488"/>
    </row>
    <row r="1181" spans="6:6" x14ac:dyDescent="0.35">
      <c r="F1181" s="488"/>
    </row>
    <row r="1182" spans="6:6" x14ac:dyDescent="0.35">
      <c r="F1182" s="488"/>
    </row>
    <row r="1183" spans="6:6" x14ac:dyDescent="0.35">
      <c r="F1183" s="488"/>
    </row>
    <row r="1184" spans="6:6" x14ac:dyDescent="0.35">
      <c r="F1184" s="488"/>
    </row>
    <row r="1185" spans="6:6" x14ac:dyDescent="0.35">
      <c r="F1185" s="488"/>
    </row>
    <row r="1186" spans="6:6" x14ac:dyDescent="0.35">
      <c r="F1186" s="488"/>
    </row>
    <row r="1187" spans="6:6" x14ac:dyDescent="0.35">
      <c r="F1187" s="488"/>
    </row>
    <row r="1188" spans="6:6" x14ac:dyDescent="0.35">
      <c r="F1188" s="488"/>
    </row>
    <row r="1189" spans="6:6" x14ac:dyDescent="0.35">
      <c r="F1189" s="488"/>
    </row>
    <row r="1190" spans="6:6" x14ac:dyDescent="0.35">
      <c r="F1190" s="488"/>
    </row>
    <row r="1191" spans="6:6" x14ac:dyDescent="0.35">
      <c r="F1191" s="488"/>
    </row>
    <row r="1192" spans="6:6" x14ac:dyDescent="0.35">
      <c r="F1192" s="488"/>
    </row>
    <row r="1193" spans="6:6" x14ac:dyDescent="0.35">
      <c r="F1193" s="488"/>
    </row>
    <row r="1194" spans="6:6" x14ac:dyDescent="0.35">
      <c r="F1194" s="488"/>
    </row>
    <row r="1195" spans="6:6" x14ac:dyDescent="0.35">
      <c r="F1195" s="488"/>
    </row>
    <row r="1196" spans="6:6" x14ac:dyDescent="0.35">
      <c r="F1196" s="488"/>
    </row>
    <row r="1197" spans="6:6" x14ac:dyDescent="0.35">
      <c r="F1197" s="488"/>
    </row>
    <row r="1198" spans="6:6" x14ac:dyDescent="0.35">
      <c r="F1198" s="488"/>
    </row>
    <row r="1199" spans="6:6" x14ac:dyDescent="0.35">
      <c r="F1199" s="488"/>
    </row>
    <row r="1200" spans="6:6" x14ac:dyDescent="0.35">
      <c r="F1200" s="488"/>
    </row>
    <row r="1201" spans="6:6" x14ac:dyDescent="0.35">
      <c r="F1201" s="488"/>
    </row>
    <row r="1202" spans="6:6" x14ac:dyDescent="0.35">
      <c r="F1202" s="488"/>
    </row>
    <row r="1203" spans="6:6" x14ac:dyDescent="0.35">
      <c r="F1203" s="488"/>
    </row>
    <row r="1204" spans="6:6" x14ac:dyDescent="0.35">
      <c r="F1204" s="488"/>
    </row>
    <row r="1205" spans="6:6" x14ac:dyDescent="0.35">
      <c r="F1205" s="488"/>
    </row>
    <row r="1206" spans="6:6" x14ac:dyDescent="0.35">
      <c r="F1206" s="488"/>
    </row>
    <row r="1207" spans="6:6" x14ac:dyDescent="0.35">
      <c r="F1207" s="488"/>
    </row>
    <row r="1208" spans="6:6" x14ac:dyDescent="0.35">
      <c r="F1208" s="488"/>
    </row>
    <row r="1209" spans="6:6" x14ac:dyDescent="0.35">
      <c r="F1209" s="488"/>
    </row>
    <row r="1210" spans="6:6" x14ac:dyDescent="0.35">
      <c r="F1210" s="488"/>
    </row>
    <row r="1211" spans="6:6" x14ac:dyDescent="0.35">
      <c r="F1211" s="488"/>
    </row>
    <row r="1212" spans="6:6" x14ac:dyDescent="0.35">
      <c r="F1212" s="488"/>
    </row>
    <row r="1213" spans="6:6" x14ac:dyDescent="0.35">
      <c r="F1213" s="488"/>
    </row>
    <row r="1214" spans="6:6" x14ac:dyDescent="0.35">
      <c r="F1214" s="488"/>
    </row>
    <row r="1215" spans="6:6" x14ac:dyDescent="0.35">
      <c r="F1215" s="488"/>
    </row>
    <row r="1216" spans="6:6" x14ac:dyDescent="0.35">
      <c r="F1216" s="488"/>
    </row>
    <row r="1217" spans="6:6" x14ac:dyDescent="0.35">
      <c r="F1217" s="488"/>
    </row>
    <row r="1218" spans="6:6" x14ac:dyDescent="0.35">
      <c r="F1218" s="488"/>
    </row>
    <row r="1219" spans="6:6" x14ac:dyDescent="0.35">
      <c r="F1219" s="488"/>
    </row>
    <row r="1220" spans="6:6" x14ac:dyDescent="0.35">
      <c r="F1220" s="488"/>
    </row>
    <row r="1221" spans="6:6" x14ac:dyDescent="0.35">
      <c r="F1221" s="488"/>
    </row>
    <row r="1222" spans="6:6" x14ac:dyDescent="0.35">
      <c r="F1222" s="488"/>
    </row>
    <row r="1223" spans="6:6" x14ac:dyDescent="0.35">
      <c r="F1223" s="488"/>
    </row>
    <row r="1224" spans="6:6" x14ac:dyDescent="0.35">
      <c r="F1224" s="488"/>
    </row>
    <row r="1225" spans="6:6" x14ac:dyDescent="0.35">
      <c r="F1225" s="488"/>
    </row>
    <row r="1226" spans="6:6" x14ac:dyDescent="0.35">
      <c r="F1226" s="488"/>
    </row>
    <row r="1227" spans="6:6" x14ac:dyDescent="0.35">
      <c r="F1227" s="488"/>
    </row>
    <row r="1228" spans="6:6" x14ac:dyDescent="0.35">
      <c r="F1228" s="488"/>
    </row>
    <row r="1229" spans="6:6" x14ac:dyDescent="0.35">
      <c r="F1229" s="488"/>
    </row>
    <row r="1230" spans="6:6" x14ac:dyDescent="0.35">
      <c r="F1230" s="488"/>
    </row>
    <row r="1231" spans="6:6" x14ac:dyDescent="0.35">
      <c r="F1231" s="488"/>
    </row>
    <row r="1232" spans="6:6" x14ac:dyDescent="0.35">
      <c r="F1232" s="488"/>
    </row>
    <row r="1233" spans="6:6" x14ac:dyDescent="0.35">
      <c r="F1233" s="488"/>
    </row>
    <row r="1234" spans="6:6" x14ac:dyDescent="0.35">
      <c r="F1234" s="488"/>
    </row>
    <row r="1235" spans="6:6" x14ac:dyDescent="0.35">
      <c r="F1235" s="488"/>
    </row>
    <row r="1236" spans="6:6" x14ac:dyDescent="0.35">
      <c r="F1236" s="488"/>
    </row>
    <row r="1237" spans="6:6" x14ac:dyDescent="0.35">
      <c r="F1237" s="488"/>
    </row>
    <row r="1238" spans="6:6" x14ac:dyDescent="0.35">
      <c r="F1238" s="488"/>
    </row>
    <row r="1239" spans="6:6" x14ac:dyDescent="0.35">
      <c r="F1239" s="488"/>
    </row>
    <row r="1240" spans="6:6" x14ac:dyDescent="0.35">
      <c r="F1240" s="488"/>
    </row>
    <row r="1241" spans="6:6" x14ac:dyDescent="0.35">
      <c r="F1241" s="488"/>
    </row>
    <row r="1242" spans="6:6" x14ac:dyDescent="0.35">
      <c r="F1242" s="488"/>
    </row>
    <row r="1243" spans="6:6" x14ac:dyDescent="0.35">
      <c r="F1243" s="488"/>
    </row>
    <row r="1244" spans="6:6" x14ac:dyDescent="0.35">
      <c r="F1244" s="488"/>
    </row>
    <row r="1245" spans="6:6" x14ac:dyDescent="0.35">
      <c r="F1245" s="488"/>
    </row>
    <row r="1246" spans="6:6" x14ac:dyDescent="0.35">
      <c r="F1246" s="488"/>
    </row>
    <row r="1247" spans="6:6" x14ac:dyDescent="0.35">
      <c r="F1247" s="488"/>
    </row>
    <row r="1248" spans="6:6" x14ac:dyDescent="0.35">
      <c r="F1248" s="488"/>
    </row>
    <row r="1249" spans="6:6" x14ac:dyDescent="0.35">
      <c r="F1249" s="488"/>
    </row>
    <row r="1250" spans="6:6" x14ac:dyDescent="0.35">
      <c r="F1250" s="488"/>
    </row>
    <row r="1251" spans="6:6" x14ac:dyDescent="0.35">
      <c r="F1251" s="488"/>
    </row>
    <row r="1252" spans="6:6" x14ac:dyDescent="0.35">
      <c r="F1252" s="488"/>
    </row>
    <row r="1253" spans="6:6" x14ac:dyDescent="0.35">
      <c r="F1253" s="488"/>
    </row>
    <row r="1254" spans="6:6" x14ac:dyDescent="0.35">
      <c r="F1254" s="488"/>
    </row>
    <row r="1255" spans="6:6" x14ac:dyDescent="0.35">
      <c r="F1255" s="488"/>
    </row>
    <row r="1256" spans="6:6" x14ac:dyDescent="0.35">
      <c r="F1256" s="488"/>
    </row>
    <row r="1257" spans="6:6" x14ac:dyDescent="0.35">
      <c r="F1257" s="488"/>
    </row>
    <row r="1258" spans="6:6" x14ac:dyDescent="0.35">
      <c r="F1258" s="488"/>
    </row>
    <row r="1259" spans="6:6" x14ac:dyDescent="0.35">
      <c r="F1259" s="488"/>
    </row>
    <row r="1260" spans="6:6" x14ac:dyDescent="0.35">
      <c r="F1260" s="488"/>
    </row>
    <row r="1261" spans="6:6" x14ac:dyDescent="0.35">
      <c r="F1261" s="488"/>
    </row>
    <row r="1262" spans="6:6" x14ac:dyDescent="0.35">
      <c r="F1262" s="488"/>
    </row>
    <row r="1263" spans="6:6" x14ac:dyDescent="0.35">
      <c r="F1263" s="488"/>
    </row>
    <row r="1264" spans="6:6" x14ac:dyDescent="0.35">
      <c r="F1264" s="488"/>
    </row>
    <row r="1265" spans="6:6" x14ac:dyDescent="0.35">
      <c r="F1265" s="488"/>
    </row>
    <row r="1266" spans="6:6" x14ac:dyDescent="0.35">
      <c r="F1266" s="488"/>
    </row>
    <row r="1267" spans="6:6" x14ac:dyDescent="0.35">
      <c r="F1267" s="488"/>
    </row>
    <row r="1268" spans="6:6" x14ac:dyDescent="0.35">
      <c r="F1268" s="488"/>
    </row>
    <row r="1269" spans="6:6" x14ac:dyDescent="0.35">
      <c r="F1269" s="488"/>
    </row>
    <row r="1270" spans="6:6" x14ac:dyDescent="0.35">
      <c r="F1270" s="488"/>
    </row>
    <row r="1271" spans="6:6" x14ac:dyDescent="0.35">
      <c r="F1271" s="488"/>
    </row>
    <row r="1272" spans="6:6" x14ac:dyDescent="0.35">
      <c r="F1272" s="488"/>
    </row>
    <row r="1273" spans="6:6" x14ac:dyDescent="0.35">
      <c r="F1273" s="488"/>
    </row>
    <row r="1274" spans="6:6" x14ac:dyDescent="0.35">
      <c r="F1274" s="488"/>
    </row>
    <row r="1275" spans="6:6" x14ac:dyDescent="0.35">
      <c r="F1275" s="488"/>
    </row>
    <row r="1276" spans="6:6" x14ac:dyDescent="0.35">
      <c r="F1276" s="488"/>
    </row>
    <row r="1277" spans="6:6" x14ac:dyDescent="0.35">
      <c r="F1277" s="488"/>
    </row>
    <row r="1278" spans="6:6" x14ac:dyDescent="0.35">
      <c r="F1278" s="488"/>
    </row>
    <row r="1279" spans="6:6" x14ac:dyDescent="0.35">
      <c r="F1279" s="488"/>
    </row>
    <row r="1280" spans="6:6" x14ac:dyDescent="0.35">
      <c r="F1280" s="488"/>
    </row>
    <row r="1281" spans="6:6" x14ac:dyDescent="0.35">
      <c r="F1281" s="488"/>
    </row>
    <row r="1282" spans="6:6" x14ac:dyDescent="0.35">
      <c r="F1282" s="488"/>
    </row>
    <row r="1283" spans="6:6" x14ac:dyDescent="0.35">
      <c r="F1283" s="488"/>
    </row>
    <row r="1284" spans="6:6" x14ac:dyDescent="0.35">
      <c r="F1284" s="488"/>
    </row>
    <row r="1285" spans="6:6" x14ac:dyDescent="0.35">
      <c r="F1285" s="488"/>
    </row>
    <row r="1286" spans="6:6" x14ac:dyDescent="0.35">
      <c r="F1286" s="488"/>
    </row>
    <row r="1287" spans="6:6" x14ac:dyDescent="0.35">
      <c r="F1287" s="488"/>
    </row>
    <row r="1288" spans="6:6" x14ac:dyDescent="0.35">
      <c r="F1288" s="488"/>
    </row>
    <row r="1289" spans="6:6" x14ac:dyDescent="0.35">
      <c r="F1289" s="488"/>
    </row>
    <row r="1290" spans="6:6" x14ac:dyDescent="0.35">
      <c r="F1290" s="488"/>
    </row>
    <row r="1291" spans="6:6" x14ac:dyDescent="0.35">
      <c r="F1291" s="488"/>
    </row>
    <row r="1292" spans="6:6" x14ac:dyDescent="0.35">
      <c r="F1292" s="488"/>
    </row>
    <row r="1293" spans="6:6" x14ac:dyDescent="0.35">
      <c r="F1293" s="488"/>
    </row>
    <row r="1294" spans="6:6" x14ac:dyDescent="0.35">
      <c r="F1294" s="488"/>
    </row>
    <row r="1295" spans="6:6" x14ac:dyDescent="0.35">
      <c r="F1295" s="488"/>
    </row>
    <row r="1296" spans="6:6" x14ac:dyDescent="0.35">
      <c r="F1296" s="488"/>
    </row>
    <row r="1297" spans="6:6" x14ac:dyDescent="0.35">
      <c r="F1297" s="488"/>
    </row>
    <row r="1298" spans="6:6" x14ac:dyDescent="0.35">
      <c r="F1298" s="488"/>
    </row>
    <row r="1299" spans="6:6" x14ac:dyDescent="0.35">
      <c r="F1299" s="488"/>
    </row>
    <row r="1300" spans="6:6" x14ac:dyDescent="0.35">
      <c r="F1300" s="488"/>
    </row>
    <row r="1301" spans="6:6" x14ac:dyDescent="0.35">
      <c r="F1301" s="488"/>
    </row>
    <row r="1302" spans="6:6" x14ac:dyDescent="0.35">
      <c r="F1302" s="488"/>
    </row>
    <row r="1303" spans="6:6" x14ac:dyDescent="0.35">
      <c r="F1303" s="488"/>
    </row>
    <row r="1304" spans="6:6" x14ac:dyDescent="0.35">
      <c r="F1304" s="488"/>
    </row>
    <row r="1305" spans="6:6" x14ac:dyDescent="0.35">
      <c r="F1305" s="488"/>
    </row>
    <row r="1306" spans="6:6" x14ac:dyDescent="0.35">
      <c r="F1306" s="488"/>
    </row>
    <row r="1307" spans="6:6" x14ac:dyDescent="0.35">
      <c r="F1307" s="488"/>
    </row>
    <row r="1308" spans="6:6" x14ac:dyDescent="0.35">
      <c r="F1308" s="488"/>
    </row>
    <row r="1309" spans="6:6" x14ac:dyDescent="0.35">
      <c r="F1309" s="488"/>
    </row>
    <row r="1310" spans="6:6" x14ac:dyDescent="0.35">
      <c r="F1310" s="488"/>
    </row>
    <row r="1311" spans="6:6" x14ac:dyDescent="0.35">
      <c r="F1311" s="488"/>
    </row>
    <row r="1312" spans="6:6" x14ac:dyDescent="0.35">
      <c r="F1312" s="488"/>
    </row>
    <row r="1313" spans="6:6" x14ac:dyDescent="0.35">
      <c r="F1313" s="488"/>
    </row>
    <row r="1314" spans="6:6" x14ac:dyDescent="0.35">
      <c r="F1314" s="488"/>
    </row>
    <row r="1315" spans="6:6" x14ac:dyDescent="0.35">
      <c r="F1315" s="488"/>
    </row>
    <row r="1316" spans="6:6" x14ac:dyDescent="0.35">
      <c r="F1316" s="488"/>
    </row>
    <row r="1317" spans="6:6" x14ac:dyDescent="0.35">
      <c r="F1317" s="488"/>
    </row>
    <row r="1318" spans="6:6" x14ac:dyDescent="0.35">
      <c r="F1318" s="488"/>
    </row>
    <row r="1319" spans="6:6" x14ac:dyDescent="0.35">
      <c r="F1319" s="488"/>
    </row>
    <row r="1320" spans="6:6" x14ac:dyDescent="0.35">
      <c r="F1320" s="488"/>
    </row>
    <row r="1321" spans="6:6" x14ac:dyDescent="0.35">
      <c r="F1321" s="488"/>
    </row>
    <row r="1322" spans="6:6" x14ac:dyDescent="0.35">
      <c r="F1322" s="488"/>
    </row>
    <row r="1323" spans="6:6" x14ac:dyDescent="0.35">
      <c r="F1323" s="488"/>
    </row>
    <row r="1324" spans="6:6" x14ac:dyDescent="0.35">
      <c r="F1324" s="488"/>
    </row>
    <row r="1325" spans="6:6" x14ac:dyDescent="0.35">
      <c r="F1325" s="488"/>
    </row>
    <row r="1326" spans="6:6" x14ac:dyDescent="0.35">
      <c r="F1326" s="488"/>
    </row>
    <row r="1327" spans="6:6" x14ac:dyDescent="0.35">
      <c r="F1327" s="488"/>
    </row>
    <row r="1328" spans="6:6" x14ac:dyDescent="0.35">
      <c r="F1328" s="488"/>
    </row>
    <row r="1329" spans="6:6" x14ac:dyDescent="0.35">
      <c r="F1329" s="488"/>
    </row>
    <row r="1330" spans="6:6" x14ac:dyDescent="0.35">
      <c r="F1330" s="488"/>
    </row>
    <row r="1331" spans="6:6" x14ac:dyDescent="0.35">
      <c r="F1331" s="488"/>
    </row>
    <row r="1332" spans="6:6" x14ac:dyDescent="0.35">
      <c r="F1332" s="488"/>
    </row>
    <row r="1333" spans="6:6" x14ac:dyDescent="0.35">
      <c r="F1333" s="488"/>
    </row>
    <row r="1334" spans="6:6" x14ac:dyDescent="0.35">
      <c r="F1334" s="488"/>
    </row>
    <row r="1335" spans="6:6" x14ac:dyDescent="0.35">
      <c r="F1335" s="488"/>
    </row>
    <row r="1336" spans="6:6" x14ac:dyDescent="0.35">
      <c r="F1336" s="488"/>
    </row>
    <row r="1337" spans="6:6" x14ac:dyDescent="0.35">
      <c r="F1337" s="488"/>
    </row>
    <row r="1338" spans="6:6" x14ac:dyDescent="0.35">
      <c r="F1338" s="488"/>
    </row>
    <row r="1339" spans="6:6" x14ac:dyDescent="0.35">
      <c r="F1339" s="488"/>
    </row>
    <row r="1340" spans="6:6" x14ac:dyDescent="0.35">
      <c r="F1340" s="488"/>
    </row>
    <row r="1341" spans="6:6" x14ac:dyDescent="0.35">
      <c r="F1341" s="488"/>
    </row>
    <row r="1342" spans="6:6" x14ac:dyDescent="0.35">
      <c r="F1342" s="488"/>
    </row>
    <row r="1343" spans="6:6" x14ac:dyDescent="0.35">
      <c r="F1343" s="488"/>
    </row>
    <row r="1344" spans="6:6" x14ac:dyDescent="0.35">
      <c r="F1344" s="488"/>
    </row>
    <row r="1345" spans="6:6" x14ac:dyDescent="0.35">
      <c r="F1345" s="488"/>
    </row>
    <row r="1346" spans="6:6" x14ac:dyDescent="0.35">
      <c r="F1346" s="488"/>
    </row>
    <row r="1347" spans="6:6" x14ac:dyDescent="0.35">
      <c r="F1347" s="488"/>
    </row>
    <row r="1348" spans="6:6" x14ac:dyDescent="0.35">
      <c r="F1348" s="488"/>
    </row>
    <row r="1349" spans="6:6" x14ac:dyDescent="0.35">
      <c r="F1349" s="488"/>
    </row>
    <row r="1350" spans="6:6" x14ac:dyDescent="0.35">
      <c r="F1350" s="488"/>
    </row>
    <row r="1351" spans="6:6" x14ac:dyDescent="0.35">
      <c r="F1351" s="488"/>
    </row>
    <row r="1352" spans="6:6" x14ac:dyDescent="0.35">
      <c r="F1352" s="488"/>
    </row>
    <row r="1353" spans="6:6" x14ac:dyDescent="0.35">
      <c r="F1353" s="488"/>
    </row>
    <row r="1354" spans="6:6" x14ac:dyDescent="0.35">
      <c r="F1354" s="488"/>
    </row>
    <row r="1355" spans="6:6" x14ac:dyDescent="0.35">
      <c r="F1355" s="488"/>
    </row>
    <row r="1356" spans="6:6" x14ac:dyDescent="0.35">
      <c r="F1356" s="488"/>
    </row>
    <row r="1357" spans="6:6" x14ac:dyDescent="0.35">
      <c r="F1357" s="488"/>
    </row>
    <row r="1358" spans="6:6" x14ac:dyDescent="0.35">
      <c r="F1358" s="488"/>
    </row>
    <row r="1359" spans="6:6" x14ac:dyDescent="0.35">
      <c r="F1359" s="488"/>
    </row>
    <row r="1360" spans="6:6" x14ac:dyDescent="0.35">
      <c r="F1360" s="488"/>
    </row>
    <row r="1361" spans="6:6" x14ac:dyDescent="0.35">
      <c r="F1361" s="488"/>
    </row>
    <row r="1362" spans="6:6" x14ac:dyDescent="0.35">
      <c r="F1362" s="488"/>
    </row>
    <row r="1363" spans="6:6" x14ac:dyDescent="0.35">
      <c r="F1363" s="488"/>
    </row>
    <row r="1364" spans="6:6" x14ac:dyDescent="0.35">
      <c r="F1364" s="488"/>
    </row>
    <row r="1365" spans="6:6" x14ac:dyDescent="0.35">
      <c r="F1365" s="488"/>
    </row>
    <row r="1366" spans="6:6" x14ac:dyDescent="0.35">
      <c r="F1366" s="488"/>
    </row>
    <row r="1367" spans="6:6" x14ac:dyDescent="0.35">
      <c r="F1367" s="488"/>
    </row>
    <row r="1368" spans="6:6" x14ac:dyDescent="0.35">
      <c r="F1368" s="488"/>
    </row>
    <row r="1369" spans="6:6" x14ac:dyDescent="0.35">
      <c r="F1369" s="488"/>
    </row>
    <row r="1370" spans="6:6" x14ac:dyDescent="0.35">
      <c r="F1370" s="488"/>
    </row>
    <row r="1371" spans="6:6" x14ac:dyDescent="0.35">
      <c r="F1371" s="488"/>
    </row>
    <row r="1372" spans="6:6" x14ac:dyDescent="0.35">
      <c r="F1372" s="488"/>
    </row>
    <row r="1373" spans="6:6" x14ac:dyDescent="0.35">
      <c r="F1373" s="488"/>
    </row>
    <row r="1374" spans="6:6" x14ac:dyDescent="0.35">
      <c r="F1374" s="488"/>
    </row>
    <row r="1375" spans="6:6" x14ac:dyDescent="0.35">
      <c r="F1375" s="488"/>
    </row>
    <row r="1376" spans="6:6" x14ac:dyDescent="0.35">
      <c r="F1376" s="488"/>
    </row>
    <row r="1377" spans="6:6" x14ac:dyDescent="0.35">
      <c r="F1377" s="488"/>
    </row>
    <row r="1378" spans="6:6" x14ac:dyDescent="0.35">
      <c r="F1378" s="488"/>
    </row>
    <row r="1379" spans="6:6" x14ac:dyDescent="0.35">
      <c r="F1379" s="488"/>
    </row>
    <row r="1380" spans="6:6" x14ac:dyDescent="0.35">
      <c r="F1380" s="488"/>
    </row>
    <row r="1381" spans="6:6" x14ac:dyDescent="0.35">
      <c r="F1381" s="488"/>
    </row>
    <row r="1382" spans="6:6" x14ac:dyDescent="0.35">
      <c r="F1382" s="488"/>
    </row>
    <row r="1383" spans="6:6" x14ac:dyDescent="0.35">
      <c r="F1383" s="488"/>
    </row>
    <row r="1384" spans="6:6" x14ac:dyDescent="0.35">
      <c r="F1384" s="488"/>
    </row>
    <row r="1385" spans="6:6" x14ac:dyDescent="0.35">
      <c r="F1385" s="488"/>
    </row>
    <row r="1386" spans="6:6" x14ac:dyDescent="0.35">
      <c r="F1386" s="488"/>
    </row>
    <row r="1387" spans="6:6" x14ac:dyDescent="0.35">
      <c r="F1387" s="488"/>
    </row>
    <row r="1388" spans="6:6" x14ac:dyDescent="0.35">
      <c r="F1388" s="488"/>
    </row>
    <row r="1389" spans="6:6" x14ac:dyDescent="0.35">
      <c r="F1389" s="488"/>
    </row>
    <row r="1390" spans="6:6" x14ac:dyDescent="0.35">
      <c r="F1390" s="488"/>
    </row>
    <row r="1391" spans="6:6" x14ac:dyDescent="0.35">
      <c r="F1391" s="488"/>
    </row>
    <row r="1392" spans="6:6" x14ac:dyDescent="0.35">
      <c r="F1392" s="488"/>
    </row>
    <row r="1393" spans="6:6" x14ac:dyDescent="0.35">
      <c r="F1393" s="488"/>
    </row>
    <row r="1394" spans="6:6" x14ac:dyDescent="0.35">
      <c r="F1394" s="488"/>
    </row>
    <row r="1395" spans="6:6" x14ac:dyDescent="0.35">
      <c r="F1395" s="488"/>
    </row>
    <row r="1396" spans="6:6" x14ac:dyDescent="0.35">
      <c r="F1396" s="488"/>
    </row>
    <row r="1397" spans="6:6" x14ac:dyDescent="0.35">
      <c r="F1397" s="488"/>
    </row>
    <row r="1398" spans="6:6" x14ac:dyDescent="0.35">
      <c r="F1398" s="488"/>
    </row>
    <row r="1399" spans="6:6" x14ac:dyDescent="0.35">
      <c r="F1399" s="488"/>
    </row>
    <row r="1400" spans="6:6" x14ac:dyDescent="0.35">
      <c r="F1400" s="488"/>
    </row>
    <row r="1401" spans="6:6" x14ac:dyDescent="0.35">
      <c r="F1401" s="488"/>
    </row>
    <row r="1402" spans="6:6" x14ac:dyDescent="0.35">
      <c r="F1402" s="488"/>
    </row>
    <row r="1403" spans="6:6" x14ac:dyDescent="0.35">
      <c r="F1403" s="488"/>
    </row>
    <row r="1404" spans="6:6" x14ac:dyDescent="0.35">
      <c r="F1404" s="488"/>
    </row>
    <row r="1405" spans="6:6" x14ac:dyDescent="0.35">
      <c r="F1405" s="488"/>
    </row>
    <row r="1406" spans="6:6" x14ac:dyDescent="0.35">
      <c r="F1406" s="488"/>
    </row>
    <row r="1407" spans="6:6" x14ac:dyDescent="0.35">
      <c r="F1407" s="488"/>
    </row>
    <row r="1408" spans="6:6" x14ac:dyDescent="0.35">
      <c r="F1408" s="488"/>
    </row>
    <row r="1409" spans="6:6" x14ac:dyDescent="0.35">
      <c r="F1409" s="488"/>
    </row>
    <row r="1410" spans="6:6" x14ac:dyDescent="0.35">
      <c r="F1410" s="488"/>
    </row>
    <row r="1411" spans="6:6" x14ac:dyDescent="0.35">
      <c r="F1411" s="488"/>
    </row>
    <row r="1412" spans="6:6" x14ac:dyDescent="0.35">
      <c r="F1412" s="488"/>
    </row>
    <row r="1413" spans="6:6" x14ac:dyDescent="0.35">
      <c r="F1413" s="488"/>
    </row>
    <row r="1414" spans="6:6" x14ac:dyDescent="0.35">
      <c r="F1414" s="488"/>
    </row>
    <row r="1415" spans="6:6" x14ac:dyDescent="0.35">
      <c r="F1415" s="488"/>
    </row>
    <row r="1416" spans="6:6" x14ac:dyDescent="0.35">
      <c r="F1416" s="488"/>
    </row>
    <row r="1417" spans="6:6" x14ac:dyDescent="0.35">
      <c r="F1417" s="488"/>
    </row>
    <row r="1418" spans="6:6" x14ac:dyDescent="0.35">
      <c r="F1418" s="488"/>
    </row>
    <row r="1419" spans="6:6" x14ac:dyDescent="0.35">
      <c r="F1419" s="488"/>
    </row>
    <row r="1420" spans="6:6" x14ac:dyDescent="0.35">
      <c r="F1420" s="488"/>
    </row>
    <row r="1421" spans="6:6" x14ac:dyDescent="0.35">
      <c r="F1421" s="488"/>
    </row>
    <row r="1422" spans="6:6" x14ac:dyDescent="0.35">
      <c r="F1422" s="488"/>
    </row>
    <row r="1423" spans="6:6" x14ac:dyDescent="0.35">
      <c r="F1423" s="488"/>
    </row>
    <row r="1424" spans="6:6" x14ac:dyDescent="0.35">
      <c r="F1424" s="488"/>
    </row>
    <row r="1425" spans="6:6" x14ac:dyDescent="0.35">
      <c r="F1425" s="488"/>
    </row>
    <row r="1426" spans="6:6" x14ac:dyDescent="0.35">
      <c r="F1426" s="488"/>
    </row>
    <row r="1427" spans="6:6" x14ac:dyDescent="0.35">
      <c r="F1427" s="488"/>
    </row>
    <row r="1428" spans="6:6" x14ac:dyDescent="0.35">
      <c r="F1428" s="488"/>
    </row>
    <row r="1429" spans="6:6" x14ac:dyDescent="0.35">
      <c r="F1429" s="488"/>
    </row>
    <row r="1430" spans="6:6" x14ac:dyDescent="0.35">
      <c r="F1430" s="488"/>
    </row>
    <row r="1431" spans="6:6" x14ac:dyDescent="0.35">
      <c r="F1431" s="488"/>
    </row>
    <row r="1432" spans="6:6" x14ac:dyDescent="0.35">
      <c r="F1432" s="488"/>
    </row>
    <row r="1433" spans="6:6" x14ac:dyDescent="0.35">
      <c r="F1433" s="488"/>
    </row>
    <row r="1434" spans="6:6" x14ac:dyDescent="0.35">
      <c r="F1434" s="488"/>
    </row>
    <row r="1435" spans="6:6" x14ac:dyDescent="0.35">
      <c r="F1435" s="488"/>
    </row>
    <row r="1436" spans="6:6" x14ac:dyDescent="0.35">
      <c r="F1436" s="488"/>
    </row>
    <row r="1437" spans="6:6" x14ac:dyDescent="0.35">
      <c r="F1437" s="488"/>
    </row>
    <row r="1438" spans="6:6" x14ac:dyDescent="0.35">
      <c r="F1438" s="488"/>
    </row>
    <row r="1439" spans="6:6" x14ac:dyDescent="0.35">
      <c r="F1439" s="488"/>
    </row>
    <row r="1440" spans="6:6" x14ac:dyDescent="0.35">
      <c r="F1440" s="488"/>
    </row>
    <row r="1441" spans="6:6" x14ac:dyDescent="0.35">
      <c r="F1441" s="488"/>
    </row>
    <row r="1442" spans="6:6" x14ac:dyDescent="0.35">
      <c r="F1442" s="488"/>
    </row>
    <row r="1443" spans="6:6" x14ac:dyDescent="0.35">
      <c r="F1443" s="488"/>
    </row>
    <row r="1444" spans="6:6" x14ac:dyDescent="0.35">
      <c r="F1444" s="488"/>
    </row>
    <row r="1445" spans="6:6" x14ac:dyDescent="0.35">
      <c r="F1445" s="488"/>
    </row>
    <row r="1446" spans="6:6" x14ac:dyDescent="0.35">
      <c r="F1446" s="488"/>
    </row>
    <row r="1447" spans="6:6" x14ac:dyDescent="0.35">
      <c r="F1447" s="488"/>
    </row>
    <row r="1448" spans="6:6" x14ac:dyDescent="0.35">
      <c r="F1448" s="488"/>
    </row>
    <row r="1449" spans="6:6" x14ac:dyDescent="0.35">
      <c r="F1449" s="488"/>
    </row>
    <row r="1450" spans="6:6" x14ac:dyDescent="0.35">
      <c r="F1450" s="488"/>
    </row>
    <row r="1451" spans="6:6" x14ac:dyDescent="0.35">
      <c r="F1451" s="488"/>
    </row>
    <row r="1452" spans="6:6" x14ac:dyDescent="0.35">
      <c r="F1452" s="488"/>
    </row>
    <row r="1453" spans="6:6" x14ac:dyDescent="0.35">
      <c r="F1453" s="488"/>
    </row>
    <row r="1454" spans="6:6" x14ac:dyDescent="0.35">
      <c r="F1454" s="488"/>
    </row>
    <row r="1455" spans="6:6" x14ac:dyDescent="0.35">
      <c r="F1455" s="488"/>
    </row>
    <row r="1456" spans="6:6" x14ac:dyDescent="0.35">
      <c r="F1456" s="488"/>
    </row>
    <row r="1457" spans="6:6" x14ac:dyDescent="0.35">
      <c r="F1457" s="488"/>
    </row>
    <row r="1458" spans="6:6" x14ac:dyDescent="0.35">
      <c r="F1458" s="488"/>
    </row>
    <row r="1459" spans="6:6" x14ac:dyDescent="0.35">
      <c r="F1459" s="488"/>
    </row>
    <row r="1460" spans="6:6" x14ac:dyDescent="0.35">
      <c r="F1460" s="488"/>
    </row>
    <row r="1461" spans="6:6" x14ac:dyDescent="0.35">
      <c r="F1461" s="488"/>
    </row>
    <row r="1462" spans="6:6" x14ac:dyDescent="0.35">
      <c r="F1462" s="488"/>
    </row>
    <row r="1463" spans="6:6" x14ac:dyDescent="0.35">
      <c r="F1463" s="488"/>
    </row>
    <row r="1464" spans="6:6" x14ac:dyDescent="0.35">
      <c r="F1464" s="488"/>
    </row>
    <row r="1465" spans="6:6" x14ac:dyDescent="0.35">
      <c r="F1465" s="488"/>
    </row>
    <row r="1466" spans="6:6" x14ac:dyDescent="0.35">
      <c r="F1466" s="488"/>
    </row>
    <row r="1467" spans="6:6" x14ac:dyDescent="0.35">
      <c r="F1467" s="488"/>
    </row>
    <row r="1468" spans="6:6" x14ac:dyDescent="0.35">
      <c r="F1468" s="488"/>
    </row>
    <row r="1469" spans="6:6" x14ac:dyDescent="0.35">
      <c r="F1469" s="488"/>
    </row>
    <row r="1470" spans="6:6" x14ac:dyDescent="0.35">
      <c r="F1470" s="488"/>
    </row>
    <row r="1471" spans="6:6" x14ac:dyDescent="0.35">
      <c r="F1471" s="488"/>
    </row>
    <row r="1472" spans="6:6" x14ac:dyDescent="0.35">
      <c r="F1472" s="488"/>
    </row>
    <row r="1473" spans="6:6" x14ac:dyDescent="0.35">
      <c r="F1473" s="488"/>
    </row>
    <row r="1474" spans="6:6" x14ac:dyDescent="0.35">
      <c r="F1474" s="488"/>
    </row>
    <row r="1475" spans="6:6" x14ac:dyDescent="0.35">
      <c r="F1475" s="488"/>
    </row>
    <row r="1476" spans="6:6" x14ac:dyDescent="0.35">
      <c r="F1476" s="488"/>
    </row>
    <row r="1477" spans="6:6" x14ac:dyDescent="0.35">
      <c r="F1477" s="488"/>
    </row>
    <row r="1478" spans="6:6" x14ac:dyDescent="0.35">
      <c r="F1478" s="488"/>
    </row>
    <row r="1479" spans="6:6" x14ac:dyDescent="0.35">
      <c r="F1479" s="488"/>
    </row>
    <row r="1480" spans="6:6" x14ac:dyDescent="0.35">
      <c r="F1480" s="488"/>
    </row>
    <row r="1481" spans="6:6" x14ac:dyDescent="0.35">
      <c r="F1481" s="488"/>
    </row>
    <row r="1482" spans="6:6" x14ac:dyDescent="0.35">
      <c r="F1482" s="488"/>
    </row>
    <row r="1483" spans="6:6" x14ac:dyDescent="0.35">
      <c r="F1483" s="488"/>
    </row>
    <row r="1484" spans="6:6" x14ac:dyDescent="0.35">
      <c r="F1484" s="488"/>
    </row>
    <row r="1485" spans="6:6" x14ac:dyDescent="0.35">
      <c r="F1485" s="488"/>
    </row>
    <row r="1486" spans="6:6" x14ac:dyDescent="0.35">
      <c r="F1486" s="488"/>
    </row>
    <row r="1487" spans="6:6" x14ac:dyDescent="0.35">
      <c r="F1487" s="488"/>
    </row>
    <row r="1488" spans="6:6" x14ac:dyDescent="0.35">
      <c r="F1488" s="488"/>
    </row>
    <row r="1489" spans="6:6" x14ac:dyDescent="0.35">
      <c r="F1489" s="488"/>
    </row>
    <row r="1490" spans="6:6" x14ac:dyDescent="0.35">
      <c r="F1490" s="488"/>
    </row>
    <row r="1491" spans="6:6" x14ac:dyDescent="0.35">
      <c r="F1491" s="488"/>
    </row>
    <row r="1492" spans="6:6" x14ac:dyDescent="0.35">
      <c r="F1492" s="488"/>
    </row>
    <row r="1493" spans="6:6" x14ac:dyDescent="0.35">
      <c r="F1493" s="488"/>
    </row>
    <row r="1494" spans="6:6" x14ac:dyDescent="0.35">
      <c r="F1494" s="488"/>
    </row>
    <row r="1495" spans="6:6" x14ac:dyDescent="0.35">
      <c r="F1495" s="488"/>
    </row>
    <row r="1496" spans="6:6" x14ac:dyDescent="0.35">
      <c r="F1496" s="488"/>
    </row>
    <row r="1497" spans="6:6" x14ac:dyDescent="0.35">
      <c r="F1497" s="488"/>
    </row>
    <row r="1498" spans="6:6" x14ac:dyDescent="0.35">
      <c r="F1498" s="488"/>
    </row>
    <row r="1499" spans="6:6" x14ac:dyDescent="0.35">
      <c r="F1499" s="488"/>
    </row>
    <row r="1500" spans="6:6" x14ac:dyDescent="0.35">
      <c r="F1500" s="488"/>
    </row>
    <row r="1501" spans="6:6" x14ac:dyDescent="0.35">
      <c r="F1501" s="488"/>
    </row>
    <row r="1502" spans="6:6" x14ac:dyDescent="0.35">
      <c r="F1502" s="488"/>
    </row>
    <row r="1503" spans="6:6" x14ac:dyDescent="0.35">
      <c r="F1503" s="488"/>
    </row>
    <row r="1504" spans="6:6" x14ac:dyDescent="0.35">
      <c r="F1504" s="488"/>
    </row>
    <row r="1505" spans="6:6" x14ac:dyDescent="0.35">
      <c r="F1505" s="488"/>
    </row>
    <row r="1506" spans="6:6" x14ac:dyDescent="0.35">
      <c r="F1506" s="488"/>
    </row>
    <row r="1507" spans="6:6" x14ac:dyDescent="0.35">
      <c r="F1507" s="488"/>
    </row>
    <row r="1508" spans="6:6" x14ac:dyDescent="0.35">
      <c r="F1508" s="488"/>
    </row>
    <row r="1509" spans="6:6" x14ac:dyDescent="0.35">
      <c r="F1509" s="488"/>
    </row>
    <row r="1510" spans="6:6" x14ac:dyDescent="0.35">
      <c r="F1510" s="488"/>
    </row>
    <row r="1511" spans="6:6" x14ac:dyDescent="0.35">
      <c r="F1511" s="488"/>
    </row>
    <row r="1512" spans="6:6" x14ac:dyDescent="0.35">
      <c r="F1512" s="488"/>
    </row>
    <row r="1513" spans="6:6" x14ac:dyDescent="0.35">
      <c r="F1513" s="488"/>
    </row>
    <row r="1514" spans="6:6" x14ac:dyDescent="0.35">
      <c r="F1514" s="488"/>
    </row>
    <row r="1515" spans="6:6" x14ac:dyDescent="0.35">
      <c r="F1515" s="488"/>
    </row>
    <row r="1516" spans="6:6" x14ac:dyDescent="0.35">
      <c r="F1516" s="488"/>
    </row>
    <row r="1517" spans="6:6" x14ac:dyDescent="0.35">
      <c r="F1517" s="488"/>
    </row>
    <row r="1518" spans="6:6" x14ac:dyDescent="0.35">
      <c r="F1518" s="488"/>
    </row>
    <row r="1519" spans="6:6" x14ac:dyDescent="0.35">
      <c r="F1519" s="488"/>
    </row>
    <row r="1520" spans="6:6" x14ac:dyDescent="0.35">
      <c r="F1520" s="488"/>
    </row>
    <row r="1521" spans="6:6" x14ac:dyDescent="0.35">
      <c r="F1521" s="488"/>
    </row>
    <row r="1522" spans="6:6" x14ac:dyDescent="0.35">
      <c r="F1522" s="488"/>
    </row>
    <row r="1523" spans="6:6" x14ac:dyDescent="0.35">
      <c r="F1523" s="488"/>
    </row>
    <row r="1524" spans="6:6" x14ac:dyDescent="0.35">
      <c r="F1524" s="488"/>
    </row>
    <row r="1525" spans="6:6" x14ac:dyDescent="0.35">
      <c r="F1525" s="488"/>
    </row>
    <row r="1526" spans="6:6" x14ac:dyDescent="0.35">
      <c r="F1526" s="488"/>
    </row>
    <row r="1527" spans="6:6" x14ac:dyDescent="0.35">
      <c r="F1527" s="488"/>
    </row>
    <row r="1528" spans="6:6" x14ac:dyDescent="0.35">
      <c r="F1528" s="488"/>
    </row>
    <row r="1529" spans="6:6" x14ac:dyDescent="0.35">
      <c r="F1529" s="488"/>
    </row>
    <row r="1530" spans="6:6" x14ac:dyDescent="0.35">
      <c r="F1530" s="488"/>
    </row>
    <row r="1531" spans="6:6" x14ac:dyDescent="0.35">
      <c r="F1531" s="488"/>
    </row>
    <row r="1532" spans="6:6" x14ac:dyDescent="0.35">
      <c r="F1532" s="488"/>
    </row>
    <row r="1533" spans="6:6" x14ac:dyDescent="0.35">
      <c r="F1533" s="488"/>
    </row>
    <row r="1534" spans="6:6" x14ac:dyDescent="0.35">
      <c r="F1534" s="488"/>
    </row>
    <row r="1535" spans="6:6" x14ac:dyDescent="0.35">
      <c r="F1535" s="488"/>
    </row>
    <row r="1536" spans="6:6" x14ac:dyDescent="0.35">
      <c r="F1536" s="488"/>
    </row>
    <row r="1537" spans="6:6" x14ac:dyDescent="0.35">
      <c r="F1537" s="488"/>
    </row>
    <row r="1538" spans="6:6" x14ac:dyDescent="0.35">
      <c r="F1538" s="488"/>
    </row>
    <row r="1539" spans="6:6" x14ac:dyDescent="0.35">
      <c r="F1539" s="488"/>
    </row>
    <row r="1540" spans="6:6" x14ac:dyDescent="0.35">
      <c r="F1540" s="488"/>
    </row>
    <row r="1541" spans="6:6" x14ac:dyDescent="0.35">
      <c r="F1541" s="488"/>
    </row>
    <row r="1542" spans="6:6" x14ac:dyDescent="0.35">
      <c r="F1542" s="488"/>
    </row>
    <row r="1543" spans="6:6" x14ac:dyDescent="0.35">
      <c r="F1543" s="488"/>
    </row>
    <row r="1544" spans="6:6" x14ac:dyDescent="0.35">
      <c r="F1544" s="488"/>
    </row>
    <row r="1545" spans="6:6" x14ac:dyDescent="0.35">
      <c r="F1545" s="488"/>
    </row>
    <row r="1546" spans="6:6" x14ac:dyDescent="0.35">
      <c r="F1546" s="488"/>
    </row>
    <row r="1547" spans="6:6" x14ac:dyDescent="0.35">
      <c r="F1547" s="488"/>
    </row>
    <row r="1548" spans="6:6" x14ac:dyDescent="0.35">
      <c r="F1548" s="488"/>
    </row>
    <row r="1549" spans="6:6" x14ac:dyDescent="0.35">
      <c r="F1549" s="488"/>
    </row>
    <row r="1550" spans="6:6" x14ac:dyDescent="0.35">
      <c r="F1550" s="488"/>
    </row>
    <row r="1551" spans="6:6" x14ac:dyDescent="0.35">
      <c r="F1551" s="488"/>
    </row>
    <row r="1552" spans="6:6" x14ac:dyDescent="0.35">
      <c r="F1552" s="488"/>
    </row>
    <row r="1553" spans="6:6" x14ac:dyDescent="0.35">
      <c r="F1553" s="488"/>
    </row>
    <row r="1554" spans="6:6" x14ac:dyDescent="0.35">
      <c r="F1554" s="488"/>
    </row>
    <row r="1555" spans="6:6" x14ac:dyDescent="0.35">
      <c r="F1555" s="488"/>
    </row>
    <row r="1556" spans="6:6" x14ac:dyDescent="0.35">
      <c r="F1556" s="488"/>
    </row>
    <row r="1557" spans="6:6" x14ac:dyDescent="0.35">
      <c r="F1557" s="488"/>
    </row>
    <row r="1558" spans="6:6" x14ac:dyDescent="0.35">
      <c r="F1558" s="488"/>
    </row>
    <row r="1559" spans="6:6" x14ac:dyDescent="0.35">
      <c r="F1559" s="488"/>
    </row>
    <row r="1560" spans="6:6" x14ac:dyDescent="0.35">
      <c r="F1560" s="488"/>
    </row>
    <row r="1561" spans="6:6" x14ac:dyDescent="0.35">
      <c r="F1561" s="488"/>
    </row>
    <row r="1562" spans="6:6" x14ac:dyDescent="0.35">
      <c r="F1562" s="488"/>
    </row>
    <row r="1563" spans="6:6" x14ac:dyDescent="0.35">
      <c r="F1563" s="488"/>
    </row>
    <row r="1564" spans="6:6" x14ac:dyDescent="0.35">
      <c r="F1564" s="488"/>
    </row>
    <row r="1565" spans="6:6" x14ac:dyDescent="0.35">
      <c r="F1565" s="488"/>
    </row>
    <row r="1566" spans="6:6" x14ac:dyDescent="0.35">
      <c r="F1566" s="488"/>
    </row>
    <row r="1567" spans="6:6" x14ac:dyDescent="0.35">
      <c r="F1567" s="488"/>
    </row>
    <row r="1568" spans="6:6" x14ac:dyDescent="0.35">
      <c r="F1568" s="488"/>
    </row>
    <row r="1569" spans="6:6" x14ac:dyDescent="0.35">
      <c r="F1569" s="488"/>
    </row>
    <row r="1570" spans="6:6" x14ac:dyDescent="0.35">
      <c r="F1570" s="488"/>
    </row>
    <row r="1571" spans="6:6" x14ac:dyDescent="0.35">
      <c r="F1571" s="488"/>
    </row>
    <row r="1572" spans="6:6" x14ac:dyDescent="0.35">
      <c r="F1572" s="488"/>
    </row>
    <row r="1573" spans="6:6" x14ac:dyDescent="0.35">
      <c r="F1573" s="488"/>
    </row>
    <row r="1574" spans="6:6" x14ac:dyDescent="0.35">
      <c r="F1574" s="488"/>
    </row>
    <row r="1575" spans="6:6" x14ac:dyDescent="0.35">
      <c r="F1575" s="488"/>
    </row>
    <row r="1576" spans="6:6" x14ac:dyDescent="0.35">
      <c r="F1576" s="488"/>
    </row>
    <row r="1577" spans="6:6" x14ac:dyDescent="0.35">
      <c r="F1577" s="488"/>
    </row>
    <row r="1578" spans="6:6" x14ac:dyDescent="0.35">
      <c r="F1578" s="488"/>
    </row>
    <row r="1579" spans="6:6" x14ac:dyDescent="0.35">
      <c r="F1579" s="488"/>
    </row>
    <row r="1580" spans="6:6" x14ac:dyDescent="0.35">
      <c r="F1580" s="488"/>
    </row>
    <row r="1581" spans="6:6" x14ac:dyDescent="0.35">
      <c r="F1581" s="488"/>
    </row>
    <row r="1582" spans="6:6" x14ac:dyDescent="0.35">
      <c r="F1582" s="488"/>
    </row>
    <row r="1583" spans="6:6" x14ac:dyDescent="0.35">
      <c r="F1583" s="488"/>
    </row>
    <row r="1584" spans="6:6" x14ac:dyDescent="0.35">
      <c r="F1584" s="488"/>
    </row>
    <row r="1585" spans="6:6" x14ac:dyDescent="0.35">
      <c r="F1585" s="488"/>
    </row>
    <row r="1586" spans="6:6" x14ac:dyDescent="0.35">
      <c r="F1586" s="488"/>
    </row>
    <row r="1587" spans="6:6" x14ac:dyDescent="0.35">
      <c r="F1587" s="488"/>
    </row>
    <row r="1588" spans="6:6" x14ac:dyDescent="0.35">
      <c r="F1588" s="488"/>
    </row>
    <row r="1589" spans="6:6" x14ac:dyDescent="0.35">
      <c r="F1589" s="488"/>
    </row>
    <row r="1590" spans="6:6" x14ac:dyDescent="0.35">
      <c r="F1590" s="488"/>
    </row>
    <row r="1591" spans="6:6" x14ac:dyDescent="0.35">
      <c r="F1591" s="488"/>
    </row>
    <row r="1592" spans="6:6" x14ac:dyDescent="0.35">
      <c r="F1592" s="488"/>
    </row>
    <row r="1593" spans="6:6" x14ac:dyDescent="0.35">
      <c r="F1593" s="488"/>
    </row>
    <row r="1594" spans="6:6" x14ac:dyDescent="0.35">
      <c r="F1594" s="488"/>
    </row>
    <row r="1595" spans="6:6" x14ac:dyDescent="0.35">
      <c r="F1595" s="488"/>
    </row>
    <row r="1596" spans="6:6" x14ac:dyDescent="0.35">
      <c r="F1596" s="488"/>
    </row>
    <row r="1597" spans="6:6" x14ac:dyDescent="0.35">
      <c r="F1597" s="488"/>
    </row>
    <row r="1598" spans="6:6" x14ac:dyDescent="0.35">
      <c r="F1598" s="488"/>
    </row>
    <row r="1599" spans="6:6" x14ac:dyDescent="0.35">
      <c r="F1599" s="488"/>
    </row>
    <row r="1600" spans="6:6" x14ac:dyDescent="0.35">
      <c r="F1600" s="488"/>
    </row>
    <row r="1601" spans="6:6" x14ac:dyDescent="0.35">
      <c r="F1601" s="488"/>
    </row>
    <row r="1602" spans="6:6" x14ac:dyDescent="0.35">
      <c r="F1602" s="488"/>
    </row>
    <row r="1603" spans="6:6" x14ac:dyDescent="0.35">
      <c r="F1603" s="488"/>
    </row>
    <row r="1604" spans="6:6" x14ac:dyDescent="0.35">
      <c r="F1604" s="488"/>
    </row>
    <row r="1605" spans="6:6" x14ac:dyDescent="0.35">
      <c r="F1605" s="488"/>
    </row>
    <row r="1606" spans="6:6" x14ac:dyDescent="0.35">
      <c r="F1606" s="488"/>
    </row>
    <row r="1607" spans="6:6" x14ac:dyDescent="0.35">
      <c r="F1607" s="488"/>
    </row>
    <row r="1608" spans="6:6" x14ac:dyDescent="0.35">
      <c r="F1608" s="488"/>
    </row>
    <row r="1609" spans="6:6" x14ac:dyDescent="0.35">
      <c r="F1609" s="488"/>
    </row>
    <row r="1610" spans="6:6" x14ac:dyDescent="0.35">
      <c r="F1610" s="488"/>
    </row>
    <row r="1611" spans="6:6" x14ac:dyDescent="0.35">
      <c r="F1611" s="488"/>
    </row>
    <row r="1612" spans="6:6" x14ac:dyDescent="0.35">
      <c r="F1612" s="488"/>
    </row>
    <row r="1613" spans="6:6" x14ac:dyDescent="0.35">
      <c r="F1613" s="488"/>
    </row>
    <row r="1614" spans="6:6" x14ac:dyDescent="0.35">
      <c r="F1614" s="488"/>
    </row>
    <row r="1615" spans="6:6" x14ac:dyDescent="0.35">
      <c r="F1615" s="488"/>
    </row>
    <row r="1616" spans="6:6" x14ac:dyDescent="0.35">
      <c r="F1616" s="488"/>
    </row>
    <row r="1617" spans="6:6" x14ac:dyDescent="0.35">
      <c r="F1617" s="488"/>
    </row>
    <row r="1618" spans="6:6" x14ac:dyDescent="0.35">
      <c r="F1618" s="488"/>
    </row>
    <row r="1619" spans="6:6" x14ac:dyDescent="0.35">
      <c r="F1619" s="488"/>
    </row>
    <row r="1620" spans="6:6" x14ac:dyDescent="0.35">
      <c r="F1620" s="488"/>
    </row>
    <row r="1621" spans="6:6" x14ac:dyDescent="0.35">
      <c r="F1621" s="488"/>
    </row>
    <row r="1622" spans="6:6" x14ac:dyDescent="0.35">
      <c r="F1622" s="488"/>
    </row>
    <row r="1623" spans="6:6" x14ac:dyDescent="0.35">
      <c r="F1623" s="488"/>
    </row>
    <row r="1624" spans="6:6" x14ac:dyDescent="0.35">
      <c r="F1624" s="488"/>
    </row>
    <row r="1625" spans="6:6" x14ac:dyDescent="0.35">
      <c r="F1625" s="488"/>
    </row>
    <row r="1626" spans="6:6" x14ac:dyDescent="0.35">
      <c r="F1626" s="488"/>
    </row>
    <row r="1627" spans="6:6" x14ac:dyDescent="0.35">
      <c r="F1627" s="488"/>
    </row>
    <row r="1628" spans="6:6" x14ac:dyDescent="0.35">
      <c r="F1628" s="488"/>
    </row>
    <row r="1629" spans="6:6" x14ac:dyDescent="0.35">
      <c r="F1629" s="488"/>
    </row>
    <row r="1630" spans="6:6" x14ac:dyDescent="0.35">
      <c r="F1630" s="488"/>
    </row>
    <row r="1631" spans="6:6" x14ac:dyDescent="0.35">
      <c r="F1631" s="488"/>
    </row>
    <row r="1632" spans="6:6" x14ac:dyDescent="0.35">
      <c r="F1632" s="488"/>
    </row>
    <row r="1633" spans="6:6" x14ac:dyDescent="0.35">
      <c r="F1633" s="488"/>
    </row>
    <row r="1634" spans="6:6" x14ac:dyDescent="0.35">
      <c r="F1634" s="488"/>
    </row>
    <row r="1635" spans="6:6" x14ac:dyDescent="0.35">
      <c r="F1635" s="488"/>
    </row>
    <row r="1636" spans="6:6" x14ac:dyDescent="0.35">
      <c r="F1636" s="488"/>
    </row>
    <row r="1637" spans="6:6" x14ac:dyDescent="0.35">
      <c r="F1637" s="488"/>
    </row>
    <row r="1638" spans="6:6" x14ac:dyDescent="0.35">
      <c r="F1638" s="488"/>
    </row>
    <row r="1639" spans="6:6" x14ac:dyDescent="0.35">
      <c r="F1639" s="488"/>
    </row>
    <row r="1640" spans="6:6" x14ac:dyDescent="0.35">
      <c r="F1640" s="488"/>
    </row>
    <row r="1641" spans="6:6" x14ac:dyDescent="0.35">
      <c r="F1641" s="488"/>
    </row>
    <row r="1642" spans="6:6" x14ac:dyDescent="0.35">
      <c r="F1642" s="488"/>
    </row>
    <row r="1643" spans="6:6" x14ac:dyDescent="0.35">
      <c r="F1643" s="488"/>
    </row>
    <row r="1644" spans="6:6" x14ac:dyDescent="0.35">
      <c r="F1644" s="488"/>
    </row>
    <row r="1645" spans="6:6" x14ac:dyDescent="0.35">
      <c r="F1645" s="488"/>
    </row>
    <row r="1646" spans="6:6" x14ac:dyDescent="0.35">
      <c r="F1646" s="488"/>
    </row>
    <row r="1647" spans="6:6" x14ac:dyDescent="0.35">
      <c r="F1647" s="488"/>
    </row>
    <row r="1648" spans="6:6" x14ac:dyDescent="0.35">
      <c r="F1648" s="488"/>
    </row>
    <row r="1649" spans="6:6" x14ac:dyDescent="0.35">
      <c r="F1649" s="488"/>
    </row>
    <row r="1650" spans="6:6" x14ac:dyDescent="0.35">
      <c r="F1650" s="488"/>
    </row>
    <row r="1651" spans="6:6" x14ac:dyDescent="0.35">
      <c r="F1651" s="488"/>
    </row>
    <row r="1652" spans="6:6" x14ac:dyDescent="0.35">
      <c r="F1652" s="488"/>
    </row>
    <row r="1653" spans="6:6" x14ac:dyDescent="0.35">
      <c r="F1653" s="488"/>
    </row>
    <row r="1654" spans="6:6" x14ac:dyDescent="0.35">
      <c r="F1654" s="488"/>
    </row>
    <row r="1655" spans="6:6" x14ac:dyDescent="0.35">
      <c r="F1655" s="488"/>
    </row>
    <row r="1656" spans="6:6" x14ac:dyDescent="0.35">
      <c r="F1656" s="488"/>
    </row>
    <row r="1657" spans="6:6" x14ac:dyDescent="0.35">
      <c r="F1657" s="488"/>
    </row>
    <row r="1658" spans="6:6" x14ac:dyDescent="0.35">
      <c r="F1658" s="488"/>
    </row>
    <row r="1659" spans="6:6" x14ac:dyDescent="0.35">
      <c r="F1659" s="488"/>
    </row>
    <row r="1660" spans="6:6" x14ac:dyDescent="0.35">
      <c r="F1660" s="488"/>
    </row>
    <row r="1661" spans="6:6" x14ac:dyDescent="0.35">
      <c r="F1661" s="488"/>
    </row>
    <row r="1662" spans="6:6" x14ac:dyDescent="0.35">
      <c r="F1662" s="488"/>
    </row>
    <row r="1663" spans="6:6" x14ac:dyDescent="0.35">
      <c r="F1663" s="488"/>
    </row>
    <row r="1664" spans="6:6" x14ac:dyDescent="0.35">
      <c r="F1664" s="488"/>
    </row>
    <row r="1665" spans="6:6" x14ac:dyDescent="0.35">
      <c r="F1665" s="488"/>
    </row>
    <row r="1666" spans="6:6" x14ac:dyDescent="0.35">
      <c r="F1666" s="488"/>
    </row>
    <row r="1667" spans="6:6" x14ac:dyDescent="0.35">
      <c r="F1667" s="488"/>
    </row>
    <row r="1668" spans="6:6" x14ac:dyDescent="0.35">
      <c r="F1668" s="488"/>
    </row>
    <row r="1669" spans="6:6" x14ac:dyDescent="0.35">
      <c r="F1669" s="488"/>
    </row>
    <row r="1670" spans="6:6" x14ac:dyDescent="0.35">
      <c r="F1670" s="488"/>
    </row>
    <row r="1671" spans="6:6" x14ac:dyDescent="0.35">
      <c r="F1671" s="488"/>
    </row>
    <row r="1672" spans="6:6" x14ac:dyDescent="0.35">
      <c r="F1672" s="488"/>
    </row>
    <row r="1673" spans="6:6" x14ac:dyDescent="0.35">
      <c r="F1673" s="488"/>
    </row>
    <row r="1674" spans="6:6" x14ac:dyDescent="0.35">
      <c r="F1674" s="488"/>
    </row>
    <row r="1675" spans="6:6" x14ac:dyDescent="0.35">
      <c r="F1675" s="488"/>
    </row>
    <row r="1676" spans="6:6" x14ac:dyDescent="0.35">
      <c r="F1676" s="488"/>
    </row>
    <row r="1677" spans="6:6" x14ac:dyDescent="0.35">
      <c r="F1677" s="488"/>
    </row>
    <row r="1678" spans="6:6" x14ac:dyDescent="0.35">
      <c r="F1678" s="488"/>
    </row>
    <row r="1679" spans="6:6" x14ac:dyDescent="0.35">
      <c r="F1679" s="488"/>
    </row>
    <row r="1680" spans="6:6" x14ac:dyDescent="0.35">
      <c r="F1680" s="488"/>
    </row>
    <row r="1681" spans="6:6" x14ac:dyDescent="0.35">
      <c r="F1681" s="488"/>
    </row>
    <row r="1682" spans="6:6" x14ac:dyDescent="0.35">
      <c r="F1682" s="488"/>
    </row>
    <row r="1683" spans="6:6" x14ac:dyDescent="0.35">
      <c r="F1683" s="488"/>
    </row>
    <row r="1684" spans="6:6" x14ac:dyDescent="0.35">
      <c r="F1684" s="488"/>
    </row>
    <row r="1685" spans="6:6" x14ac:dyDescent="0.35">
      <c r="F1685" s="488"/>
    </row>
    <row r="1686" spans="6:6" x14ac:dyDescent="0.35">
      <c r="F1686" s="488"/>
    </row>
    <row r="1687" spans="6:6" x14ac:dyDescent="0.35">
      <c r="F1687" s="488"/>
    </row>
    <row r="1688" spans="6:6" x14ac:dyDescent="0.35">
      <c r="F1688" s="488"/>
    </row>
    <row r="1689" spans="6:6" x14ac:dyDescent="0.35">
      <c r="F1689" s="488"/>
    </row>
    <row r="1690" spans="6:6" x14ac:dyDescent="0.35">
      <c r="F1690" s="488"/>
    </row>
    <row r="1691" spans="6:6" x14ac:dyDescent="0.35">
      <c r="F1691" s="488"/>
    </row>
    <row r="1692" spans="6:6" x14ac:dyDescent="0.35">
      <c r="F1692" s="488"/>
    </row>
    <row r="1693" spans="6:6" x14ac:dyDescent="0.35">
      <c r="F1693" s="488"/>
    </row>
    <row r="1694" spans="6:6" x14ac:dyDescent="0.35">
      <c r="F1694" s="488"/>
    </row>
    <row r="1695" spans="6:6" x14ac:dyDescent="0.35">
      <c r="F1695" s="488"/>
    </row>
    <row r="1696" spans="6:6" x14ac:dyDescent="0.35">
      <c r="F1696" s="488"/>
    </row>
    <row r="1697" spans="6:6" x14ac:dyDescent="0.35">
      <c r="F1697" s="488"/>
    </row>
    <row r="1698" spans="6:6" x14ac:dyDescent="0.35">
      <c r="F1698" s="488"/>
    </row>
    <row r="1699" spans="6:6" x14ac:dyDescent="0.35">
      <c r="F1699" s="488"/>
    </row>
    <row r="1700" spans="6:6" x14ac:dyDescent="0.35">
      <c r="F1700" s="488"/>
    </row>
    <row r="1701" spans="6:6" x14ac:dyDescent="0.35">
      <c r="F1701" s="488"/>
    </row>
    <row r="1702" spans="6:6" x14ac:dyDescent="0.35">
      <c r="F1702" s="488"/>
    </row>
    <row r="1703" spans="6:6" x14ac:dyDescent="0.35">
      <c r="F1703" s="488"/>
    </row>
    <row r="1704" spans="6:6" x14ac:dyDescent="0.35">
      <c r="F1704" s="488"/>
    </row>
    <row r="1705" spans="6:6" x14ac:dyDescent="0.35">
      <c r="F1705" s="488"/>
    </row>
    <row r="1706" spans="6:6" x14ac:dyDescent="0.35">
      <c r="F1706" s="488"/>
    </row>
    <row r="1707" spans="6:6" x14ac:dyDescent="0.35">
      <c r="F1707" s="488"/>
    </row>
    <row r="1708" spans="6:6" x14ac:dyDescent="0.35">
      <c r="F1708" s="488"/>
    </row>
    <row r="1709" spans="6:6" x14ac:dyDescent="0.35">
      <c r="F1709" s="488"/>
    </row>
    <row r="1710" spans="6:6" x14ac:dyDescent="0.35">
      <c r="F1710" s="488"/>
    </row>
    <row r="1711" spans="6:6" x14ac:dyDescent="0.35">
      <c r="F1711" s="488"/>
    </row>
    <row r="1712" spans="6:6" x14ac:dyDescent="0.35">
      <c r="F1712" s="488"/>
    </row>
    <row r="1713" spans="6:6" x14ac:dyDescent="0.35">
      <c r="F1713" s="488"/>
    </row>
    <row r="1714" spans="6:6" x14ac:dyDescent="0.35">
      <c r="F1714" s="488"/>
    </row>
    <row r="1715" spans="6:6" x14ac:dyDescent="0.35">
      <c r="F1715" s="488"/>
    </row>
    <row r="1716" spans="6:6" x14ac:dyDescent="0.35">
      <c r="F1716" s="488"/>
    </row>
    <row r="1717" spans="6:6" x14ac:dyDescent="0.35">
      <c r="F1717" s="488"/>
    </row>
    <row r="1718" spans="6:6" x14ac:dyDescent="0.35">
      <c r="F1718" s="488"/>
    </row>
    <row r="1719" spans="6:6" x14ac:dyDescent="0.35">
      <c r="F1719" s="488"/>
    </row>
    <row r="1720" spans="6:6" x14ac:dyDescent="0.35">
      <c r="F1720" s="488"/>
    </row>
    <row r="1721" spans="6:6" x14ac:dyDescent="0.35">
      <c r="F1721" s="488"/>
    </row>
    <row r="1722" spans="6:6" x14ac:dyDescent="0.35">
      <c r="F1722" s="488"/>
    </row>
    <row r="1723" spans="6:6" x14ac:dyDescent="0.35">
      <c r="F1723" s="488"/>
    </row>
    <row r="1724" spans="6:6" x14ac:dyDescent="0.35">
      <c r="F1724" s="488"/>
    </row>
    <row r="1725" spans="6:6" x14ac:dyDescent="0.35">
      <c r="F1725" s="488"/>
    </row>
    <row r="1726" spans="6:6" x14ac:dyDescent="0.35">
      <c r="F1726" s="488"/>
    </row>
    <row r="1727" spans="6:6" x14ac:dyDescent="0.35">
      <c r="F1727" s="488"/>
    </row>
    <row r="1728" spans="6:6" x14ac:dyDescent="0.35">
      <c r="F1728" s="488"/>
    </row>
    <row r="1729" spans="6:6" x14ac:dyDescent="0.35">
      <c r="F1729" s="488"/>
    </row>
    <row r="1730" spans="6:6" x14ac:dyDescent="0.35">
      <c r="F1730" s="488"/>
    </row>
    <row r="1731" spans="6:6" x14ac:dyDescent="0.35">
      <c r="F1731" s="488"/>
    </row>
    <row r="1732" spans="6:6" x14ac:dyDescent="0.35">
      <c r="F1732" s="488"/>
    </row>
    <row r="1733" spans="6:6" x14ac:dyDescent="0.35">
      <c r="F1733" s="488"/>
    </row>
    <row r="1734" spans="6:6" x14ac:dyDescent="0.35">
      <c r="F1734" s="488"/>
    </row>
    <row r="1735" spans="6:6" x14ac:dyDescent="0.35">
      <c r="F1735" s="488"/>
    </row>
    <row r="1736" spans="6:6" x14ac:dyDescent="0.35">
      <c r="F1736" s="488"/>
    </row>
    <row r="1737" spans="6:6" x14ac:dyDescent="0.35">
      <c r="F1737" s="488"/>
    </row>
    <row r="1738" spans="6:6" x14ac:dyDescent="0.35">
      <c r="F1738" s="488"/>
    </row>
    <row r="1739" spans="6:6" x14ac:dyDescent="0.35">
      <c r="F1739" s="488"/>
    </row>
    <row r="1740" spans="6:6" x14ac:dyDescent="0.35">
      <c r="F1740" s="488"/>
    </row>
    <row r="1741" spans="6:6" x14ac:dyDescent="0.35">
      <c r="F1741" s="488"/>
    </row>
    <row r="1742" spans="6:6" x14ac:dyDescent="0.35">
      <c r="F1742" s="488"/>
    </row>
    <row r="1743" spans="6:6" x14ac:dyDescent="0.35">
      <c r="F1743" s="488"/>
    </row>
    <row r="1744" spans="6:6" x14ac:dyDescent="0.35">
      <c r="F1744" s="488"/>
    </row>
    <row r="1745" spans="6:6" x14ac:dyDescent="0.35">
      <c r="F1745" s="488"/>
    </row>
    <row r="1746" spans="6:6" x14ac:dyDescent="0.35">
      <c r="F1746" s="488"/>
    </row>
    <row r="1747" spans="6:6" x14ac:dyDescent="0.35">
      <c r="F1747" s="488"/>
    </row>
    <row r="1748" spans="6:6" x14ac:dyDescent="0.35">
      <c r="F1748" s="488"/>
    </row>
    <row r="1749" spans="6:6" x14ac:dyDescent="0.35">
      <c r="F1749" s="488"/>
    </row>
    <row r="1750" spans="6:6" x14ac:dyDescent="0.35">
      <c r="F1750" s="488"/>
    </row>
    <row r="1751" spans="6:6" x14ac:dyDescent="0.35">
      <c r="F1751" s="488"/>
    </row>
    <row r="1752" spans="6:6" x14ac:dyDescent="0.35">
      <c r="F1752" s="488"/>
    </row>
    <row r="1753" spans="6:6" x14ac:dyDescent="0.35">
      <c r="F1753" s="488"/>
    </row>
    <row r="1754" spans="6:6" x14ac:dyDescent="0.35">
      <c r="F1754" s="488"/>
    </row>
    <row r="1755" spans="6:6" x14ac:dyDescent="0.35">
      <c r="F1755" s="488"/>
    </row>
    <row r="1756" spans="6:6" x14ac:dyDescent="0.35">
      <c r="F1756" s="488"/>
    </row>
    <row r="1757" spans="6:6" x14ac:dyDescent="0.35">
      <c r="F1757" s="488"/>
    </row>
    <row r="1758" spans="6:6" x14ac:dyDescent="0.35">
      <c r="F1758" s="488"/>
    </row>
    <row r="1759" spans="6:6" x14ac:dyDescent="0.35">
      <c r="F1759" s="488"/>
    </row>
    <row r="1760" spans="6:6" x14ac:dyDescent="0.35">
      <c r="F1760" s="488"/>
    </row>
    <row r="1761" spans="6:6" x14ac:dyDescent="0.35">
      <c r="F1761" s="488"/>
    </row>
    <row r="1762" spans="6:6" x14ac:dyDescent="0.35">
      <c r="F1762" s="488"/>
    </row>
    <row r="1763" spans="6:6" x14ac:dyDescent="0.35">
      <c r="F1763" s="488"/>
    </row>
    <row r="1764" spans="6:6" x14ac:dyDescent="0.35">
      <c r="F1764" s="488"/>
    </row>
    <row r="1765" spans="6:6" x14ac:dyDescent="0.35">
      <c r="F1765" s="488"/>
    </row>
    <row r="1766" spans="6:6" x14ac:dyDescent="0.35">
      <c r="F1766" s="488"/>
    </row>
    <row r="1767" spans="6:6" x14ac:dyDescent="0.35">
      <c r="F1767" s="488"/>
    </row>
    <row r="1768" spans="6:6" x14ac:dyDescent="0.35">
      <c r="F1768" s="488"/>
    </row>
    <row r="1769" spans="6:6" x14ac:dyDescent="0.35">
      <c r="F1769" s="488"/>
    </row>
    <row r="1770" spans="6:6" x14ac:dyDescent="0.35">
      <c r="F1770" s="488"/>
    </row>
    <row r="1771" spans="6:6" x14ac:dyDescent="0.35">
      <c r="F1771" s="488"/>
    </row>
    <row r="1772" spans="6:6" x14ac:dyDescent="0.35">
      <c r="F1772" s="488"/>
    </row>
    <row r="1773" spans="6:6" x14ac:dyDescent="0.35">
      <c r="F1773" s="488"/>
    </row>
    <row r="1774" spans="6:6" x14ac:dyDescent="0.35">
      <c r="F1774" s="488"/>
    </row>
    <row r="1775" spans="6:6" x14ac:dyDescent="0.35">
      <c r="F1775" s="488"/>
    </row>
    <row r="1776" spans="6:6" x14ac:dyDescent="0.35">
      <c r="F1776" s="488"/>
    </row>
    <row r="1777" spans="6:6" x14ac:dyDescent="0.35">
      <c r="F1777" s="488"/>
    </row>
    <row r="1778" spans="6:6" x14ac:dyDescent="0.35">
      <c r="F1778" s="488"/>
    </row>
    <row r="1779" spans="6:6" x14ac:dyDescent="0.35">
      <c r="F1779" s="488"/>
    </row>
    <row r="1780" spans="6:6" x14ac:dyDescent="0.35">
      <c r="F1780" s="488"/>
    </row>
    <row r="1781" spans="6:6" x14ac:dyDescent="0.35">
      <c r="F1781" s="488"/>
    </row>
    <row r="1782" spans="6:6" x14ac:dyDescent="0.35">
      <c r="F1782" s="488"/>
    </row>
    <row r="1783" spans="6:6" x14ac:dyDescent="0.35">
      <c r="F1783" s="488"/>
    </row>
    <row r="1784" spans="6:6" x14ac:dyDescent="0.35">
      <c r="F1784" s="488"/>
    </row>
    <row r="1785" spans="6:6" x14ac:dyDescent="0.35">
      <c r="F1785" s="488"/>
    </row>
    <row r="1786" spans="6:6" x14ac:dyDescent="0.35">
      <c r="F1786" s="488"/>
    </row>
    <row r="1787" spans="6:6" x14ac:dyDescent="0.35">
      <c r="F1787" s="488"/>
    </row>
    <row r="1788" spans="6:6" x14ac:dyDescent="0.35">
      <c r="F1788" s="488"/>
    </row>
    <row r="1789" spans="6:6" x14ac:dyDescent="0.35">
      <c r="F1789" s="488"/>
    </row>
    <row r="1790" spans="6:6" x14ac:dyDescent="0.35">
      <c r="F1790" s="488"/>
    </row>
    <row r="1791" spans="6:6" x14ac:dyDescent="0.35">
      <c r="F1791" s="488"/>
    </row>
    <row r="1792" spans="6:6" x14ac:dyDescent="0.35">
      <c r="F1792" s="488"/>
    </row>
    <row r="1793" spans="6:6" x14ac:dyDescent="0.35">
      <c r="F1793" s="488"/>
    </row>
    <row r="1794" spans="6:6" x14ac:dyDescent="0.35">
      <c r="F1794" s="488"/>
    </row>
    <row r="1795" spans="6:6" x14ac:dyDescent="0.35">
      <c r="F1795" s="488"/>
    </row>
    <row r="1796" spans="6:6" x14ac:dyDescent="0.35">
      <c r="F1796" s="488"/>
    </row>
    <row r="1797" spans="6:6" x14ac:dyDescent="0.35">
      <c r="F1797" s="488"/>
    </row>
    <row r="1798" spans="6:6" x14ac:dyDescent="0.35">
      <c r="F1798" s="488"/>
    </row>
    <row r="1799" spans="6:6" x14ac:dyDescent="0.35">
      <c r="F1799" s="488"/>
    </row>
    <row r="1800" spans="6:6" x14ac:dyDescent="0.35">
      <c r="F1800" s="488"/>
    </row>
    <row r="1801" spans="6:6" x14ac:dyDescent="0.35">
      <c r="F1801" s="488"/>
    </row>
    <row r="1802" spans="6:6" x14ac:dyDescent="0.35">
      <c r="F1802" s="488"/>
    </row>
    <row r="1803" spans="6:6" x14ac:dyDescent="0.35">
      <c r="F1803" s="488"/>
    </row>
    <row r="1804" spans="6:6" x14ac:dyDescent="0.35">
      <c r="F1804" s="488"/>
    </row>
    <row r="1805" spans="6:6" x14ac:dyDescent="0.35">
      <c r="F1805" s="488"/>
    </row>
    <row r="1806" spans="6:6" x14ac:dyDescent="0.35">
      <c r="F1806" s="488"/>
    </row>
    <row r="1807" spans="6:6" x14ac:dyDescent="0.35">
      <c r="F1807" s="488"/>
    </row>
    <row r="1808" spans="6:6" x14ac:dyDescent="0.35">
      <c r="F1808" s="488"/>
    </row>
    <row r="1809" spans="6:6" x14ac:dyDescent="0.35">
      <c r="F1809" s="488"/>
    </row>
    <row r="1810" spans="6:6" x14ac:dyDescent="0.35">
      <c r="F1810" s="488"/>
    </row>
    <row r="1811" spans="6:6" x14ac:dyDescent="0.35">
      <c r="F1811" s="488"/>
    </row>
    <row r="1812" spans="6:6" x14ac:dyDescent="0.35">
      <c r="F1812" s="488"/>
    </row>
    <row r="1813" spans="6:6" x14ac:dyDescent="0.35">
      <c r="F1813" s="488"/>
    </row>
    <row r="1814" spans="6:6" x14ac:dyDescent="0.35">
      <c r="F1814" s="488"/>
    </row>
    <row r="1815" spans="6:6" x14ac:dyDescent="0.35">
      <c r="F1815" s="488"/>
    </row>
    <row r="1816" spans="6:6" x14ac:dyDescent="0.35">
      <c r="F1816" s="488"/>
    </row>
    <row r="1817" spans="6:6" x14ac:dyDescent="0.35">
      <c r="F1817" s="488"/>
    </row>
    <row r="1818" spans="6:6" x14ac:dyDescent="0.35">
      <c r="F1818" s="488"/>
    </row>
    <row r="1819" spans="6:6" x14ac:dyDescent="0.35">
      <c r="F1819" s="488"/>
    </row>
    <row r="1820" spans="6:6" x14ac:dyDescent="0.35">
      <c r="F1820" s="488"/>
    </row>
    <row r="1821" spans="6:6" x14ac:dyDescent="0.35">
      <c r="F1821" s="488"/>
    </row>
    <row r="1822" spans="6:6" x14ac:dyDescent="0.35">
      <c r="F1822" s="488"/>
    </row>
    <row r="1823" spans="6:6" x14ac:dyDescent="0.35">
      <c r="F1823" s="488"/>
    </row>
    <row r="1824" spans="6:6" x14ac:dyDescent="0.35">
      <c r="F1824" s="488"/>
    </row>
    <row r="1825" spans="6:6" x14ac:dyDescent="0.35">
      <c r="F1825" s="488"/>
    </row>
    <row r="1826" spans="6:6" x14ac:dyDescent="0.35">
      <c r="F1826" s="488"/>
    </row>
    <row r="1827" spans="6:6" x14ac:dyDescent="0.35">
      <c r="F1827" s="488"/>
    </row>
    <row r="1828" spans="6:6" x14ac:dyDescent="0.35">
      <c r="F1828" s="488"/>
    </row>
    <row r="1829" spans="6:6" x14ac:dyDescent="0.35">
      <c r="F1829" s="488"/>
    </row>
    <row r="1830" spans="6:6" x14ac:dyDescent="0.35">
      <c r="F1830" s="488"/>
    </row>
    <row r="1831" spans="6:6" x14ac:dyDescent="0.35">
      <c r="F1831" s="488"/>
    </row>
    <row r="1832" spans="6:6" x14ac:dyDescent="0.35">
      <c r="F1832" s="488"/>
    </row>
    <row r="1833" spans="6:6" x14ac:dyDescent="0.35">
      <c r="F1833" s="488"/>
    </row>
    <row r="1834" spans="6:6" x14ac:dyDescent="0.35">
      <c r="F1834" s="488"/>
    </row>
    <row r="1835" spans="6:6" x14ac:dyDescent="0.35">
      <c r="F1835" s="488"/>
    </row>
    <row r="1836" spans="6:6" x14ac:dyDescent="0.35">
      <c r="F1836" s="488"/>
    </row>
    <row r="1837" spans="6:6" x14ac:dyDescent="0.35">
      <c r="F1837" s="488"/>
    </row>
    <row r="1838" spans="6:6" x14ac:dyDescent="0.35">
      <c r="F1838" s="488"/>
    </row>
    <row r="1839" spans="6:6" x14ac:dyDescent="0.35">
      <c r="F1839" s="488"/>
    </row>
    <row r="1840" spans="6:6" x14ac:dyDescent="0.35">
      <c r="F1840" s="488"/>
    </row>
    <row r="1841" spans="6:6" x14ac:dyDescent="0.35">
      <c r="F1841" s="488"/>
    </row>
    <row r="1842" spans="6:6" x14ac:dyDescent="0.35">
      <c r="F1842" s="488"/>
    </row>
    <row r="1843" spans="6:6" x14ac:dyDescent="0.35">
      <c r="F1843" s="488"/>
    </row>
    <row r="1844" spans="6:6" x14ac:dyDescent="0.35">
      <c r="F1844" s="488"/>
    </row>
    <row r="1845" spans="6:6" x14ac:dyDescent="0.35">
      <c r="F1845" s="488"/>
    </row>
    <row r="1846" spans="6:6" x14ac:dyDescent="0.35">
      <c r="F1846" s="488"/>
    </row>
    <row r="1847" spans="6:6" x14ac:dyDescent="0.35">
      <c r="F1847" s="488"/>
    </row>
    <row r="1848" spans="6:6" x14ac:dyDescent="0.35">
      <c r="F1848" s="488"/>
    </row>
    <row r="1849" spans="6:6" x14ac:dyDescent="0.35">
      <c r="F1849" s="488"/>
    </row>
    <row r="1850" spans="6:6" x14ac:dyDescent="0.35">
      <c r="F1850" s="488"/>
    </row>
    <row r="1851" spans="6:6" x14ac:dyDescent="0.35">
      <c r="F1851" s="488"/>
    </row>
    <row r="1852" spans="6:6" x14ac:dyDescent="0.35">
      <c r="F1852" s="488"/>
    </row>
    <row r="1853" spans="6:6" x14ac:dyDescent="0.35">
      <c r="F1853" s="488"/>
    </row>
    <row r="1854" spans="6:6" x14ac:dyDescent="0.35">
      <c r="F1854" s="488"/>
    </row>
    <row r="1855" spans="6:6" x14ac:dyDescent="0.35">
      <c r="F1855" s="488"/>
    </row>
    <row r="1856" spans="6:6" x14ac:dyDescent="0.35">
      <c r="F1856" s="488"/>
    </row>
    <row r="1857" spans="6:6" x14ac:dyDescent="0.35">
      <c r="F1857" s="488"/>
    </row>
    <row r="1858" spans="6:6" x14ac:dyDescent="0.35">
      <c r="F1858" s="488"/>
    </row>
    <row r="1859" spans="6:6" x14ac:dyDescent="0.35">
      <c r="F1859" s="488"/>
    </row>
    <row r="1860" spans="6:6" x14ac:dyDescent="0.35">
      <c r="F1860" s="488"/>
    </row>
    <row r="1861" spans="6:6" x14ac:dyDescent="0.35">
      <c r="F1861" s="488"/>
    </row>
    <row r="1862" spans="6:6" x14ac:dyDescent="0.35">
      <c r="F1862" s="488"/>
    </row>
    <row r="1863" spans="6:6" x14ac:dyDescent="0.35">
      <c r="F1863" s="488"/>
    </row>
    <row r="1864" spans="6:6" x14ac:dyDescent="0.35">
      <c r="F1864" s="488"/>
    </row>
    <row r="1865" spans="6:6" x14ac:dyDescent="0.35">
      <c r="F1865" s="488"/>
    </row>
    <row r="1866" spans="6:6" x14ac:dyDescent="0.35">
      <c r="F1866" s="488"/>
    </row>
    <row r="1867" spans="6:6" x14ac:dyDescent="0.35">
      <c r="F1867" s="488"/>
    </row>
    <row r="1868" spans="6:6" x14ac:dyDescent="0.35">
      <c r="F1868" s="488"/>
    </row>
    <row r="1869" spans="6:6" x14ac:dyDescent="0.35">
      <c r="F1869" s="488"/>
    </row>
    <row r="1870" spans="6:6" x14ac:dyDescent="0.35">
      <c r="F1870" s="488"/>
    </row>
    <row r="1871" spans="6:6" x14ac:dyDescent="0.35">
      <c r="F1871" s="488"/>
    </row>
    <row r="1872" spans="6:6" x14ac:dyDescent="0.35">
      <c r="F1872" s="488"/>
    </row>
    <row r="1873" spans="6:6" x14ac:dyDescent="0.35">
      <c r="F1873" s="488"/>
    </row>
    <row r="1874" spans="6:6" x14ac:dyDescent="0.35">
      <c r="F1874" s="488"/>
    </row>
    <row r="1875" spans="6:6" x14ac:dyDescent="0.35">
      <c r="F1875" s="488"/>
    </row>
    <row r="1876" spans="6:6" x14ac:dyDescent="0.35">
      <c r="F1876" s="488"/>
    </row>
    <row r="1877" spans="6:6" x14ac:dyDescent="0.35">
      <c r="F1877" s="488"/>
    </row>
    <row r="1878" spans="6:6" x14ac:dyDescent="0.35">
      <c r="F1878" s="488"/>
    </row>
    <row r="1879" spans="6:6" x14ac:dyDescent="0.35">
      <c r="F1879" s="488"/>
    </row>
    <row r="1880" spans="6:6" x14ac:dyDescent="0.35">
      <c r="F1880" s="488"/>
    </row>
    <row r="1881" spans="6:6" x14ac:dyDescent="0.35">
      <c r="F1881" s="488"/>
    </row>
    <row r="1882" spans="6:6" x14ac:dyDescent="0.35">
      <c r="F1882" s="488"/>
    </row>
    <row r="1883" spans="6:6" x14ac:dyDescent="0.35">
      <c r="F1883" s="488"/>
    </row>
    <row r="1884" spans="6:6" x14ac:dyDescent="0.35">
      <c r="F1884" s="488"/>
    </row>
    <row r="1885" spans="6:6" x14ac:dyDescent="0.35">
      <c r="F1885" s="488"/>
    </row>
    <row r="1886" spans="6:6" x14ac:dyDescent="0.35">
      <c r="F1886" s="488"/>
    </row>
    <row r="1887" spans="6:6" x14ac:dyDescent="0.35">
      <c r="F1887" s="488"/>
    </row>
    <row r="1888" spans="6:6" x14ac:dyDescent="0.35">
      <c r="F1888" s="488"/>
    </row>
    <row r="1889" spans="6:6" x14ac:dyDescent="0.35">
      <c r="F1889" s="488"/>
    </row>
    <row r="1890" spans="6:6" x14ac:dyDescent="0.35">
      <c r="F1890" s="488"/>
    </row>
    <row r="1891" spans="6:6" x14ac:dyDescent="0.35">
      <c r="F1891" s="488"/>
    </row>
    <row r="1892" spans="6:6" x14ac:dyDescent="0.35">
      <c r="F1892" s="488"/>
    </row>
    <row r="1893" spans="6:6" x14ac:dyDescent="0.35">
      <c r="F1893" s="488"/>
    </row>
    <row r="1894" spans="6:6" x14ac:dyDescent="0.35">
      <c r="F1894" s="488"/>
    </row>
    <row r="1895" spans="6:6" x14ac:dyDescent="0.35">
      <c r="F1895" s="488"/>
    </row>
    <row r="1896" spans="6:6" x14ac:dyDescent="0.35">
      <c r="F1896" s="488"/>
    </row>
    <row r="1897" spans="6:6" x14ac:dyDescent="0.35">
      <c r="F1897" s="488"/>
    </row>
    <row r="1898" spans="6:6" x14ac:dyDescent="0.35">
      <c r="F1898" s="488"/>
    </row>
    <row r="1899" spans="6:6" x14ac:dyDescent="0.35">
      <c r="F1899" s="488"/>
    </row>
    <row r="1900" spans="6:6" x14ac:dyDescent="0.35">
      <c r="F1900" s="488"/>
    </row>
    <row r="1901" spans="6:6" x14ac:dyDescent="0.35">
      <c r="F1901" s="488"/>
    </row>
    <row r="1902" spans="6:6" x14ac:dyDescent="0.35">
      <c r="F1902" s="488"/>
    </row>
    <row r="1903" spans="6:6" x14ac:dyDescent="0.35">
      <c r="F1903" s="488"/>
    </row>
    <row r="1904" spans="6:6" x14ac:dyDescent="0.35">
      <c r="F1904" s="488"/>
    </row>
    <row r="1905" spans="6:6" x14ac:dyDescent="0.35">
      <c r="F1905" s="488"/>
    </row>
    <row r="1906" spans="6:6" x14ac:dyDescent="0.35">
      <c r="F1906" s="488"/>
    </row>
    <row r="1907" spans="6:6" x14ac:dyDescent="0.35">
      <c r="F1907" s="488"/>
    </row>
    <row r="1908" spans="6:6" x14ac:dyDescent="0.35">
      <c r="F1908" s="488"/>
    </row>
    <row r="1909" spans="6:6" x14ac:dyDescent="0.35">
      <c r="F1909" s="488"/>
    </row>
    <row r="1910" spans="6:6" x14ac:dyDescent="0.35">
      <c r="F1910" s="488"/>
    </row>
    <row r="1911" spans="6:6" x14ac:dyDescent="0.35">
      <c r="F1911" s="488"/>
    </row>
    <row r="1912" spans="6:6" x14ac:dyDescent="0.35">
      <c r="F1912" s="488"/>
    </row>
    <row r="1913" spans="6:6" x14ac:dyDescent="0.35">
      <c r="F1913" s="488"/>
    </row>
    <row r="1914" spans="6:6" x14ac:dyDescent="0.35">
      <c r="F1914" s="488"/>
    </row>
    <row r="1915" spans="6:6" x14ac:dyDescent="0.35">
      <c r="F1915" s="488"/>
    </row>
    <row r="1916" spans="6:6" x14ac:dyDescent="0.35">
      <c r="F1916" s="488"/>
    </row>
    <row r="1917" spans="6:6" x14ac:dyDescent="0.35">
      <c r="F1917" s="488"/>
    </row>
    <row r="1918" spans="6:6" x14ac:dyDescent="0.35">
      <c r="F1918" s="488"/>
    </row>
    <row r="1919" spans="6:6" x14ac:dyDescent="0.35">
      <c r="F1919" s="488"/>
    </row>
    <row r="1920" spans="6:6" x14ac:dyDescent="0.35">
      <c r="F1920" s="488"/>
    </row>
    <row r="1921" spans="6:6" x14ac:dyDescent="0.35">
      <c r="F1921" s="488"/>
    </row>
    <row r="1922" spans="6:6" x14ac:dyDescent="0.35">
      <c r="F1922" s="488"/>
    </row>
    <row r="1923" spans="6:6" x14ac:dyDescent="0.35">
      <c r="F1923" s="488"/>
    </row>
    <row r="1924" spans="6:6" x14ac:dyDescent="0.35">
      <c r="F1924" s="488"/>
    </row>
    <row r="1925" spans="6:6" x14ac:dyDescent="0.35">
      <c r="F1925" s="488"/>
    </row>
    <row r="1926" spans="6:6" x14ac:dyDescent="0.35">
      <c r="F1926" s="488"/>
    </row>
    <row r="1927" spans="6:6" x14ac:dyDescent="0.35">
      <c r="F1927" s="488"/>
    </row>
    <row r="1928" spans="6:6" x14ac:dyDescent="0.35">
      <c r="F1928" s="488"/>
    </row>
    <row r="1929" spans="6:6" x14ac:dyDescent="0.35">
      <c r="F1929" s="488"/>
    </row>
    <row r="1930" spans="6:6" x14ac:dyDescent="0.35">
      <c r="F1930" s="488"/>
    </row>
    <row r="1931" spans="6:6" x14ac:dyDescent="0.35">
      <c r="F1931" s="488"/>
    </row>
    <row r="1932" spans="6:6" x14ac:dyDescent="0.35">
      <c r="F1932" s="488"/>
    </row>
    <row r="1933" spans="6:6" x14ac:dyDescent="0.35">
      <c r="F1933" s="488"/>
    </row>
    <row r="1934" spans="6:6" x14ac:dyDescent="0.35">
      <c r="F1934" s="488"/>
    </row>
    <row r="1935" spans="6:6" x14ac:dyDescent="0.35">
      <c r="F1935" s="488"/>
    </row>
    <row r="1936" spans="6:6" x14ac:dyDescent="0.35">
      <c r="F1936" s="488"/>
    </row>
    <row r="1937" spans="6:6" x14ac:dyDescent="0.35">
      <c r="F1937" s="488"/>
    </row>
    <row r="1938" spans="6:6" x14ac:dyDescent="0.35">
      <c r="F1938" s="488"/>
    </row>
    <row r="1939" spans="6:6" x14ac:dyDescent="0.35">
      <c r="F1939" s="488"/>
    </row>
    <row r="1940" spans="6:6" x14ac:dyDescent="0.35">
      <c r="F1940" s="488"/>
    </row>
    <row r="1941" spans="6:6" x14ac:dyDescent="0.35">
      <c r="F1941" s="488"/>
    </row>
    <row r="1942" spans="6:6" x14ac:dyDescent="0.35">
      <c r="F1942" s="488"/>
    </row>
    <row r="1943" spans="6:6" x14ac:dyDescent="0.35">
      <c r="F1943" s="488"/>
    </row>
    <row r="1944" spans="6:6" x14ac:dyDescent="0.35">
      <c r="F1944" s="488"/>
    </row>
    <row r="1945" spans="6:6" x14ac:dyDescent="0.35">
      <c r="F1945" s="488"/>
    </row>
    <row r="1946" spans="6:6" x14ac:dyDescent="0.35">
      <c r="F1946" s="488"/>
    </row>
    <row r="1947" spans="6:6" x14ac:dyDescent="0.35">
      <c r="F1947" s="488"/>
    </row>
    <row r="1948" spans="6:6" x14ac:dyDescent="0.35">
      <c r="F1948" s="488"/>
    </row>
    <row r="1949" spans="6:6" x14ac:dyDescent="0.35">
      <c r="F1949" s="488"/>
    </row>
    <row r="1950" spans="6:6" x14ac:dyDescent="0.35">
      <c r="F1950" s="488"/>
    </row>
    <row r="1951" spans="6:6" x14ac:dyDescent="0.35">
      <c r="F1951" s="488"/>
    </row>
    <row r="1952" spans="6:6" x14ac:dyDescent="0.35">
      <c r="F1952" s="488"/>
    </row>
    <row r="1953" spans="6:6" x14ac:dyDescent="0.35">
      <c r="F1953" s="488"/>
    </row>
    <row r="1954" spans="6:6" x14ac:dyDescent="0.35">
      <c r="F1954" s="488"/>
    </row>
    <row r="1955" spans="6:6" x14ac:dyDescent="0.35">
      <c r="F1955" s="488"/>
    </row>
    <row r="1956" spans="6:6" x14ac:dyDescent="0.35">
      <c r="F1956" s="488"/>
    </row>
    <row r="1957" spans="6:6" x14ac:dyDescent="0.35">
      <c r="F1957" s="488"/>
    </row>
    <row r="1958" spans="6:6" x14ac:dyDescent="0.35">
      <c r="F1958" s="488"/>
    </row>
    <row r="1959" spans="6:6" x14ac:dyDescent="0.35">
      <c r="F1959" s="488"/>
    </row>
    <row r="1960" spans="6:6" x14ac:dyDescent="0.35">
      <c r="F1960" s="488"/>
    </row>
    <row r="1961" spans="6:6" x14ac:dyDescent="0.35">
      <c r="F1961" s="488"/>
    </row>
    <row r="1962" spans="6:6" x14ac:dyDescent="0.35">
      <c r="F1962" s="488"/>
    </row>
    <row r="1963" spans="6:6" x14ac:dyDescent="0.35">
      <c r="F1963" s="488"/>
    </row>
    <row r="1964" spans="6:6" x14ac:dyDescent="0.35">
      <c r="F1964" s="488"/>
    </row>
    <row r="1965" spans="6:6" x14ac:dyDescent="0.35">
      <c r="F1965" s="488"/>
    </row>
    <row r="1966" spans="6:6" x14ac:dyDescent="0.35">
      <c r="F1966" s="488"/>
    </row>
    <row r="1967" spans="6:6" x14ac:dyDescent="0.35">
      <c r="F1967" s="488"/>
    </row>
    <row r="1968" spans="6:6" x14ac:dyDescent="0.35">
      <c r="F1968" s="488"/>
    </row>
    <row r="1969" spans="6:6" x14ac:dyDescent="0.35">
      <c r="F1969" s="488"/>
    </row>
    <row r="1970" spans="6:6" x14ac:dyDescent="0.35">
      <c r="F1970" s="488"/>
    </row>
    <row r="1971" spans="6:6" x14ac:dyDescent="0.35">
      <c r="F1971" s="488"/>
    </row>
    <row r="1972" spans="6:6" x14ac:dyDescent="0.35">
      <c r="F1972" s="488"/>
    </row>
    <row r="1973" spans="6:6" x14ac:dyDescent="0.35">
      <c r="F1973" s="488"/>
    </row>
    <row r="1974" spans="6:6" x14ac:dyDescent="0.35">
      <c r="F1974" s="488"/>
    </row>
    <row r="1975" spans="6:6" x14ac:dyDescent="0.35">
      <c r="F1975" s="488"/>
    </row>
    <row r="1976" spans="6:6" x14ac:dyDescent="0.35">
      <c r="F1976" s="488"/>
    </row>
    <row r="1977" spans="6:6" x14ac:dyDescent="0.35">
      <c r="F1977" s="488"/>
    </row>
    <row r="1978" spans="6:6" x14ac:dyDescent="0.35">
      <c r="F1978" s="488"/>
    </row>
    <row r="1979" spans="6:6" x14ac:dyDescent="0.35">
      <c r="F1979" s="488"/>
    </row>
    <row r="1980" spans="6:6" x14ac:dyDescent="0.35">
      <c r="F1980" s="488"/>
    </row>
    <row r="1981" spans="6:6" x14ac:dyDescent="0.35">
      <c r="F1981" s="488"/>
    </row>
    <row r="1982" spans="6:6" x14ac:dyDescent="0.35">
      <c r="F1982" s="488"/>
    </row>
    <row r="1983" spans="6:6" x14ac:dyDescent="0.35">
      <c r="F1983" s="488"/>
    </row>
    <row r="1984" spans="6:6" x14ac:dyDescent="0.35">
      <c r="F1984" s="488"/>
    </row>
    <row r="1985" spans="6:6" x14ac:dyDescent="0.35">
      <c r="F1985" s="488"/>
    </row>
    <row r="1986" spans="6:6" x14ac:dyDescent="0.35">
      <c r="F1986" s="488"/>
    </row>
    <row r="1987" spans="6:6" x14ac:dyDescent="0.35">
      <c r="F1987" s="488"/>
    </row>
    <row r="1988" spans="6:6" x14ac:dyDescent="0.35">
      <c r="F1988" s="488"/>
    </row>
    <row r="1989" spans="6:6" x14ac:dyDescent="0.35">
      <c r="F1989" s="488"/>
    </row>
    <row r="1990" spans="6:6" x14ac:dyDescent="0.35">
      <c r="F1990" s="488"/>
    </row>
    <row r="1991" spans="6:6" x14ac:dyDescent="0.35">
      <c r="F1991" s="488"/>
    </row>
    <row r="1992" spans="6:6" x14ac:dyDescent="0.35">
      <c r="F1992" s="488"/>
    </row>
    <row r="1993" spans="6:6" x14ac:dyDescent="0.35">
      <c r="F1993" s="488"/>
    </row>
    <row r="1994" spans="6:6" x14ac:dyDescent="0.35">
      <c r="F1994" s="488"/>
    </row>
    <row r="1995" spans="6:6" x14ac:dyDescent="0.35">
      <c r="F1995" s="488"/>
    </row>
    <row r="1996" spans="6:6" x14ac:dyDescent="0.35">
      <c r="F1996" s="488"/>
    </row>
    <row r="1997" spans="6:6" x14ac:dyDescent="0.35">
      <c r="F1997" s="488"/>
    </row>
    <row r="1998" spans="6:6" x14ac:dyDescent="0.35">
      <c r="F1998" s="488"/>
    </row>
    <row r="1999" spans="6:6" x14ac:dyDescent="0.35">
      <c r="F1999" s="488"/>
    </row>
    <row r="2000" spans="6:6" x14ac:dyDescent="0.35">
      <c r="F2000" s="488"/>
    </row>
    <row r="2001" spans="6:6" x14ac:dyDescent="0.35">
      <c r="F2001" s="488"/>
    </row>
    <row r="2002" spans="6:6" x14ac:dyDescent="0.35">
      <c r="F2002" s="488"/>
    </row>
    <row r="2003" spans="6:6" x14ac:dyDescent="0.35">
      <c r="F2003" s="488"/>
    </row>
    <row r="2004" spans="6:6" x14ac:dyDescent="0.35">
      <c r="F2004" s="488"/>
    </row>
    <row r="2005" spans="6:6" x14ac:dyDescent="0.35">
      <c r="F2005" s="488"/>
    </row>
    <row r="2006" spans="6:6" x14ac:dyDescent="0.35">
      <c r="F2006" s="488"/>
    </row>
    <row r="2007" spans="6:6" x14ac:dyDescent="0.35">
      <c r="F2007" s="488"/>
    </row>
    <row r="2008" spans="6:6" x14ac:dyDescent="0.35">
      <c r="F2008" s="488"/>
    </row>
    <row r="2009" spans="6:6" x14ac:dyDescent="0.35">
      <c r="F2009" s="488"/>
    </row>
    <row r="2010" spans="6:6" x14ac:dyDescent="0.35">
      <c r="F2010" s="488"/>
    </row>
    <row r="2011" spans="6:6" x14ac:dyDescent="0.35">
      <c r="F2011" s="488"/>
    </row>
    <row r="2012" spans="6:6" x14ac:dyDescent="0.35">
      <c r="F2012" s="488"/>
    </row>
    <row r="2013" spans="6:6" x14ac:dyDescent="0.35">
      <c r="F2013" s="488"/>
    </row>
    <row r="2014" spans="6:6" x14ac:dyDescent="0.35">
      <c r="F2014" s="488"/>
    </row>
    <row r="2015" spans="6:6" x14ac:dyDescent="0.35">
      <c r="F2015" s="488"/>
    </row>
    <row r="2016" spans="6:6" x14ac:dyDescent="0.35">
      <c r="F2016" s="488"/>
    </row>
    <row r="2017" spans="6:6" x14ac:dyDescent="0.35">
      <c r="F2017" s="488"/>
    </row>
    <row r="2018" spans="6:6" x14ac:dyDescent="0.35">
      <c r="F2018" s="488"/>
    </row>
    <row r="2019" spans="6:6" x14ac:dyDescent="0.35">
      <c r="F2019" s="488"/>
    </row>
    <row r="2020" spans="6:6" x14ac:dyDescent="0.35">
      <c r="F2020" s="488"/>
    </row>
    <row r="2021" spans="6:6" x14ac:dyDescent="0.35">
      <c r="F2021" s="488"/>
    </row>
    <row r="2022" spans="6:6" x14ac:dyDescent="0.35">
      <c r="F2022" s="488"/>
    </row>
    <row r="2023" spans="6:6" x14ac:dyDescent="0.35">
      <c r="F2023" s="488"/>
    </row>
    <row r="2024" spans="6:6" x14ac:dyDescent="0.35">
      <c r="F2024" s="488"/>
    </row>
    <row r="2025" spans="6:6" x14ac:dyDescent="0.35">
      <c r="F2025" s="488"/>
    </row>
    <row r="2026" spans="6:6" x14ac:dyDescent="0.35">
      <c r="F2026" s="488"/>
    </row>
    <row r="2027" spans="6:6" x14ac:dyDescent="0.35">
      <c r="F2027" s="488"/>
    </row>
    <row r="2028" spans="6:6" x14ac:dyDescent="0.35">
      <c r="F2028" s="488"/>
    </row>
    <row r="2029" spans="6:6" x14ac:dyDescent="0.35">
      <c r="F2029" s="488"/>
    </row>
    <row r="2030" spans="6:6" x14ac:dyDescent="0.35">
      <c r="F2030" s="488"/>
    </row>
    <row r="2031" spans="6:6" x14ac:dyDescent="0.35">
      <c r="F2031" s="488"/>
    </row>
    <row r="2032" spans="6:6" x14ac:dyDescent="0.35">
      <c r="F2032" s="488"/>
    </row>
    <row r="2033" spans="6:6" x14ac:dyDescent="0.35">
      <c r="F2033" s="488"/>
    </row>
    <row r="2034" spans="6:6" x14ac:dyDescent="0.35">
      <c r="F2034" s="488"/>
    </row>
    <row r="2035" spans="6:6" x14ac:dyDescent="0.35">
      <c r="F2035" s="488"/>
    </row>
    <row r="2036" spans="6:6" x14ac:dyDescent="0.35">
      <c r="F2036" s="488"/>
    </row>
    <row r="2037" spans="6:6" x14ac:dyDescent="0.35">
      <c r="F2037" s="488"/>
    </row>
    <row r="2038" spans="6:6" x14ac:dyDescent="0.35">
      <c r="F2038" s="488"/>
    </row>
    <row r="2039" spans="6:6" x14ac:dyDescent="0.35">
      <c r="F2039" s="488"/>
    </row>
    <row r="2040" spans="6:6" x14ac:dyDescent="0.35">
      <c r="F2040" s="488"/>
    </row>
    <row r="2041" spans="6:6" x14ac:dyDescent="0.35">
      <c r="F2041" s="488"/>
    </row>
    <row r="2042" spans="6:6" x14ac:dyDescent="0.35">
      <c r="F2042" s="488"/>
    </row>
    <row r="2043" spans="6:6" x14ac:dyDescent="0.35">
      <c r="F2043" s="488"/>
    </row>
    <row r="2044" spans="6:6" x14ac:dyDescent="0.35">
      <c r="F2044" s="488"/>
    </row>
    <row r="2045" spans="6:6" x14ac:dyDescent="0.35">
      <c r="F2045" s="488"/>
    </row>
    <row r="2046" spans="6:6" x14ac:dyDescent="0.35">
      <c r="F2046" s="488"/>
    </row>
    <row r="2047" spans="6:6" x14ac:dyDescent="0.35">
      <c r="F2047" s="488"/>
    </row>
    <row r="2048" spans="6:6" x14ac:dyDescent="0.35">
      <c r="F2048" s="488"/>
    </row>
    <row r="2049" spans="6:6" x14ac:dyDescent="0.35">
      <c r="F2049" s="488"/>
    </row>
    <row r="2050" spans="6:6" x14ac:dyDescent="0.35">
      <c r="F2050" s="488"/>
    </row>
    <row r="2051" spans="6:6" x14ac:dyDescent="0.35">
      <c r="F2051" s="488"/>
    </row>
    <row r="2052" spans="6:6" x14ac:dyDescent="0.35">
      <c r="F2052" s="488"/>
    </row>
    <row r="2053" spans="6:6" x14ac:dyDescent="0.35">
      <c r="F2053" s="488"/>
    </row>
    <row r="2054" spans="6:6" x14ac:dyDescent="0.35">
      <c r="F2054" s="488"/>
    </row>
    <row r="2055" spans="6:6" x14ac:dyDescent="0.35">
      <c r="F2055" s="488"/>
    </row>
    <row r="2056" spans="6:6" x14ac:dyDescent="0.35">
      <c r="F2056" s="488"/>
    </row>
    <row r="2057" spans="6:6" x14ac:dyDescent="0.35">
      <c r="F2057" s="488"/>
    </row>
    <row r="2058" spans="6:6" x14ac:dyDescent="0.35">
      <c r="F2058" s="488"/>
    </row>
    <row r="2059" spans="6:6" x14ac:dyDescent="0.35">
      <c r="F2059" s="488"/>
    </row>
    <row r="2060" spans="6:6" x14ac:dyDescent="0.35">
      <c r="F2060" s="488"/>
    </row>
    <row r="2061" spans="6:6" x14ac:dyDescent="0.35">
      <c r="F2061" s="488"/>
    </row>
    <row r="2062" spans="6:6" x14ac:dyDescent="0.35">
      <c r="F2062" s="488"/>
    </row>
    <row r="2063" spans="6:6" x14ac:dyDescent="0.35">
      <c r="F2063" s="488"/>
    </row>
    <row r="2064" spans="6:6" x14ac:dyDescent="0.35">
      <c r="F2064" s="488"/>
    </row>
    <row r="2065" spans="6:6" x14ac:dyDescent="0.35">
      <c r="F2065" s="488"/>
    </row>
    <row r="2066" spans="6:6" x14ac:dyDescent="0.35">
      <c r="F2066" s="488"/>
    </row>
    <row r="2067" spans="6:6" x14ac:dyDescent="0.35">
      <c r="F2067" s="488"/>
    </row>
    <row r="2068" spans="6:6" x14ac:dyDescent="0.35">
      <c r="F2068" s="488"/>
    </row>
    <row r="2069" spans="6:6" x14ac:dyDescent="0.35">
      <c r="F2069" s="488"/>
    </row>
    <row r="2070" spans="6:6" x14ac:dyDescent="0.35">
      <c r="F2070" s="488"/>
    </row>
    <row r="2071" spans="6:6" x14ac:dyDescent="0.35">
      <c r="F2071" s="488"/>
    </row>
    <row r="2072" spans="6:6" x14ac:dyDescent="0.35">
      <c r="F2072" s="488"/>
    </row>
    <row r="2073" spans="6:6" x14ac:dyDescent="0.35">
      <c r="F2073" s="488"/>
    </row>
    <row r="2074" spans="6:6" x14ac:dyDescent="0.35">
      <c r="F2074" s="488"/>
    </row>
    <row r="2075" spans="6:6" x14ac:dyDescent="0.35">
      <c r="F2075" s="488"/>
    </row>
    <row r="2076" spans="6:6" x14ac:dyDescent="0.35">
      <c r="F2076" s="488"/>
    </row>
    <row r="2077" spans="6:6" x14ac:dyDescent="0.35">
      <c r="F2077" s="488"/>
    </row>
    <row r="2078" spans="6:6" x14ac:dyDescent="0.35">
      <c r="F2078" s="488"/>
    </row>
    <row r="2079" spans="6:6" x14ac:dyDescent="0.35">
      <c r="F2079" s="488"/>
    </row>
    <row r="2080" spans="6:6" x14ac:dyDescent="0.35">
      <c r="F2080" s="488"/>
    </row>
    <row r="2081" spans="6:6" x14ac:dyDescent="0.35">
      <c r="F2081" s="488"/>
    </row>
    <row r="2082" spans="6:6" x14ac:dyDescent="0.35">
      <c r="F2082" s="488"/>
    </row>
    <row r="2083" spans="6:6" x14ac:dyDescent="0.35">
      <c r="F2083" s="488"/>
    </row>
    <row r="2084" spans="6:6" x14ac:dyDescent="0.35">
      <c r="F2084" s="488"/>
    </row>
    <row r="2085" spans="6:6" x14ac:dyDescent="0.35">
      <c r="F2085" s="488"/>
    </row>
    <row r="2086" spans="6:6" x14ac:dyDescent="0.35">
      <c r="F2086" s="488"/>
    </row>
    <row r="2087" spans="6:6" x14ac:dyDescent="0.35">
      <c r="F2087" s="488"/>
    </row>
    <row r="2088" spans="6:6" x14ac:dyDescent="0.35">
      <c r="F2088" s="488"/>
    </row>
    <row r="2089" spans="6:6" x14ac:dyDescent="0.35">
      <c r="F2089" s="488"/>
    </row>
    <row r="2090" spans="6:6" x14ac:dyDescent="0.35">
      <c r="F2090" s="488"/>
    </row>
    <row r="2091" spans="6:6" x14ac:dyDescent="0.35">
      <c r="F2091" s="488"/>
    </row>
    <row r="2092" spans="6:6" x14ac:dyDescent="0.35">
      <c r="F2092" s="488"/>
    </row>
    <row r="2093" spans="6:6" x14ac:dyDescent="0.35">
      <c r="F2093" s="488"/>
    </row>
    <row r="2094" spans="6:6" x14ac:dyDescent="0.35">
      <c r="F2094" s="488"/>
    </row>
    <row r="2095" spans="6:6" x14ac:dyDescent="0.35">
      <c r="F2095" s="488"/>
    </row>
    <row r="2096" spans="6:6" x14ac:dyDescent="0.35">
      <c r="F2096" s="488"/>
    </row>
    <row r="2097" spans="6:6" x14ac:dyDescent="0.35">
      <c r="F2097" s="488"/>
    </row>
    <row r="2098" spans="6:6" x14ac:dyDescent="0.35">
      <c r="F2098" s="488"/>
    </row>
    <row r="2099" spans="6:6" x14ac:dyDescent="0.35">
      <c r="F2099" s="488"/>
    </row>
    <row r="2100" spans="6:6" x14ac:dyDescent="0.35">
      <c r="F2100" s="488"/>
    </row>
    <row r="2101" spans="6:6" x14ac:dyDescent="0.35">
      <c r="F2101" s="488"/>
    </row>
    <row r="2102" spans="6:6" x14ac:dyDescent="0.35">
      <c r="F2102" s="488"/>
    </row>
    <row r="2103" spans="6:6" x14ac:dyDescent="0.35">
      <c r="F2103" s="488"/>
    </row>
    <row r="2104" spans="6:6" x14ac:dyDescent="0.35">
      <c r="F2104" s="488"/>
    </row>
    <row r="2105" spans="6:6" x14ac:dyDescent="0.35">
      <c r="F2105" s="488"/>
    </row>
    <row r="2106" spans="6:6" x14ac:dyDescent="0.35">
      <c r="F2106" s="488"/>
    </row>
    <row r="2107" spans="6:6" x14ac:dyDescent="0.35">
      <c r="F2107" s="488"/>
    </row>
    <row r="2108" spans="6:6" x14ac:dyDescent="0.35">
      <c r="F2108" s="488"/>
    </row>
    <row r="2109" spans="6:6" x14ac:dyDescent="0.35">
      <c r="F2109" s="488"/>
    </row>
    <row r="2110" spans="6:6" x14ac:dyDescent="0.35">
      <c r="F2110" s="488"/>
    </row>
    <row r="2111" spans="6:6" x14ac:dyDescent="0.35">
      <c r="F2111" s="488"/>
    </row>
    <row r="2112" spans="6:6" x14ac:dyDescent="0.35">
      <c r="F2112" s="488"/>
    </row>
    <row r="2113" spans="6:6" x14ac:dyDescent="0.35">
      <c r="F2113" s="488"/>
    </row>
    <row r="2114" spans="6:6" x14ac:dyDescent="0.35">
      <c r="F2114" s="488"/>
    </row>
    <row r="2115" spans="6:6" x14ac:dyDescent="0.35">
      <c r="F2115" s="488"/>
    </row>
    <row r="2116" spans="6:6" x14ac:dyDescent="0.35">
      <c r="F2116" s="488"/>
    </row>
    <row r="2117" spans="6:6" x14ac:dyDescent="0.35">
      <c r="F2117" s="488"/>
    </row>
    <row r="2118" spans="6:6" x14ac:dyDescent="0.35">
      <c r="F2118" s="488"/>
    </row>
    <row r="2119" spans="6:6" x14ac:dyDescent="0.35">
      <c r="F2119" s="488"/>
    </row>
    <row r="2120" spans="6:6" x14ac:dyDescent="0.35">
      <c r="F2120" s="488"/>
    </row>
    <row r="2121" spans="6:6" x14ac:dyDescent="0.35">
      <c r="F2121" s="488"/>
    </row>
    <row r="2122" spans="6:6" x14ac:dyDescent="0.35">
      <c r="F2122" s="488"/>
    </row>
    <row r="2123" spans="6:6" x14ac:dyDescent="0.35">
      <c r="F2123" s="488"/>
    </row>
    <row r="2124" spans="6:6" x14ac:dyDescent="0.35">
      <c r="F2124" s="488"/>
    </row>
    <row r="2125" spans="6:6" x14ac:dyDescent="0.35">
      <c r="F2125" s="488"/>
    </row>
    <row r="2126" spans="6:6" x14ac:dyDescent="0.35">
      <c r="F2126" s="488"/>
    </row>
    <row r="2127" spans="6:6" x14ac:dyDescent="0.35">
      <c r="F2127" s="488"/>
    </row>
    <row r="2128" spans="6:6" x14ac:dyDescent="0.35">
      <c r="F2128" s="488"/>
    </row>
    <row r="2129" spans="6:6" x14ac:dyDescent="0.35">
      <c r="F2129" s="488"/>
    </row>
    <row r="2130" spans="6:6" x14ac:dyDescent="0.35">
      <c r="F2130" s="488"/>
    </row>
    <row r="2131" spans="6:6" x14ac:dyDescent="0.35">
      <c r="F2131" s="488"/>
    </row>
    <row r="2132" spans="6:6" x14ac:dyDescent="0.35">
      <c r="F2132" s="488"/>
    </row>
    <row r="2133" spans="6:6" x14ac:dyDescent="0.35">
      <c r="F2133" s="488"/>
    </row>
    <row r="2134" spans="6:6" x14ac:dyDescent="0.35">
      <c r="F2134" s="488"/>
    </row>
    <row r="2135" spans="6:6" x14ac:dyDescent="0.35">
      <c r="F2135" s="488"/>
    </row>
    <row r="2136" spans="6:6" x14ac:dyDescent="0.35">
      <c r="F2136" s="488"/>
    </row>
    <row r="2137" spans="6:6" x14ac:dyDescent="0.35">
      <c r="F2137" s="488"/>
    </row>
    <row r="2138" spans="6:6" x14ac:dyDescent="0.35">
      <c r="F2138" s="488"/>
    </row>
    <row r="2139" spans="6:6" x14ac:dyDescent="0.35">
      <c r="F2139" s="488"/>
    </row>
    <row r="2140" spans="6:6" x14ac:dyDescent="0.35">
      <c r="F2140" s="488"/>
    </row>
    <row r="2141" spans="6:6" x14ac:dyDescent="0.35">
      <c r="F2141" s="488"/>
    </row>
    <row r="2142" spans="6:6" x14ac:dyDescent="0.35">
      <c r="F2142" s="488"/>
    </row>
    <row r="2143" spans="6:6" x14ac:dyDescent="0.35">
      <c r="F2143" s="488"/>
    </row>
    <row r="2144" spans="6:6" x14ac:dyDescent="0.35">
      <c r="F2144" s="488"/>
    </row>
    <row r="2145" spans="6:6" x14ac:dyDescent="0.35">
      <c r="F2145" s="488"/>
    </row>
    <row r="2146" spans="6:6" x14ac:dyDescent="0.35">
      <c r="F2146" s="488"/>
    </row>
    <row r="2147" spans="6:6" x14ac:dyDescent="0.35">
      <c r="F2147" s="488"/>
    </row>
    <row r="2148" spans="6:6" x14ac:dyDescent="0.35">
      <c r="F2148" s="488"/>
    </row>
    <row r="2149" spans="6:6" x14ac:dyDescent="0.35">
      <c r="F2149" s="488"/>
    </row>
    <row r="2150" spans="6:6" x14ac:dyDescent="0.35">
      <c r="F2150" s="488"/>
    </row>
    <row r="2151" spans="6:6" x14ac:dyDescent="0.35">
      <c r="F2151" s="488"/>
    </row>
    <row r="2152" spans="6:6" x14ac:dyDescent="0.35">
      <c r="F2152" s="488"/>
    </row>
    <row r="2153" spans="6:6" x14ac:dyDescent="0.35">
      <c r="F2153" s="488"/>
    </row>
    <row r="2154" spans="6:6" x14ac:dyDescent="0.35">
      <c r="F2154" s="488"/>
    </row>
    <row r="2155" spans="6:6" x14ac:dyDescent="0.35">
      <c r="F2155" s="488"/>
    </row>
    <row r="2156" spans="6:6" x14ac:dyDescent="0.35">
      <c r="F2156" s="488"/>
    </row>
    <row r="2157" spans="6:6" x14ac:dyDescent="0.35">
      <c r="F2157" s="488"/>
    </row>
    <row r="2158" spans="6:6" x14ac:dyDescent="0.35">
      <c r="F2158" s="488"/>
    </row>
    <row r="2159" spans="6:6" x14ac:dyDescent="0.35">
      <c r="F2159" s="488"/>
    </row>
    <row r="2160" spans="6:6" x14ac:dyDescent="0.35">
      <c r="F2160" s="488"/>
    </row>
  </sheetData>
  <sheetProtection sheet="1" objects="1" scenarios="1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81" customWidth="1"/>
    <col min="2" max="2" width="14.54296875" style="481" customWidth="1"/>
    <col min="3" max="3" width="15.54296875" style="481" customWidth="1"/>
    <col min="4" max="4" width="21.1796875" style="481" customWidth="1"/>
    <col min="5" max="5" width="55.54296875" style="481" customWidth="1"/>
    <col min="6" max="6" width="15.453125" style="481" customWidth="1"/>
    <col min="7" max="7" width="16.54296875" style="481" customWidth="1"/>
    <col min="8" max="8" width="17.1796875" style="481" customWidth="1"/>
    <col min="9" max="9" width="10.81640625" style="481" bestFit="1" customWidth="1"/>
    <col min="10" max="10" width="24.7265625" style="481" customWidth="1"/>
    <col min="11" max="11" width="14.453125" style="481" customWidth="1"/>
    <col min="12" max="12" width="15.26953125" style="481" customWidth="1"/>
    <col min="13" max="14" width="14.81640625" style="481" customWidth="1"/>
    <col min="15" max="15" width="12.453125" style="481" customWidth="1"/>
    <col min="16" max="16" width="22.54296875" style="481" customWidth="1"/>
    <col min="17" max="17" width="31.7265625" style="481" customWidth="1"/>
    <col min="18" max="16384" width="10.81640625" style="481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26" t="s">
        <v>87</v>
      </c>
      <c r="B2" s="527"/>
      <c r="C2" s="527"/>
      <c r="D2" s="527"/>
      <c r="E2" s="527"/>
      <c r="F2" s="527"/>
      <c r="G2" s="527"/>
      <c r="H2" s="527"/>
      <c r="I2" s="528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82"/>
      <c r="K24" s="136"/>
      <c r="L24" s="136"/>
      <c r="M24" s="138"/>
      <c r="N24" s="136"/>
    </row>
    <row r="25" spans="1:17" ht="53.15" customHeight="1" x14ac:dyDescent="0.35">
      <c r="A25" s="533" t="s">
        <v>67</v>
      </c>
      <c r="B25" s="534"/>
      <c r="C25" s="535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82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82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82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82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82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76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29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30"/>
      <c r="C35" s="530"/>
      <c r="D35" s="531"/>
      <c r="E35" s="531"/>
      <c r="F35" s="531"/>
      <c r="G35" s="531"/>
      <c r="H35" s="531"/>
      <c r="I35" s="531"/>
      <c r="J35" s="531"/>
      <c r="K35" s="531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32"/>
      <c r="B37" s="531"/>
      <c r="C37" s="531"/>
      <c r="D37" s="531"/>
      <c r="E37" s="531"/>
      <c r="F37" s="531"/>
      <c r="G37" s="531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81" customWidth="1"/>
    <col min="2" max="2" width="20.453125" style="481" customWidth="1"/>
    <col min="3" max="3" width="23.26953125" style="481" customWidth="1"/>
    <col min="4" max="4" width="19.26953125" style="481" customWidth="1"/>
    <col min="5" max="5" width="43.81640625" style="481" customWidth="1"/>
    <col min="6" max="6" width="13.26953125" style="481" customWidth="1"/>
    <col min="7" max="7" width="18.54296875" style="481" customWidth="1"/>
    <col min="8" max="9" width="21.453125" style="481" customWidth="1"/>
    <col min="10" max="10" width="17.1796875" style="481" customWidth="1"/>
    <col min="11" max="11" width="27" style="481" customWidth="1"/>
    <col min="12" max="12" width="28.453125" style="481" customWidth="1"/>
    <col min="13" max="13" width="22.54296875" style="481" customWidth="1"/>
    <col min="14" max="14" width="17.453125" style="481" customWidth="1"/>
    <col min="15" max="15" width="12" style="481" bestFit="1" customWidth="1"/>
    <col min="16" max="16" width="15.26953125" style="481" customWidth="1"/>
    <col min="17" max="17" width="23.453125" style="481" bestFit="1" customWidth="1"/>
    <col min="18" max="16384" width="10.81640625" style="481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81" t="s">
        <v>153</v>
      </c>
      <c r="D4" s="481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88"/>
      <c r="N6" s="488"/>
    </row>
    <row r="7" spans="1:27" ht="28" customHeight="1" x14ac:dyDescent="0.35">
      <c r="M7" s="488"/>
      <c r="N7" s="488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81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81">
        <v>61.32</v>
      </c>
      <c r="R11" s="488">
        <f>Q11*7/100</f>
        <v>4.2923999999999998</v>
      </c>
      <c r="S11" s="481">
        <f>SUM(Q11:R11)</f>
        <v>65.612399999999994</v>
      </c>
      <c r="T11" s="481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81">
        <v>294</v>
      </c>
      <c r="R12" s="488">
        <f>Q12*7/100</f>
        <v>20.58</v>
      </c>
      <c r="T12" s="481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88"/>
      <c r="T13" s="481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81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47" t="s">
        <v>158</v>
      </c>
      <c r="P15" s="548"/>
      <c r="Q15" s="319" t="s">
        <v>157</v>
      </c>
      <c r="R15" s="320"/>
      <c r="S15" s="321"/>
      <c r="T15" s="536">
        <v>6</v>
      </c>
      <c r="U15" s="537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84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81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81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36">
        <v>14</v>
      </c>
      <c r="U20" s="538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84">
        <v>25</v>
      </c>
      <c r="U21" s="484">
        <v>2021</v>
      </c>
      <c r="X21" s="481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81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81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88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87"/>
      <c r="N29" s="65"/>
      <c r="O29" s="353">
        <v>3.19</v>
      </c>
      <c r="P29" s="354" t="s">
        <v>138</v>
      </c>
      <c r="R29" s="45"/>
      <c r="T29" s="481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87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87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87"/>
      <c r="M35" s="487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87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44" t="s">
        <v>130</v>
      </c>
      <c r="E44" s="544"/>
      <c r="F44" s="544"/>
      <c r="G44" s="70">
        <v>2025</v>
      </c>
      <c r="H44" s="71">
        <v>773.5</v>
      </c>
      <c r="I44" s="486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45" t="s">
        <v>101</v>
      </c>
      <c r="E45" s="545"/>
      <c r="F45" s="546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45" t="s">
        <v>128</v>
      </c>
      <c r="E46" s="545"/>
      <c r="F46" s="546"/>
      <c r="G46" s="488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85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39"/>
      <c r="D55" s="531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85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85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83"/>
      <c r="G67" s="371"/>
      <c r="H67" s="371"/>
      <c r="I67" s="483"/>
      <c r="J67" s="371"/>
      <c r="K67" s="371"/>
    </row>
    <row r="68" spans="1:11" ht="23.5" customHeight="1" thickTop="1" x14ac:dyDescent="0.35">
      <c r="A68" s="483">
        <v>1</v>
      </c>
      <c r="B68" s="372">
        <v>1711509</v>
      </c>
      <c r="C68" s="371"/>
      <c r="D68" s="371"/>
      <c r="E68" s="371"/>
      <c r="F68" s="483"/>
      <c r="G68" s="371"/>
      <c r="H68" s="371"/>
      <c r="I68" s="483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40"/>
      <c r="C83" s="540"/>
      <c r="D83" s="540"/>
      <c r="E83" s="540"/>
      <c r="F83" s="540"/>
      <c r="G83" s="540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41">
        <f>SUM(G92:G101)</f>
        <v>231.20999999999995</v>
      </c>
      <c r="C102" s="542"/>
      <c r="D102" s="542"/>
      <c r="E102" s="542"/>
      <c r="F102" s="542"/>
      <c r="G102" s="543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topLeftCell="D1" zoomScale="70" zoomScaleNormal="70" workbookViewId="0">
      <pane ySplit="5" topLeftCell="A6" activePane="bottomLeft" state="frozen"/>
      <selection pane="bottomLeft" activeCell="K18" sqref="K18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81"/>
  </cols>
  <sheetData>
    <row r="1" spans="1:17" ht="9" customHeight="1" x14ac:dyDescent="0.35">
      <c r="A1" s="476"/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</row>
    <row r="2" spans="1:17" x14ac:dyDescent="0.35">
      <c r="A2" s="476"/>
      <c r="B2" s="243" t="s">
        <v>272</v>
      </c>
      <c r="C2" s="481"/>
      <c r="D2" s="244">
        <v>46052.984398148146</v>
      </c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1"/>
    </row>
    <row r="3" spans="1:17" ht="8.25" customHeight="1" x14ac:dyDescent="0.35">
      <c r="A3" s="476"/>
      <c r="B3" s="481"/>
      <c r="C3" s="481"/>
      <c r="D3" s="481"/>
      <c r="E3" s="481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</row>
    <row r="4" spans="1:17" ht="18.5" x14ac:dyDescent="0.35">
      <c r="A4" s="476"/>
      <c r="B4" s="481"/>
      <c r="C4" s="481"/>
      <c r="D4" s="549" t="s">
        <v>19</v>
      </c>
      <c r="E4" s="490"/>
      <c r="F4" s="491"/>
      <c r="G4" s="549" t="s">
        <v>271</v>
      </c>
      <c r="H4" s="490"/>
      <c r="I4" s="490"/>
      <c r="J4" s="491"/>
      <c r="K4" s="549" t="s">
        <v>270</v>
      </c>
      <c r="L4" s="491"/>
      <c r="M4" s="481"/>
      <c r="N4" s="481"/>
      <c r="O4" s="481"/>
      <c r="P4" s="481"/>
      <c r="Q4" s="481"/>
    </row>
    <row r="5" spans="1:17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7" x14ac:dyDescent="0.35">
      <c r="A6" s="249" t="s">
        <v>451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</row>
    <row r="7" spans="1:17" x14ac:dyDescent="0.35">
      <c r="A7" s="259" t="s">
        <v>452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</row>
    <row r="8" spans="1:17" x14ac:dyDescent="0.35">
      <c r="A8" s="249" t="s">
        <v>453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</row>
    <row r="9" spans="1:17" x14ac:dyDescent="0.35">
      <c r="A9" s="259" t="s">
        <v>454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455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456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457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</row>
    <row r="13" spans="1:17" x14ac:dyDescent="0.35">
      <c r="A13" s="259" t="s">
        <v>458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459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</row>
    <row r="15" spans="1:17" x14ac:dyDescent="0.35">
      <c r="A15" s="259" t="s">
        <v>460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</row>
    <row r="16" spans="1:17" x14ac:dyDescent="0.35">
      <c r="A16" s="249" t="s">
        <v>461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</row>
    <row r="17" spans="1:17" x14ac:dyDescent="0.35">
      <c r="A17" s="259" t="s">
        <v>462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</row>
    <row r="18" spans="1:17" x14ac:dyDescent="0.35">
      <c r="A18" s="249" t="s">
        <v>463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</row>
    <row r="19" spans="1:17" x14ac:dyDescent="0.35">
      <c r="A19" s="259" t="s">
        <v>502</v>
      </c>
      <c r="B19" s="257">
        <v>9</v>
      </c>
      <c r="C19" s="253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</row>
    <row r="20" spans="1:17" x14ac:dyDescent="0.35">
      <c r="A20" s="249" t="s">
        <v>464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/>
      <c r="Q20" s="252"/>
    </row>
    <row r="21" spans="1:17" x14ac:dyDescent="0.35">
      <c r="A21" s="259" t="s">
        <v>465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</row>
    <row r="22" spans="1:17" x14ac:dyDescent="0.35">
      <c r="A22" s="249" t="s">
        <v>466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</row>
    <row r="23" spans="1:17" x14ac:dyDescent="0.35">
      <c r="A23" s="259" t="s">
        <v>467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</row>
    <row r="24" spans="1:17" x14ac:dyDescent="0.35">
      <c r="A24" s="249" t="s">
        <v>468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</row>
    <row r="25" spans="1:17" x14ac:dyDescent="0.35">
      <c r="A25" s="259" t="s">
        <v>469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</row>
    <row r="26" spans="1:17" x14ac:dyDescent="0.35">
      <c r="A26" s="249" t="s">
        <v>510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470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</row>
    <row r="28" spans="1:17" x14ac:dyDescent="0.35">
      <c r="A28" s="249" t="s">
        <v>510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470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</row>
    <row r="30" spans="1:17" x14ac:dyDescent="0.35">
      <c r="A30" s="249" t="s">
        <v>471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81" customWidth="1"/>
    <col min="12" max="16384" width="10.81640625" style="481"/>
  </cols>
  <sheetData>
    <row r="1" spans="1:10" x14ac:dyDescent="0.35">
      <c r="A1" s="481"/>
      <c r="B1" s="481"/>
      <c r="C1" s="481"/>
      <c r="D1" s="481"/>
      <c r="E1" s="231"/>
      <c r="F1" s="481"/>
      <c r="G1" s="481"/>
      <c r="H1" s="481"/>
      <c r="I1" s="481"/>
      <c r="J1" s="481"/>
    </row>
    <row r="2" spans="1:10" x14ac:dyDescent="0.35">
      <c r="A2" s="481"/>
      <c r="B2" s="481"/>
      <c r="C2" s="481"/>
      <c r="D2" s="481"/>
      <c r="E2" s="231"/>
      <c r="F2" s="481"/>
      <c r="G2" s="481"/>
      <c r="H2" s="481"/>
      <c r="I2" s="481"/>
      <c r="J2" s="481"/>
    </row>
    <row r="3" spans="1:10" ht="16" x14ac:dyDescent="0.35">
      <c r="A3" s="269" t="s">
        <v>269</v>
      </c>
      <c r="B3" s="270" t="s">
        <v>481</v>
      </c>
      <c r="C3" s="270" t="s">
        <v>499</v>
      </c>
      <c r="D3" s="270" t="s">
        <v>482</v>
      </c>
      <c r="E3" s="270" t="s">
        <v>492</v>
      </c>
      <c r="F3" s="270" t="s">
        <v>490</v>
      </c>
      <c r="G3" s="270" t="s">
        <v>491</v>
      </c>
      <c r="H3" s="270" t="s">
        <v>367</v>
      </c>
      <c r="I3" s="269" t="s">
        <v>493</v>
      </c>
      <c r="J3" s="273" t="s">
        <v>485</v>
      </c>
    </row>
    <row r="4" spans="1:10" x14ac:dyDescent="0.35">
      <c r="A4" s="242">
        <v>14</v>
      </c>
      <c r="B4" s="254"/>
      <c r="C4" s="254" t="s">
        <v>479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480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483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487</v>
      </c>
      <c r="C7" s="256" t="s">
        <v>488</v>
      </c>
      <c r="D7" s="266">
        <v>46049</v>
      </c>
      <c r="E7" s="256" t="s">
        <v>489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494</v>
      </c>
      <c r="C8" s="254" t="s">
        <v>486</v>
      </c>
      <c r="D8" s="265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6">
        <v>46050</v>
      </c>
      <c r="E9" s="256" t="s">
        <v>501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5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6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5">
        <v>46052</v>
      </c>
      <c r="E12" s="254" t="s">
        <v>507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6">
        <v>46052</v>
      </c>
      <c r="E13" s="256" t="s">
        <v>508</v>
      </c>
      <c r="F13" s="256"/>
      <c r="G13" s="256"/>
      <c r="H13" s="256" t="s">
        <v>509</v>
      </c>
      <c r="I13" s="253"/>
      <c r="J13" s="275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5">
        <v>46052</v>
      </c>
      <c r="E14" s="254" t="s">
        <v>508</v>
      </c>
      <c r="F14" s="254"/>
      <c r="G14" s="254"/>
      <c r="H14" s="254" t="s">
        <v>509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50" t="s">
        <v>621</v>
      </c>
      <c r="C2" s="551"/>
      <c r="D2" s="551"/>
      <c r="E2" s="551"/>
      <c r="F2" s="551"/>
      <c r="G2" s="551"/>
      <c r="H2" s="551"/>
      <c r="I2" s="552"/>
    </row>
    <row r="3" spans="2:9" ht="36" customHeight="1" x14ac:dyDescent="0.35">
      <c r="B3" s="418" t="s">
        <v>620</v>
      </c>
      <c r="C3" s="419" t="s">
        <v>616</v>
      </c>
      <c r="D3" s="419" t="s">
        <v>617</v>
      </c>
      <c r="E3" s="419" t="s">
        <v>644</v>
      </c>
      <c r="F3" s="419" t="s">
        <v>622</v>
      </c>
      <c r="G3" s="419" t="s">
        <v>618</v>
      </c>
      <c r="H3" s="419" t="s">
        <v>619</v>
      </c>
      <c r="I3" s="420" t="s">
        <v>641</v>
      </c>
    </row>
    <row r="4" spans="2:9" x14ac:dyDescent="0.35">
      <c r="B4" s="402" t="s">
        <v>280</v>
      </c>
      <c r="C4" s="421"/>
      <c r="D4" s="426"/>
      <c r="E4" s="422"/>
      <c r="F4" s="422" t="s">
        <v>646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648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646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647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755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">
    <dataValidation type="list" allowBlank="1" showErrorMessage="1" sqref="D4:D11" xr:uid="{199F4C28-E0BC-440C-876E-2BA48BC455A9}">
      <formula1>"1,2,3,4,5,6,7,8,9,10,11,12,13,14,15,16,17,18,19,20,21,22,23,24,25,26,27,28,29,30,31"</formula1>
    </dataValidation>
    <dataValidation type="list" allowBlank="1" showErrorMessage="1" sqref="G4:H11" xr:uid="{8E3EA9E2-729A-411B-BFEB-18543A275A6B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425C01E2-6D99-495C-85BA-D344D15A874C}">
          <x14:formula1>
            <xm:f>Daten!$BA$4:$BA$22</xm:f>
          </x14:formula1>
          <xm:sqref>B4:B10</xm:sqref>
        </x14:dataValidation>
        <x14:dataValidation type="list" allowBlank="1" showErrorMessage="1" xr:uid="{DB9CF5A1-8578-4A76-A154-6B9069555E8F}">
          <x14:formula1>
            <xm:f>Daten!$BA$4:$BA$21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8" activePane="bottomLeft" state="frozen"/>
      <selection activeCell="F1" sqref="F1"/>
      <selection pane="bottomLeft" activeCell="J65" sqref="J65"/>
    </sheetView>
  </sheetViews>
  <sheetFormatPr baseColWidth="10" defaultColWidth="11.453125" defaultRowHeight="14.5" x14ac:dyDescent="0.35"/>
  <cols>
    <col min="1" max="1" width="3.54296875" style="481" customWidth="1"/>
    <col min="2" max="2" width="22.453125" style="231" bestFit="1" customWidth="1"/>
    <col min="3" max="3" width="3.54296875" style="481" customWidth="1"/>
    <col min="4" max="4" width="16.1796875" style="231" hidden="1" customWidth="1"/>
    <col min="5" max="5" width="3.54296875" style="481" hidden="1" customWidth="1"/>
    <col min="6" max="6" width="9.54296875" style="476" hidden="1" customWidth="1"/>
    <col min="7" max="7" width="3.54296875" style="481" hidden="1" customWidth="1"/>
    <col min="8" max="8" width="6.54296875" style="231" hidden="1" customWidth="1"/>
    <col min="9" max="9" width="3.54296875" style="481" hidden="1" customWidth="1"/>
    <col min="10" max="10" width="38.7265625" style="231" bestFit="1" customWidth="1"/>
    <col min="11" max="11" width="12.6328125" style="476" customWidth="1"/>
    <col min="12" max="12" width="27.81640625" style="227" bestFit="1" customWidth="1"/>
    <col min="13" max="13" width="9.453125" style="476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81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76" customWidth="1"/>
    <col min="23" max="23" width="20.54296875" style="231" bestFit="1" customWidth="1"/>
    <col min="24" max="24" width="65.6328125" style="231" customWidth="1"/>
    <col min="25" max="25" width="3.453125" style="481" customWidth="1"/>
    <col min="26" max="26" width="32" style="481" hidden="1" customWidth="1"/>
    <col min="27" max="27" width="18.81640625" style="481" hidden="1" customWidth="1"/>
    <col min="28" max="28" width="23.26953125" style="481" hidden="1" customWidth="1"/>
    <col min="29" max="29" width="20.1796875" style="476" bestFit="1" customWidth="1"/>
    <col min="30" max="30" width="21.26953125" style="481" bestFit="1" customWidth="1"/>
    <col min="31" max="31" width="15.453125" style="481" hidden="1" customWidth="1"/>
    <col min="32" max="32" width="38.7265625" style="481" bestFit="1" customWidth="1"/>
    <col min="33" max="33" width="38.26953125" style="481" bestFit="1" customWidth="1"/>
    <col min="34" max="34" width="10" style="481" bestFit="1" customWidth="1"/>
    <col min="35" max="52" width="11.453125" style="481"/>
    <col min="53" max="53" width="11.453125" style="481" hidden="1" customWidth="1"/>
    <col min="54" max="16384" width="11.453125" style="481"/>
  </cols>
  <sheetData>
    <row r="1" spans="1:84" ht="22" customHeight="1" x14ac:dyDescent="0.35"/>
    <row r="2" spans="1:84" ht="23.15" customHeight="1" x14ac:dyDescent="0.35">
      <c r="J2" s="553" t="s">
        <v>598</v>
      </c>
      <c r="K2" s="553"/>
      <c r="L2" s="553"/>
      <c r="M2" s="553"/>
      <c r="N2" s="553"/>
      <c r="O2" s="553"/>
      <c r="P2" s="553"/>
      <c r="R2" s="554" t="s">
        <v>599</v>
      </c>
      <c r="S2" s="555"/>
      <c r="T2" s="555"/>
      <c r="U2" s="555"/>
      <c r="V2" s="555"/>
      <c r="W2" s="555"/>
      <c r="X2" s="556"/>
    </row>
    <row r="3" spans="1:84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478</v>
      </c>
      <c r="AC3" s="384" t="s">
        <v>379</v>
      </c>
      <c r="AD3" s="384" t="s">
        <v>425</v>
      </c>
      <c r="AE3" s="384" t="s">
        <v>437</v>
      </c>
      <c r="AF3" s="384" t="s">
        <v>678</v>
      </c>
      <c r="AG3" s="384" t="s">
        <v>679</v>
      </c>
      <c r="AH3" s="384" t="s">
        <v>315</v>
      </c>
      <c r="BA3" s="481" t="s">
        <v>645</v>
      </c>
      <c r="CA3" s="472" t="s">
        <v>730</v>
      </c>
      <c r="CB3" s="472" t="s">
        <v>731</v>
      </c>
      <c r="CC3" s="472" t="s">
        <v>732</v>
      </c>
      <c r="CD3" s="472" t="s">
        <v>733</v>
      </c>
      <c r="CE3" s="472" t="s">
        <v>734</v>
      </c>
      <c r="CF3" s="472" t="s">
        <v>735</v>
      </c>
    </row>
    <row r="4" spans="1:84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451</v>
      </c>
      <c r="S4" s="383" t="s">
        <v>544</v>
      </c>
      <c r="T4" s="383" t="s">
        <v>46</v>
      </c>
      <c r="U4" s="409" t="s">
        <v>565</v>
      </c>
      <c r="V4" s="410">
        <v>1</v>
      </c>
      <c r="W4" s="409" t="s">
        <v>475</v>
      </c>
      <c r="X4" s="411" t="s">
        <v>584</v>
      </c>
      <c r="Z4" s="392" t="s">
        <v>368</v>
      </c>
      <c r="AA4" s="392">
        <v>1</v>
      </c>
      <c r="AB4" s="406" t="s">
        <v>372</v>
      </c>
      <c r="AC4" s="408" t="s">
        <v>374</v>
      </c>
      <c r="AD4" s="459" t="s">
        <v>475</v>
      </c>
      <c r="AE4" s="392">
        <v>0</v>
      </c>
      <c r="AF4" s="406" t="s">
        <v>438</v>
      </c>
      <c r="AG4" s="391" t="s">
        <v>362</v>
      </c>
      <c r="AH4" s="460" t="s">
        <v>58</v>
      </c>
      <c r="BA4" s="481" t="s">
        <v>362</v>
      </c>
    </row>
    <row r="5" spans="1:84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736</v>
      </c>
      <c r="S5" s="382" t="s">
        <v>701</v>
      </c>
      <c r="T5" s="382" t="s">
        <v>703</v>
      </c>
      <c r="U5" s="415" t="s">
        <v>703</v>
      </c>
      <c r="V5" s="414">
        <v>1</v>
      </c>
      <c r="W5" s="415" t="s">
        <v>477</v>
      </c>
      <c r="X5" s="413" t="s">
        <v>737</v>
      </c>
      <c r="Z5" s="393" t="s">
        <v>369</v>
      </c>
      <c r="AA5" s="393">
        <v>2</v>
      </c>
      <c r="AB5" s="407" t="s">
        <v>373</v>
      </c>
      <c r="AC5" s="260" t="s">
        <v>376</v>
      </c>
      <c r="AD5" s="471" t="s">
        <v>476</v>
      </c>
      <c r="AE5" s="412"/>
      <c r="AF5" s="407" t="s">
        <v>280</v>
      </c>
      <c r="AG5" s="255" t="s">
        <v>443</v>
      </c>
      <c r="AH5" s="471" t="s">
        <v>57</v>
      </c>
      <c r="BA5" s="481" t="s">
        <v>438</v>
      </c>
    </row>
    <row r="6" spans="1:84" ht="29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438</v>
      </c>
      <c r="K6" s="403" t="s">
        <v>368</v>
      </c>
      <c r="L6" s="423" t="s">
        <v>439</v>
      </c>
      <c r="M6" s="403">
        <v>2</v>
      </c>
      <c r="N6" s="402" t="s">
        <v>11</v>
      </c>
      <c r="O6" s="402" t="s">
        <v>381</v>
      </c>
      <c r="P6" s="402" t="s">
        <v>440</v>
      </c>
      <c r="R6" s="383" t="s">
        <v>452</v>
      </c>
      <c r="S6" s="383" t="s">
        <v>538</v>
      </c>
      <c r="T6" s="383" t="s">
        <v>537</v>
      </c>
      <c r="U6" s="411" t="s">
        <v>586</v>
      </c>
      <c r="V6" s="410">
        <v>2</v>
      </c>
      <c r="W6" s="409" t="s">
        <v>475</v>
      </c>
      <c r="X6" s="411" t="s">
        <v>682</v>
      </c>
      <c r="Z6" s="412"/>
      <c r="AA6" s="389">
        <v>3</v>
      </c>
      <c r="AB6" s="377"/>
      <c r="AC6" s="408" t="s">
        <v>377</v>
      </c>
      <c r="AD6" s="460" t="s">
        <v>477</v>
      </c>
      <c r="AE6" s="412"/>
      <c r="AF6" s="406" t="s">
        <v>387</v>
      </c>
      <c r="AG6" s="391" t="s">
        <v>312</v>
      </c>
      <c r="AH6" s="460" t="s">
        <v>56</v>
      </c>
      <c r="BA6" s="481" t="s">
        <v>443</v>
      </c>
    </row>
    <row r="7" spans="1:84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443</v>
      </c>
      <c r="K7" s="380" t="s">
        <v>369</v>
      </c>
      <c r="L7" s="424" t="s">
        <v>639</v>
      </c>
      <c r="M7" s="380">
        <v>5</v>
      </c>
      <c r="N7" s="378" t="s">
        <v>10</v>
      </c>
      <c r="O7" s="378" t="s">
        <v>381</v>
      </c>
      <c r="P7" s="381" t="s">
        <v>442</v>
      </c>
      <c r="R7" s="382" t="s">
        <v>453</v>
      </c>
      <c r="S7" s="382" t="s">
        <v>567</v>
      </c>
      <c r="T7" s="382" t="s">
        <v>566</v>
      </c>
      <c r="U7" s="409" t="s">
        <v>595</v>
      </c>
      <c r="V7" s="410">
        <v>2</v>
      </c>
      <c r="W7" s="409" t="s">
        <v>475</v>
      </c>
      <c r="X7" s="411" t="s">
        <v>584</v>
      </c>
      <c r="Z7" s="412"/>
      <c r="AA7" s="253">
        <v>4</v>
      </c>
      <c r="AB7" s="394"/>
      <c r="AC7" s="260" t="s">
        <v>375</v>
      </c>
      <c r="AD7" s="471" t="s">
        <v>426</v>
      </c>
      <c r="AE7" s="412"/>
      <c r="AF7" s="407" t="s">
        <v>275</v>
      </c>
      <c r="AG7" s="255" t="s">
        <v>417</v>
      </c>
      <c r="AH7" s="471" t="s">
        <v>55</v>
      </c>
      <c r="BA7" s="481" t="s">
        <v>312</v>
      </c>
    </row>
    <row r="8" spans="1:84" x14ac:dyDescent="0.35">
      <c r="B8" s="397" t="s">
        <v>472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443</v>
      </c>
      <c r="K8" s="403" t="s">
        <v>369</v>
      </c>
      <c r="L8" s="423" t="s">
        <v>640</v>
      </c>
      <c r="M8" s="403">
        <v>5</v>
      </c>
      <c r="N8" s="402" t="s">
        <v>10</v>
      </c>
      <c r="O8" s="402" t="s">
        <v>381</v>
      </c>
      <c r="P8" s="404" t="s">
        <v>442</v>
      </c>
      <c r="R8" s="383" t="s">
        <v>454</v>
      </c>
      <c r="S8" s="383" t="s">
        <v>543</v>
      </c>
      <c r="T8" s="383" t="s">
        <v>654</v>
      </c>
      <c r="U8" s="409" t="s">
        <v>512</v>
      </c>
      <c r="V8" s="410">
        <v>3</v>
      </c>
      <c r="W8" s="409" t="s">
        <v>475</v>
      </c>
      <c r="X8" s="411" t="s">
        <v>584</v>
      </c>
      <c r="Z8" s="412"/>
      <c r="AA8" s="389">
        <v>5</v>
      </c>
      <c r="AB8" s="394"/>
      <c r="AC8" s="408" t="s">
        <v>380</v>
      </c>
      <c r="AD8" s="460" t="s">
        <v>427</v>
      </c>
      <c r="AE8" s="412"/>
      <c r="AF8" s="406" t="s">
        <v>278</v>
      </c>
      <c r="AG8" s="391" t="s">
        <v>360</v>
      </c>
      <c r="AH8" s="460" t="s">
        <v>54</v>
      </c>
      <c r="BA8" s="481" t="s">
        <v>417</v>
      </c>
    </row>
    <row r="9" spans="1:84" x14ac:dyDescent="0.35">
      <c r="B9" s="398" t="s">
        <v>473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443</v>
      </c>
      <c r="K9" s="380" t="s">
        <v>369</v>
      </c>
      <c r="L9" s="424" t="s">
        <v>441</v>
      </c>
      <c r="M9" s="380">
        <v>2</v>
      </c>
      <c r="N9" s="378" t="s">
        <v>10</v>
      </c>
      <c r="O9" s="378" t="s">
        <v>381</v>
      </c>
      <c r="P9" s="381" t="s">
        <v>442</v>
      </c>
      <c r="R9" s="382" t="s">
        <v>455</v>
      </c>
      <c r="S9" s="382" t="s">
        <v>536</v>
      </c>
      <c r="T9" s="382" t="s">
        <v>535</v>
      </c>
      <c r="U9" s="409" t="s">
        <v>585</v>
      </c>
      <c r="V9" s="410">
        <v>4</v>
      </c>
      <c r="W9" s="409" t="s">
        <v>475</v>
      </c>
      <c r="X9" s="411" t="s">
        <v>584</v>
      </c>
      <c r="Z9" s="412"/>
      <c r="AA9" s="253">
        <v>6</v>
      </c>
      <c r="AB9" s="394"/>
      <c r="AC9" s="260" t="s">
        <v>381</v>
      </c>
      <c r="AD9" s="471" t="s">
        <v>428</v>
      </c>
      <c r="AE9" s="412"/>
      <c r="AF9" s="407" t="s">
        <v>282</v>
      </c>
      <c r="AG9" s="255" t="s">
        <v>424</v>
      </c>
      <c r="AH9" s="471" t="s">
        <v>53</v>
      </c>
      <c r="BA9" s="481" t="s">
        <v>360</v>
      </c>
    </row>
    <row r="10" spans="1:84" x14ac:dyDescent="0.35">
      <c r="B10" s="397" t="s">
        <v>449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559</v>
      </c>
      <c r="T10" s="383" t="s">
        <v>558</v>
      </c>
      <c r="U10" s="409" t="s">
        <v>594</v>
      </c>
      <c r="V10" s="410">
        <v>5</v>
      </c>
      <c r="W10" s="409" t="s">
        <v>476</v>
      </c>
      <c r="X10" s="411" t="s">
        <v>683</v>
      </c>
      <c r="Z10" s="412"/>
      <c r="AA10" s="389">
        <v>7</v>
      </c>
      <c r="AB10" s="394"/>
      <c r="AC10" s="377"/>
      <c r="AD10" s="408" t="s">
        <v>596</v>
      </c>
      <c r="AE10" s="412"/>
      <c r="AF10" s="406" t="s">
        <v>391</v>
      </c>
      <c r="AG10" s="391" t="s">
        <v>408</v>
      </c>
      <c r="AH10" s="460" t="s">
        <v>52</v>
      </c>
      <c r="BA10" s="481" t="s">
        <v>424</v>
      </c>
    </row>
    <row r="11" spans="1:84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456</v>
      </c>
      <c r="S11" s="382" t="s">
        <v>553</v>
      </c>
      <c r="T11" s="382" t="s">
        <v>552</v>
      </c>
      <c r="U11" s="409" t="s">
        <v>592</v>
      </c>
      <c r="V11" s="410">
        <v>5</v>
      </c>
      <c r="W11" s="409" t="s">
        <v>475</v>
      </c>
      <c r="X11" s="411" t="s">
        <v>584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623</v>
      </c>
      <c r="AG11" s="255" t="s">
        <v>412</v>
      </c>
      <c r="AH11" s="471" t="s">
        <v>51</v>
      </c>
      <c r="BA11" s="481" t="s">
        <v>408</v>
      </c>
    </row>
    <row r="12" spans="1:84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458</v>
      </c>
      <c r="S12" s="383" t="s">
        <v>551</v>
      </c>
      <c r="T12" s="383" t="s">
        <v>45</v>
      </c>
      <c r="U12" s="409" t="s">
        <v>564</v>
      </c>
      <c r="V12" s="410">
        <v>6</v>
      </c>
      <c r="W12" s="409" t="s">
        <v>475</v>
      </c>
      <c r="X12" s="411" t="s">
        <v>584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460" t="s">
        <v>50</v>
      </c>
      <c r="BA12" s="481" t="s">
        <v>412</v>
      </c>
    </row>
    <row r="13" spans="1:84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459</v>
      </c>
      <c r="S13" s="382" t="s">
        <v>546</v>
      </c>
      <c r="T13" s="382" t="s">
        <v>545</v>
      </c>
      <c r="U13" s="409" t="s">
        <v>589</v>
      </c>
      <c r="V13" s="410">
        <v>7</v>
      </c>
      <c r="W13" s="409" t="s">
        <v>475</v>
      </c>
      <c r="X13" s="411" t="s">
        <v>584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471" t="s">
        <v>49</v>
      </c>
      <c r="BA13" s="481" t="s">
        <v>395</v>
      </c>
    </row>
    <row r="14" spans="1:84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/>
      <c r="S14" s="383" t="s">
        <v>696</v>
      </c>
      <c r="T14" s="383" t="s">
        <v>695</v>
      </c>
      <c r="U14" s="415" t="s">
        <v>695</v>
      </c>
      <c r="V14" s="470">
        <v>7</v>
      </c>
      <c r="W14" s="415" t="s">
        <v>475</v>
      </c>
      <c r="X14" s="413" t="s">
        <v>729</v>
      </c>
      <c r="Z14" s="412"/>
      <c r="AA14" s="412"/>
      <c r="AB14" s="394"/>
      <c r="AC14" s="394"/>
      <c r="AD14" s="394"/>
      <c r="AE14" s="412"/>
      <c r="AF14" s="406" t="s">
        <v>756</v>
      </c>
      <c r="AG14" s="391" t="s">
        <v>423</v>
      </c>
      <c r="AH14" s="460" t="s">
        <v>48</v>
      </c>
      <c r="BA14" s="481" t="s">
        <v>363</v>
      </c>
    </row>
    <row r="15" spans="1:84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461</v>
      </c>
      <c r="S15" s="382" t="s">
        <v>548</v>
      </c>
      <c r="T15" s="382" t="s">
        <v>547</v>
      </c>
      <c r="U15" s="409" t="s">
        <v>590</v>
      </c>
      <c r="V15" s="410">
        <v>8</v>
      </c>
      <c r="W15" s="409" t="s">
        <v>475</v>
      </c>
      <c r="X15" s="411" t="s">
        <v>584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471" t="s">
        <v>47</v>
      </c>
      <c r="BA15" s="481" t="s">
        <v>623</v>
      </c>
    </row>
    <row r="16" spans="1:84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463</v>
      </c>
      <c r="S16" s="383" t="s">
        <v>541</v>
      </c>
      <c r="T16" s="383" t="s">
        <v>44</v>
      </c>
      <c r="U16" s="409" t="s">
        <v>588</v>
      </c>
      <c r="V16" s="410">
        <v>9</v>
      </c>
      <c r="W16" s="409" t="s">
        <v>475</v>
      </c>
      <c r="X16" s="411" t="s">
        <v>584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377"/>
      <c r="BA16" s="481" t="s">
        <v>423</v>
      </c>
    </row>
    <row r="17" spans="2:53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626</v>
      </c>
      <c r="S17" s="382" t="s">
        <v>569</v>
      </c>
      <c r="T17" s="382" t="s">
        <v>568</v>
      </c>
      <c r="U17" s="415" t="s">
        <v>568</v>
      </c>
      <c r="V17" s="414">
        <v>10</v>
      </c>
      <c r="W17" s="415" t="s">
        <v>477</v>
      </c>
      <c r="X17" s="413" t="s">
        <v>684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394"/>
      <c r="BA17" s="481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464</v>
      </c>
      <c r="S18" s="383" t="s">
        <v>550</v>
      </c>
      <c r="T18" s="383" t="s">
        <v>549</v>
      </c>
      <c r="U18" s="409" t="s">
        <v>591</v>
      </c>
      <c r="V18" s="410">
        <v>10</v>
      </c>
      <c r="W18" s="409" t="s">
        <v>475</v>
      </c>
      <c r="X18" s="411" t="s">
        <v>584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394"/>
      <c r="BA18" s="481" t="s">
        <v>361</v>
      </c>
    </row>
    <row r="19" spans="2:53" ht="29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600</v>
      </c>
      <c r="S19" s="382" t="s">
        <v>542</v>
      </c>
      <c r="T19" s="382" t="s">
        <v>572</v>
      </c>
      <c r="U19" s="411" t="s">
        <v>601</v>
      </c>
      <c r="V19" s="410">
        <v>11</v>
      </c>
      <c r="W19" s="409" t="s">
        <v>475</v>
      </c>
      <c r="X19" s="411" t="s">
        <v>608</v>
      </c>
      <c r="Z19" s="412"/>
      <c r="AA19" s="412"/>
      <c r="AB19" s="394"/>
      <c r="AC19" s="394"/>
      <c r="AD19" s="394"/>
      <c r="AE19" s="412"/>
      <c r="AF19" s="394"/>
      <c r="AG19" s="412"/>
      <c r="AH19" s="394"/>
      <c r="BA19" s="481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468</v>
      </c>
      <c r="S20" s="383" t="s">
        <v>529</v>
      </c>
      <c r="T20" s="383" t="s">
        <v>528</v>
      </c>
      <c r="U20" s="409" t="s">
        <v>583</v>
      </c>
      <c r="V20" s="410">
        <v>12</v>
      </c>
      <c r="W20" s="409" t="s">
        <v>475</v>
      </c>
      <c r="X20" s="411" t="s">
        <v>584</v>
      </c>
      <c r="Z20" s="412"/>
      <c r="AA20" s="412"/>
      <c r="AB20" s="394"/>
      <c r="AC20" s="394"/>
      <c r="AD20" s="394"/>
      <c r="AE20" s="412"/>
      <c r="AF20" s="394"/>
      <c r="AG20" s="412"/>
      <c r="AH20" s="394"/>
      <c r="BA20" s="481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469</v>
      </c>
      <c r="S21" s="382" t="s">
        <v>557</v>
      </c>
      <c r="T21" s="382" t="s">
        <v>556</v>
      </c>
      <c r="U21" s="409" t="s">
        <v>593</v>
      </c>
      <c r="V21" s="410">
        <v>12</v>
      </c>
      <c r="W21" s="409" t="s">
        <v>475</v>
      </c>
      <c r="X21" s="411" t="s">
        <v>584</v>
      </c>
      <c r="Z21" s="412"/>
      <c r="AA21" s="412"/>
      <c r="AB21" s="394"/>
      <c r="AC21" s="394"/>
      <c r="AD21" s="394"/>
      <c r="AE21" s="412"/>
      <c r="AF21" s="394"/>
      <c r="AG21" s="412"/>
      <c r="AH21" s="394"/>
      <c r="BA21" s="481" t="s">
        <v>431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470</v>
      </c>
      <c r="S22" s="383" t="s">
        <v>555</v>
      </c>
      <c r="T22" s="383" t="s">
        <v>554</v>
      </c>
      <c r="U22" s="409" t="s">
        <v>355</v>
      </c>
      <c r="V22" s="410" t="s">
        <v>615</v>
      </c>
      <c r="W22" s="409" t="s">
        <v>475</v>
      </c>
      <c r="X22" s="411" t="s">
        <v>584</v>
      </c>
      <c r="Z22" s="412"/>
      <c r="AA22" s="412"/>
      <c r="AB22" s="394"/>
      <c r="AC22" s="394"/>
      <c r="AD22" s="394"/>
      <c r="AE22" s="412"/>
      <c r="AF22" s="394"/>
      <c r="AG22" s="412"/>
      <c r="AH22" s="394"/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624</v>
      </c>
      <c r="S23" s="382" t="s">
        <v>534</v>
      </c>
      <c r="T23" s="382" t="s">
        <v>710</v>
      </c>
      <c r="U23" s="409" t="s">
        <v>533</v>
      </c>
      <c r="V23" s="410"/>
      <c r="W23" s="409" t="s">
        <v>427</v>
      </c>
      <c r="X23" s="411" t="s">
        <v>607</v>
      </c>
      <c r="Z23" s="412"/>
      <c r="AA23" s="412"/>
      <c r="AB23" s="394"/>
      <c r="AC23" s="394"/>
      <c r="AD23" s="394"/>
      <c r="AE23" s="412"/>
      <c r="AF23" s="394"/>
      <c r="AG23" s="412"/>
      <c r="AH23" s="394"/>
    </row>
    <row r="24" spans="2:53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625</v>
      </c>
      <c r="S24" s="383" t="s">
        <v>540</v>
      </c>
      <c r="T24" s="383" t="s">
        <v>759</v>
      </c>
      <c r="U24" s="409" t="s">
        <v>582</v>
      </c>
      <c r="V24" s="410"/>
      <c r="W24" s="409" t="s">
        <v>427</v>
      </c>
      <c r="X24" s="411" t="s">
        <v>610</v>
      </c>
      <c r="Z24" s="412"/>
      <c r="AA24" s="412"/>
      <c r="AB24" s="394"/>
      <c r="AC24" s="394"/>
      <c r="AD24" s="394"/>
      <c r="AE24" s="412"/>
      <c r="AF24" s="394"/>
      <c r="AG24" s="412"/>
      <c r="AH24" s="394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627</v>
      </c>
      <c r="S25" s="382" t="s">
        <v>561</v>
      </c>
      <c r="T25" s="382" t="s">
        <v>560</v>
      </c>
      <c r="U25" s="409" t="s">
        <v>560</v>
      </c>
      <c r="V25" s="410"/>
      <c r="W25" s="409" t="s">
        <v>427</v>
      </c>
      <c r="X25" s="411" t="s">
        <v>611</v>
      </c>
      <c r="Z25" s="412"/>
      <c r="AA25" s="412"/>
      <c r="AB25" s="394"/>
      <c r="AC25" s="394"/>
      <c r="AD25" s="394"/>
      <c r="AE25" s="412"/>
      <c r="AF25" s="394"/>
      <c r="AG25" s="412"/>
      <c r="AH25" s="394"/>
    </row>
    <row r="26" spans="2:53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628</v>
      </c>
      <c r="S26" s="383" t="s">
        <v>532</v>
      </c>
      <c r="T26" s="383" t="s">
        <v>697</v>
      </c>
      <c r="U26" s="409" t="s">
        <v>580</v>
      </c>
      <c r="V26" s="410"/>
      <c r="W26" s="409" t="s">
        <v>427</v>
      </c>
      <c r="X26" s="411" t="s">
        <v>606</v>
      </c>
      <c r="Z26" s="412"/>
      <c r="AA26" s="412"/>
      <c r="AB26" s="394"/>
      <c r="AC26" s="394"/>
      <c r="AD26" s="394"/>
      <c r="AE26" s="412"/>
      <c r="AF26" s="394"/>
      <c r="AG26" s="412"/>
      <c r="AH26" s="394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631</v>
      </c>
      <c r="S27" s="382" t="s">
        <v>539</v>
      </c>
      <c r="T27" s="382" t="s">
        <v>581</v>
      </c>
      <c r="U27" s="409" t="s">
        <v>587</v>
      </c>
      <c r="V27" s="410"/>
      <c r="W27" s="409" t="s">
        <v>427</v>
      </c>
      <c r="X27" s="411" t="s">
        <v>609</v>
      </c>
      <c r="Z27" s="412"/>
      <c r="AA27" s="412"/>
      <c r="AB27" s="394"/>
      <c r="AC27" s="394"/>
      <c r="AD27" s="394"/>
      <c r="AE27" s="412"/>
      <c r="AF27" s="394"/>
      <c r="AG27" s="412"/>
      <c r="AH27" s="394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633</v>
      </c>
      <c r="S28" s="383" t="s">
        <v>571</v>
      </c>
      <c r="T28" s="383" t="s">
        <v>570</v>
      </c>
      <c r="U28" s="409" t="s">
        <v>570</v>
      </c>
      <c r="V28" s="410"/>
      <c r="W28" s="409" t="s">
        <v>427</v>
      </c>
      <c r="X28" s="411" t="s">
        <v>612</v>
      </c>
      <c r="Z28" s="412"/>
      <c r="AA28" s="412"/>
      <c r="AB28" s="394"/>
      <c r="AC28" s="394"/>
      <c r="AD28" s="394"/>
      <c r="AE28" s="412"/>
      <c r="AF28" s="394"/>
      <c r="AG28" s="412"/>
      <c r="AH28" s="394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634</v>
      </c>
      <c r="S29" s="382" t="s">
        <v>574</v>
      </c>
      <c r="T29" s="382" t="s">
        <v>573</v>
      </c>
      <c r="U29" s="409" t="s">
        <v>604</v>
      </c>
      <c r="V29" s="410"/>
      <c r="W29" s="409" t="s">
        <v>427</v>
      </c>
      <c r="X29" s="411" t="s">
        <v>614</v>
      </c>
      <c r="Z29" s="412"/>
      <c r="AA29" s="412"/>
      <c r="AB29" s="394"/>
      <c r="AC29" s="394"/>
      <c r="AD29" s="394"/>
      <c r="AE29" s="412"/>
      <c r="AF29" s="394"/>
      <c r="AG29" s="412"/>
      <c r="AH29" s="394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635</v>
      </c>
      <c r="S30" s="383" t="s">
        <v>531</v>
      </c>
      <c r="T30" s="383" t="s">
        <v>530</v>
      </c>
      <c r="U30" s="409" t="s">
        <v>530</v>
      </c>
      <c r="V30" s="410"/>
      <c r="W30" s="409" t="s">
        <v>427</v>
      </c>
      <c r="X30" s="411" t="s">
        <v>605</v>
      </c>
      <c r="Z30" s="412"/>
      <c r="AA30" s="412"/>
      <c r="AB30" s="394"/>
      <c r="AC30" s="394"/>
      <c r="AD30" s="394"/>
      <c r="AE30" s="412"/>
      <c r="AF30" s="394"/>
      <c r="AG30" s="412"/>
      <c r="AH30" s="394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713</v>
      </c>
      <c r="S31" s="382" t="s">
        <v>698</v>
      </c>
      <c r="T31" s="382" t="s">
        <v>711</v>
      </c>
      <c r="U31" s="409" t="s">
        <v>711</v>
      </c>
      <c r="V31" s="410"/>
      <c r="W31" s="409" t="s">
        <v>427</v>
      </c>
      <c r="X31" s="411" t="s">
        <v>607</v>
      </c>
      <c r="Z31" s="412"/>
      <c r="AA31" s="412"/>
      <c r="AB31" s="394"/>
      <c r="AC31" s="394"/>
      <c r="AD31" s="394"/>
      <c r="AE31" s="412"/>
      <c r="AF31" s="394"/>
      <c r="AG31" s="412"/>
      <c r="AH31" s="394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715</v>
      </c>
      <c r="S32" s="383" t="s">
        <v>705</v>
      </c>
      <c r="T32" s="383" t="s">
        <v>712</v>
      </c>
      <c r="U32" s="409" t="s">
        <v>716</v>
      </c>
      <c r="V32" s="410"/>
      <c r="W32" s="409" t="s">
        <v>427</v>
      </c>
      <c r="X32" s="411" t="s">
        <v>607</v>
      </c>
      <c r="Z32" s="412"/>
      <c r="AA32" s="412"/>
      <c r="AB32" s="394"/>
      <c r="AC32" s="394"/>
      <c r="AD32" s="394"/>
      <c r="AE32" s="412"/>
      <c r="AF32" s="394"/>
      <c r="AG32" s="412"/>
      <c r="AH32" s="394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382" t="s">
        <v>727</v>
      </c>
      <c r="S33" s="382" t="s">
        <v>693</v>
      </c>
      <c r="T33" s="382" t="s">
        <v>692</v>
      </c>
      <c r="U33" s="409" t="s">
        <v>692</v>
      </c>
      <c r="V33" s="410"/>
      <c r="W33" s="409" t="s">
        <v>427</v>
      </c>
      <c r="X33" s="411" t="s">
        <v>728</v>
      </c>
      <c r="Z33" s="412"/>
      <c r="AA33" s="412"/>
      <c r="AB33" s="394"/>
      <c r="AC33" s="394"/>
      <c r="AD33" s="394"/>
      <c r="AE33" s="412"/>
      <c r="AF33" s="394"/>
      <c r="AG33" s="412"/>
      <c r="AH33" s="394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383" t="s">
        <v>629</v>
      </c>
      <c r="S34" s="383">
        <v>0</v>
      </c>
      <c r="T34" s="383" t="s">
        <v>577</v>
      </c>
      <c r="U34" s="409" t="s">
        <v>613</v>
      </c>
      <c r="V34" s="410"/>
      <c r="W34" s="409" t="s">
        <v>428</v>
      </c>
      <c r="X34" s="411" t="s">
        <v>602</v>
      </c>
      <c r="Z34" s="412"/>
      <c r="AA34" s="412"/>
      <c r="AB34" s="394"/>
      <c r="AC34" s="394"/>
      <c r="AD34" s="394"/>
      <c r="AE34" s="412"/>
      <c r="AF34" s="394"/>
      <c r="AG34" s="412"/>
      <c r="AH34" s="394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382" t="s">
        <v>630</v>
      </c>
      <c r="S35" s="382">
        <v>3529000972</v>
      </c>
      <c r="T35" s="382"/>
      <c r="U35" s="409" t="s">
        <v>613</v>
      </c>
      <c r="V35" s="410"/>
      <c r="W35" s="409" t="s">
        <v>428</v>
      </c>
      <c r="X35" s="411" t="s">
        <v>603</v>
      </c>
      <c r="Z35" s="412"/>
      <c r="AA35" s="412"/>
      <c r="AB35" s="394"/>
      <c r="AC35" s="394"/>
      <c r="AD35" s="394"/>
      <c r="AE35" s="412"/>
      <c r="AF35" s="394"/>
      <c r="AG35" s="412"/>
      <c r="AH35" s="394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383" t="s">
        <v>632</v>
      </c>
      <c r="S36" s="383" t="s">
        <v>576</v>
      </c>
      <c r="T36" s="383" t="s">
        <v>575</v>
      </c>
      <c r="U36" s="409" t="s">
        <v>575</v>
      </c>
      <c r="V36" s="410"/>
      <c r="W36" s="409" t="s">
        <v>596</v>
      </c>
      <c r="X36" s="411" t="s">
        <v>597</v>
      </c>
      <c r="Z36" s="412"/>
      <c r="AA36" s="412"/>
      <c r="AB36" s="394"/>
      <c r="AC36" s="394"/>
      <c r="AD36" s="394"/>
      <c r="AE36" s="412"/>
      <c r="AF36" s="394"/>
      <c r="AG36" s="412"/>
      <c r="AH36" s="394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382" t="s">
        <v>642</v>
      </c>
      <c r="S37" s="382" t="s">
        <v>563</v>
      </c>
      <c r="T37" s="382" t="s">
        <v>562</v>
      </c>
      <c r="U37" s="409" t="s">
        <v>562</v>
      </c>
      <c r="V37" s="410"/>
      <c r="W37" s="409" t="s">
        <v>596</v>
      </c>
      <c r="X37" s="411" t="s">
        <v>643</v>
      </c>
      <c r="Z37" s="412"/>
      <c r="AA37" s="412"/>
      <c r="AB37" s="394"/>
      <c r="AC37" s="394"/>
      <c r="AD37" s="394"/>
      <c r="AE37" s="412"/>
      <c r="AF37" s="394"/>
      <c r="AG37" s="412"/>
      <c r="AH37" s="394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383" t="s">
        <v>725</v>
      </c>
      <c r="S38" s="383" t="s">
        <v>691</v>
      </c>
      <c r="T38" s="383" t="s">
        <v>690</v>
      </c>
      <c r="U38" s="409" t="s">
        <v>690</v>
      </c>
      <c r="V38" s="410"/>
      <c r="W38" s="409" t="s">
        <v>596</v>
      </c>
      <c r="X38" s="411" t="s">
        <v>726</v>
      </c>
      <c r="Z38" s="412"/>
      <c r="AA38" s="412"/>
      <c r="AB38" s="394"/>
      <c r="AC38" s="394"/>
      <c r="AD38" s="394"/>
      <c r="AE38" s="412"/>
      <c r="AF38" s="394"/>
      <c r="AG38" s="412"/>
      <c r="AH38" s="394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382" t="s">
        <v>714</v>
      </c>
      <c r="S39" s="382" t="s">
        <v>700</v>
      </c>
      <c r="T39" s="382" t="s">
        <v>699</v>
      </c>
      <c r="U39" s="409" t="s">
        <v>699</v>
      </c>
      <c r="V39" s="410"/>
      <c r="W39" s="409" t="s">
        <v>596</v>
      </c>
      <c r="X39" s="411" t="s">
        <v>726</v>
      </c>
      <c r="Z39" s="412"/>
      <c r="AA39" s="412"/>
      <c r="AB39" s="394"/>
      <c r="AC39" s="394"/>
      <c r="AD39" s="394"/>
      <c r="AE39" s="412"/>
      <c r="AF39" s="394"/>
      <c r="AG39" s="412"/>
      <c r="AH39" s="394"/>
    </row>
    <row r="40" spans="2:34" ht="29" x14ac:dyDescent="0.35">
      <c r="B40" s="395"/>
      <c r="D40" s="395"/>
      <c r="F40" s="396"/>
      <c r="H40" s="395"/>
      <c r="J40" s="402" t="s">
        <v>623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222"/>
      <c r="S40" s="222"/>
      <c r="T40" s="222"/>
      <c r="U40" s="222"/>
      <c r="V40" s="222"/>
      <c r="W40" s="222"/>
      <c r="X40" s="222"/>
      <c r="Z40" s="412"/>
      <c r="AA40" s="412"/>
      <c r="AB40" s="394"/>
      <c r="AC40" s="394"/>
      <c r="AD40" s="394"/>
      <c r="AE40" s="412"/>
      <c r="AF40" s="394"/>
      <c r="AG40" s="412"/>
      <c r="AH40" s="394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579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394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394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578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394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636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394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637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394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638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394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394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394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394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394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394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394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394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394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  <c r="AH55" s="394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  <c r="AH56" s="394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  <c r="AH57" s="394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  <c r="AH58" s="394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  <c r="AH59" s="394"/>
    </row>
    <row r="60" spans="2:34" x14ac:dyDescent="0.35">
      <c r="B60" s="395"/>
      <c r="D60" s="405"/>
      <c r="F60" s="396"/>
      <c r="J60" s="378" t="s">
        <v>756</v>
      </c>
      <c r="K60" s="380" t="s">
        <v>368</v>
      </c>
      <c r="L60" s="557" t="s">
        <v>407</v>
      </c>
      <c r="M60" s="380">
        <v>3</v>
      </c>
      <c r="N60" s="378" t="s">
        <v>11</v>
      </c>
      <c r="O60" s="378"/>
      <c r="P60" s="378"/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  <c r="AH60" s="394"/>
    </row>
    <row r="61" spans="2:34" x14ac:dyDescent="0.35">
      <c r="B61" s="395"/>
      <c r="F61" s="396"/>
      <c r="J61" s="402" t="s">
        <v>756</v>
      </c>
      <c r="K61" s="403" t="s">
        <v>368</v>
      </c>
      <c r="L61" s="425" t="s">
        <v>757</v>
      </c>
      <c r="M61" s="403">
        <v>3</v>
      </c>
      <c r="N61" s="402" t="s">
        <v>11</v>
      </c>
      <c r="O61" s="402"/>
      <c r="P61" s="402"/>
      <c r="R61" s="405"/>
      <c r="S61" s="405"/>
      <c r="T61" s="405"/>
      <c r="U61" s="405"/>
      <c r="V61" s="405"/>
      <c r="W61" s="405"/>
      <c r="X61" s="405"/>
      <c r="AA61" s="412"/>
      <c r="AC61" s="481"/>
      <c r="AD61" s="394"/>
      <c r="AF61" s="394"/>
      <c r="AG61" s="412"/>
      <c r="AH61" s="394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407</v>
      </c>
      <c r="M62" s="403">
        <v>1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81"/>
      <c r="AD62" s="228"/>
      <c r="AF62" s="394"/>
      <c r="AG62" s="412"/>
      <c r="AH62" s="394"/>
    </row>
    <row r="63" spans="2:34" x14ac:dyDescent="0.35">
      <c r="B63" s="395"/>
      <c r="F63" s="396"/>
      <c r="J63" s="378" t="s">
        <v>431</v>
      </c>
      <c r="K63" s="380" t="s">
        <v>369</v>
      </c>
      <c r="L63" s="424" t="s">
        <v>153</v>
      </c>
      <c r="M63" s="380">
        <v>6</v>
      </c>
      <c r="N63" s="378" t="s">
        <v>10</v>
      </c>
      <c r="O63" s="378" t="s">
        <v>374</v>
      </c>
      <c r="P63" s="381" t="s">
        <v>406</v>
      </c>
      <c r="R63" s="405"/>
      <c r="S63" s="405"/>
      <c r="T63" s="405"/>
      <c r="U63" s="405"/>
      <c r="V63" s="405"/>
      <c r="W63" s="405"/>
      <c r="X63" s="405"/>
      <c r="AA63" s="412"/>
      <c r="AC63" s="481"/>
      <c r="AF63" s="394"/>
      <c r="AG63" s="412"/>
      <c r="AH63" s="394"/>
    </row>
    <row r="64" spans="2:34" x14ac:dyDescent="0.35">
      <c r="F64" s="396"/>
      <c r="J64" s="402" t="s">
        <v>431</v>
      </c>
      <c r="K64" s="403" t="s">
        <v>369</v>
      </c>
      <c r="L64" s="423" t="s">
        <v>167</v>
      </c>
      <c r="M64" s="403">
        <v>2</v>
      </c>
      <c r="N64" s="402" t="s">
        <v>10</v>
      </c>
      <c r="O64" s="402" t="s">
        <v>374</v>
      </c>
      <c r="P64" s="404" t="s">
        <v>406</v>
      </c>
      <c r="R64" s="405"/>
      <c r="S64" s="405"/>
      <c r="T64" s="405"/>
      <c r="U64" s="405"/>
      <c r="V64" s="405"/>
      <c r="W64" s="405"/>
      <c r="X64" s="405"/>
      <c r="AC64" s="481"/>
      <c r="AF64" s="394"/>
      <c r="AG64" s="412"/>
      <c r="AH64" s="394"/>
    </row>
    <row r="65" spans="6:34" x14ac:dyDescent="0.35">
      <c r="F65" s="396"/>
      <c r="J65" s="376"/>
      <c r="K65" s="379"/>
      <c r="L65" s="376"/>
      <c r="M65" s="379"/>
      <c r="N65" s="376"/>
      <c r="O65" s="376"/>
      <c r="P65" s="376"/>
      <c r="R65" s="405"/>
      <c r="S65" s="405"/>
      <c r="T65" s="405"/>
      <c r="U65" s="405"/>
      <c r="V65" s="405"/>
      <c r="W65" s="405"/>
      <c r="X65" s="405"/>
      <c r="AC65" s="481"/>
      <c r="AF65" s="394"/>
      <c r="AG65" s="412"/>
      <c r="AH65" s="394"/>
    </row>
    <row r="66" spans="6:34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81"/>
      <c r="AF66" s="394"/>
      <c r="AG66" s="412"/>
      <c r="AH66" s="228"/>
    </row>
    <row r="67" spans="6:34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81"/>
      <c r="AF67" s="228"/>
      <c r="AG67" s="412"/>
    </row>
    <row r="68" spans="6:34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81"/>
      <c r="AG68" s="412"/>
    </row>
    <row r="69" spans="6:34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81"/>
    </row>
    <row r="70" spans="6:34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81"/>
    </row>
    <row r="71" spans="6:34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81"/>
    </row>
    <row r="72" spans="6:34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81"/>
    </row>
    <row r="73" spans="6:34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81"/>
    </row>
    <row r="74" spans="6:34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81"/>
    </row>
    <row r="75" spans="6:34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81"/>
    </row>
    <row r="76" spans="6:34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81"/>
    </row>
    <row r="77" spans="6:34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81"/>
    </row>
    <row r="78" spans="6:34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81"/>
    </row>
    <row r="79" spans="6:34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81"/>
    </row>
    <row r="80" spans="6:34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81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81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81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81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81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81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81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81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81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81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81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81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81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81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81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81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81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81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81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81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81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81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81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81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81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81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81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81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81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81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81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81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81"/>
    </row>
    <row r="113" spans="10:29" x14ac:dyDescent="0.35">
      <c r="J113" s="395"/>
      <c r="K113" s="396"/>
      <c r="L113" s="395"/>
      <c r="M113" s="396"/>
      <c r="N113" s="395"/>
      <c r="O113" s="395"/>
      <c r="P113" s="395"/>
      <c r="R113" s="405"/>
      <c r="S113" s="405"/>
      <c r="T113" s="405"/>
      <c r="U113" s="405"/>
      <c r="V113" s="405"/>
      <c r="W113" s="405"/>
      <c r="X113" s="405"/>
      <c r="AC113" s="481"/>
    </row>
    <row r="114" spans="10:29" x14ac:dyDescent="0.35">
      <c r="J114" s="395"/>
      <c r="K114" s="396"/>
      <c r="L114" s="395"/>
      <c r="M114" s="396"/>
      <c r="N114" s="395"/>
      <c r="O114" s="395"/>
      <c r="P114" s="395"/>
      <c r="R114" s="405"/>
      <c r="S114" s="405"/>
      <c r="T114" s="405"/>
      <c r="U114" s="405"/>
      <c r="V114" s="405"/>
      <c r="W114" s="405"/>
      <c r="X114" s="405"/>
      <c r="AC114" s="481"/>
    </row>
    <row r="115" spans="10:29" x14ac:dyDescent="0.35">
      <c r="J115" s="405"/>
      <c r="K115" s="401"/>
      <c r="L115" s="405"/>
      <c r="M115" s="401"/>
      <c r="N115" s="405"/>
      <c r="O115" s="405"/>
      <c r="P115" s="405"/>
      <c r="R115" s="405"/>
      <c r="S115" s="405"/>
      <c r="T115" s="405"/>
      <c r="U115" s="405"/>
      <c r="V115" s="405"/>
      <c r="W115" s="405"/>
      <c r="X115" s="405"/>
      <c r="AC115" s="481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81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81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81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81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81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81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81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81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81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81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81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81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81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81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81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81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81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81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81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81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81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81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81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81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5" x14ac:dyDescent="0.35">
      <c r="L497" s="231"/>
      <c r="W497" s="222"/>
    </row>
    <row r="498" spans="12:25" x14ac:dyDescent="0.35">
      <c r="L498" s="231"/>
      <c r="W498" s="222"/>
    </row>
    <row r="499" spans="12:25" x14ac:dyDescent="0.35">
      <c r="L499" s="231"/>
      <c r="W499" s="222"/>
    </row>
    <row r="500" spans="12:25" x14ac:dyDescent="0.35">
      <c r="L500" s="231"/>
      <c r="W500" s="222"/>
      <c r="Y500" s="481" t="s">
        <v>758</v>
      </c>
    </row>
    <row r="501" spans="12:25" x14ac:dyDescent="0.35">
      <c r="L501" s="231"/>
      <c r="W501" s="222"/>
    </row>
    <row r="502" spans="12:25" x14ac:dyDescent="0.35">
      <c r="L502" s="231"/>
      <c r="W502" s="222"/>
    </row>
    <row r="503" spans="12:25" x14ac:dyDescent="0.35">
      <c r="L503" s="231"/>
      <c r="W503" s="222"/>
    </row>
    <row r="504" spans="12:25" x14ac:dyDescent="0.35">
      <c r="L504" s="231"/>
      <c r="W504" s="222"/>
    </row>
    <row r="505" spans="12:25" x14ac:dyDescent="0.35">
      <c r="L505" s="231"/>
      <c r="W505" s="222"/>
    </row>
    <row r="506" spans="12:25" x14ac:dyDescent="0.35">
      <c r="L506" s="231"/>
      <c r="W506" s="222"/>
    </row>
    <row r="507" spans="12:25" x14ac:dyDescent="0.35">
      <c r="L507" s="231"/>
      <c r="W507" s="222"/>
    </row>
    <row r="508" spans="12:25" x14ac:dyDescent="0.35">
      <c r="L508" s="231"/>
      <c r="W508" s="222"/>
    </row>
    <row r="509" spans="12:25" x14ac:dyDescent="0.35">
      <c r="L509" s="231"/>
      <c r="W509" s="222"/>
    </row>
    <row r="510" spans="12:25" x14ac:dyDescent="0.35">
      <c r="L510" s="231"/>
      <c r="W510" s="222"/>
    </row>
    <row r="511" spans="12:25" x14ac:dyDescent="0.35">
      <c r="L511" s="231"/>
      <c r="W511" s="222"/>
    </row>
    <row r="512" spans="12:25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21977BA2-3C71-43A7-9396-8C27BC945068}">
      <formula1>"E,A"</formula1>
    </dataValidation>
    <dataValidation type="list" errorStyle="warning" allowBlank="1" showErrorMessage="1" sqref="M65" xr:uid="{8AFCE0C0-467B-49ED-8DB4-B59EF88ABACD}">
      <formula1>$AA$4:$AA$13</formula1>
    </dataValidation>
    <dataValidation type="list" errorStyle="warning" allowBlank="1" showErrorMessage="1" sqref="O65" xr:uid="{EB3E9AD1-E4AD-468B-9FA1-2EACC68E5759}">
      <formula1>$AC$4:$AC$9</formula1>
    </dataValidation>
    <dataValidation type="list" errorStyle="warning" allowBlank="1" showErrorMessage="1" sqref="W40" xr:uid="{64C6585B-7742-4DD0-8111-53971F1FC28F}">
      <formula1>$AD$4:$AD$11</formula1>
    </dataValidation>
    <dataValidation type="list" errorStyle="warning" allowBlank="1" showErrorMessage="1" sqref="W4" xr:uid="{239BC7F0-EA3D-4B6C-B2A3-8118975799BD}">
      <formula1>$AD$4:$AD$11</formula1>
    </dataValidation>
    <dataValidation type="list" errorStyle="warning" allowBlank="1" showErrorMessage="1" sqref="W5" xr:uid="{9A031A9E-8B1C-4037-8153-73FFC03D5C00}">
      <formula1>$AD$4:$AD$11</formula1>
    </dataValidation>
    <dataValidation type="list" errorStyle="warning" allowBlank="1" showErrorMessage="1" sqref="V5" xr:uid="{6568D4B3-B685-4144-AD6C-320188FFA881}">
      <formula1>$F$4:$F$18</formula1>
    </dataValidation>
    <dataValidation type="list" errorStyle="warning" allowBlank="1" showErrorMessage="1" sqref="W6" xr:uid="{AC3DCDB9-F9EE-4251-9F43-0D5D710296DC}">
      <formula1>$AD$4:$AD$11</formula1>
    </dataValidation>
    <dataValidation type="list" errorStyle="warning" allowBlank="1" showErrorMessage="1" sqref="W7" xr:uid="{B599C694-4884-4D39-9DAE-5E409C333D94}">
      <formula1>$AD$4:$AD$11</formula1>
    </dataValidation>
    <dataValidation type="list" errorStyle="warning" allowBlank="1" showErrorMessage="1" sqref="W8" xr:uid="{1D596ED5-874D-4A2A-BA8B-26D872C5E198}">
      <formula1>$AD$4:$AD$11</formula1>
    </dataValidation>
    <dataValidation type="list" errorStyle="warning" allowBlank="1" showErrorMessage="1" sqref="W9" xr:uid="{82A80671-92A5-498B-B2AA-297029E21ACB}">
      <formula1>$AD$4:$AD$11</formula1>
    </dataValidation>
    <dataValidation type="list" errorStyle="warning" allowBlank="1" showErrorMessage="1" sqref="W10" xr:uid="{09D6261F-B48A-4164-ABF0-DE41D1EE8558}">
      <formula1>$AD$4:$AD$11</formula1>
    </dataValidation>
    <dataValidation type="list" errorStyle="warning" allowBlank="1" showErrorMessage="1" sqref="W11" xr:uid="{AD7E68B3-28B8-4241-960F-5482BA249981}">
      <formula1>$AD$4:$AD$11</formula1>
    </dataValidation>
    <dataValidation type="list" errorStyle="warning" allowBlank="1" showErrorMessage="1" sqref="W12" xr:uid="{62E9FAE0-D905-4EF8-9D92-5F11676FB779}">
      <formula1>$AD$4:$AD$11</formula1>
    </dataValidation>
    <dataValidation type="list" errorStyle="warning" allowBlank="1" showErrorMessage="1" sqref="W13" xr:uid="{E8C02365-966A-4E27-A813-8C5582267E09}">
      <formula1>$AD$4:$AD$11</formula1>
    </dataValidation>
    <dataValidation type="list" errorStyle="warning" allowBlank="1" showErrorMessage="1" sqref="W14" xr:uid="{8F9C26F3-3256-4F33-BB4E-1FC3DB02B2A8}">
      <formula1>$AD$4:$AD$11</formula1>
    </dataValidation>
    <dataValidation type="list" errorStyle="warning" allowBlank="1" showErrorMessage="1" sqref="W15" xr:uid="{A89E8391-5F63-4B17-BE66-A2F789EB18C3}">
      <formula1>$AD$4:$AD$11</formula1>
    </dataValidation>
    <dataValidation type="list" errorStyle="warning" allowBlank="1" showErrorMessage="1" sqref="W16" xr:uid="{8E20DB57-2C07-4D96-B06F-A1A4F9CA182B}">
      <formula1>$AD$4:$AD$11</formula1>
    </dataValidation>
    <dataValidation type="list" errorStyle="warning" allowBlank="1" showErrorMessage="1" sqref="W17" xr:uid="{CC430B5D-DC6E-4DD7-B095-6013D4AFEC42}">
      <formula1>$AD$4:$AD$11</formula1>
    </dataValidation>
    <dataValidation type="list" errorStyle="warning" allowBlank="1" showErrorMessage="1" sqref="V17" xr:uid="{2CD57D51-4C5D-464E-B30E-B4DAD4FAA9D3}">
      <formula1>$F$4:$F$18</formula1>
    </dataValidation>
    <dataValidation type="list" errorStyle="warning" allowBlank="1" showErrorMessage="1" sqref="W18" xr:uid="{F2481E12-CA71-4FDE-B5CA-10E27FFD7F76}">
      <formula1>$AD$4:$AD$11</formula1>
    </dataValidation>
    <dataValidation type="list" errorStyle="warning" allowBlank="1" showErrorMessage="1" sqref="W19" xr:uid="{2FCBD584-DDA1-46DA-B500-6023EBA8307C}">
      <formula1>$AD$4:$AD$11</formula1>
    </dataValidation>
    <dataValidation type="list" errorStyle="warning" allowBlank="1" showErrorMessage="1" sqref="W20" xr:uid="{0418584B-7A0C-4217-82E6-82054BBF8827}">
      <formula1>$AD$4:$AD$11</formula1>
    </dataValidation>
    <dataValidation type="list" errorStyle="warning" allowBlank="1" showErrorMessage="1" sqref="W21" xr:uid="{3E5ED708-2E63-4D86-97E3-1D188661FE00}">
      <formula1>$AD$4:$AD$11</formula1>
    </dataValidation>
    <dataValidation type="list" errorStyle="warning" allowBlank="1" showErrorMessage="1" sqref="W22" xr:uid="{9F82C86D-58C6-4AE5-9233-BA5DD45C54D5}">
      <formula1>$AD$4:$AD$11</formula1>
    </dataValidation>
    <dataValidation type="list" errorStyle="warning" allowBlank="1" showErrorMessage="1" sqref="W23" xr:uid="{1AE03F4F-808E-4AA6-B3FA-31FB6A90E42A}">
      <formula1>$AD$4:$AD$11</formula1>
    </dataValidation>
    <dataValidation type="list" errorStyle="warning" allowBlank="1" showErrorMessage="1" sqref="W24" xr:uid="{D2AA2196-0DA0-4DD7-B200-881F526D228D}">
      <formula1>$AD$4:$AD$11</formula1>
    </dataValidation>
    <dataValidation type="list" errorStyle="warning" allowBlank="1" showErrorMessage="1" sqref="W25" xr:uid="{652FA20C-36EC-4921-B384-FE939F2A68D3}">
      <formula1>$AD$4:$AD$11</formula1>
    </dataValidation>
    <dataValidation type="list" errorStyle="warning" allowBlank="1" showErrorMessage="1" sqref="W26" xr:uid="{C56E80FA-6B8D-4549-B381-829AA97D3231}">
      <formula1>$AD$4:$AD$11</formula1>
    </dataValidation>
    <dataValidation type="list" errorStyle="warning" allowBlank="1" showErrorMessage="1" sqref="W27" xr:uid="{F7FA72E5-94A3-4021-B57A-8EEDD4D2EA58}">
      <formula1>$AD$4:$AD$11</formula1>
    </dataValidation>
    <dataValidation type="list" errorStyle="warning" allowBlank="1" showErrorMessage="1" sqref="W28" xr:uid="{BF208E07-896B-4C68-860A-02D4AD4560DF}">
      <formula1>$AD$4:$AD$11</formula1>
    </dataValidation>
    <dataValidation type="list" errorStyle="warning" allowBlank="1" showErrorMessage="1" sqref="W29" xr:uid="{A017AE74-5891-4164-A235-E91D14DFA0DE}">
      <formula1>$AD$4:$AD$11</formula1>
    </dataValidation>
    <dataValidation type="list" errorStyle="warning" allowBlank="1" showErrorMessage="1" sqref="W30" xr:uid="{4686E168-3EB0-4A0C-AAC9-EF1C345AB4F2}">
      <formula1>$AD$4:$AD$11</formula1>
    </dataValidation>
    <dataValidation type="list" errorStyle="warning" allowBlank="1" showErrorMessage="1" sqref="W31" xr:uid="{F2B62641-9DA1-43BE-B148-E7854077A113}">
      <formula1>$AD$4:$AD$11</formula1>
    </dataValidation>
    <dataValidation type="list" errorStyle="warning" allowBlank="1" showErrorMessage="1" sqref="W32" xr:uid="{7E5A7842-D003-4B11-9788-E8A75EC9AFF8}">
      <formula1>$AD$4:$AD$11</formula1>
    </dataValidation>
    <dataValidation type="list" errorStyle="warning" allowBlank="1" showErrorMessage="1" sqref="W33" xr:uid="{A49F35F7-7A89-45BC-ABB4-6E2BC2F636E3}">
      <formula1>$AD$4:$AD$11</formula1>
    </dataValidation>
    <dataValidation type="list" errorStyle="warning" allowBlank="1" showErrorMessage="1" sqref="W34" xr:uid="{31364E4B-DBBF-4E8C-ABD6-71162AE3F351}">
      <formula1>$AD$4:$AD$11</formula1>
    </dataValidation>
    <dataValidation type="list" errorStyle="warning" allowBlank="1" showErrorMessage="1" sqref="W35" xr:uid="{AE4F44BA-E02D-4ED2-B369-FB2CA77479CA}">
      <formula1>$AD$4:$AD$11</formula1>
    </dataValidation>
    <dataValidation type="list" errorStyle="warning" allowBlank="1" showErrorMessage="1" sqref="W36" xr:uid="{42BDEA34-A760-43C1-8D57-E8C14CF406C5}">
      <formula1>$AD$4:$AD$11</formula1>
    </dataValidation>
    <dataValidation type="list" errorStyle="warning" allowBlank="1" showErrorMessage="1" sqref="W37" xr:uid="{0D4EFAB9-8B9E-4880-91E5-104520C82EE3}">
      <formula1>$AD$4:$AD$11</formula1>
    </dataValidation>
    <dataValidation type="list" errorStyle="warning" allowBlank="1" showErrorMessage="1" sqref="W38" xr:uid="{BA9F17F2-C1C1-4E47-948D-BA00224C84D9}">
      <formula1>$AD$4:$AD$11</formula1>
    </dataValidation>
    <dataValidation type="list" errorStyle="warning" allowBlank="1" showErrorMessage="1" sqref="W39" xr:uid="{B5075350-2BC7-4D71-925B-4E3BE4A1E34A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89846186-695B-41F0-B4FF-92B5063ADBAD}">
          <x14:formula1>
            <xm:f>Bankkonto!$T$27:$Z$27</xm:f>
          </x14:formula1>
          <xm:sqref>N4</xm:sqref>
        </x14:dataValidation>
        <x14:dataValidation type="list" errorStyle="warning" allowBlank="1" showErrorMessage="1" xr:uid="{E729CCCE-C092-4093-AC15-C368399BA834}">
          <x14:formula1>
            <xm:f>Bankkonto!$T$27:$Z$27</xm:f>
          </x14:formula1>
          <xm:sqref>N5</xm:sqref>
        </x14:dataValidation>
        <x14:dataValidation type="list" errorStyle="warning" allowBlank="1" showErrorMessage="1" xr:uid="{06CD0C4B-859F-4117-8E2B-9B9E86DCF3FF}">
          <x14:formula1>
            <xm:f>Bankkonto!$M$27:$S$27</xm:f>
          </x14:formula1>
          <xm:sqref>N6</xm:sqref>
        </x14:dataValidation>
        <x14:dataValidation type="list" errorStyle="warning" allowBlank="1" showErrorMessage="1" xr:uid="{0C0783D4-70C9-4943-9DAF-DD0C15992252}">
          <x14:formula1>
            <xm:f>Bankkonto!$T$27:$Z$27</xm:f>
          </x14:formula1>
          <xm:sqref>N7</xm:sqref>
        </x14:dataValidation>
        <x14:dataValidation type="list" errorStyle="warning" allowBlank="1" showErrorMessage="1" xr:uid="{D88C2E8E-629F-472B-96CA-0DE3CA1215B7}">
          <x14:formula1>
            <xm:f>Bankkonto!$T$27:$Z$27</xm:f>
          </x14:formula1>
          <xm:sqref>N8</xm:sqref>
        </x14:dataValidation>
        <x14:dataValidation type="list" errorStyle="warning" allowBlank="1" showErrorMessage="1" xr:uid="{DF722656-3283-4CC5-9FD0-1E7DDD03261F}">
          <x14:formula1>
            <xm:f>Bankkonto!$T$27:$Z$27</xm:f>
          </x14:formula1>
          <xm:sqref>N9</xm:sqref>
        </x14:dataValidation>
        <x14:dataValidation type="list" errorStyle="warning" allowBlank="1" showErrorMessage="1" xr:uid="{3077ABD7-A86B-497E-A233-6D05CE681714}">
          <x14:formula1>
            <xm:f>Bankkonto!$T$27:$Z$27</xm:f>
          </x14:formula1>
          <xm:sqref>N10</xm:sqref>
        </x14:dataValidation>
        <x14:dataValidation type="list" errorStyle="warning" allowBlank="1" showErrorMessage="1" xr:uid="{14260093-5AAA-47FE-B5DB-75C67423A970}">
          <x14:formula1>
            <xm:f>Bankkonto!$T$27:$Z$27</xm:f>
          </x14:formula1>
          <xm:sqref>N11</xm:sqref>
        </x14:dataValidation>
        <x14:dataValidation type="list" errorStyle="warning" allowBlank="1" showErrorMessage="1" xr:uid="{BC791464-71EB-445A-843D-C0864D5B2CF0}">
          <x14:formula1>
            <xm:f>Bankkonto!$M$27:$S$27</xm:f>
          </x14:formula1>
          <xm:sqref>N12</xm:sqref>
        </x14:dataValidation>
        <x14:dataValidation type="list" errorStyle="warning" allowBlank="1" showErrorMessage="1" xr:uid="{9B1996B9-6352-43C6-A4F9-F7980AFF6FB2}">
          <x14:formula1>
            <xm:f>Bankkonto!$M$27:$S$27</xm:f>
          </x14:formula1>
          <xm:sqref>N13</xm:sqref>
        </x14:dataValidation>
        <x14:dataValidation type="list" errorStyle="warning" allowBlank="1" showErrorMessage="1" xr:uid="{CEC5DE5B-9A8E-4130-8E62-557C85DB4A8E}">
          <x14:formula1>
            <xm:f>Bankkonto!$M$27:$S$27</xm:f>
          </x14:formula1>
          <xm:sqref>N14</xm:sqref>
        </x14:dataValidation>
        <x14:dataValidation type="list" errorStyle="warning" allowBlank="1" showErrorMessage="1" xr:uid="{3797AB82-75E6-49C8-8300-41473213B132}">
          <x14:formula1>
            <xm:f>Bankkonto!$M$27:$S$27</xm:f>
          </x14:formula1>
          <xm:sqref>N15</xm:sqref>
        </x14:dataValidation>
        <x14:dataValidation type="list" errorStyle="warning" allowBlank="1" showErrorMessage="1" xr:uid="{643BF582-6E79-4329-9B32-1DC8F3A18B3A}">
          <x14:formula1>
            <xm:f>Bankkonto!$M$27:$S$27</xm:f>
          </x14:formula1>
          <xm:sqref>N16</xm:sqref>
        </x14:dataValidation>
        <x14:dataValidation type="list" errorStyle="warning" allowBlank="1" showErrorMessage="1" xr:uid="{7BC2BA6F-2F5C-41F4-B484-E15D2CD389BE}">
          <x14:formula1>
            <xm:f>Bankkonto!$T$27:$Z$27</xm:f>
          </x14:formula1>
          <xm:sqref>N17</xm:sqref>
        </x14:dataValidation>
        <x14:dataValidation type="list" errorStyle="warning" allowBlank="1" showErrorMessage="1" xr:uid="{1FED8D8B-DFC5-4232-9F6B-8F7FFD90568C}">
          <x14:formula1>
            <xm:f>Bankkonto!$T$27:$Z$27</xm:f>
          </x14:formula1>
          <xm:sqref>N18</xm:sqref>
        </x14:dataValidation>
        <x14:dataValidation type="list" errorStyle="warning" allowBlank="1" showErrorMessage="1" xr:uid="{0DEE1955-93A0-4D0F-9FDD-FD070BAD5E6D}">
          <x14:formula1>
            <xm:f>Bankkonto!$T$27:$Z$27</xm:f>
          </x14:formula1>
          <xm:sqref>N19</xm:sqref>
        </x14:dataValidation>
        <x14:dataValidation type="list" errorStyle="warning" allowBlank="1" showErrorMessage="1" xr:uid="{6D2BE9F9-5BEF-4277-84DA-AE03AC4688CD}">
          <x14:formula1>
            <xm:f>Bankkonto!$M$27:$S$27</xm:f>
          </x14:formula1>
          <xm:sqref>N20</xm:sqref>
        </x14:dataValidation>
        <x14:dataValidation type="list" errorStyle="warning" allowBlank="1" showErrorMessage="1" xr:uid="{723F969B-9172-4ED8-BB98-3C212D77B7BC}">
          <x14:formula1>
            <xm:f>Bankkonto!$T$27:$Z$27</xm:f>
          </x14:formula1>
          <xm:sqref>N21</xm:sqref>
        </x14:dataValidation>
        <x14:dataValidation type="list" errorStyle="warning" allowBlank="1" showErrorMessage="1" xr:uid="{00FD4177-6BB0-44E9-8628-7573EB675B95}">
          <x14:formula1>
            <xm:f>Bankkonto!$T$27:$Z$27</xm:f>
          </x14:formula1>
          <xm:sqref>N22</xm:sqref>
        </x14:dataValidation>
        <x14:dataValidation type="list" errorStyle="warning" allowBlank="1" showErrorMessage="1" xr:uid="{992E0604-2CB1-4876-99E3-767CE4E57734}">
          <x14:formula1>
            <xm:f>Bankkonto!$M$27:$S$27</xm:f>
          </x14:formula1>
          <xm:sqref>N23</xm:sqref>
        </x14:dataValidation>
        <x14:dataValidation type="list" errorStyle="warning" allowBlank="1" showErrorMessage="1" xr:uid="{78444F13-CF48-4915-A4D1-FD5E55A5F68F}">
          <x14:formula1>
            <xm:f>Bankkonto!$T$27:$Z$27</xm:f>
          </x14:formula1>
          <xm:sqref>N24</xm:sqref>
        </x14:dataValidation>
        <x14:dataValidation type="list" errorStyle="warning" allowBlank="1" showErrorMessage="1" xr:uid="{6B2FA47E-E776-4292-B531-0C1EEEB6A4B1}">
          <x14:formula1>
            <xm:f>Bankkonto!$T$27:$Z$27</xm:f>
          </x14:formula1>
          <xm:sqref>N25</xm:sqref>
        </x14:dataValidation>
        <x14:dataValidation type="list" errorStyle="warning" allowBlank="1" showErrorMessage="1" xr:uid="{156FD008-DAEF-484D-8FCB-5AD7E36EC9E5}">
          <x14:formula1>
            <xm:f>Bankkonto!$T$27:$Z$27</xm:f>
          </x14:formula1>
          <xm:sqref>N26</xm:sqref>
        </x14:dataValidation>
        <x14:dataValidation type="list" errorStyle="warning" allowBlank="1" showErrorMessage="1" xr:uid="{1586553D-C03D-4541-80C4-E01E9529C2E2}">
          <x14:formula1>
            <xm:f>Bankkonto!$T$27:$Z$27</xm:f>
          </x14:formula1>
          <xm:sqref>N27</xm:sqref>
        </x14:dataValidation>
        <x14:dataValidation type="list" errorStyle="warning" allowBlank="1" showErrorMessage="1" xr:uid="{5AA86671-2626-4C8D-97D3-BDE57E214AEA}">
          <x14:formula1>
            <xm:f>Bankkonto!$T$27:$Z$27</xm:f>
          </x14:formula1>
          <xm:sqref>N28</xm:sqref>
        </x14:dataValidation>
        <x14:dataValidation type="list" errorStyle="warning" allowBlank="1" showErrorMessage="1" xr:uid="{524AA153-F13B-4247-9728-1C7C6DDA84C3}">
          <x14:formula1>
            <xm:f>Bankkonto!$T$27:$Z$27</xm:f>
          </x14:formula1>
          <xm:sqref>N29</xm:sqref>
        </x14:dataValidation>
        <x14:dataValidation type="list" errorStyle="warning" allowBlank="1" showErrorMessage="1" xr:uid="{B6A8AFED-5ECF-4BD1-A0AC-64F4D5F8FEFB}">
          <x14:formula1>
            <xm:f>Bankkonto!$T$27:$Z$27</xm:f>
          </x14:formula1>
          <xm:sqref>N30</xm:sqref>
        </x14:dataValidation>
        <x14:dataValidation type="list" errorStyle="warning" allowBlank="1" showErrorMessage="1" xr:uid="{678B9291-080A-4358-A61E-8450839CB71B}">
          <x14:formula1>
            <xm:f>Bankkonto!$T$27:$Z$27</xm:f>
          </x14:formula1>
          <xm:sqref>N31</xm:sqref>
        </x14:dataValidation>
        <x14:dataValidation type="list" errorStyle="warning" allowBlank="1" showErrorMessage="1" xr:uid="{1FA9E292-7CD4-4833-B8E6-C5BC05323EF9}">
          <x14:formula1>
            <xm:f>Bankkonto!$M$27:$S$27</xm:f>
          </x14:formula1>
          <xm:sqref>N32</xm:sqref>
        </x14:dataValidation>
        <x14:dataValidation type="list" errorStyle="warning" allowBlank="1" showErrorMessage="1" xr:uid="{834E0EF8-0937-46D1-9723-A96DCF567A0E}">
          <x14:formula1>
            <xm:f>Bankkonto!$M$27:$S$27</xm:f>
          </x14:formula1>
          <xm:sqref>N33</xm:sqref>
        </x14:dataValidation>
        <x14:dataValidation type="list" errorStyle="warning" allowBlank="1" showErrorMessage="1" xr:uid="{F1E462DC-791C-47FF-B932-A0E11C683AD5}">
          <x14:formula1>
            <xm:f>Bankkonto!$M$27:$S$27</xm:f>
          </x14:formula1>
          <xm:sqref>N34</xm:sqref>
        </x14:dataValidation>
        <x14:dataValidation type="list" errorStyle="warning" allowBlank="1" showErrorMessage="1" xr:uid="{CBBC98AD-6387-4273-B40E-20C889E211E0}">
          <x14:formula1>
            <xm:f>Bankkonto!$M$27:$S$27</xm:f>
          </x14:formula1>
          <xm:sqref>N35</xm:sqref>
        </x14:dataValidation>
        <x14:dataValidation type="list" errorStyle="warning" allowBlank="1" showErrorMessage="1" xr:uid="{D8D1C809-E227-4E93-872C-F313B0DC2BE1}">
          <x14:formula1>
            <xm:f>Bankkonto!$M$27:$S$27</xm:f>
          </x14:formula1>
          <xm:sqref>N36</xm:sqref>
        </x14:dataValidation>
        <x14:dataValidation type="list" errorStyle="warning" allowBlank="1" showErrorMessage="1" xr:uid="{FD4911C3-2592-4C45-91EC-560FD01D7594}">
          <x14:formula1>
            <xm:f>Bankkonto!$T$27:$Z$27</xm:f>
          </x14:formula1>
          <xm:sqref>N37</xm:sqref>
        </x14:dataValidation>
        <x14:dataValidation type="list" errorStyle="warning" allowBlank="1" showErrorMessage="1" xr:uid="{71DBE7C2-7C4F-4248-B93D-4EAD33FB688D}">
          <x14:formula1>
            <xm:f>Bankkonto!$M$27:$S$27</xm:f>
          </x14:formula1>
          <xm:sqref>N38</xm:sqref>
        </x14:dataValidation>
        <x14:dataValidation type="list" errorStyle="warning" allowBlank="1" showErrorMessage="1" xr:uid="{ABA33D13-4EC8-4934-87BA-C3353F382504}">
          <x14:formula1>
            <xm:f>Bankkonto!$M$27:$S$27</xm:f>
          </x14:formula1>
          <xm:sqref>N39</xm:sqref>
        </x14:dataValidation>
        <x14:dataValidation type="list" errorStyle="warning" allowBlank="1" showErrorMessage="1" xr:uid="{80AF1AAC-211D-48DB-A3CB-AA4F19B0090A}">
          <x14:formula1>
            <xm:f>Bankkonto!$M$27:$S$27</xm:f>
          </x14:formula1>
          <xm:sqref>N40</xm:sqref>
        </x14:dataValidation>
        <x14:dataValidation type="list" errorStyle="warning" allowBlank="1" showErrorMessage="1" xr:uid="{66A24AFE-95BF-481B-A438-C0334D178E2C}">
          <x14:formula1>
            <xm:f>Bankkonto!$M$27:$S$27</xm:f>
          </x14:formula1>
          <xm:sqref>N41</xm:sqref>
        </x14:dataValidation>
        <x14:dataValidation type="list" errorStyle="warning" allowBlank="1" showErrorMessage="1" xr:uid="{C38576AE-1471-4BEB-A84F-C42A7D4876E2}">
          <x14:formula1>
            <xm:f>Bankkonto!$M$27:$S$27</xm:f>
          </x14:formula1>
          <xm:sqref>N42</xm:sqref>
        </x14:dataValidation>
        <x14:dataValidation type="list" errorStyle="warning" allowBlank="1" showErrorMessage="1" xr:uid="{C0F0EE8E-99AB-4F2C-8645-3E92653D80C3}">
          <x14:formula1>
            <xm:f>Bankkonto!$M$27:$S$27</xm:f>
          </x14:formula1>
          <xm:sqref>N43</xm:sqref>
        </x14:dataValidation>
        <x14:dataValidation type="list" errorStyle="warning" allowBlank="1" showErrorMessage="1" xr:uid="{9FE7B8E9-B4A1-4F8A-AD31-C59E7E9F1FAE}">
          <x14:formula1>
            <xm:f>Bankkonto!$M$27:$S$27</xm:f>
          </x14:formula1>
          <xm:sqref>N44</xm:sqref>
        </x14:dataValidation>
        <x14:dataValidation type="list" errorStyle="warning" allowBlank="1" showErrorMessage="1" xr:uid="{7CD9F2F2-0B84-4387-8895-8DD662403DD4}">
          <x14:formula1>
            <xm:f>Bankkonto!$M$27:$S$27</xm:f>
          </x14:formula1>
          <xm:sqref>N45</xm:sqref>
        </x14:dataValidation>
        <x14:dataValidation type="list" errorStyle="warning" allowBlank="1" showErrorMessage="1" xr:uid="{E03A8515-F9AE-4F5D-8631-42C0BA191EFE}">
          <x14:formula1>
            <xm:f>Bankkonto!$M$27:$S$27</xm:f>
          </x14:formula1>
          <xm:sqref>N46</xm:sqref>
        </x14:dataValidation>
        <x14:dataValidation type="list" errorStyle="warning" allowBlank="1" showErrorMessage="1" xr:uid="{40353636-14E6-4B6C-99DC-506142E413DE}">
          <x14:formula1>
            <xm:f>Bankkonto!$M$27:$S$27</xm:f>
          </x14:formula1>
          <xm:sqref>N47</xm:sqref>
        </x14:dataValidation>
        <x14:dataValidation type="list" errorStyle="warning" allowBlank="1" showErrorMessage="1" xr:uid="{83FF8310-2D22-471F-BBFB-C571976A190F}">
          <x14:formula1>
            <xm:f>Bankkonto!$M$27:$S$27</xm:f>
          </x14:formula1>
          <xm:sqref>N48</xm:sqref>
        </x14:dataValidation>
        <x14:dataValidation type="list" errorStyle="warning" allowBlank="1" showErrorMessage="1" xr:uid="{C5B0B76C-AF3E-4E0B-B78C-9A28D51D00D1}">
          <x14:formula1>
            <xm:f>Bankkonto!$T$27:$Z$27</xm:f>
          </x14:formula1>
          <xm:sqref>N49</xm:sqref>
        </x14:dataValidation>
        <x14:dataValidation type="list" errorStyle="warning" allowBlank="1" showErrorMessage="1" xr:uid="{653A85F2-6186-4737-BB37-A08B5B638FF1}">
          <x14:formula1>
            <xm:f>Bankkonto!$T$27:$Z$27</xm:f>
          </x14:formula1>
          <xm:sqref>N50</xm:sqref>
        </x14:dataValidation>
        <x14:dataValidation type="list" errorStyle="warning" allowBlank="1" showErrorMessage="1" xr:uid="{44183500-F8FA-495B-8640-6C67EAC4FD19}">
          <x14:formula1>
            <xm:f>Bankkonto!$M$27:$S$27</xm:f>
          </x14:formula1>
          <xm:sqref>N51</xm:sqref>
        </x14:dataValidation>
        <x14:dataValidation type="list" errorStyle="warning" allowBlank="1" showErrorMessage="1" xr:uid="{B7480250-10D1-4004-8F39-4551F03C51F7}">
          <x14:formula1>
            <xm:f>Bankkonto!$T$27:$Z$27</xm:f>
          </x14:formula1>
          <xm:sqref>N52</xm:sqref>
        </x14:dataValidation>
        <x14:dataValidation type="list" errorStyle="warning" allowBlank="1" showErrorMessage="1" xr:uid="{F0DD5BF4-26BB-4B65-9BCE-05D978B8D4B1}">
          <x14:formula1>
            <xm:f>Bankkonto!$T$27:$Z$27</xm:f>
          </x14:formula1>
          <xm:sqref>N53</xm:sqref>
        </x14:dataValidation>
        <x14:dataValidation type="list" errorStyle="warning" allowBlank="1" showErrorMessage="1" xr:uid="{44CE6598-F62D-4CCB-A32A-ED75480861FD}">
          <x14:formula1>
            <xm:f>Bankkonto!$T$27:$Z$27</xm:f>
          </x14:formula1>
          <xm:sqref>N54</xm:sqref>
        </x14:dataValidation>
        <x14:dataValidation type="list" errorStyle="warning" allowBlank="1" showErrorMessage="1" xr:uid="{6611C024-A167-4AAC-BA8D-67764C168529}">
          <x14:formula1>
            <xm:f>Bankkonto!$T$27:$Z$27</xm:f>
          </x14:formula1>
          <xm:sqref>N55</xm:sqref>
        </x14:dataValidation>
        <x14:dataValidation type="list" errorStyle="warning" allowBlank="1" showErrorMessage="1" xr:uid="{B2BA1971-9366-4710-97B5-7CD0EE9C200F}">
          <x14:formula1>
            <xm:f>Bankkonto!$T$27:$Z$27</xm:f>
          </x14:formula1>
          <xm:sqref>N56</xm:sqref>
        </x14:dataValidation>
        <x14:dataValidation type="list" errorStyle="warning" allowBlank="1" showErrorMessage="1" xr:uid="{133FC14A-ED1F-4A8F-8CFE-CA92A0DC1EB4}">
          <x14:formula1>
            <xm:f>Bankkonto!$T$27:$Z$27</xm:f>
          </x14:formula1>
          <xm:sqref>N57</xm:sqref>
        </x14:dataValidation>
        <x14:dataValidation type="list" errorStyle="warning" allowBlank="1" showErrorMessage="1" xr:uid="{6B2A81F7-0744-4DA9-8421-8C4B59CCEC64}">
          <x14:formula1>
            <xm:f>Bankkonto!$T$27:$Z$27</xm:f>
          </x14:formula1>
          <xm:sqref>N58</xm:sqref>
        </x14:dataValidation>
        <x14:dataValidation type="list" errorStyle="warning" allowBlank="1" showErrorMessage="1" xr:uid="{56A9965F-8CAD-48AA-A51C-972BA444859E}">
          <x14:formula1>
            <xm:f>Bankkonto!$T$27:$Z$27</xm:f>
          </x14:formula1>
          <xm:sqref>N59</xm:sqref>
        </x14:dataValidation>
        <x14:dataValidation type="list" errorStyle="warning" allowBlank="1" showErrorMessage="1" xr:uid="{FFB577C3-BE81-4EA3-BFDA-6B2AF6FCCE75}">
          <x14:formula1>
            <xm:f>Bankkonto!$T$27:$Z$27</xm:f>
          </x14:formula1>
          <xm:sqref>N60</xm:sqref>
        </x14:dataValidation>
        <x14:dataValidation type="list" errorStyle="warning" allowBlank="1" showErrorMessage="1" xr:uid="{3D9AE41C-B00C-4890-B68E-5056F59828D3}">
          <x14:formula1>
            <xm:f>Bankkonto!$T$27:$Z$27</xm:f>
          </x14:formula1>
          <xm:sqref>N61</xm:sqref>
        </x14:dataValidation>
        <x14:dataValidation type="list" errorStyle="warning" allowBlank="1" showErrorMessage="1" xr:uid="{98D0D0A5-72D4-4DE1-A4AA-90892A6322DC}">
          <x14:formula1>
            <xm:f>Bankkonto!$T$27:$Z$27</xm:f>
          </x14:formula1>
          <xm:sqref>N62</xm:sqref>
        </x14:dataValidation>
        <x14:dataValidation type="list" errorStyle="warning" allowBlank="1" showErrorMessage="1" xr:uid="{0C22D11B-44F9-40AB-B74E-D13C41628AA9}">
          <x14:formula1>
            <xm:f>Bankkonto!$M$27:$S$27</xm:f>
          </x14:formula1>
          <xm:sqref>N63</xm:sqref>
        </x14:dataValidation>
        <x14:dataValidation type="list" errorStyle="warning" allowBlank="1" showErrorMessage="1" xr:uid="{B013B536-45F3-4E49-A51F-6446981FD05E}">
          <x14:formula1>
            <xm:f>Bankkonto!$M$27:$S$27</xm:f>
          </x14:formula1>
          <xm:sqref>N64</xm:sqref>
        </x14:dataValidation>
        <x14:dataValidation type="list" errorStyle="warning" allowBlank="1" showErrorMessage="1" xr:uid="{011D1FC9-2415-4C40-A780-047871D3FF5D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81"/>
  </cols>
  <sheetData>
    <row r="1" spans="1:1" x14ac:dyDescent="0.35">
      <c r="A1" s="309" t="s">
        <v>527</v>
      </c>
    </row>
    <row r="2" spans="1:1" x14ac:dyDescent="0.35">
      <c r="A2" s="309" t="s">
        <v>525</v>
      </c>
    </row>
    <row r="3" spans="1:1" x14ac:dyDescent="0.35">
      <c r="A3" s="309" t="s">
        <v>514</v>
      </c>
    </row>
    <row r="4" spans="1:1" x14ac:dyDescent="0.35">
      <c r="A4" s="309" t="s">
        <v>517</v>
      </c>
    </row>
    <row r="5" spans="1:1" x14ac:dyDescent="0.35">
      <c r="A5" s="309" t="s">
        <v>513</v>
      </c>
    </row>
    <row r="6" spans="1:1" x14ac:dyDescent="0.35">
      <c r="A6" s="309" t="s">
        <v>526</v>
      </c>
    </row>
    <row r="7" spans="1:1" x14ac:dyDescent="0.35">
      <c r="A7" s="309" t="s">
        <v>525</v>
      </c>
    </row>
    <row r="8" spans="1:1" x14ac:dyDescent="0.35">
      <c r="A8" s="309" t="s">
        <v>514</v>
      </c>
    </row>
    <row r="9" spans="1:1" x14ac:dyDescent="0.35">
      <c r="A9" s="309" t="s">
        <v>517</v>
      </c>
    </row>
    <row r="10" spans="1:1" x14ac:dyDescent="0.35">
      <c r="A10" s="309" t="s">
        <v>513</v>
      </c>
    </row>
    <row r="11" spans="1:1" x14ac:dyDescent="0.35">
      <c r="A11" s="309" t="s">
        <v>524</v>
      </c>
    </row>
    <row r="12" spans="1:1" x14ac:dyDescent="0.35">
      <c r="A12" s="309" t="s">
        <v>525</v>
      </c>
    </row>
    <row r="13" spans="1:1" x14ac:dyDescent="0.35">
      <c r="A13" s="309" t="s">
        <v>514</v>
      </c>
    </row>
    <row r="14" spans="1:1" x14ac:dyDescent="0.35">
      <c r="A14" s="309" t="s">
        <v>517</v>
      </c>
    </row>
    <row r="15" spans="1:1" x14ac:dyDescent="0.35">
      <c r="A15" s="309" t="s">
        <v>513</v>
      </c>
    </row>
    <row r="16" spans="1:1" x14ac:dyDescent="0.35">
      <c r="A16" s="309" t="s">
        <v>523</v>
      </c>
    </row>
    <row r="17" spans="1:1" x14ac:dyDescent="0.35">
      <c r="A17" s="309" t="s">
        <v>518</v>
      </c>
    </row>
    <row r="18" spans="1:1" x14ac:dyDescent="0.35">
      <c r="A18" s="309" t="s">
        <v>514</v>
      </c>
    </row>
    <row r="19" spans="1:1" x14ac:dyDescent="0.35">
      <c r="A19" s="309" t="s">
        <v>515</v>
      </c>
    </row>
    <row r="20" spans="1:1" x14ac:dyDescent="0.35">
      <c r="A20" s="309" t="s">
        <v>513</v>
      </c>
    </row>
    <row r="21" spans="1:1" x14ac:dyDescent="0.35">
      <c r="A21" s="309" t="s">
        <v>522</v>
      </c>
    </row>
    <row r="22" spans="1:1" x14ac:dyDescent="0.35">
      <c r="A22" s="309" t="s">
        <v>518</v>
      </c>
    </row>
    <row r="23" spans="1:1" x14ac:dyDescent="0.35">
      <c r="A23" s="309" t="s">
        <v>514</v>
      </c>
    </row>
    <row r="24" spans="1:1" x14ac:dyDescent="0.35">
      <c r="A24" s="309" t="s">
        <v>515</v>
      </c>
    </row>
    <row r="25" spans="1:1" x14ac:dyDescent="0.35">
      <c r="A25" s="309" t="s">
        <v>513</v>
      </c>
    </row>
    <row r="26" spans="1:1" x14ac:dyDescent="0.35">
      <c r="A26" s="309" t="s">
        <v>521</v>
      </c>
    </row>
    <row r="27" spans="1:1" x14ac:dyDescent="0.35">
      <c r="A27" s="309" t="s">
        <v>518</v>
      </c>
    </row>
    <row r="28" spans="1:1" x14ac:dyDescent="0.35">
      <c r="A28" s="309" t="s">
        <v>514</v>
      </c>
    </row>
    <row r="29" spans="1:1" x14ac:dyDescent="0.35">
      <c r="A29" s="309" t="s">
        <v>517</v>
      </c>
    </row>
    <row r="30" spans="1:1" x14ac:dyDescent="0.35">
      <c r="A30" s="309" t="s">
        <v>513</v>
      </c>
    </row>
    <row r="31" spans="1:1" x14ac:dyDescent="0.35">
      <c r="A31" s="309" t="s">
        <v>521</v>
      </c>
    </row>
    <row r="32" spans="1:1" x14ac:dyDescent="0.35">
      <c r="A32" s="309" t="s">
        <v>518</v>
      </c>
    </row>
    <row r="33" spans="1:1" x14ac:dyDescent="0.35">
      <c r="A33" s="309" t="s">
        <v>514</v>
      </c>
    </row>
    <row r="34" spans="1:1" x14ac:dyDescent="0.35">
      <c r="A34" s="309" t="s">
        <v>515</v>
      </c>
    </row>
    <row r="35" spans="1:1" x14ac:dyDescent="0.35">
      <c r="A35" s="309" t="s">
        <v>513</v>
      </c>
    </row>
    <row r="36" spans="1:1" x14ac:dyDescent="0.35">
      <c r="A36" s="309" t="s">
        <v>520</v>
      </c>
    </row>
    <row r="37" spans="1:1" x14ac:dyDescent="0.35">
      <c r="A37" s="309" t="s">
        <v>518</v>
      </c>
    </row>
    <row r="38" spans="1:1" x14ac:dyDescent="0.35">
      <c r="A38" s="309" t="s">
        <v>514</v>
      </c>
    </row>
    <row r="39" spans="1:1" x14ac:dyDescent="0.35">
      <c r="A39" s="309" t="s">
        <v>517</v>
      </c>
    </row>
    <row r="40" spans="1:1" x14ac:dyDescent="0.35">
      <c r="A40" s="309" t="s">
        <v>513</v>
      </c>
    </row>
    <row r="41" spans="1:1" x14ac:dyDescent="0.35">
      <c r="A41" s="309" t="s">
        <v>520</v>
      </c>
    </row>
    <row r="42" spans="1:1" x14ac:dyDescent="0.35">
      <c r="A42" s="309" t="s">
        <v>518</v>
      </c>
    </row>
    <row r="43" spans="1:1" x14ac:dyDescent="0.35">
      <c r="A43" s="309" t="s">
        <v>514</v>
      </c>
    </row>
    <row r="44" spans="1:1" x14ac:dyDescent="0.35">
      <c r="A44" s="309" t="s">
        <v>515</v>
      </c>
    </row>
    <row r="45" spans="1:1" x14ac:dyDescent="0.35">
      <c r="A45" s="309" t="s">
        <v>513</v>
      </c>
    </row>
    <row r="46" spans="1:1" x14ac:dyDescent="0.35">
      <c r="A46" s="309" t="s">
        <v>519</v>
      </c>
    </row>
    <row r="47" spans="1:1" x14ac:dyDescent="0.35">
      <c r="A47" s="309" t="s">
        <v>518</v>
      </c>
    </row>
    <row r="48" spans="1:1" x14ac:dyDescent="0.35">
      <c r="A48" s="309" t="s">
        <v>514</v>
      </c>
    </row>
    <row r="49" spans="1:1" x14ac:dyDescent="0.35">
      <c r="A49" s="309" t="s">
        <v>517</v>
      </c>
    </row>
    <row r="50" spans="1:1" x14ac:dyDescent="0.35">
      <c r="A50" s="309" t="s">
        <v>513</v>
      </c>
    </row>
    <row r="51" spans="1:1" x14ac:dyDescent="0.35">
      <c r="A51" s="309" t="s">
        <v>519</v>
      </c>
    </row>
    <row r="52" spans="1:1" x14ac:dyDescent="0.35">
      <c r="A52" s="309" t="s">
        <v>518</v>
      </c>
    </row>
    <row r="53" spans="1:1" x14ac:dyDescent="0.35">
      <c r="A53" s="309" t="s">
        <v>514</v>
      </c>
    </row>
    <row r="54" spans="1:1" x14ac:dyDescent="0.35">
      <c r="A54" s="309" t="s">
        <v>515</v>
      </c>
    </row>
    <row r="55" spans="1:1" x14ac:dyDescent="0.35">
      <c r="A55" s="309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2026-03-15T20:48:54Z</dcterms:modified>
</cp:coreProperties>
</file>