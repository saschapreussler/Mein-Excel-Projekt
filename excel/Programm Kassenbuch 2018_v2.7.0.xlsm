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81013BB9-F14B-4F47-94BE-C88154A93CD5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Übersicht!#REF!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Daten!#REF!</definedName>
    <definedName name="lst_KategorienEinnahmen">Daten!#REF!</definedName>
    <definedName name="lst_MonatPeriode">Daten!$AF$4:$AF$15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E2" i="51"/>
  <c r="C3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<sst xmlns="http://schemas.openxmlformats.org/spreadsheetml/2006/main" count="1807" uniqueCount="716">
  <si>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</si>
  <si>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</si>
  <si>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</si>
  <si>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</si>
  <si>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</si>
  <si>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</si>
  <si>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</si>
  <si>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</si>
  <si>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</si>
  <si>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</si>
  <si>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</si>
  <si>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</si>
  <si>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</si>
  <si>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</si>
  <si>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</si>
  <si>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</si>
  <si>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</si>
  <si>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</si>
  <si>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</si>
  <si>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</si>
  <si>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</si>
  <si>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</si>
  <si>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</si>
  <si>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</si>
  <si>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</si>
  <si>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</si>
  <si>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</si>
  <si>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</si>
  <si>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</si>
  <si>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</si>
  <si>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</si>
  <si>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</si>
  <si>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</si>
  <si>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</si>
  <si>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</si>
  <si>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</si>
  <si>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</si>
  <si>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</si>
  <si>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</si>
  <si>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</si>
  <si>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</si>
  <si>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</si>
  <si>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</si>
  <si>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</si>
  <si>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</si>
  <si>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</si>
  <si>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</si>
  <si>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</si>
  <si>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</si>
  <si>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</si>
  <si>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</si>
  <si>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</si>
  <si>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</si>
  <si>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</si>
  <si>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</si>
  <si>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</si>
  <si>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</si>
  <si>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</si>
  <si>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</si>
  <si>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</si>
  <si>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</si>
  <si>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</si>
  <si>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</si>
  <si>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</si>
  <si>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</si>
  <si>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</si>
  <si>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</si>
  <si>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</si>
  <si>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</si>
  <si>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</si>
  <si>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</si>
  <si>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</si>
  <si>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</si>
  <si>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</si>
  <si>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</si>
  <si>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</si>
  <si>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</si>
  <si>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</si>
  <si>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</si>
  <si>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</si>
  <si>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</si>
  <si>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</si>
  <si>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</si>
  <si>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</si>
  <si>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</si>
  <si>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</si>
  <si>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</si>
  <si>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</si>
  <si>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</si>
  <si>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</si>
  <si>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</si>
  <si>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</si>
  <si>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</si>
  <si>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</si>
  <si>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</si>
  <si>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</si>
  <si>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</si>
  <si>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</si>
  <si>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</si>
  <si>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</si>
  <si>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</si>
  <si>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</si>
  <si>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</si>
  <si>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</si>
  <si>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</si>
  <si>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</si>
  <si>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</si>
  <si>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</si>
  <si>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</si>
  <si>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</si>
  <si>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</si>
  <si>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</si>
  <si>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</si>
  <si>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</si>
  <si>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</si>
  <si>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</si>
  <si>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</si>
  <si>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</si>
  <si>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</si>
  <si>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</si>
  <si>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</si>
  <si>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</si>
  <si>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</si>
  <si>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</si>
  <si>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</si>
  <si>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</si>
  <si>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</si>
  <si>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</si>
  <si>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</si>
  <si>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</si>
  <si>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</si>
  <si>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</si>
  <si>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</si>
  <si>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</si>
  <si>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</si>
  <si>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</si>
  <si>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</si>
  <si>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</si>
  <si>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</si>
  <si>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</si>
  <si>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</si>
  <si>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</si>
  <si>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</si>
  <si>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</si>
  <si>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</si>
  <si>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</si>
  <si>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</si>
  <si>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</si>
  <si>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</si>
  <si>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</si>
  <si>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</si>
  <si>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</si>
  <si>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</si>
  <si>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</si>
  <si>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</si>
  <si>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</si>
  <si>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</si>
  <si>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</si>
  <si>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</si>
  <si>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</si>
  <si>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</si>
  <si>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</si>
  <si>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</si>
  <si>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</si>
  <si>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</si>
  <si>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</si>
  <si>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</si>
  <si>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</si>
  <si>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</si>
  <si>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</si>
  <si>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</si>
  <si>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</si>
  <si>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</si>
  <si>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</si>
  <si>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</si>
  <si>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</si>
  <si>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</si>
  <si>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</si>
  <si>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</si>
  <si>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</si>
  <si>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</si>
  <si>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</si>
  <si>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</si>
  <si>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</si>
  <si>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</si>
  <si>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</si>
  <si>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</si>
  <si>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</si>
  <si>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</si>
  <si>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</si>
  <si>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</si>
  <si>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</si>
  <si>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</si>
  <si>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</si>
  <si>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</si>
  <si>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</si>
  <si>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</si>
  <si>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</si>
  <si>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</si>
  <si>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</si>
  <si>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</si>
  <si>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</si>
  <si>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</si>
  <si>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</si>
  <si>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</si>
  <si>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</si>
  <si>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</si>
  <si>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</si>
  <si>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</si>
  <si>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</si>
  <si>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</si>
  <si>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</si>
  <si>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</si>
  <si>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</si>
  <si>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</si>
  <si>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</si>
  <si>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</si>
  <si>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</si>
  <si>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</si>
  <si>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</si>
  <si>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</si>
  <si>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</si>
  <si>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</si>
  <si>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</si>
  <si>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</si>
  <si>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</si>
  <si>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</si>
  <si>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</si>
  <si>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</si>
  <si>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</si>
  <si>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</si>
  <si>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</si>
  <si>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</si>
  <si>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</si>
  <si>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</si>
  <si>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</si>
  <si>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</si>
  <si>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</si>
  <si>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</si>
  <si>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</si>
  <si>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</si>
  <si>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</si>
  <si>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</si>
  <si>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</si>
  <si>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</si>
  <si>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</si>
  <si>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</si>
  <si>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</si>
  <si>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</si>
  <si>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</si>
  <si>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</si>
  <si>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</si>
  <si>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</si>
  <si>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</si>
  <si>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</si>
  <si>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</si>
  <si>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</si>
  <si>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</si>
  <si>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</si>
  <si>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</si>
  <si>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</si>
  <si>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</si>
  <si>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</si>
  <si>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</si>
  <si>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</si>
  <si>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</si>
  <si>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</si>
  <si>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</si>
  <si>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</si>
  <si>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</si>
  <si>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</si>
  <si>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</si>
  <si>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</si>
  <si>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</si>
  <si>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</si>
  <si>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</si>
  <si>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</si>
  <si>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</si>
  <si>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</si>
  <si>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</si>
  <si>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</si>
  <si>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</si>
  <si>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</si>
  <si>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</si>
  <si>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</si>
  <si>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</si>
  <si>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</si>
  <si>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</si>
  <si>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</si>
  <si>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</si>
  <si>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</si>
  <si>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</si>
  <si>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</si>
  <si>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</si>
  <si>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</si>
  <si>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</si>
  <si>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</si>
  <si>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</si>
  <si>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</si>
  <si>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</si>
  <si>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</si>
  <si>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</si>
  <si>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</si>
  <si>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</si>
  <si>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</si>
  <si>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</si>
  <si>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</si>
  <si>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</si>
  <si>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</si>
  <si>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</si>
  <si>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</si>
  <si>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</si>
  <si>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</si>
  <si>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</si>
  <si>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</si>
  <si>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</si>
  <si>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</si>
  <si>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</si>
  <si>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</si>
  <si>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</si>
  <si>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</si>
  <si>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</si>
  <si>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</si>
  <si>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</si>
  <si>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</si>
  <si>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</si>
  <si>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</si>
  <si>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</si>
  <si>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</si>
  <si>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</si>
  <si>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</si>
  <si>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</si>
  <si>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</si>
  <si>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</si>
  <si>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</si>
  <si>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</si>
  <si>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</si>
  <si>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</si>
  <si>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</si>
  <si>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</si>
  <si>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</si>
  <si>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</si>
  <si>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</si>
  <si>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</si>
  <si>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</si>
  <si>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</si>
  <si>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</si>
  <si>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</si>
  <si>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</si>
  <si>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</si>
  <si>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</si>
  <si>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</si>
  <si>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</si>
  <si>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</si>
  <si>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</si>
  <si>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</si>
  <si>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</si>
  <si>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</si>
  <si>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</si>
  <si>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</si>
  <si>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</si>
  <si>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</si>
  <si>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</si>
  <si>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</si>
  <si>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</si>
  <si>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</si>
  <si>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</si>
  <si>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</si>
  <si>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</si>
  <si>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</si>
  <si>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</si>
  <si>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</si>
  <si>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</si>
  <si>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</si>
  <si>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</si>
  <si>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</si>
  <si>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</si>
  <si>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</si>
  <si>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</si>
  <si>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</si>
  <si>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</si>
  <si>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</si>
  <si>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</si>
  <si>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</si>
  <si>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</si>
  <si>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</si>
  <si>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</si>
  <si>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</si>
  <si>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</si>
  <si>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</si>
  <si>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</si>
  <si>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</si>
  <si>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</si>
  <si>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</si>
  <si>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</si>
  <si>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</si>
  <si>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</si>
  <si>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</si>
  <si>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</si>
  <si>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</si>
  <si>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</si>
  <si>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</si>
  <si>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</si>
  <si>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</si>
  <si>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</si>
  <si>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</si>
  <si>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</si>
  <si>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</si>
  <si>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</si>
  <si>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</si>
  <si>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</si>
  <si>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</si>
  <si>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</si>
  <si>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</si>
  <si>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</si>
  <si>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</si>
  <si>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</si>
  <si>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</si>
  <si>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</si>
  <si>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</si>
  <si>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</si>
  <si>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</si>
  <si>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</si>
  <si>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</si>
  <si>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</si>
  <si>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</si>
  <si>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</si>
  <si>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</si>
  <si>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</si>
  <si>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</si>
  <si>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</si>
  <si>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</si>
  <si>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</si>
  <si>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</si>
  <si>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</si>
  <si>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</si>
  <si>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</si>
  <si>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</si>
  <si>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</si>
  <si>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</si>
  <si>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</si>
  <si>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</si>
  <si>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</si>
  <si>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</si>
  <si>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</si>
  <si>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</si>
  <si>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</si>
  <si>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</si>
  <si>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</si>
  <si>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</si>
  <si>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</si>
  <si>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</si>
  <si>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</si>
  <si>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</si>
  <si>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</si>
  <si>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</si>
  <si>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</si>
  <si>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</si>
  <si>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</si>
  <si>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</si>
  <si>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</si>
  <si>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</si>
  <si>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</si>
  <si>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</si>
  <si>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</si>
  <si>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</si>
  <si>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</si>
  <si>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</si>
  <si>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</si>
  <si>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</si>
  <si>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</si>
  <si>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</si>
  <si>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</si>
  <si>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</si>
  <si>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</si>
  <si>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</si>
  <si>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</si>
  <si>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</si>
  <si>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</si>
  <si>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</si>
  <si>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</si>
  <si>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</si>
  <si>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</si>
  <si>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</si>
  <si>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</si>
  <si>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</si>
  <si>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</si>
  <si>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</si>
  <si>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</si>
  <si>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</si>
  <si>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</si>
  <si>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</si>
  <si>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</si>
  <si>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</si>
  <si>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</si>
  <si>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</si>
  <si>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</si>
  <si>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</si>
  <si>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</si>
  <si>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</si>
  <si>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</si>
  <si>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</si>
  <si>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</si>
  <si>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</si>
  <si>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</si>
  <si>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</si>
  <si>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</si>
  <si>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</si>
  <si>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</si>
  <si>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</si>
  <si>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</si>
  <si>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</si>
  <si>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</si>
  <si>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</si>
  <si>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</si>
  <si>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</si>
  <si>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</si>
  <si>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</si>
  <si>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</si>
  <si>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</si>
  <si>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</si>
  <si>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</si>
  <si>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</si>
  <si>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</si>
  <si>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</si>
  <si>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</si>
  <si>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</si>
  <si>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</si>
  <si>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</si>
  <si>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</si>
  <si>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</si>
  <si>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</si>
  <si>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</si>
  <si>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</si>
  <si>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</si>
  <si>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</si>
  <si>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</si>
  <si>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</si>
  <si>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</si>
  <si>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</si>
  <si>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</si>
  <si>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</si>
  <si>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</si>
  <si>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</si>
  <si>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</si>
  <si>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</si>
  <si>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</si>
  <si>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</si>
  <si>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</si>
  <si>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</si>
  <si>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</si>
  <si>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</si>
  <si>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</si>
  <si>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</si>
  <si>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</si>
  <si>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</si>
  <si>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</si>
  <si>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</si>
  <si>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</si>
  <si>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</si>
  <si>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</si>
  <si>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</si>
  <si>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</si>
  <si>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</si>
  <si>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</si>
  <si>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</si>
  <si>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</si>
  <si>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</si>
  <si>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</si>
  <si>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</si>
  <si>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</si>
  <si>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</si>
  <si>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</si>
  <si>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</si>
  <si>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</si>
  <si>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</si>
  <si>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</si>
  <si>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</si>
  <si>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</si>
  <si>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</si>
  <si>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</si>
  <si>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</si>
  <si>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</si>
  <si>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</si>
  <si>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</si>
  <si>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</si>
  <si>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</si>
  <si>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</si>
  <si>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</si>
  <si>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</si>
  <si>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</si>
  <si>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</si>
  <si>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</si>
  <si>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</si>
  <si>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</si>
  <si>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</si>
  <si>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</si>
  <si>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</si>
  <si>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</si>
  <si>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</si>
  <si>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</si>
  <si>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</si>
  <si>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</si>
  <si>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</si>
  <si>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</si>
  <si>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</si>
  <si>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</si>
  <si>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</si>
  <si>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</si>
  <si>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</si>
  <si>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</si>
  <si>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</si>
  <si>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</si>
  <si>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</si>
  <si>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</si>
  <si>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</si>
  <si>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</si>
  <si>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</si>
  <si>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</si>
  <si>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</si>
  <si>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</si>
  <si>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</si>
  <si>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</si>
  <si>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</si>
  <si>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</si>
  <si>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</si>
  <si>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</si>
  <si>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</si>
  <si>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</si>
  <si>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</si>
  <si>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</si>
  <si>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</si>
  <si>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</si>
  <si>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</si>
  <si>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</si>
  <si>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</si>
  <si>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</si>
  <si>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</si>
  <si>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</si>
  <si>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</si>
  <si>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</si>
  <si>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</si>
  <si>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</si>
  <si>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</si>
  <si>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</si>
  <si>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</si>
  <si>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</si>
  <si>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</si>
  <si>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</si>
  <si>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03, 06, 09, 12</t>
  </si>
  <si>
    <t>31.03.</t>
  </si>
  <si>
    <t>31.07.</t>
  </si>
  <si>
    <t>30.11.</t>
  </si>
  <si>
    <t>Parzelle 1 Manuel Zur Seewasserabschlag f�r laufenden Monat</t>
  </si>
  <si>
    <t>GUTSCHR. UEBERW. DAUERAUFTR</t>
  </si>
  <si>
    <t>Gebucht</t>
  </si>
  <si>
    <t>Parzelle 10 Heller Seewasserabschlag</t>
  </si>
  <si>
    <t>Mitgliedsbeitrag Parzelle 2 / Juliane+Julian</t>
  </si>
  <si>
    <t>VATTENFALL EUROPE SALES                                               AMERIGO-VESPUCCI-PLATZ 2</t>
  </si>
  <si>
    <t>S/836666388256/603512071074 Poststr. 26 a Strom Abschlag</t>
  </si>
  <si>
    <t>FOLGELASTSCHRIFT</t>
  </si>
  <si>
    <t>Brigitte Dagmar Ruth Schaling</t>
  </si>
  <si>
    <t>Parzelle 12 Jungnickel/Meyer Seewasser</t>
  </si>
  <si>
    <t>Abschlag Brauchwasser 2023</t>
  </si>
  <si>
    <t>MITGLIEDSBEITRAG PARZELLE 9</t>
  </si>
  <si>
    <t>BEITRAGSGEBUHREN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</si>
  <si>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</si>
  <si>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</si>
  <si>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</si>
  <si>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</si>
  <si>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7 Stiebeler seewasser</t>
  </si>
  <si>
    <t>Beitragsgeb�hr P.R.Z 7</t>
  </si>
  <si>
    <t>Vorauszahlung Seewasser</t>
  </si>
  <si>
    <t>BRAUCHWASSER</t>
  </si>
  <si>
    <t>Parzelle 13, Brauchwasser</t>
  </si>
  <si>
    <t>Mitgliedsbeitrag Parzelle 12</t>
  </si>
  <si>
    <t>Parzelle 13 Mitgliedbetrag</t>
  </si>
  <si>
    <t>Mitglietsbeitrag K.G.A.</t>
  </si>
  <si>
    <t>MITGLIEDSBEITRAG SASCHA PREUSSLER</t>
  </si>
  <si>
    <t>Seewasser 2023</t>
  </si>
  <si>
    <t>Mitgliedsbeitrag Parzelle 10 Heller</t>
  </si>
  <si>
    <t>Festnetz Vertragskonto 5629763010 RG 7717757261/08.01.2025</t>
  </si>
  <si>
    <t>Mitglied</t>
  </si>
  <si>
    <t>Monat</t>
  </si>
  <si>
    <t>Soll</t>
  </si>
  <si>
    <t>Ist</t>
  </si>
  <si>
    <t>Bemerkung</t>
  </si>
  <si>
    <t>Folgemonat manuell bestätigt: Februar</t>
  </si>
  <si>
    <t>Kategorie Einnahme sortiert</t>
  </si>
  <si>
    <t>Kategorie Ausgabe sortiert</t>
  </si>
  <si>
    <t>ERSTLASTSCHRIFT</t>
  </si>
  <si>
    <t>GUTSCHR. UEBERWEISUNG</t>
  </si>
  <si>
    <t>ECHTZEIT-GUTSCHRIFT</t>
  </si>
  <si>
    <t>WAZV  Werder-Havelland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</si>
  <si>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</si>
  <si>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</si>
  <si>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</si>
  <si>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</si>
  <si>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</si>
  <si>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</si>
  <si>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</si>
  <si>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</si>
  <si>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</si>
  <si>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</si>
  <si>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</si>
  <si>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</si>
  <si>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</si>
  <si>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</si>
  <si>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Betriebskosten 2024</t>
  </si>
  <si>
    <t>S/836666388256/601112126686 Poststr. 26 a Strom Abschlag</t>
  </si>
  <si>
    <t>D5197484 Wasser/Abwasser</t>
  </si>
  <si>
    <t>K.G.A. Endabrechnung 2024</t>
  </si>
  <si>
    <t>Entgeltabrechnung siehe Anlage</t>
  </si>
  <si>
    <t>Import: 14.02.2026  08:29:21||46 / 46 Datensätze importiert||0 Duplikate erkannt||0 Fehler||--------------------------------------||Import: 14.02.2026  08:28:33||28 / 28 Datensätze importiert||0 Duplikate erkannt||0 Fehler||--------------------------------------||Import: 12.02.2026  14:47:48||28 / 28 Datensätze importiert||0 Duplikate erkannt||0 Fehler||--------------------------------------||Import: 12.02.2026  12:56:47||28 / 28 Datensätze importiert||0 Duplikate erkannt||0 Fehler||--------------------------------------||Import: 12.02.2026  11:30:43||28 / 28 Datensätze importiert||0 Duplikate erkannt||0 Fehler||--------------------------------------||Import: 12.02.2026  10:41:07||28 / 28 Datensätze importiert||0 Duplikate erkannt||0 Fehler||--------------------------------------||Import: 12.02.2026  10:39:33||28 / 28 Datensätze importiert||0 Duplikate erkannt||0 Fehler||--------------------------------------||Import: 12.02.2026  10:08:29||28 / 28 Datensätze importiert||0 Duplikate erkannt||0 Fehler||--------------------------------------||Import: 11.02.2026  13:51:15||445 / 445 Datensätze importiert||0 Duplikate erkannt||0 Fehler||--------------------------------------||Import: 11.02.2026  11:18:06||445 / 445 Datensätze importiert||0 Duplikate erkannt||0 Fehler||--------------------------------------||Import: 11.02.2026  09:04:51||445 / 445 Datensätze importiert||0 Duplikate erkannt||0 Fehler||--------------------------------------</t>
  </si>
  <si>
    <t>Ultimo-5: Bitte prüfen ob Zahlung für Februar oder Folgemonat gilt</t>
  </si>
  <si>
    <t>manuell zugeordnet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</si>
</sst>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EB9C"/>
        <bgColor indexed="64"/>
      </patternFill>
    </fill>
  </fills>
  <borders count="8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52" fillId="0" borderId="0" applyNumberFormat="0" applyFill="0" applyBorder="0" applyAlignment="0" applyProtection="0"/>
  </cellStyleXfs>
  <cellXfs count="56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6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8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8" fillId="0" borderId="44" xfId="0" applyFont="1" applyBorder="1" applyAlignment="1">
      <alignment vertical="center" wrapText="1"/>
    </xf>
    <xf numFmtId="8" fontId="29" fillId="0" borderId="10" xfId="0" applyNumberFormat="1" applyFont="1" applyBorder="1" applyAlignment="1">
      <alignment horizontal="right" vertical="center" wrapText="1"/>
    </xf>
    <xf numFmtId="0" fontId="29" fillId="0" borderId="10" xfId="0" applyFont="1" applyBorder="1" applyAlignment="1">
      <alignment horizontal="right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44" xfId="0" applyFont="1" applyBorder="1" applyAlignment="1">
      <alignment vertical="center" wrapText="1"/>
    </xf>
    <xf numFmtId="49" fontId="29" fillId="0" borderId="10" xfId="0" applyNumberFormat="1" applyFont="1" applyBorder="1" applyAlignment="1">
      <alignment horizontal="right" vertical="center" wrapText="1"/>
    </xf>
    <xf numFmtId="8" fontId="29" fillId="0" borderId="41" xfId="0" applyNumberFormat="1" applyFont="1" applyBorder="1" applyAlignment="1">
      <alignment horizontal="right" vertical="center" wrapText="1"/>
    </xf>
    <xf numFmtId="0" fontId="29" fillId="0" borderId="41" xfId="0" applyFont="1" applyBorder="1" applyAlignment="1">
      <alignment horizontal="right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8" fontId="29" fillId="0" borderId="0" xfId="0" applyNumberFormat="1" applyFont="1" applyAlignment="1">
      <alignment horizontal="right" vertical="center" wrapText="1"/>
    </xf>
    <xf numFmtId="0" fontId="29" fillId="0" borderId="0" xfId="0" applyFont="1" applyAlignment="1">
      <alignment horizontal="right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49" fontId="29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0" fillId="0" borderId="34" xfId="0" applyFont="1" applyBorder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8" fontId="31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8" fontId="31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49" fontId="35" fillId="0" borderId="0" xfId="0" applyNumberFormat="1" applyFont="1" applyAlignment="1">
      <alignment horizontal="center" vertical="center"/>
    </xf>
    <xf numFmtId="8" fontId="3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8" fontId="36" fillId="0" borderId="0" xfId="0" applyNumberFormat="1" applyFont="1" applyAlignment="1">
      <alignment vertical="center"/>
    </xf>
    <xf numFmtId="8" fontId="37" fillId="0" borderId="0" xfId="0" applyNumberFormat="1" applyFont="1" applyAlignment="1">
      <alignment vertical="center"/>
    </xf>
    <xf numFmtId="2" fontId="31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8" fontId="31" fillId="0" borderId="45" xfId="0" applyNumberFormat="1" applyFont="1" applyBorder="1" applyAlignment="1">
      <alignment vertical="center"/>
    </xf>
    <xf numFmtId="0" fontId="31" fillId="0" borderId="45" xfId="0" applyFont="1" applyBorder="1" applyAlignment="1">
      <alignment vertical="center"/>
    </xf>
    <xf numFmtId="0" fontId="34" fillId="0" borderId="45" xfId="0" applyFont="1" applyBorder="1" applyAlignment="1">
      <alignment vertical="center"/>
    </xf>
    <xf numFmtId="0" fontId="31" fillId="0" borderId="43" xfId="0" applyFont="1" applyBorder="1" applyAlignment="1">
      <alignment vertical="center"/>
    </xf>
    <xf numFmtId="165" fontId="34" fillId="0" borderId="45" xfId="0" applyNumberFormat="1" applyFont="1" applyBorder="1" applyAlignment="1">
      <alignment vertical="center"/>
    </xf>
    <xf numFmtId="165" fontId="37" fillId="0" borderId="45" xfId="0" applyNumberFormat="1" applyFont="1" applyBorder="1" applyAlignment="1">
      <alignment vertical="center"/>
    </xf>
    <xf numFmtId="8" fontId="31" fillId="0" borderId="44" xfId="0" applyNumberFormat="1" applyFont="1" applyBorder="1" applyAlignment="1">
      <alignment vertical="center"/>
    </xf>
    <xf numFmtId="165" fontId="31" fillId="0" borderId="11" xfId="0" applyNumberFormat="1" applyFont="1" applyBorder="1" applyAlignment="1">
      <alignment vertical="center"/>
    </xf>
    <xf numFmtId="165" fontId="31" fillId="0" borderId="46" xfId="0" applyNumberFormat="1" applyFont="1" applyBorder="1" applyAlignment="1">
      <alignment vertical="center"/>
    </xf>
    <xf numFmtId="0" fontId="31" fillId="0" borderId="44" xfId="0" applyFont="1" applyBorder="1" applyAlignment="1">
      <alignment vertical="center"/>
    </xf>
    <xf numFmtId="165" fontId="31" fillId="0" borderId="45" xfId="0" applyNumberFormat="1" applyFont="1" applyBorder="1" applyAlignment="1">
      <alignment vertical="center"/>
    </xf>
    <xf numFmtId="165" fontId="31" fillId="0" borderId="44" xfId="0" applyNumberFormat="1" applyFont="1" applyBorder="1" applyAlignment="1">
      <alignment vertical="center"/>
    </xf>
    <xf numFmtId="165" fontId="31" fillId="0" borderId="43" xfId="0" applyNumberFormat="1" applyFont="1" applyBorder="1" applyAlignment="1">
      <alignment vertical="center"/>
    </xf>
    <xf numFmtId="8" fontId="31" fillId="0" borderId="8" xfId="0" applyNumberFormat="1" applyFont="1" applyBorder="1" applyAlignment="1">
      <alignment vertical="center"/>
    </xf>
    <xf numFmtId="165" fontId="31" fillId="0" borderId="8" xfId="0" applyNumberFormat="1" applyFont="1" applyBorder="1" applyAlignment="1">
      <alignment vertical="center"/>
    </xf>
    <xf numFmtId="165" fontId="31" fillId="0" borderId="48" xfId="0" applyNumberFormat="1" applyFont="1" applyBorder="1" applyAlignment="1">
      <alignment vertical="center"/>
    </xf>
    <xf numFmtId="165" fontId="31" fillId="0" borderId="49" xfId="0" applyNumberFormat="1" applyFont="1" applyBorder="1" applyAlignment="1">
      <alignment vertical="center"/>
    </xf>
    <xf numFmtId="0" fontId="30" fillId="0" borderId="49" xfId="0" applyFont="1" applyBorder="1" applyAlignment="1">
      <alignment vertical="center"/>
    </xf>
    <xf numFmtId="8" fontId="31" fillId="0" borderId="50" xfId="0" applyNumberFormat="1" applyFont="1" applyBorder="1" applyAlignment="1">
      <alignment vertical="center"/>
    </xf>
    <xf numFmtId="165" fontId="31" fillId="0" borderId="51" xfId="0" applyNumberFormat="1" applyFont="1" applyBorder="1" applyAlignment="1">
      <alignment vertical="center"/>
    </xf>
    <xf numFmtId="165" fontId="31" fillId="0" borderId="52" xfId="0" applyNumberFormat="1" applyFont="1" applyBorder="1" applyAlignment="1">
      <alignment vertical="center"/>
    </xf>
    <xf numFmtId="165" fontId="31" fillId="0" borderId="53" xfId="0" applyNumberFormat="1" applyFont="1" applyBorder="1" applyAlignment="1">
      <alignment vertical="center"/>
    </xf>
    <xf numFmtId="0" fontId="30" fillId="0" borderId="52" xfId="0" applyFont="1" applyBorder="1" applyAlignment="1">
      <alignment vertical="center"/>
    </xf>
    <xf numFmtId="0" fontId="31" fillId="0" borderId="13" xfId="0" applyFont="1" applyBorder="1" applyAlignment="1">
      <alignment vertical="center"/>
    </xf>
    <xf numFmtId="165" fontId="31" fillId="0" borderId="54" xfId="0" applyNumberFormat="1" applyFont="1" applyBorder="1" applyAlignment="1">
      <alignment vertical="center"/>
    </xf>
    <xf numFmtId="0" fontId="31" fillId="0" borderId="54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43" fillId="10" borderId="45" xfId="0" applyNumberFormat="1" applyFont="1" applyFill="1" applyBorder="1" applyAlignment="1">
      <alignment horizontal="center" vertical="center"/>
    </xf>
    <xf numFmtId="165" fontId="43" fillId="17" borderId="45" xfId="0" applyNumberFormat="1" applyFont="1" applyFill="1" applyBorder="1" applyAlignment="1">
      <alignment horizontal="center" vertical="center"/>
    </xf>
    <xf numFmtId="0" fontId="43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1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1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4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5" fillId="0" borderId="64" xfId="0" applyFont="1" applyBorder="1" applyAlignment="1" applyProtection="1">
      <alignment horizontal="left" vertical="center" wrapText="1"/>
      <protection locked="0"/>
    </xf>
    <xf numFmtId="168" fontId="46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7" fillId="19" borderId="64" xfId="0" applyFont="1" applyFill="1" applyBorder="1" applyAlignment="1">
      <alignment vertical="center" wrapText="1"/>
    </xf>
    <xf numFmtId="0" fontId="31" fillId="0" borderId="11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 shrinkToFit="1"/>
    </xf>
    <xf numFmtId="165" fontId="31" fillId="0" borderId="64" xfId="0" applyNumberFormat="1" applyFont="1" applyBorder="1" applyAlignment="1">
      <alignment horizontal="center" vertical="center" shrinkToFit="1"/>
    </xf>
    <xf numFmtId="165" fontId="31" fillId="0" borderId="64" xfId="0" applyNumberFormat="1" applyFont="1" applyBorder="1" applyAlignment="1">
      <alignment vertical="center"/>
    </xf>
    <xf numFmtId="165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 shrinkToFit="1"/>
    </xf>
    <xf numFmtId="165" fontId="31" fillId="0" borderId="58" xfId="0" applyNumberFormat="1" applyFont="1" applyBorder="1" applyAlignment="1">
      <alignment horizontal="center" vertical="center" shrinkToFit="1"/>
    </xf>
    <xf numFmtId="165" fontId="31" fillId="0" borderId="58" xfId="0" applyNumberFormat="1" applyFont="1" applyBorder="1" applyAlignment="1">
      <alignment vertical="center"/>
    </xf>
    <xf numFmtId="165" fontId="31" fillId="0" borderId="58" xfId="0" applyNumberFormat="1" applyFont="1" applyBorder="1" applyAlignment="1">
      <alignment horizontal="center" vertical="center"/>
    </xf>
    <xf numFmtId="8" fontId="31" fillId="0" borderId="58" xfId="0" applyNumberFormat="1" applyFont="1" applyBorder="1" applyAlignment="1">
      <alignment horizontal="center" vertical="center"/>
    </xf>
    <xf numFmtId="0" fontId="30" fillId="0" borderId="66" xfId="0" applyFont="1" applyBorder="1" applyAlignment="1">
      <alignment vertical="center" wrapText="1"/>
    </xf>
    <xf numFmtId="0" fontId="30" fillId="0" borderId="67" xfId="0" applyFont="1" applyBorder="1" applyAlignment="1">
      <alignment horizontal="center" vertical="center" shrinkToFit="1"/>
    </xf>
    <xf numFmtId="0" fontId="30" fillId="0" borderId="67" xfId="0" applyFont="1" applyBorder="1" applyAlignment="1">
      <alignment vertical="center" shrinkToFit="1"/>
    </xf>
    <xf numFmtId="0" fontId="30" fillId="0" borderId="67" xfId="0" applyFont="1" applyBorder="1" applyAlignment="1">
      <alignment vertical="center" wrapText="1"/>
    </xf>
    <xf numFmtId="9" fontId="30" fillId="0" borderId="67" xfId="0" applyNumberFormat="1" applyFont="1" applyBorder="1" applyAlignment="1">
      <alignment horizontal="center" vertical="center" shrinkToFit="1"/>
    </xf>
    <xf numFmtId="0" fontId="30" fillId="0" borderId="67" xfId="0" applyFont="1" applyBorder="1" applyAlignment="1">
      <alignment horizontal="center" vertical="center" wrapText="1"/>
    </xf>
    <xf numFmtId="0" fontId="30" fillId="0" borderId="68" xfId="0" applyFont="1" applyBorder="1" applyAlignment="1">
      <alignment horizontal="center" vertical="center" wrapText="1"/>
    </xf>
    <xf numFmtId="165" fontId="31" fillId="0" borderId="35" xfId="0" applyNumberFormat="1" applyFont="1" applyBorder="1" applyAlignment="1">
      <alignment horizontal="center" vertical="center"/>
    </xf>
    <xf numFmtId="165" fontId="31" fillId="0" borderId="28" xfId="0" applyNumberFormat="1" applyFont="1" applyBorder="1" applyAlignment="1">
      <alignment horizontal="center" vertical="center"/>
    </xf>
    <xf numFmtId="0" fontId="31" fillId="0" borderId="28" xfId="0" applyFont="1" applyBorder="1" applyAlignment="1">
      <alignment vertical="center"/>
    </xf>
    <xf numFmtId="3" fontId="31" fillId="18" borderId="58" xfId="0" applyNumberFormat="1" applyFont="1" applyFill="1" applyBorder="1" applyAlignment="1" applyProtection="1">
      <alignment vertical="center" shrinkToFit="1"/>
      <protection locked="0"/>
    </xf>
    <xf numFmtId="3" fontId="31" fillId="18" borderId="64" xfId="0" applyNumberFormat="1" applyFont="1" applyFill="1" applyBorder="1" applyAlignment="1" applyProtection="1">
      <alignment vertical="center" shrinkToFit="1"/>
      <protection locked="0"/>
    </xf>
    <xf numFmtId="169" fontId="30" fillId="0" borderId="58" xfId="0" applyNumberFormat="1" applyFont="1" applyBorder="1" applyAlignment="1">
      <alignment vertical="center" shrinkToFit="1"/>
    </xf>
    <xf numFmtId="169" fontId="30" fillId="0" borderId="64" xfId="0" applyNumberFormat="1" applyFont="1" applyBorder="1" applyAlignment="1">
      <alignment vertical="center" shrinkToFit="1"/>
    </xf>
    <xf numFmtId="0" fontId="47" fillId="19" borderId="58" xfId="0" applyFont="1" applyFill="1" applyBorder="1" applyAlignment="1">
      <alignment horizontal="left" vertical="center" wrapText="1"/>
    </xf>
    <xf numFmtId="0" fontId="47" fillId="19" borderId="64" xfId="0" applyFont="1" applyFill="1" applyBorder="1" applyAlignment="1">
      <alignment horizontal="left" vertical="center" wrapText="1"/>
    </xf>
    <xf numFmtId="0" fontId="31" fillId="0" borderId="58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vertical="center"/>
      <protection locked="0"/>
    </xf>
    <xf numFmtId="0" fontId="31" fillId="0" borderId="44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vertical="center"/>
      <protection locked="0"/>
    </xf>
    <xf numFmtId="0" fontId="30" fillId="0" borderId="52" xfId="0" applyFont="1" applyBorder="1" applyAlignment="1" applyProtection="1">
      <alignment vertical="center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1" fillId="0" borderId="46" xfId="0" applyFont="1" applyBorder="1" applyAlignment="1" applyProtection="1">
      <alignment vertical="center"/>
      <protection locked="0"/>
    </xf>
    <xf numFmtId="0" fontId="34" fillId="0" borderId="45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horizontal="center" vertical="center" wrapText="1"/>
      <protection locked="0"/>
    </xf>
    <xf numFmtId="0" fontId="31" fillId="0" borderId="52" xfId="0" applyFont="1" applyBorder="1" applyAlignment="1" applyProtection="1">
      <alignment horizontal="center" vertical="center" wrapText="1"/>
      <protection locked="0"/>
    </xf>
    <xf numFmtId="0" fontId="31" fillId="0" borderId="49" xfId="0" applyFont="1" applyBorder="1" applyAlignment="1" applyProtection="1">
      <alignment vertical="center"/>
      <protection locked="0"/>
    </xf>
    <xf numFmtId="0" fontId="31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1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6" fillId="4" borderId="71" xfId="0" applyFont="1" applyFill="1" applyBorder="1" applyAlignment="1">
      <alignment horizontal="center" vertical="center" wrapText="1"/>
    </xf>
    <xf numFmtId="0" fontId="26" fillId="4" borderId="71" xfId="0" applyFont="1" applyFill="1" applyBorder="1" applyAlignment="1">
      <alignment vertical="center"/>
    </xf>
    <xf numFmtId="0" fontId="26" fillId="4" borderId="72" xfId="0" applyFont="1" applyFill="1" applyBorder="1" applyAlignment="1">
      <alignment vertical="center"/>
    </xf>
    <xf numFmtId="0" fontId="26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51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vertical="center"/>
    </xf>
    <xf numFmtId="170" fontId="0" fillId="21" borderId="73" xfId="0" applyNumberFormat="1" applyFill="1" applyBorder="1" applyAlignment="1">
      <alignment vertical="center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6" fillId="4" borderId="73" xfId="0" applyFon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2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0" fontId="25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7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9" fillId="0" borderId="64" xfId="0" applyFont="1" applyBorder="1" applyAlignment="1">
      <alignment vertical="center"/>
    </xf>
    <xf numFmtId="0" fontId="40" fillId="0" borderId="64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0" fontId="40" fillId="0" borderId="64" xfId="0" applyFont="1" applyBorder="1" applyAlignment="1">
      <alignment horizontal="left" vertical="center"/>
    </xf>
    <xf numFmtId="0" fontId="32" fillId="0" borderId="64" xfId="0" applyFont="1" applyBorder="1" applyAlignment="1">
      <alignment horizontal="left" vertical="center"/>
    </xf>
    <xf numFmtId="0" fontId="41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1" fillId="0" borderId="14" xfId="0" applyFont="1" applyBorder="1" applyAlignment="1">
      <alignment vertical="center"/>
    </xf>
    <xf numFmtId="0" fontId="41" fillId="0" borderId="14" xfId="0" applyFont="1" applyBorder="1" applyAlignment="1">
      <alignment horizontal="center" vertical="center"/>
    </xf>
    <xf numFmtId="0" fontId="41" fillId="0" borderId="58" xfId="0" applyFont="1" applyBorder="1" applyAlignment="1">
      <alignment vertical="center"/>
    </xf>
    <xf numFmtId="0" fontId="42" fillId="0" borderId="58" xfId="0" applyFont="1" applyBorder="1" applyAlignment="1">
      <alignment horizontal="center" vertical="center"/>
    </xf>
    <xf numFmtId="165" fontId="31" fillId="0" borderId="14" xfId="0" applyNumberFormat="1" applyFont="1" applyBorder="1" applyAlignment="1">
      <alignment horizontal="center" vertical="center"/>
    </xf>
    <xf numFmtId="0" fontId="40" fillId="0" borderId="14" xfId="0" applyFont="1" applyBorder="1" applyAlignment="1">
      <alignment vertical="center"/>
    </xf>
    <xf numFmtId="165" fontId="34" fillId="0" borderId="58" xfId="0" applyNumberFormat="1" applyFont="1" applyBorder="1" applyAlignment="1">
      <alignment horizontal="center" vertical="center"/>
    </xf>
    <xf numFmtId="0" fontId="43" fillId="0" borderId="58" xfId="0" applyFont="1" applyBorder="1" applyAlignment="1">
      <alignment vertical="center"/>
    </xf>
    <xf numFmtId="165" fontId="32" fillId="0" borderId="55" xfId="0" applyNumberFormat="1" applyFont="1" applyBorder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32" fillId="0" borderId="55" xfId="0" applyFont="1" applyBorder="1" applyAlignment="1">
      <alignment horizontal="left" vertical="center"/>
    </xf>
    <xf numFmtId="165" fontId="32" fillId="0" borderId="56" xfId="0" applyNumberFormat="1" applyFont="1" applyBorder="1" applyAlignment="1">
      <alignment vertical="center"/>
    </xf>
    <xf numFmtId="0" fontId="43" fillId="0" borderId="56" xfId="0" applyFont="1" applyBorder="1" applyAlignment="1">
      <alignment vertical="center"/>
    </xf>
    <xf numFmtId="0" fontId="32" fillId="0" borderId="56" xfId="0" applyFont="1" applyBorder="1" applyAlignment="1">
      <alignment vertical="center"/>
    </xf>
    <xf numFmtId="165" fontId="32" fillId="0" borderId="58" xfId="0" applyNumberFormat="1" applyFont="1" applyBorder="1" applyAlignment="1">
      <alignment vertical="center"/>
    </xf>
    <xf numFmtId="0" fontId="40" fillId="0" borderId="58" xfId="0" applyFont="1" applyBorder="1" applyAlignment="1">
      <alignment vertical="center"/>
    </xf>
    <xf numFmtId="0" fontId="32" fillId="0" borderId="58" xfId="0" applyFont="1" applyBorder="1" applyAlignment="1">
      <alignment vertical="center"/>
    </xf>
    <xf numFmtId="165" fontId="39" fillId="0" borderId="55" xfId="0" applyNumberFormat="1" applyFont="1" applyBorder="1" applyAlignment="1">
      <alignment vertical="center"/>
    </xf>
    <xf numFmtId="0" fontId="32" fillId="0" borderId="55" xfId="0" applyFont="1" applyBorder="1" applyAlignment="1">
      <alignment vertical="center"/>
    </xf>
    <xf numFmtId="0" fontId="40" fillId="0" borderId="62" xfId="0" applyFont="1" applyBorder="1" applyAlignment="1">
      <alignment vertical="center"/>
    </xf>
    <xf numFmtId="0" fontId="41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2" fillId="22" borderId="70" xfId="0" applyFont="1" applyFill="1" applyBorder="1" applyAlignment="1">
      <alignment horizontal="left" vertical="center" wrapText="1"/>
    </xf>
    <xf numFmtId="0" fontId="42" fillId="22" borderId="70" xfId="0" applyFont="1" applyFill="1" applyBorder="1" applyAlignment="1">
      <alignment horizontal="center" vertical="center" wrapText="1"/>
    </xf>
    <xf numFmtId="0" fontId="42" fillId="22" borderId="70" xfId="0" applyFont="1" applyFill="1" applyBorder="1" applyAlignment="1">
      <alignment horizontal="left" vertical="center"/>
    </xf>
    <xf numFmtId="49" fontId="42" fillId="22" borderId="70" xfId="0" applyNumberFormat="1" applyFont="1" applyFill="1" applyBorder="1" applyAlignment="1">
      <alignment horizontal="left" vertical="center"/>
    </xf>
    <xf numFmtId="0" fontId="42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4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4" fillId="27" borderId="75" xfId="0" applyFont="1" applyFill="1" applyBorder="1" applyAlignment="1" applyProtection="1">
      <alignment horizontal="center" vertical="center" wrapText="1"/>
    </xf>
    <xf numFmtId="0" fontId="44" fillId="27" borderId="76" xfId="0" applyFont="1" applyFill="1" applyBorder="1" applyAlignment="1" applyProtection="1">
      <alignment horizontal="center" vertical="center" wrapText="1"/>
    </xf>
    <xf numFmtId="0" fontId="44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3" fillId="24" borderId="69" xfId="0" applyNumberFormat="1" applyFont="1" applyFill="1" applyBorder="1" applyAlignment="1" applyProtection="1">
      <alignment horizontal="left" vertical="center"/>
      <protection locked="0"/>
    </xf>
    <xf numFmtId="49" fontId="53" fillId="21" borderId="69" xfId="0" applyNumberFormat="1" applyFont="1" applyFill="1" applyBorder="1" applyAlignment="1" applyProtection="1">
      <alignment horizontal="left" vertical="center"/>
      <protection locked="0"/>
    </xf>
    <xf numFmtId="0" fontId="53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9" borderId="69" xfId="0" applyFont="1" applyFill="1" applyBorder="1" applyAlignment="1">
      <alignment horizontal="center" vertical="center"/>
    </xf>
    <xf numFmtId="0" fontId="3" fillId="29" borderId="69" xfId="0" applyFont="1" applyFill="1" applyBorder="1" applyAlignment="1" applyProtection="1">
      <alignment horizontal="center" vertical="center"/>
    </xf>
    <xf numFmtId="0" fontId="3" fillId="29" borderId="69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7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8" fontId="28" fillId="0" borderId="0" xfId="0" applyNumberFormat="1" applyFont="1" applyAlignment="1">
      <alignment horizontal="right" vertical="center" wrapText="1"/>
    </xf>
    <xf numFmtId="8" fontId="28" fillId="0" borderId="43" xfId="0" applyNumberFormat="1" applyFont="1" applyBorder="1" applyAlignment="1">
      <alignment horizontal="right" vertical="center" wrapText="1"/>
    </xf>
    <xf numFmtId="8" fontId="28" fillId="0" borderId="42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9" fillId="0" borderId="65" xfId="0" applyFont="1" applyBorder="1" applyAlignment="1">
      <alignment horizontal="center" vertical="center"/>
    </xf>
    <xf numFmtId="0" fontId="39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5" borderId="65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63" xfId="0" applyFont="1" applyFill="1" applyBorder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70" fontId="0" fillId="0" borderId="78" xfId="0" applyNumberFormat="1" applyFill="1" applyBorder="1" applyAlignment="1">
      <alignment horizontal="left" vertical="center"/>
    </xf>
    <xf numFmtId="172" fontId="0" fillId="0" borderId="78" xfId="0" applyNumberFormat="1" applyFill="1" applyBorder="1" applyAlignment="1">
      <alignment horizontal="right" vertical="center"/>
    </xf>
    <xf numFmtId="0" fontId="0" fillId="0" borderId="78" xfId="0" applyFill="1" applyBorder="1" applyAlignment="1">
      <alignment horizontal="left" vertical="center"/>
    </xf>
    <xf numFmtId="0" fontId="0" fillId="0" borderId="78" xfId="0" applyFill="1" applyBorder="1" applyAlignment="1">
      <alignment vertical="center"/>
    </xf>
    <xf numFmtId="0" fontId="53" fillId="28" borderId="78" xfId="0" applyFont="1" applyFill="1" applyBorder="1" applyAlignment="1" applyProtection="1">
      <alignment horizontal="left" vertical="center"/>
      <protection locked="0"/>
    </xf>
    <xf numFmtId="0" fontId="0" fillId="0" borderId="78" xfId="0" applyFill="1" applyBorder="1" applyAlignment="1" applyProtection="1">
      <alignment vertical="center"/>
      <protection locked="0"/>
    </xf>
    <xf numFmtId="0" fontId="0" fillId="0" borderId="78" xfId="0" applyFill="1" applyBorder="1" applyAlignment="1" applyProtection="1">
      <alignment vertical="center" wrapText="1"/>
      <protection locked="0"/>
    </xf>
    <xf numFmtId="170" fontId="0" fillId="21" borderId="79" xfId="0" applyNumberFormat="1" applyFill="1" applyBorder="1" applyAlignment="1">
      <alignment horizontal="left" vertical="center"/>
    </xf>
    <xf numFmtId="172" fontId="0" fillId="21" borderId="79" xfId="0" applyNumberFormat="1" applyFill="1" applyBorder="1" applyAlignment="1">
      <alignment horizontal="right" vertical="center"/>
    </xf>
    <xf numFmtId="0" fontId="0" fillId="21" borderId="79" xfId="0" applyFill="1" applyBorder="1" applyAlignment="1">
      <alignment horizontal="left" vertical="center"/>
    </xf>
    <xf numFmtId="0" fontId="0" fillId="21" borderId="79" xfId="0" applyFill="1" applyBorder="1" applyAlignment="1">
      <alignment vertical="center"/>
    </xf>
    <xf numFmtId="0" fontId="53" fillId="28" borderId="79" xfId="0" applyFont="1" applyFill="1" applyBorder="1" applyAlignment="1" applyProtection="1">
      <alignment horizontal="left" vertical="center"/>
      <protection locked="0"/>
    </xf>
    <xf numFmtId="0" fontId="0" fillId="21" borderId="79" xfId="0" applyFill="1" applyBorder="1" applyAlignment="1" applyProtection="1">
      <alignment vertical="center"/>
      <protection locked="0"/>
    </xf>
    <xf numFmtId="0" fontId="0" fillId="21" borderId="79" xfId="0" applyFill="1" applyBorder="1" applyAlignment="1" applyProtection="1">
      <alignment vertical="center" wrapText="1"/>
      <protection locked="0"/>
    </xf>
    <xf numFmtId="170" fontId="0" fillId="0" borderId="79" xfId="0" applyNumberFormat="1" applyFill="1" applyBorder="1" applyAlignment="1">
      <alignment horizontal="left" vertical="center"/>
    </xf>
    <xf numFmtId="172" fontId="0" fillId="0" borderId="79" xfId="0" applyNumberFormat="1" applyFill="1" applyBorder="1" applyAlignment="1">
      <alignment horizontal="right" vertical="center"/>
    </xf>
    <xf numFmtId="0" fontId="0" fillId="0" borderId="79" xfId="0" applyFill="1" applyBorder="1" applyAlignment="1">
      <alignment horizontal="left" vertical="center"/>
    </xf>
    <xf numFmtId="0" fontId="0" fillId="0" borderId="79" xfId="0" applyFill="1" applyBorder="1" applyAlignment="1">
      <alignment vertical="center"/>
    </xf>
    <xf numFmtId="0" fontId="0" fillId="0" borderId="79" xfId="0" applyFill="1" applyBorder="1" applyAlignment="1" applyProtection="1">
      <alignment vertical="center"/>
      <protection locked="0"/>
    </xf>
    <xf numFmtId="0" fontId="0" fillId="0" borderId="79" xfId="0" applyFill="1" applyBorder="1" applyAlignment="1" applyProtection="1">
      <alignment vertical="center" wrapText="1"/>
      <protection locked="0"/>
    </xf>
    <xf numFmtId="170" fontId="0" fillId="21" borderId="80" xfId="0" applyNumberFormat="1" applyFill="1" applyBorder="1" applyAlignment="1">
      <alignment horizontal="left" vertical="center"/>
    </xf>
    <xf numFmtId="0" fontId="0" fillId="21" borderId="80" xfId="0" applyFill="1" applyBorder="1" applyAlignment="1">
      <alignment horizontal="left" vertical="center"/>
    </xf>
    <xf numFmtId="0" fontId="0" fillId="21" borderId="80" xfId="0" applyFill="1" applyBorder="1" applyAlignment="1">
      <alignment vertical="center"/>
    </xf>
    <xf numFmtId="172" fontId="0" fillId="0" borderId="78" xfId="0" applyNumberFormat="1" applyFill="1" applyBorder="1" applyAlignment="1">
      <alignment vertical="center"/>
    </xf>
    <xf numFmtId="172" fontId="0" fillId="21" borderId="79" xfId="0" applyNumberFormat="1" applyFill="1" applyBorder="1" applyAlignment="1">
      <alignment vertical="center"/>
    </xf>
    <xf numFmtId="172" fontId="0" fillId="0" borderId="79" xfId="0" applyNumberFormat="1" applyFill="1" applyBorder="1" applyAlignment="1">
      <alignment vertical="center"/>
    </xf>
    <xf numFmtId="172" fontId="0" fillId="21" borderId="80" xfId="0" applyNumberFormat="1" applyFill="1" applyBorder="1" applyAlignment="1">
      <alignment horizontal="right" vertical="center"/>
    </xf>
    <xf numFmtId="172" fontId="0" fillId="21" borderId="80" xfId="0" applyNumberFormat="1" applyFill="1" applyBorder="1" applyAlignment="1">
      <alignment vertical="center"/>
    </xf>
    <xf numFmtId="172" fontId="0" fillId="0" borderId="79" xfId="0" applyNumberFormat="1" applyFill="1" applyBorder="1" applyAlignment="1" applyProtection="1">
      <alignment vertical="center"/>
      <protection locked="0"/>
    </xf>
    <xf numFmtId="172" fontId="0" fillId="21" borderId="79" xfId="0" applyNumberFormat="1" applyFill="1" applyBorder="1" applyAlignment="1" applyProtection="1">
      <alignment vertical="center"/>
      <protection locked="0"/>
    </xf>
    <xf numFmtId="0" fontId="53" fillId="28" borderId="80" xfId="0" applyFont="1" applyFill="1" applyBorder="1" applyAlignment="1" applyProtection="1">
      <alignment horizontal="left" vertical="center"/>
      <protection locked="0"/>
    </xf>
    <xf numFmtId="0" fontId="0" fillId="30" borderId="79" xfId="0" applyFill="1" applyBorder="1" applyAlignment="1" applyProtection="1">
      <alignment vertical="center"/>
      <protection locked="0"/>
    </xf>
    <xf numFmtId="0" fontId="0" fillId="21" borderId="80" xfId="0" applyFill="1" applyBorder="1" applyAlignment="1" applyProtection="1">
      <alignment vertical="center"/>
      <protection locked="0"/>
    </xf>
    <xf numFmtId="0" fontId="0" fillId="21" borderId="80" xfId="0" applyFill="1" applyBorder="1" applyAlignment="1" applyProtection="1">
      <alignment vertical="center" wrapText="1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1483179</xdr:colOff>
          <xdr:row>8</xdr:row>
          <xdr:rowOff>48079</xdr:rowOff>
        </xdr:from>
        <xdr:to>
          <xdr:col>6</xdr:col>
          <xdr:colOff>1371600</xdr:colOff>
          <xdr:row>15</xdr:row>
          <xdr:rowOff>26307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F4" sqref="F4"/>
    </sheetView>
  </sheetViews>
  <sheetFormatPr baseColWidth="10" defaultColWidth="10.81640625" defaultRowHeight="14.5" x14ac:dyDescent="0.35"/>
  <cols>
    <col min="1" max="16384" width="10.81640625" style="450"/>
  </cols>
  <sheetData>
    <row r="1" spans="2:6" x14ac:dyDescent="0.35">
      <c r="B1" s="450" t="s">
        <v>310</v>
      </c>
      <c r="F1" s="450">
        <v>2025</v>
      </c>
    </row>
    <row r="2" spans="2:6" x14ac:dyDescent="0.35">
      <c r="B2" s="450" t="s">
        <v>3</v>
      </c>
      <c r="F2" s="450">
        <v>13</v>
      </c>
    </row>
    <row r="3" spans="2:6" x14ac:dyDescent="0.35">
      <c r="B3" s="450" t="s">
        <v>2</v>
      </c>
      <c r="F3" s="450">
        <v>21</v>
      </c>
    </row>
    <row r="4" spans="2:6" x14ac:dyDescent="0.35">
      <c r="B4" s="450" t="s">
        <v>352</v>
      </c>
      <c r="F4" s="457">
        <v>8686.86</v>
      </c>
    </row>
    <row r="5" spans="2:6" x14ac:dyDescent="0.35">
      <c r="B5" s="450" t="s">
        <v>309</v>
      </c>
    </row>
    <row r="7" spans="2:6" x14ac:dyDescent="0.35">
      <c r="B7" s="450" t="s">
        <v>1</v>
      </c>
    </row>
    <row r="8" spans="2:6" x14ac:dyDescent="0.35">
      <c r="B8" s="450" t="s">
        <v>0</v>
      </c>
    </row>
    <row r="9" spans="2:6" x14ac:dyDescent="0.35">
      <c r="B9" s="450" t="s">
        <v>288</v>
      </c>
    </row>
    <row r="10" spans="2:6" x14ac:dyDescent="0.35">
      <c r="B10" s="450" t="s">
        <v>289</v>
      </c>
    </row>
    <row r="11" spans="2:6" x14ac:dyDescent="0.35">
      <c r="B11" s="450" t="s">
        <v>290</v>
      </c>
    </row>
    <row r="18" spans="1:1" x14ac:dyDescent="0.35">
      <c r="A18" s="283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3:H3"/>
  <sheetViews>
    <sheetView zoomScaleNormal="100" workbookViewId="0">
      <selection activeCell="K16" sqref="K16"/>
    </sheetView>
  </sheetViews>
  <sheetFormatPr baseColWidth="10" defaultColWidth="11.453125" defaultRowHeight="14.5" x14ac:dyDescent="0.35"/>
  <cols>
    <col min="1" max="1" width="11.453125" style="239"/>
    <col min="2" max="2" width="11.453125" style="439"/>
    <col min="3" max="3" width="11.453125" style="440"/>
    <col min="4" max="8" width="11.453125" style="239"/>
    <col min="9" max="16384" width="11.453125" style="450"/>
  </cols>
  <sheetData>
    <row r="3" spans="1:8" x14ac:dyDescent="0.35">
      <c r="A3" s="441" t="s">
        <v>269</v>
      </c>
      <c r="B3" s="442" t="s">
        <v>682</v>
      </c>
      <c r="C3" s="443" t="s">
        <v>683</v>
      </c>
      <c r="D3" s="441" t="s">
        <v>20</v>
      </c>
      <c r="E3" s="441" t="s">
        <v>684</v>
      </c>
      <c r="F3" s="441" t="s">
        <v>685</v>
      </c>
      <c r="G3" s="441" t="s">
        <v>317</v>
      </c>
      <c r="H3" s="441" t="s">
        <v>686</v>
      </c>
    </row>
  </sheetData>
  <sheetProtection sheet="1" objects="1" scenarios="1" selectLockedCells="1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101"/>
  <sheetViews>
    <sheetView tabSelected="1" topLeftCell="B1" zoomScale="70" zoomScaleNormal="70" zoomScaleSheetLayoutView="85" workbookViewId="0">
      <selection activeCell="I95" sqref="I95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50" customWidth="1"/>
    <col min="8" max="8" width="47.26953125" style="231" bestFit="1" customWidth="1"/>
    <col min="9" max="9" width="19" style="450" customWidth="1"/>
    <col min="10" max="10" width="15.54296875" style="450" customWidth="1"/>
    <col min="11" max="11" width="17.54296875" style="231" customWidth="1"/>
    <col min="12" max="12" width="50.1796875" style="450" customWidth="1"/>
    <col min="13" max="13" width="21.453125" style="295" bestFit="1" customWidth="1"/>
    <col min="14" max="14" width="13.81640625" style="450" bestFit="1" customWidth="1"/>
    <col min="15" max="15" width="14.453125" style="450" bestFit="1" customWidth="1"/>
    <col min="16" max="17" width="14.81640625" style="450" bestFit="1" customWidth="1"/>
    <col min="18" max="18" width="22.26953125" style="450" customWidth="1"/>
    <col min="19" max="19" width="21" style="450" customWidth="1"/>
    <col min="20" max="20" width="16.81640625" style="450" bestFit="1" customWidth="1"/>
    <col min="21" max="21" width="16.453125" style="450" bestFit="1" customWidth="1"/>
    <col min="22" max="22" width="21.81640625" style="450" customWidth="1"/>
    <col min="23" max="23" width="15.26953125" style="450" bestFit="1" customWidth="1"/>
    <col min="24" max="24" width="34.81640625" style="450" customWidth="1"/>
    <col min="25" max="25" width="19.26953125" style="450" customWidth="1"/>
    <col min="26" max="26" width="22.54296875" style="450" customWidth="1"/>
    <col min="27" max="16384" width="11.453125" style="450"/>
  </cols>
  <sheetData>
    <row r="1" spans="1:18" ht="48" thickBot="1" x14ac:dyDescent="0.4">
      <c r="A1" s="221"/>
      <c r="B1" s="467" t="s">
        <v>42</v>
      </c>
      <c r="C1" s="468"/>
      <c r="D1" s="468"/>
      <c r="E1" s="468"/>
      <c r="G1" s="445"/>
      <c r="I1" s="445"/>
      <c r="J1" s="445"/>
      <c r="L1" s="445"/>
      <c r="M1" s="445"/>
    </row>
    <row r="2" spans="1:18" ht="21.75" customHeight="1" x14ac:dyDescent="0.35">
      <c r="C2" s="448" t="str">
        <f>IF(Daten!$AE$4=0,"Kontostand Sparkasse am 31.12."&amp;Startmenü!$F$1-1,"Kontostand Sparkasse am "&amp;TEXT(DATE(Startmenü!$F$1,Daten!$AE$4,1),"TT.MM.JJJJ"))</f>
        <v>Kontostand Sparkasse am 31.12.2024</v>
      </c>
      <c r="D2" s="229"/>
      <c r="E2" s="232">
        <f>IF(Daten!$AE$4&lt;=1,Startmenü!$F$4,Startmenü!$F$4+SUMIFS(Bankkonto!$B:$B,Bankkonto!$A:$A,"&gt;="&amp;DATE(YEAR(Bankkonto!#REF!),1,1),Bankkonto!$A:$A,"&lt;"&amp;DATE(YEAR(Bankkonto!#REF!),Daten!$AE$4,1)))</f>
        <v>8686.86</v>
      </c>
      <c r="M2" s="457"/>
    </row>
    <row r="3" spans="1:18" ht="21.75" customHeight="1" thickBot="1" x14ac:dyDescent="0.4">
      <c r="C3" s="449" t="str">
        <f>IF(Daten!$AE$4=0,IF(COUNT(Bankkonto!$A$28:$A$1909)=0,"","Kontostand nach der letzten Buchung im Monat am: " &amp; TEXT(MAX(Bankkonto!$A$28:$A$3476),"TT.MM.JJJJ")),IF(COUNTIFS(Bankkonto!$A$28:$A$3476,"&gt;=" &amp; DATE(Startmenü!$F$1,Daten!$AE$4,1),Bankkonto!$A$28:$A$3476,"&lt;=" &amp; DATE(Startmenü!$F$1,Daten!$AE$4+1,0))=0,"","Kontostand nach der letzten Buchung im Monat am: " &amp; TEXT(_xlfn.MAXIFS(Bankkonto!$A$28:$A$3476,Bankkonto!$A$28:$A$3476,"&gt;=" &amp; DATE(Startmenü!$F$1,Daten!$AE$4,1),Bankkonto!$A$28:$A$3476,"&lt;=" &amp; DATE(Startmenü!$F$1,Daten!$AE$4+1,0)),"TT.MM.JJJJ")))</f>
        <v>Kontostand nach der letzten Buchung im Monat am: 28.02.2025</v>
      </c>
      <c r="D3" s="230"/>
      <c r="E3" s="233">
        <f>IF(E23="",E2+E15+E22,E2+E15+E22+E23)</f>
        <v>10288.43</v>
      </c>
      <c r="M3" s="457"/>
    </row>
    <row r="4" spans="1:18" ht="7" customHeight="1" x14ac:dyDescent="0.35">
      <c r="M4" s="450"/>
    </row>
    <row r="5" spans="1:18" ht="7" customHeight="1" x14ac:dyDescent="0.35">
      <c r="M5" s="450"/>
    </row>
    <row r="6" spans="1:18" ht="50.25" customHeight="1" x14ac:dyDescent="0.35">
      <c r="C6" s="469" t="s">
        <v>41</v>
      </c>
      <c r="D6" s="469"/>
      <c r="E6" s="469"/>
      <c r="G6" s="445"/>
      <c r="M6" s="450"/>
      <c r="R6" s="258" t="str">
        <f>C25</f>
        <v>Auszug: ganzes Jahr 2025</v>
      </c>
    </row>
    <row r="7" spans="1:18" ht="10.5" customHeight="1" x14ac:dyDescent="0.35">
      <c r="M7" s="450"/>
    </row>
    <row r="8" spans="1:18" ht="15" customHeight="1" x14ac:dyDescent="0.35">
      <c r="B8" s="470" t="s">
        <v>24</v>
      </c>
      <c r="C8" s="12" t="s">
        <v>40</v>
      </c>
      <c r="D8" s="12"/>
      <c r="E8" s="234">
        <f>IF(SUMIFS(M28:M5000,G28:G5000,TRUE)=0,"",SUMIFS(M28:M5000,G28:G5000,TRUE))</f>
        <v>300</v>
      </c>
      <c r="M8" s="450"/>
    </row>
    <row r="9" spans="1:18" x14ac:dyDescent="0.35">
      <c r="B9" s="470"/>
      <c r="C9" s="13" t="s">
        <v>39</v>
      </c>
      <c r="D9" s="13"/>
      <c r="E9" s="235" t="str">
        <f>IF(SUMIFS(N28:N5000,G28:G5000,TRUE)=0,"",SUMIFS(N28:N5000,G28:G5000,TRUE))</f>
        <v/>
      </c>
      <c r="M9" s="450"/>
      <c r="P9" s="284"/>
    </row>
    <row r="10" spans="1:18" x14ac:dyDescent="0.35">
      <c r="B10" s="470"/>
      <c r="C10" s="12" t="s">
        <v>38</v>
      </c>
      <c r="D10" s="12"/>
      <c r="E10" s="234" t="str">
        <f>IF(SUMIFS(O28:O5000,G28:G5000,TRUE)=0,"",SUMIFS(O28:O5000,G28:G5000,TRUE))</f>
        <v/>
      </c>
      <c r="M10" s="450"/>
      <c r="P10" s="284"/>
    </row>
    <row r="11" spans="1:18" x14ac:dyDescent="0.35">
      <c r="B11" s="470"/>
      <c r="C11" s="13" t="s">
        <v>37</v>
      </c>
      <c r="D11" s="13"/>
      <c r="E11" s="235" t="str">
        <f>IF(SUMIFS(P28:P5000,G28:G5000,TRUE)=0,"",SUMIFS(P28:P5000,G28:G5000,TRUE))</f>
        <v/>
      </c>
      <c r="M11" s="450"/>
    </row>
    <row r="12" spans="1:18" x14ac:dyDescent="0.35">
      <c r="B12" s="470"/>
      <c r="C12" s="12" t="s">
        <v>36</v>
      </c>
      <c r="D12" s="12"/>
      <c r="E12" s="234" t="str">
        <f>IF(SUMIFS(Q28:Q5000,G28:G5000,TRUE)=0,"",SUMIFS(Q28:Q5000,G28:G5000,TRUE))</f>
        <v/>
      </c>
      <c r="M12" s="450"/>
      <c r="P12" s="284"/>
    </row>
    <row r="13" spans="1:18" x14ac:dyDescent="0.35">
      <c r="B13" s="470"/>
      <c r="C13" s="13" t="s">
        <v>32</v>
      </c>
      <c r="D13" s="13"/>
      <c r="E13" s="235" t="str">
        <f>IF(SUMIFS(R28:R5000,G28:G5000,TRUE)=0,"",SUMIFS(R28:R5000,G28:G5000,TRUE))</f>
        <v/>
      </c>
      <c r="M13" s="450"/>
      <c r="P13" s="284"/>
    </row>
    <row r="14" spans="1:18" ht="15" thickBot="1" x14ac:dyDescent="0.4">
      <c r="B14" s="470"/>
      <c r="C14" s="12" t="s">
        <v>35</v>
      </c>
      <c r="D14" s="12"/>
      <c r="E14" s="234">
        <f>IF(SUMIFS(S28:S5000,G28:G5000,TRUE)=0,"",SUMIFS(S28:S5000,G28:G5000,TRUE))</f>
        <v>2559.67</v>
      </c>
      <c r="M14" s="450"/>
      <c r="P14" s="284"/>
    </row>
    <row r="15" spans="1:18" ht="19.5" thickTop="1" thickBot="1" x14ac:dyDescent="0.4">
      <c r="B15" s="471"/>
      <c r="C15" s="11" t="s">
        <v>28</v>
      </c>
      <c r="D15" s="11"/>
      <c r="E15" s="236">
        <f>SUM(E8:E14)</f>
        <v>2859.67</v>
      </c>
      <c r="M15" s="450"/>
    </row>
    <row r="16" spans="1:18" ht="15" customHeight="1" x14ac:dyDescent="0.35">
      <c r="B16" s="472" t="s">
        <v>23</v>
      </c>
      <c r="C16" s="10" t="s">
        <v>34</v>
      </c>
      <c r="D16" s="10"/>
      <c r="E16" s="8">
        <f>IF(SUMIFS(T28:T5000,G28:G5000,TRUE)=0,"",SUMIFS(T28:T5000,G28:G5000,TRUE))</f>
        <v>-1253.8000000000002</v>
      </c>
      <c r="M16" s="450"/>
    </row>
    <row r="17" spans="1:26" x14ac:dyDescent="0.35">
      <c r="B17" s="473"/>
      <c r="C17" s="5" t="s">
        <v>33</v>
      </c>
      <c r="D17" s="5"/>
      <c r="E17" s="3" t="str">
        <f>IF(SUMIFS(U28:U5000,G28:G5000,TRUE)=0,"",SUMIFS(U28:U5000,G28:G5000,TRUE))</f>
        <v/>
      </c>
      <c r="M17" s="450"/>
    </row>
    <row r="18" spans="1:26" x14ac:dyDescent="0.35">
      <c r="B18" s="473"/>
      <c r="C18" s="1" t="s">
        <v>32</v>
      </c>
      <c r="D18" s="1"/>
      <c r="E18" s="6" t="str">
        <f>IF(SUMIFS(V28:V5000,G28:G5000,TRUE)=0,"",SUMIFS(V28:V5000,G28:G5000,TRUE))</f>
        <v/>
      </c>
      <c r="M18" s="450"/>
    </row>
    <row r="19" spans="1:26" x14ac:dyDescent="0.35">
      <c r="B19" s="473"/>
      <c r="C19" s="5" t="s">
        <v>31</v>
      </c>
      <c r="D19" s="5"/>
      <c r="E19" s="3" t="str">
        <f>IF(SUMIFS(W28:W5000,G28:G5000,TRUE)=0,"",SUMIFS(W28:W5000,G28:G5000,TRUE))</f>
        <v/>
      </c>
      <c r="M19" s="450"/>
    </row>
    <row r="20" spans="1:26" x14ac:dyDescent="0.35">
      <c r="B20" s="473"/>
      <c r="C20" s="1" t="s">
        <v>30</v>
      </c>
      <c r="D20" s="1"/>
      <c r="E20" s="6" t="str">
        <f>IF(SUMIFS(X28:X5000,G28:G5000,TRUE)=0,"",SUMIFS(X28:X5000,G28:G5000,TRUE))</f>
        <v/>
      </c>
      <c r="M20" s="450"/>
    </row>
    <row r="21" spans="1:26" x14ac:dyDescent="0.35">
      <c r="B21" s="473"/>
      <c r="C21" s="5" t="s">
        <v>29</v>
      </c>
      <c r="D21" s="5"/>
      <c r="E21" s="3">
        <f>IF(SUMIFS(Y28:Y5000,G28:G5000,TRUE)=0,"",SUMIFS(Y28:Y5000,G28:G5000,TRUE))</f>
        <v>-4.3</v>
      </c>
      <c r="M21" s="450"/>
    </row>
    <row r="22" spans="1:26" ht="18.5" x14ac:dyDescent="0.35">
      <c r="B22" s="473"/>
      <c r="C22" s="2" t="s">
        <v>28</v>
      </c>
      <c r="D22" s="223"/>
      <c r="E22" s="237">
        <f>SUM(E16:E21)</f>
        <v>-1258.1000000000001</v>
      </c>
      <c r="M22" s="450"/>
    </row>
    <row r="23" spans="1:26" x14ac:dyDescent="0.35">
      <c r="B23" s="473"/>
      <c r="C23" s="1" t="s">
        <v>27</v>
      </c>
      <c r="D23" s="1"/>
      <c r="E23" s="6" t="str">
        <f>IF(SUMIFS(Z28:Z5000,G28:G5000,TRUE)=0,"",SUMIFS(Z28:Z5000,G28:G5000,TRUE))</f>
        <v/>
      </c>
      <c r="M23" s="450"/>
    </row>
    <row r="24" spans="1:26" x14ac:dyDescent="0.35">
      <c r="M24" s="450"/>
    </row>
    <row r="25" spans="1:26" ht="26" x14ac:dyDescent="0.35">
      <c r="A25" s="474" t="s">
        <v>26</v>
      </c>
      <c r="B25" s="475"/>
      <c r="C25" s="476" t="s">
        <v>438</v>
      </c>
      <c r="D25" s="477"/>
      <c r="E25" s="477"/>
      <c r="F25" s="459"/>
      <c r="G25" s="459"/>
      <c r="H25" s="459"/>
      <c r="I25" s="459"/>
      <c r="J25" s="459"/>
      <c r="K25" s="459"/>
      <c r="L25" s="460"/>
      <c r="M25" s="458" t="str">
        <f>C6</f>
        <v>Konto Sparkasse</v>
      </c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59"/>
      <c r="Z25" s="460"/>
    </row>
    <row r="26" spans="1:26" s="285" customFormat="1" ht="21" x14ac:dyDescent="0.35">
      <c r="A26" s="461" t="s">
        <v>25</v>
      </c>
      <c r="B26" s="462"/>
      <c r="C26" s="463"/>
      <c r="D26" s="463"/>
      <c r="E26" s="464"/>
      <c r="F26" s="224"/>
      <c r="G26" s="444"/>
      <c r="H26" s="224"/>
      <c r="I26" s="444"/>
      <c r="J26" s="444"/>
      <c r="K26" s="224"/>
      <c r="L26" s="444"/>
      <c r="M26" s="465" t="s">
        <v>24</v>
      </c>
      <c r="N26" s="459"/>
      <c r="O26" s="459"/>
      <c r="P26" s="459"/>
      <c r="Q26" s="459"/>
      <c r="R26" s="459"/>
      <c r="S26" s="459"/>
      <c r="T26" s="466" t="s">
        <v>23</v>
      </c>
      <c r="U26" s="459"/>
      <c r="V26" s="459"/>
      <c r="W26" s="459"/>
      <c r="X26" s="459"/>
      <c r="Y26" s="459"/>
      <c r="Z26" s="460"/>
    </row>
    <row r="27" spans="1:26" ht="31.5" customHeight="1" x14ac:dyDescent="0.35">
      <c r="A27" s="278" t="s">
        <v>21</v>
      </c>
      <c r="B27" s="278" t="s">
        <v>18</v>
      </c>
      <c r="C27" s="278" t="s">
        <v>326</v>
      </c>
      <c r="D27" s="278" t="s">
        <v>345</v>
      </c>
      <c r="E27" s="278" t="s">
        <v>314</v>
      </c>
      <c r="F27" s="278" t="s">
        <v>318</v>
      </c>
      <c r="G27" s="279" t="s">
        <v>475</v>
      </c>
      <c r="H27" s="278" t="s">
        <v>20</v>
      </c>
      <c r="I27" s="279" t="s">
        <v>315</v>
      </c>
      <c r="J27" s="279" t="s">
        <v>316</v>
      </c>
      <c r="K27" s="278" t="s">
        <v>317</v>
      </c>
      <c r="L27" s="279" t="s">
        <v>22</v>
      </c>
      <c r="M27" s="280" t="s">
        <v>17</v>
      </c>
      <c r="N27" s="280" t="s">
        <v>16</v>
      </c>
      <c r="O27" s="280" t="s">
        <v>15</v>
      </c>
      <c r="P27" s="280" t="s">
        <v>14</v>
      </c>
      <c r="Q27" s="280" t="s">
        <v>13</v>
      </c>
      <c r="R27" s="280" t="s">
        <v>12</v>
      </c>
      <c r="S27" s="280" t="s">
        <v>11</v>
      </c>
      <c r="T27" s="281" t="s">
        <v>10</v>
      </c>
      <c r="U27" s="281" t="s">
        <v>9</v>
      </c>
      <c r="V27" s="281" t="s">
        <v>8</v>
      </c>
      <c r="W27" s="281" t="s">
        <v>7</v>
      </c>
      <c r="X27" s="281" t="s">
        <v>6</v>
      </c>
      <c r="Y27" s="281" t="s">
        <v>5</v>
      </c>
      <c r="Z27" s="282" t="s">
        <v>4</v>
      </c>
    </row>
    <row r="28" spans="1:26" x14ac:dyDescent="0.35">
      <c r="A28" s="526">
        <v>45659</v>
      </c>
      <c r="B28" s="527">
        <v>15</v>
      </c>
      <c r="C28" s="528" t="s">
        <v>569</v>
      </c>
      <c r="D28" s="528" t="s">
        <v>570</v>
      </c>
      <c r="E28" s="528" t="s">
        <v>680</v>
      </c>
      <c r="F28" s="528" t="s">
        <v>654</v>
      </c>
      <c r="G28" s="529" t="b">
        <f>IF(A28="","",IF(Daten!$AE$4=0,TRUE,MONTH(A28)=Daten!$AE$4))</f>
        <v>1</v>
      </c>
      <c r="H28" s="530" t="s">
        <v>282</v>
      </c>
      <c r="I28" s="531" t="s">
        <v>58</v>
      </c>
      <c r="J28" s="531"/>
      <c r="K28" s="528" t="s">
        <v>655</v>
      </c>
      <c r="L28" s="532"/>
      <c r="M28" s="549">
        <v>15</v>
      </c>
      <c r="N28" s="549"/>
      <c r="O28" s="549"/>
      <c r="P28" s="549"/>
      <c r="Q28" s="549"/>
      <c r="R28" s="549"/>
      <c r="S28" s="549"/>
      <c r="T28" s="549"/>
      <c r="U28" s="549"/>
      <c r="V28" s="549"/>
      <c r="W28" s="549"/>
      <c r="X28" s="549"/>
      <c r="Y28" s="549"/>
      <c r="Z28" s="549"/>
    </row>
    <row r="29" spans="1:26" x14ac:dyDescent="0.35">
      <c r="A29" s="533">
        <v>45659</v>
      </c>
      <c r="B29" s="534">
        <v>15</v>
      </c>
      <c r="C29" s="535" t="s">
        <v>44</v>
      </c>
      <c r="D29" s="535" t="s">
        <v>542</v>
      </c>
      <c r="E29" s="535" t="s">
        <v>356</v>
      </c>
      <c r="F29" s="535" t="s">
        <v>654</v>
      </c>
      <c r="G29" s="536" t="b">
        <f>IF(A29="","",IF(Daten!$AE$4=0,TRUE,MONTH(A29)=Daten!$AE$4))</f>
        <v>1</v>
      </c>
      <c r="H29" s="537" t="s">
        <v>387</v>
      </c>
      <c r="I29" s="538" t="s">
        <v>58</v>
      </c>
      <c r="J29" s="538"/>
      <c r="K29" s="535" t="s">
        <v>655</v>
      </c>
      <c r="L29" s="539"/>
      <c r="M29" s="550"/>
      <c r="N29" s="550"/>
      <c r="O29" s="550"/>
      <c r="P29" s="550"/>
      <c r="Q29" s="550"/>
      <c r="R29" s="550"/>
      <c r="S29" s="550">
        <v>15</v>
      </c>
      <c r="T29" s="550"/>
      <c r="U29" s="550"/>
      <c r="V29" s="550"/>
      <c r="W29" s="550"/>
      <c r="X29" s="550"/>
      <c r="Y29" s="550"/>
      <c r="Z29" s="550"/>
    </row>
    <row r="30" spans="1:26" x14ac:dyDescent="0.35">
      <c r="A30" s="540">
        <v>45659</v>
      </c>
      <c r="B30" s="541">
        <v>15</v>
      </c>
      <c r="C30" s="542" t="s">
        <v>569</v>
      </c>
      <c r="D30" s="542" t="s">
        <v>570</v>
      </c>
      <c r="E30" s="542" t="s">
        <v>656</v>
      </c>
      <c r="F30" s="542" t="s">
        <v>654</v>
      </c>
      <c r="G30" s="543" t="b">
        <f>IF(A30="","",IF(Daten!$AE$4=0,TRUE,MONTH(A30)=Daten!$AE$4))</f>
        <v>1</v>
      </c>
      <c r="H30" s="537" t="s">
        <v>387</v>
      </c>
      <c r="I30" s="544" t="s">
        <v>58</v>
      </c>
      <c r="J30" s="544"/>
      <c r="K30" s="542" t="s">
        <v>655</v>
      </c>
      <c r="L30" s="545"/>
      <c r="M30" s="551"/>
      <c r="N30" s="551"/>
      <c r="O30" s="551"/>
      <c r="P30" s="551"/>
      <c r="Q30" s="551"/>
      <c r="R30" s="551"/>
      <c r="S30" s="551">
        <v>15</v>
      </c>
      <c r="T30" s="551"/>
      <c r="U30" s="551"/>
      <c r="V30" s="551"/>
      <c r="W30" s="551"/>
      <c r="X30" s="551"/>
      <c r="Y30" s="551"/>
      <c r="Z30" s="551"/>
    </row>
    <row r="31" spans="1:26" x14ac:dyDescent="0.35">
      <c r="A31" s="533">
        <v>45659</v>
      </c>
      <c r="B31" s="534">
        <v>15</v>
      </c>
      <c r="C31" s="535" t="s">
        <v>538</v>
      </c>
      <c r="D31" s="535" t="s">
        <v>539</v>
      </c>
      <c r="E31" s="535" t="s">
        <v>657</v>
      </c>
      <c r="F31" s="535" t="s">
        <v>654</v>
      </c>
      <c r="G31" s="536" t="b">
        <f>IF(A31="","",IF(Daten!$AE$4=0,TRUE,MONTH(A31)=Daten!$AE$4))</f>
        <v>1</v>
      </c>
      <c r="H31" s="537" t="s">
        <v>282</v>
      </c>
      <c r="I31" s="538" t="s">
        <v>58</v>
      </c>
      <c r="J31" s="538"/>
      <c r="K31" s="535" t="s">
        <v>655</v>
      </c>
      <c r="L31" s="539"/>
      <c r="M31" s="550">
        <v>15</v>
      </c>
      <c r="N31" s="550"/>
      <c r="O31" s="550"/>
      <c r="P31" s="550"/>
      <c r="Q31" s="550"/>
      <c r="R31" s="550"/>
      <c r="S31" s="550"/>
      <c r="T31" s="550"/>
      <c r="U31" s="550"/>
      <c r="V31" s="550"/>
      <c r="W31" s="550"/>
      <c r="X31" s="550"/>
      <c r="Y31" s="550"/>
      <c r="Z31" s="550"/>
    </row>
    <row r="32" spans="1:26" x14ac:dyDescent="0.35">
      <c r="A32" s="540">
        <v>45659</v>
      </c>
      <c r="B32" s="541">
        <v>7.5</v>
      </c>
      <c r="C32" s="542" t="s">
        <v>45</v>
      </c>
      <c r="D32" s="542" t="s">
        <v>552</v>
      </c>
      <c r="E32" s="542" t="s">
        <v>358</v>
      </c>
      <c r="F32" s="542" t="s">
        <v>654</v>
      </c>
      <c r="G32" s="543" t="b">
        <f>IF(A32="","",IF(Daten!$AE$4=0,TRUE,MONTH(A32)=Daten!$AE$4))</f>
        <v>1</v>
      </c>
      <c r="H32" s="537" t="s">
        <v>282</v>
      </c>
      <c r="I32" s="544" t="s">
        <v>58</v>
      </c>
      <c r="J32" s="544"/>
      <c r="K32" s="542" t="s">
        <v>655</v>
      </c>
      <c r="L32" s="545"/>
      <c r="M32" s="551">
        <v>7.5</v>
      </c>
      <c r="N32" s="551"/>
      <c r="O32" s="551"/>
      <c r="P32" s="551"/>
      <c r="Q32" s="551"/>
      <c r="R32" s="551"/>
      <c r="S32" s="551"/>
      <c r="T32" s="551"/>
      <c r="U32" s="551"/>
      <c r="V32" s="551"/>
      <c r="W32" s="551"/>
      <c r="X32" s="551"/>
      <c r="Y32" s="551"/>
      <c r="Z32" s="551"/>
    </row>
    <row r="33" spans="1:26" x14ac:dyDescent="0.35">
      <c r="A33" s="533">
        <v>45659</v>
      </c>
      <c r="B33" s="534">
        <v>15</v>
      </c>
      <c r="C33" s="535" t="s">
        <v>548</v>
      </c>
      <c r="D33" s="535" t="s">
        <v>549</v>
      </c>
      <c r="E33" s="535" t="s">
        <v>357</v>
      </c>
      <c r="F33" s="535" t="s">
        <v>654</v>
      </c>
      <c r="G33" s="536" t="b">
        <f>IF(A33="","",IF(Daten!$AE$4=0,TRUE,MONTH(A33)=Daten!$AE$4))</f>
        <v>1</v>
      </c>
      <c r="H33" s="537" t="s">
        <v>387</v>
      </c>
      <c r="I33" s="538" t="s">
        <v>58</v>
      </c>
      <c r="J33" s="538"/>
      <c r="K33" s="535" t="s">
        <v>655</v>
      </c>
      <c r="L33" s="539"/>
      <c r="M33" s="550"/>
      <c r="N33" s="550"/>
      <c r="O33" s="550"/>
      <c r="P33" s="550"/>
      <c r="Q33" s="550"/>
      <c r="R33" s="550"/>
      <c r="S33" s="550">
        <v>15</v>
      </c>
      <c r="T33" s="550"/>
      <c r="U33" s="550"/>
      <c r="V33" s="550"/>
      <c r="W33" s="550"/>
      <c r="X33" s="550"/>
      <c r="Y33" s="550"/>
      <c r="Z33" s="550"/>
    </row>
    <row r="34" spans="1:26" x14ac:dyDescent="0.35">
      <c r="A34" s="540">
        <v>45659</v>
      </c>
      <c r="B34" s="541">
        <v>7.5</v>
      </c>
      <c r="C34" s="542" t="s">
        <v>46</v>
      </c>
      <c r="D34" s="542" t="s">
        <v>545</v>
      </c>
      <c r="E34" s="542" t="s">
        <v>669</v>
      </c>
      <c r="F34" s="542" t="s">
        <v>654</v>
      </c>
      <c r="G34" s="543" t="b">
        <f>IF(A34="","",IF(Daten!$AE$4=0,TRUE,MONTH(A34)=Daten!$AE$4))</f>
        <v>1</v>
      </c>
      <c r="H34" s="537" t="s">
        <v>282</v>
      </c>
      <c r="I34" s="544" t="s">
        <v>58</v>
      </c>
      <c r="J34" s="544"/>
      <c r="K34" s="542" t="s">
        <v>655</v>
      </c>
      <c r="L34" s="545"/>
      <c r="M34" s="551">
        <v>7.5</v>
      </c>
      <c r="N34" s="551"/>
      <c r="O34" s="551"/>
      <c r="P34" s="551"/>
      <c r="Q34" s="551"/>
      <c r="R34" s="551"/>
      <c r="S34" s="551"/>
      <c r="T34" s="551"/>
      <c r="U34" s="551"/>
      <c r="V34" s="551"/>
      <c r="W34" s="551"/>
      <c r="X34" s="551"/>
      <c r="Y34" s="551"/>
      <c r="Z34" s="551"/>
    </row>
    <row r="35" spans="1:26" x14ac:dyDescent="0.35">
      <c r="A35" s="533">
        <v>45659</v>
      </c>
      <c r="B35" s="534">
        <v>15</v>
      </c>
      <c r="C35" s="535" t="s">
        <v>46</v>
      </c>
      <c r="D35" s="535" t="s">
        <v>545</v>
      </c>
      <c r="E35" s="535" t="s">
        <v>653</v>
      </c>
      <c r="F35" s="535" t="s">
        <v>654</v>
      </c>
      <c r="G35" s="536" t="b">
        <f>IF(A35="","",IF(Daten!$AE$4=0,TRUE,MONTH(A35)=Daten!$AE$4))</f>
        <v>1</v>
      </c>
      <c r="H35" s="537" t="s">
        <v>387</v>
      </c>
      <c r="I35" s="538" t="s">
        <v>58</v>
      </c>
      <c r="J35" s="538"/>
      <c r="K35" s="535" t="s">
        <v>655</v>
      </c>
      <c r="L35" s="539"/>
      <c r="M35" s="550"/>
      <c r="N35" s="550"/>
      <c r="O35" s="550"/>
      <c r="P35" s="550"/>
      <c r="Q35" s="550"/>
      <c r="R35" s="550"/>
      <c r="S35" s="550">
        <v>15</v>
      </c>
      <c r="T35" s="550"/>
      <c r="U35" s="550"/>
      <c r="V35" s="550"/>
      <c r="W35" s="550"/>
      <c r="X35" s="550"/>
      <c r="Y35" s="550"/>
      <c r="Z35" s="550"/>
    </row>
    <row r="36" spans="1:26" x14ac:dyDescent="0.35">
      <c r="A36" s="540">
        <v>45659</v>
      </c>
      <c r="B36" s="541">
        <v>15</v>
      </c>
      <c r="C36" s="542" t="s">
        <v>45</v>
      </c>
      <c r="D36" s="542" t="s">
        <v>552</v>
      </c>
      <c r="E36" s="542" t="s">
        <v>672</v>
      </c>
      <c r="F36" s="542" t="s">
        <v>654</v>
      </c>
      <c r="G36" s="543" t="b">
        <f>IF(A36="","",IF(Daten!$AE$4=0,TRUE,MONTH(A36)=Daten!$AE$4))</f>
        <v>1</v>
      </c>
      <c r="H36" s="537" t="s">
        <v>387</v>
      </c>
      <c r="I36" s="544" t="s">
        <v>58</v>
      </c>
      <c r="J36" s="544"/>
      <c r="K36" s="542" t="s">
        <v>655</v>
      </c>
      <c r="L36" s="545"/>
      <c r="M36" s="551"/>
      <c r="N36" s="551"/>
      <c r="O36" s="551"/>
      <c r="P36" s="551"/>
      <c r="Q36" s="551"/>
      <c r="R36" s="551"/>
      <c r="S36" s="551">
        <v>15</v>
      </c>
      <c r="T36" s="551"/>
      <c r="U36" s="551"/>
      <c r="V36" s="551"/>
      <c r="W36" s="551"/>
      <c r="X36" s="551"/>
      <c r="Y36" s="551"/>
      <c r="Z36" s="551"/>
    </row>
    <row r="37" spans="1:26" x14ac:dyDescent="0.35">
      <c r="A37" s="533">
        <v>45659</v>
      </c>
      <c r="B37" s="534">
        <v>15</v>
      </c>
      <c r="C37" s="535" t="s">
        <v>546</v>
      </c>
      <c r="D37" s="535" t="s">
        <v>547</v>
      </c>
      <c r="E37" s="535" t="s">
        <v>670</v>
      </c>
      <c r="F37" s="535" t="s">
        <v>654</v>
      </c>
      <c r="G37" s="536" t="b">
        <f>IF(A37="","",IF(Daten!$AE$4=0,TRUE,MONTH(A37)=Daten!$AE$4))</f>
        <v>1</v>
      </c>
      <c r="H37" s="537" t="s">
        <v>387</v>
      </c>
      <c r="I37" s="538" t="s">
        <v>58</v>
      </c>
      <c r="J37" s="538"/>
      <c r="K37" s="535" t="s">
        <v>655</v>
      </c>
      <c r="L37" s="539"/>
      <c r="M37" s="550"/>
      <c r="N37" s="550"/>
      <c r="O37" s="550"/>
      <c r="P37" s="550"/>
      <c r="Q37" s="550"/>
      <c r="R37" s="550"/>
      <c r="S37" s="550">
        <v>15</v>
      </c>
      <c r="T37" s="550"/>
      <c r="U37" s="550"/>
      <c r="V37" s="550"/>
      <c r="W37" s="550"/>
      <c r="X37" s="550"/>
      <c r="Y37" s="550"/>
      <c r="Z37" s="550"/>
    </row>
    <row r="38" spans="1:26" x14ac:dyDescent="0.35">
      <c r="A38" s="540">
        <v>45659</v>
      </c>
      <c r="B38" s="541">
        <v>15</v>
      </c>
      <c r="C38" s="542" t="s">
        <v>546</v>
      </c>
      <c r="D38" s="542" t="s">
        <v>547</v>
      </c>
      <c r="E38" s="542" t="s">
        <v>671</v>
      </c>
      <c r="F38" s="542" t="s">
        <v>654</v>
      </c>
      <c r="G38" s="543" t="b">
        <f>IF(A38="","",IF(Daten!$AE$4=0,TRUE,MONTH(A38)=Daten!$AE$4))</f>
        <v>1</v>
      </c>
      <c r="H38" s="537" t="s">
        <v>282</v>
      </c>
      <c r="I38" s="544" t="s">
        <v>58</v>
      </c>
      <c r="J38" s="544"/>
      <c r="K38" s="542" t="s">
        <v>655</v>
      </c>
      <c r="L38" s="545"/>
      <c r="M38" s="551">
        <v>15</v>
      </c>
      <c r="N38" s="551"/>
      <c r="O38" s="551"/>
      <c r="P38" s="551"/>
      <c r="Q38" s="551"/>
      <c r="R38" s="551"/>
      <c r="S38" s="551"/>
      <c r="T38" s="551"/>
      <c r="U38" s="551"/>
      <c r="V38" s="551"/>
      <c r="W38" s="551"/>
      <c r="X38" s="551"/>
      <c r="Y38" s="551"/>
      <c r="Z38" s="551"/>
    </row>
    <row r="39" spans="1:26" x14ac:dyDescent="0.35">
      <c r="A39" s="533">
        <v>45659</v>
      </c>
      <c r="B39" s="534">
        <v>15</v>
      </c>
      <c r="C39" s="535" t="s">
        <v>573</v>
      </c>
      <c r="D39" s="535" t="s">
        <v>543</v>
      </c>
      <c r="E39" s="535" t="s">
        <v>673</v>
      </c>
      <c r="F39" s="535" t="s">
        <v>654</v>
      </c>
      <c r="G39" s="536" t="b">
        <f>IF(A39="","",IF(Daten!$AE$4=0,TRUE,MONTH(A39)=Daten!$AE$4))</f>
        <v>1</v>
      </c>
      <c r="H39" s="537" t="s">
        <v>387</v>
      </c>
      <c r="I39" s="538" t="s">
        <v>58</v>
      </c>
      <c r="J39" s="538"/>
      <c r="K39" s="535" t="s">
        <v>655</v>
      </c>
      <c r="L39" s="539"/>
      <c r="M39" s="550"/>
      <c r="N39" s="550"/>
      <c r="O39" s="550"/>
      <c r="P39" s="550"/>
      <c r="Q39" s="550"/>
      <c r="R39" s="550"/>
      <c r="S39" s="550">
        <v>15</v>
      </c>
      <c r="T39" s="550"/>
      <c r="U39" s="550"/>
      <c r="V39" s="550"/>
      <c r="W39" s="550"/>
      <c r="X39" s="550"/>
      <c r="Y39" s="550"/>
      <c r="Z39" s="550"/>
    </row>
    <row r="40" spans="1:26" x14ac:dyDescent="0.35">
      <c r="A40" s="540">
        <v>45659</v>
      </c>
      <c r="B40" s="541">
        <v>15</v>
      </c>
      <c r="C40" s="542" t="s">
        <v>557</v>
      </c>
      <c r="D40" s="542" t="s">
        <v>558</v>
      </c>
      <c r="E40" s="542" t="s">
        <v>675</v>
      </c>
      <c r="F40" s="542" t="s">
        <v>654</v>
      </c>
      <c r="G40" s="543" t="b">
        <f>IF(A40="","",IF(Daten!$AE$4=0,TRUE,MONTH(A40)=Daten!$AE$4))</f>
        <v>1</v>
      </c>
      <c r="H40" s="537" t="s">
        <v>282</v>
      </c>
      <c r="I40" s="544" t="s">
        <v>58</v>
      </c>
      <c r="J40" s="544"/>
      <c r="K40" s="542" t="s">
        <v>655</v>
      </c>
      <c r="L40" s="545"/>
      <c r="M40" s="551">
        <v>15</v>
      </c>
      <c r="N40" s="551"/>
      <c r="O40" s="551"/>
      <c r="P40" s="551"/>
      <c r="Q40" s="551"/>
      <c r="R40" s="551"/>
      <c r="S40" s="551"/>
      <c r="T40" s="551"/>
      <c r="U40" s="551"/>
      <c r="V40" s="551"/>
      <c r="W40" s="551"/>
      <c r="X40" s="551"/>
      <c r="Y40" s="551"/>
      <c r="Z40" s="551"/>
    </row>
    <row r="41" spans="1:26" x14ac:dyDescent="0.35">
      <c r="A41" s="533">
        <v>45659</v>
      </c>
      <c r="B41" s="534">
        <v>15</v>
      </c>
      <c r="C41" s="535" t="s">
        <v>555</v>
      </c>
      <c r="D41" s="535" t="s">
        <v>556</v>
      </c>
      <c r="E41" s="535" t="s">
        <v>674</v>
      </c>
      <c r="F41" s="535" t="s">
        <v>654</v>
      </c>
      <c r="G41" s="536" t="b">
        <f>IF(A41="","",IF(Daten!$AE$4=0,TRUE,MONTH(A41)=Daten!$AE$4))</f>
        <v>1</v>
      </c>
      <c r="H41" s="537" t="s">
        <v>387</v>
      </c>
      <c r="I41" s="538" t="s">
        <v>58</v>
      </c>
      <c r="J41" s="538"/>
      <c r="K41" s="535" t="s">
        <v>655</v>
      </c>
      <c r="L41" s="539"/>
      <c r="M41" s="550"/>
      <c r="N41" s="550"/>
      <c r="O41" s="550"/>
      <c r="P41" s="550"/>
      <c r="Q41" s="550"/>
      <c r="R41" s="550"/>
      <c r="S41" s="550">
        <v>15</v>
      </c>
      <c r="T41" s="550"/>
      <c r="U41" s="550"/>
      <c r="V41" s="550"/>
      <c r="W41" s="550"/>
      <c r="X41" s="550"/>
      <c r="Y41" s="550"/>
      <c r="Z41" s="550"/>
    </row>
    <row r="42" spans="1:26" x14ac:dyDescent="0.35">
      <c r="A42" s="540">
        <v>45659</v>
      </c>
      <c r="B42" s="541">
        <v>15</v>
      </c>
      <c r="C42" s="542" t="s">
        <v>555</v>
      </c>
      <c r="D42" s="542" t="s">
        <v>556</v>
      </c>
      <c r="E42" s="542" t="s">
        <v>676</v>
      </c>
      <c r="F42" s="542" t="s">
        <v>654</v>
      </c>
      <c r="G42" s="543" t="b">
        <f>IF(A42="","",IF(Daten!$AE$4=0,TRUE,MONTH(A42)=Daten!$AE$4))</f>
        <v>1</v>
      </c>
      <c r="H42" s="537" t="s">
        <v>282</v>
      </c>
      <c r="I42" s="544" t="s">
        <v>58</v>
      </c>
      <c r="J42" s="544"/>
      <c r="K42" s="542" t="s">
        <v>655</v>
      </c>
      <c r="L42" s="545"/>
      <c r="M42" s="551">
        <v>15</v>
      </c>
      <c r="N42" s="551"/>
      <c r="O42" s="551"/>
      <c r="P42" s="551"/>
      <c r="Q42" s="551"/>
      <c r="R42" s="551"/>
      <c r="S42" s="551"/>
      <c r="T42" s="551"/>
      <c r="U42" s="551"/>
      <c r="V42" s="551"/>
      <c r="W42" s="551"/>
      <c r="X42" s="551"/>
      <c r="Y42" s="551"/>
      <c r="Z42" s="551"/>
    </row>
    <row r="43" spans="1:26" x14ac:dyDescent="0.35">
      <c r="A43" s="533">
        <v>45660</v>
      </c>
      <c r="B43" s="534">
        <v>7.5</v>
      </c>
      <c r="C43" s="535" t="s">
        <v>661</v>
      </c>
      <c r="D43" s="535" t="s">
        <v>544</v>
      </c>
      <c r="E43" s="535" t="s">
        <v>668</v>
      </c>
      <c r="F43" s="535" t="s">
        <v>654</v>
      </c>
      <c r="G43" s="536" t="b">
        <f>IF(A43="","",IF(Daten!$AE$4=0,TRUE,MONTH(A43)=Daten!$AE$4))</f>
        <v>1</v>
      </c>
      <c r="H43" s="537" t="s">
        <v>282</v>
      </c>
      <c r="I43" s="538" t="s">
        <v>58</v>
      </c>
      <c r="J43" s="538"/>
      <c r="K43" s="535" t="s">
        <v>655</v>
      </c>
      <c r="L43" s="539"/>
      <c r="M43" s="550">
        <v>7.5</v>
      </c>
      <c r="N43" s="550"/>
      <c r="O43" s="550"/>
      <c r="P43" s="550"/>
      <c r="Q43" s="550"/>
      <c r="R43" s="550"/>
      <c r="S43" s="550"/>
      <c r="T43" s="550"/>
      <c r="U43" s="550"/>
      <c r="V43" s="550"/>
      <c r="W43" s="550"/>
      <c r="X43" s="550"/>
      <c r="Y43" s="550"/>
      <c r="Z43" s="550"/>
    </row>
    <row r="44" spans="1:26" x14ac:dyDescent="0.35">
      <c r="A44" s="540">
        <v>45660</v>
      </c>
      <c r="B44" s="541">
        <v>15</v>
      </c>
      <c r="C44" s="542" t="s">
        <v>661</v>
      </c>
      <c r="D44" s="542" t="s">
        <v>544</v>
      </c>
      <c r="E44" s="542" t="s">
        <v>666</v>
      </c>
      <c r="F44" s="542" t="s">
        <v>654</v>
      </c>
      <c r="G44" s="543" t="b">
        <f>IF(A44="","",IF(Daten!$AE$4=0,TRUE,MONTH(A44)=Daten!$AE$4))</f>
        <v>1</v>
      </c>
      <c r="H44" s="537" t="s">
        <v>387</v>
      </c>
      <c r="I44" s="544" t="s">
        <v>58</v>
      </c>
      <c r="J44" s="544"/>
      <c r="K44" s="542" t="s">
        <v>655</v>
      </c>
      <c r="L44" s="545"/>
      <c r="M44" s="551"/>
      <c r="N44" s="551"/>
      <c r="O44" s="551"/>
      <c r="P44" s="551"/>
      <c r="Q44" s="551"/>
      <c r="R44" s="551"/>
      <c r="S44" s="551">
        <v>15</v>
      </c>
      <c r="T44" s="551"/>
      <c r="U44" s="551"/>
      <c r="V44" s="551"/>
      <c r="W44" s="551"/>
      <c r="X44" s="551"/>
      <c r="Y44" s="551"/>
      <c r="Z44" s="551"/>
    </row>
    <row r="45" spans="1:26" x14ac:dyDescent="0.35">
      <c r="A45" s="533">
        <v>45660</v>
      </c>
      <c r="B45" s="534">
        <v>15</v>
      </c>
      <c r="C45" s="535" t="s">
        <v>536</v>
      </c>
      <c r="D45" s="535" t="s">
        <v>537</v>
      </c>
      <c r="E45" s="535" t="s">
        <v>667</v>
      </c>
      <c r="F45" s="535" t="s">
        <v>654</v>
      </c>
      <c r="G45" s="536" t="b">
        <f>IF(A45="","",IF(Daten!$AE$4=0,TRUE,MONTH(A45)=Daten!$AE$4))</f>
        <v>1</v>
      </c>
      <c r="H45" s="537" t="s">
        <v>387</v>
      </c>
      <c r="I45" s="538" t="s">
        <v>58</v>
      </c>
      <c r="J45" s="538"/>
      <c r="K45" s="535" t="s">
        <v>655</v>
      </c>
      <c r="L45" s="539"/>
      <c r="M45" s="550"/>
      <c r="N45" s="550"/>
      <c r="O45" s="550"/>
      <c r="P45" s="550"/>
      <c r="Q45" s="550"/>
      <c r="R45" s="550"/>
      <c r="S45" s="550">
        <v>15</v>
      </c>
      <c r="T45" s="550"/>
      <c r="U45" s="550"/>
      <c r="V45" s="550"/>
      <c r="W45" s="550"/>
      <c r="X45" s="550"/>
      <c r="Y45" s="550"/>
      <c r="Z45" s="550"/>
    </row>
    <row r="46" spans="1:26" x14ac:dyDescent="0.35">
      <c r="A46" s="540">
        <v>45660</v>
      </c>
      <c r="B46" s="541">
        <v>7.5</v>
      </c>
      <c r="C46" s="542" t="s">
        <v>44</v>
      </c>
      <c r="D46" s="542" t="s">
        <v>542</v>
      </c>
      <c r="E46" s="542" t="s">
        <v>664</v>
      </c>
      <c r="F46" s="542" t="s">
        <v>654</v>
      </c>
      <c r="G46" s="543" t="b">
        <f>IF(A46="","",IF(Daten!$AE$4=0,TRUE,MONTH(A46)=Daten!$AE$4))</f>
        <v>1</v>
      </c>
      <c r="H46" s="537" t="s">
        <v>282</v>
      </c>
      <c r="I46" s="544" t="s">
        <v>58</v>
      </c>
      <c r="J46" s="544"/>
      <c r="K46" s="542" t="s">
        <v>655</v>
      </c>
      <c r="L46" s="545"/>
      <c r="M46" s="551">
        <v>7.5</v>
      </c>
      <c r="N46" s="551"/>
      <c r="O46" s="551"/>
      <c r="P46" s="551"/>
      <c r="Q46" s="551"/>
      <c r="R46" s="551"/>
      <c r="S46" s="551"/>
      <c r="T46" s="551"/>
      <c r="U46" s="551"/>
      <c r="V46" s="551"/>
      <c r="W46" s="551"/>
      <c r="X46" s="551"/>
      <c r="Y46" s="551"/>
      <c r="Z46" s="551"/>
    </row>
    <row r="47" spans="1:26" x14ac:dyDescent="0.35">
      <c r="A47" s="533">
        <v>45660</v>
      </c>
      <c r="B47" s="534">
        <v>15</v>
      </c>
      <c r="C47" s="535" t="s">
        <v>573</v>
      </c>
      <c r="D47" s="535" t="s">
        <v>543</v>
      </c>
      <c r="E47" s="535" t="s">
        <v>665</v>
      </c>
      <c r="F47" s="535" t="s">
        <v>654</v>
      </c>
      <c r="G47" s="536" t="b">
        <f>IF(A47="","",IF(Daten!$AE$4=0,TRUE,MONTH(A47)=Daten!$AE$4))</f>
        <v>1</v>
      </c>
      <c r="H47" s="537" t="s">
        <v>282</v>
      </c>
      <c r="I47" s="538" t="s">
        <v>58</v>
      </c>
      <c r="J47" s="538"/>
      <c r="K47" s="535" t="s">
        <v>655</v>
      </c>
      <c r="L47" s="539"/>
      <c r="M47" s="550">
        <v>15</v>
      </c>
      <c r="N47" s="550"/>
      <c r="O47" s="550"/>
      <c r="P47" s="550"/>
      <c r="Q47" s="550"/>
      <c r="R47" s="550"/>
      <c r="S47" s="550"/>
      <c r="T47" s="550"/>
      <c r="U47" s="550"/>
      <c r="V47" s="550"/>
      <c r="W47" s="550"/>
      <c r="X47" s="550"/>
      <c r="Y47" s="550"/>
      <c r="Z47" s="550"/>
    </row>
    <row r="48" spans="1:26" x14ac:dyDescent="0.35">
      <c r="A48" s="540">
        <v>45663</v>
      </c>
      <c r="B48" s="541">
        <v>15</v>
      </c>
      <c r="C48" s="542" t="s">
        <v>538</v>
      </c>
      <c r="D48" s="542" t="s">
        <v>539</v>
      </c>
      <c r="E48" s="542" t="s">
        <v>663</v>
      </c>
      <c r="F48" s="542" t="s">
        <v>654</v>
      </c>
      <c r="G48" s="543" t="b">
        <f>IF(A48="","",IF(Daten!$AE$4=0,TRUE,MONTH(A48)=Daten!$AE$4))</f>
        <v>1</v>
      </c>
      <c r="H48" s="537" t="s">
        <v>387</v>
      </c>
      <c r="I48" s="544" t="s">
        <v>58</v>
      </c>
      <c r="J48" s="544"/>
      <c r="K48" s="542" t="s">
        <v>655</v>
      </c>
      <c r="L48" s="545"/>
      <c r="M48" s="551"/>
      <c r="N48" s="551"/>
      <c r="O48" s="551"/>
      <c r="P48" s="551"/>
      <c r="Q48" s="551"/>
      <c r="R48" s="551"/>
      <c r="S48" s="551">
        <v>15</v>
      </c>
      <c r="T48" s="551"/>
      <c r="U48" s="551"/>
      <c r="V48" s="551"/>
      <c r="W48" s="551"/>
      <c r="X48" s="551"/>
      <c r="Y48" s="551"/>
      <c r="Z48" s="551"/>
    </row>
    <row r="49" spans="1:26" x14ac:dyDescent="0.35">
      <c r="A49" s="533">
        <v>45665</v>
      </c>
      <c r="B49" s="534">
        <v>-497</v>
      </c>
      <c r="C49" s="535" t="s">
        <v>658</v>
      </c>
      <c r="D49" s="535" t="s">
        <v>541</v>
      </c>
      <c r="E49" s="535" t="s">
        <v>659</v>
      </c>
      <c r="F49" s="535" t="s">
        <v>660</v>
      </c>
      <c r="G49" s="536" t="b">
        <f>IF(A49="","",IF(Daten!$AE$4=0,TRUE,MONTH(A49)=Daten!$AE$4))</f>
        <v>1</v>
      </c>
      <c r="H49" s="537" t="s">
        <v>423</v>
      </c>
      <c r="I49" s="538" t="s">
        <v>58</v>
      </c>
      <c r="J49" s="538"/>
      <c r="K49" s="535" t="s">
        <v>655</v>
      </c>
      <c r="L49" s="539"/>
      <c r="M49" s="550"/>
      <c r="N49" s="550"/>
      <c r="O49" s="550"/>
      <c r="P49" s="550"/>
      <c r="Q49" s="550"/>
      <c r="R49" s="550"/>
      <c r="S49" s="550"/>
      <c r="T49" s="550">
        <v>-497</v>
      </c>
      <c r="U49" s="550"/>
      <c r="V49" s="550"/>
      <c r="W49" s="550"/>
      <c r="X49" s="550"/>
      <c r="Y49" s="550"/>
      <c r="Z49" s="550"/>
    </row>
    <row r="50" spans="1:26" x14ac:dyDescent="0.35">
      <c r="A50" s="540">
        <v>45674</v>
      </c>
      <c r="B50" s="541">
        <v>-59.94</v>
      </c>
      <c r="C50" s="542" t="s">
        <v>534</v>
      </c>
      <c r="D50" s="542" t="s">
        <v>535</v>
      </c>
      <c r="E50" s="542" t="s">
        <v>681</v>
      </c>
      <c r="F50" s="542" t="s">
        <v>660</v>
      </c>
      <c r="G50" s="543" t="b">
        <f>IF(A50="","",IF(Daten!$AE$4=0,TRUE,MONTH(A50)=Daten!$AE$4))</f>
        <v>1</v>
      </c>
      <c r="H50" s="537" t="s">
        <v>361</v>
      </c>
      <c r="I50" s="544" t="s">
        <v>58</v>
      </c>
      <c r="J50" s="544"/>
      <c r="K50" s="542" t="s">
        <v>655</v>
      </c>
      <c r="L50" s="545"/>
      <c r="M50" s="551"/>
      <c r="N50" s="551"/>
      <c r="O50" s="551"/>
      <c r="P50" s="551"/>
      <c r="Q50" s="551"/>
      <c r="R50" s="551"/>
      <c r="S50" s="551"/>
      <c r="T50" s="551">
        <v>-59.94</v>
      </c>
      <c r="U50" s="551"/>
      <c r="V50" s="551"/>
      <c r="W50" s="551"/>
      <c r="X50" s="551"/>
      <c r="Y50" s="551"/>
      <c r="Z50" s="551"/>
    </row>
    <row r="51" spans="1:26" x14ac:dyDescent="0.35">
      <c r="A51" s="533">
        <v>45677</v>
      </c>
      <c r="B51" s="534">
        <v>15</v>
      </c>
      <c r="C51" s="535" t="s">
        <v>529</v>
      </c>
      <c r="D51" s="535" t="s">
        <v>530</v>
      </c>
      <c r="E51" s="535" t="s">
        <v>662</v>
      </c>
      <c r="F51" s="535" t="s">
        <v>654</v>
      </c>
      <c r="G51" s="536" t="b">
        <f>IF(A51="","",IF(Daten!$AE$4=0,TRUE,MONTH(A51)=Daten!$AE$4))</f>
        <v>1</v>
      </c>
      <c r="H51" s="537" t="s">
        <v>387</v>
      </c>
      <c r="I51" s="538" t="s">
        <v>58</v>
      </c>
      <c r="J51" s="538"/>
      <c r="K51" s="535" t="s">
        <v>655</v>
      </c>
      <c r="L51" s="539"/>
      <c r="M51" s="550"/>
      <c r="N51" s="550"/>
      <c r="O51" s="550"/>
      <c r="P51" s="550"/>
      <c r="Q51" s="550"/>
      <c r="R51" s="550"/>
      <c r="S51" s="550">
        <v>15</v>
      </c>
      <c r="T51" s="550"/>
      <c r="U51" s="550"/>
      <c r="V51" s="550"/>
      <c r="W51" s="550"/>
      <c r="X51" s="550"/>
      <c r="Y51" s="550"/>
      <c r="Z51" s="550"/>
    </row>
    <row r="52" spans="1:26" x14ac:dyDescent="0.35">
      <c r="A52" s="540">
        <v>45684</v>
      </c>
      <c r="B52" s="541">
        <v>7.5</v>
      </c>
      <c r="C52" s="542" t="s">
        <v>559</v>
      </c>
      <c r="D52" s="542" t="s">
        <v>560</v>
      </c>
      <c r="E52" s="542" t="s">
        <v>678</v>
      </c>
      <c r="F52" s="542" t="s">
        <v>654</v>
      </c>
      <c r="G52" s="543" t="b">
        <f>IF(A52="","",IF(Daten!$AE$4=0,TRUE,MONTH(A52)=Daten!$AE$4))</f>
        <v>1</v>
      </c>
      <c r="H52" s="537" t="s">
        <v>282</v>
      </c>
      <c r="I52" s="544" t="s">
        <v>57</v>
      </c>
      <c r="J52" s="544"/>
      <c r="K52" s="542" t="s">
        <v>655</v>
      </c>
      <c r="L52" s="545"/>
      <c r="M52" s="551">
        <v>7.5</v>
      </c>
      <c r="N52" s="551"/>
      <c r="O52" s="551"/>
      <c r="P52" s="551"/>
      <c r="Q52" s="551"/>
      <c r="R52" s="551"/>
      <c r="S52" s="551"/>
      <c r="T52" s="551"/>
      <c r="U52" s="551"/>
      <c r="V52" s="551"/>
      <c r="W52" s="551"/>
      <c r="X52" s="551"/>
      <c r="Y52" s="551"/>
      <c r="Z52" s="551"/>
    </row>
    <row r="53" spans="1:26" x14ac:dyDescent="0.35">
      <c r="A53" s="533">
        <v>45684</v>
      </c>
      <c r="B53" s="534">
        <v>15</v>
      </c>
      <c r="C53" s="535" t="s">
        <v>553</v>
      </c>
      <c r="D53" s="535" t="s">
        <v>554</v>
      </c>
      <c r="E53" s="535" t="s">
        <v>679</v>
      </c>
      <c r="F53" s="535" t="s">
        <v>654</v>
      </c>
      <c r="G53" s="536" t="b">
        <f>IF(A53="","",IF(Daten!$AE$4=0,TRUE,MONTH(A53)=Daten!$AE$4))</f>
        <v>1</v>
      </c>
      <c r="H53" s="537" t="s">
        <v>387</v>
      </c>
      <c r="I53" s="538" t="s">
        <v>57</v>
      </c>
      <c r="J53" s="538"/>
      <c r="K53" s="535" t="s">
        <v>655</v>
      </c>
      <c r="L53" s="539" t="s">
        <v>687</v>
      </c>
      <c r="M53" s="550"/>
      <c r="N53" s="550"/>
      <c r="O53" s="550"/>
      <c r="P53" s="550"/>
      <c r="Q53" s="550"/>
      <c r="R53" s="550"/>
      <c r="S53" s="550">
        <v>15</v>
      </c>
      <c r="T53" s="550"/>
      <c r="U53" s="550"/>
      <c r="V53" s="550"/>
      <c r="W53" s="550"/>
      <c r="X53" s="550"/>
      <c r="Y53" s="550"/>
      <c r="Z53" s="550"/>
    </row>
    <row r="54" spans="1:26" x14ac:dyDescent="0.35">
      <c r="A54" s="540">
        <v>45684</v>
      </c>
      <c r="B54" s="541">
        <v>7.5</v>
      </c>
      <c r="C54" s="542" t="s">
        <v>553</v>
      </c>
      <c r="D54" s="542" t="s">
        <v>554</v>
      </c>
      <c r="E54" s="542" t="s">
        <v>677</v>
      </c>
      <c r="F54" s="542" t="s">
        <v>654</v>
      </c>
      <c r="G54" s="543" t="b">
        <f>IF(A54="","",IF(Daten!$AE$4=0,TRUE,MONTH(A54)=Daten!$AE$4))</f>
        <v>1</v>
      </c>
      <c r="H54" s="537" t="s">
        <v>282</v>
      </c>
      <c r="I54" s="544" t="s">
        <v>57</v>
      </c>
      <c r="J54" s="544"/>
      <c r="K54" s="542" t="s">
        <v>655</v>
      </c>
      <c r="L54" s="545"/>
      <c r="M54" s="551">
        <v>7.5</v>
      </c>
      <c r="N54" s="551"/>
      <c r="O54" s="551"/>
      <c r="P54" s="551"/>
      <c r="Q54" s="551"/>
      <c r="R54" s="551"/>
      <c r="S54" s="551"/>
      <c r="T54" s="551"/>
      <c r="U54" s="551"/>
      <c r="V54" s="551"/>
      <c r="W54" s="551"/>
      <c r="X54" s="551"/>
      <c r="Y54" s="551"/>
      <c r="Z54" s="551"/>
    </row>
    <row r="55" spans="1:26" x14ac:dyDescent="0.35">
      <c r="A55" s="533">
        <v>45686</v>
      </c>
      <c r="B55" s="534">
        <v>15</v>
      </c>
      <c r="C55" s="535" t="s">
        <v>548</v>
      </c>
      <c r="D55" s="535" t="s">
        <v>549</v>
      </c>
      <c r="E55" s="535" t="s">
        <v>282</v>
      </c>
      <c r="F55" s="535" t="s">
        <v>654</v>
      </c>
      <c r="G55" s="536" t="b">
        <f>IF(A55="","",IF(Daten!$AE$4=0,TRUE,MONTH(A55)=Daten!$AE$4))</f>
        <v>1</v>
      </c>
      <c r="H55" s="537" t="s">
        <v>282</v>
      </c>
      <c r="I55" s="538" t="s">
        <v>57</v>
      </c>
      <c r="J55" s="538"/>
      <c r="K55" s="535" t="s">
        <v>655</v>
      </c>
      <c r="L55" s="539"/>
      <c r="M55" s="550">
        <v>15</v>
      </c>
      <c r="N55" s="550"/>
      <c r="O55" s="550"/>
      <c r="P55" s="550"/>
      <c r="Q55" s="550"/>
      <c r="R55" s="550"/>
      <c r="S55" s="550"/>
      <c r="T55" s="550"/>
      <c r="U55" s="550"/>
      <c r="V55" s="550"/>
      <c r="W55" s="550"/>
      <c r="X55" s="550"/>
      <c r="Y55" s="550"/>
      <c r="Z55" s="550"/>
    </row>
    <row r="56" spans="1:26" x14ac:dyDescent="0.35">
      <c r="A56" s="540">
        <v>45691</v>
      </c>
      <c r="B56" s="541">
        <v>15</v>
      </c>
      <c r="C56" s="542" t="s">
        <v>44</v>
      </c>
      <c r="D56" s="542" t="s">
        <v>542</v>
      </c>
      <c r="E56" s="542" t="s">
        <v>356</v>
      </c>
      <c r="F56" s="542" t="s">
        <v>654</v>
      </c>
      <c r="G56" s="543" t="b">
        <f>IF(A56="","",IF(Daten!$AE$4=0,TRUE,MONTH(A56)=Daten!$AE$4))</f>
        <v>1</v>
      </c>
      <c r="H56" s="537" t="s">
        <v>387</v>
      </c>
      <c r="I56" s="544" t="s">
        <v>57</v>
      </c>
      <c r="J56" s="544"/>
      <c r="K56" s="542" t="s">
        <v>655</v>
      </c>
      <c r="L56" s="545"/>
      <c r="M56" s="551"/>
      <c r="N56" s="551"/>
      <c r="O56" s="551"/>
      <c r="P56" s="551"/>
      <c r="Q56" s="551"/>
      <c r="R56" s="551"/>
      <c r="S56" s="551">
        <v>15</v>
      </c>
      <c r="T56" s="551"/>
      <c r="U56" s="551"/>
      <c r="V56" s="551"/>
      <c r="W56" s="551"/>
      <c r="X56" s="551"/>
      <c r="Y56" s="551"/>
      <c r="Z56" s="551"/>
    </row>
    <row r="57" spans="1:26" x14ac:dyDescent="0.35">
      <c r="A57" s="533">
        <v>45691</v>
      </c>
      <c r="B57" s="534">
        <v>7.5</v>
      </c>
      <c r="C57" s="535" t="s">
        <v>44</v>
      </c>
      <c r="D57" s="535" t="s">
        <v>542</v>
      </c>
      <c r="E57" s="535" t="s">
        <v>664</v>
      </c>
      <c r="F57" s="535" t="s">
        <v>654</v>
      </c>
      <c r="G57" s="536" t="b">
        <f>IF(A57="","",IF(Daten!$AE$4=0,TRUE,MONTH(A57)=Daten!$AE$4))</f>
        <v>1</v>
      </c>
      <c r="H57" s="537" t="s">
        <v>282</v>
      </c>
      <c r="I57" s="538" t="s">
        <v>57</v>
      </c>
      <c r="J57" s="538"/>
      <c r="K57" s="535" t="s">
        <v>655</v>
      </c>
      <c r="L57" s="539"/>
      <c r="M57" s="550">
        <v>7.5</v>
      </c>
      <c r="N57" s="550"/>
      <c r="O57" s="550"/>
      <c r="P57" s="550"/>
      <c r="Q57" s="550"/>
      <c r="R57" s="550"/>
      <c r="S57" s="550"/>
      <c r="T57" s="550"/>
      <c r="U57" s="550"/>
      <c r="V57" s="550"/>
      <c r="W57" s="550"/>
      <c r="X57" s="550"/>
      <c r="Y57" s="550"/>
      <c r="Z57" s="550"/>
    </row>
    <row r="58" spans="1:26" x14ac:dyDescent="0.35">
      <c r="A58" s="540">
        <v>45691</v>
      </c>
      <c r="B58" s="541">
        <v>15</v>
      </c>
      <c r="C58" s="542" t="s">
        <v>546</v>
      </c>
      <c r="D58" s="542" t="s">
        <v>547</v>
      </c>
      <c r="E58" s="542" t="s">
        <v>671</v>
      </c>
      <c r="F58" s="542" t="s">
        <v>654</v>
      </c>
      <c r="G58" s="543" t="b">
        <f>IF(A58="","",IF(Daten!$AE$4=0,TRUE,MONTH(A58)=Daten!$AE$4))</f>
        <v>1</v>
      </c>
      <c r="H58" s="537" t="s">
        <v>282</v>
      </c>
      <c r="I58" s="544" t="s">
        <v>57</v>
      </c>
      <c r="J58" s="544"/>
      <c r="K58" s="542" t="s">
        <v>655</v>
      </c>
      <c r="L58" s="545"/>
      <c r="M58" s="551">
        <v>15</v>
      </c>
      <c r="N58" s="551"/>
      <c r="O58" s="551"/>
      <c r="P58" s="551"/>
      <c r="Q58" s="551"/>
      <c r="R58" s="551"/>
      <c r="S58" s="551"/>
      <c r="T58" s="551"/>
      <c r="U58" s="551"/>
      <c r="V58" s="551"/>
      <c r="W58" s="551"/>
      <c r="X58" s="551"/>
      <c r="Y58" s="551"/>
      <c r="Z58" s="551"/>
    </row>
    <row r="59" spans="1:26" x14ac:dyDescent="0.35">
      <c r="A59" s="533">
        <v>45691</v>
      </c>
      <c r="B59" s="534">
        <v>15</v>
      </c>
      <c r="C59" s="535" t="s">
        <v>46</v>
      </c>
      <c r="D59" s="535" t="s">
        <v>545</v>
      </c>
      <c r="E59" s="535" t="s">
        <v>653</v>
      </c>
      <c r="F59" s="535" t="s">
        <v>654</v>
      </c>
      <c r="G59" s="536" t="b">
        <f>IF(A59="","",IF(Daten!$AE$4=0,TRUE,MONTH(A59)=Daten!$AE$4))</f>
        <v>1</v>
      </c>
      <c r="H59" s="537" t="s">
        <v>387</v>
      </c>
      <c r="I59" s="538" t="s">
        <v>57</v>
      </c>
      <c r="J59" s="538"/>
      <c r="K59" s="535" t="s">
        <v>655</v>
      </c>
      <c r="L59" s="539"/>
      <c r="M59" s="550"/>
      <c r="N59" s="550"/>
      <c r="O59" s="550"/>
      <c r="P59" s="550"/>
      <c r="Q59" s="550"/>
      <c r="R59" s="550"/>
      <c r="S59" s="550">
        <v>15</v>
      </c>
      <c r="T59" s="550"/>
      <c r="U59" s="550"/>
      <c r="V59" s="550"/>
      <c r="W59" s="550"/>
      <c r="X59" s="550"/>
      <c r="Y59" s="550"/>
      <c r="Z59" s="550"/>
    </row>
    <row r="60" spans="1:26" x14ac:dyDescent="0.35">
      <c r="A60" s="540">
        <v>45691</v>
      </c>
      <c r="B60" s="541">
        <v>319.89999999999998</v>
      </c>
      <c r="C60" s="542" t="s">
        <v>553</v>
      </c>
      <c r="D60" s="542" t="s">
        <v>554</v>
      </c>
      <c r="E60" s="542" t="s">
        <v>711</v>
      </c>
      <c r="F60" s="542" t="s">
        <v>691</v>
      </c>
      <c r="G60" s="543" t="b">
        <f>IF(A60="","",IF(Daten!$AE$4=0,TRUE,MONTH(A60)=Daten!$AE$4))</f>
        <v>1</v>
      </c>
      <c r="H60" s="537" t="s">
        <v>275</v>
      </c>
      <c r="I60" s="544" t="s">
        <v>57</v>
      </c>
      <c r="J60" s="544"/>
      <c r="K60" s="542" t="s">
        <v>655</v>
      </c>
      <c r="L60" s="545"/>
      <c r="M60" s="551"/>
      <c r="N60" s="551"/>
      <c r="O60" s="551"/>
      <c r="P60" s="551"/>
      <c r="Q60" s="551"/>
      <c r="R60" s="551"/>
      <c r="S60" s="551">
        <v>319.89999999999998</v>
      </c>
      <c r="T60" s="551"/>
      <c r="U60" s="551"/>
      <c r="V60" s="551"/>
      <c r="W60" s="551"/>
      <c r="X60" s="551"/>
      <c r="Y60" s="551"/>
      <c r="Z60" s="551"/>
    </row>
    <row r="61" spans="1:26" x14ac:dyDescent="0.35">
      <c r="A61" s="533">
        <v>45691</v>
      </c>
      <c r="B61" s="534">
        <v>7.5</v>
      </c>
      <c r="C61" s="535" t="s">
        <v>45</v>
      </c>
      <c r="D61" s="535" t="s">
        <v>552</v>
      </c>
      <c r="E61" s="535" t="s">
        <v>358</v>
      </c>
      <c r="F61" s="535" t="s">
        <v>654</v>
      </c>
      <c r="G61" s="536" t="b">
        <f>IF(A61="","",IF(Daten!$AE$4=0,TRUE,MONTH(A61)=Daten!$AE$4))</f>
        <v>1</v>
      </c>
      <c r="H61" s="537" t="s">
        <v>282</v>
      </c>
      <c r="I61" s="538" t="s">
        <v>57</v>
      </c>
      <c r="J61" s="538"/>
      <c r="K61" s="535" t="s">
        <v>655</v>
      </c>
      <c r="L61" s="539"/>
      <c r="M61" s="550">
        <v>7.5</v>
      </c>
      <c r="N61" s="550"/>
      <c r="O61" s="550"/>
      <c r="P61" s="550"/>
      <c r="Q61" s="550"/>
      <c r="R61" s="550"/>
      <c r="S61" s="550"/>
      <c r="T61" s="550"/>
      <c r="U61" s="550"/>
      <c r="V61" s="550"/>
      <c r="W61" s="550"/>
      <c r="X61" s="550"/>
      <c r="Y61" s="550"/>
      <c r="Z61" s="550"/>
    </row>
    <row r="62" spans="1:26" x14ac:dyDescent="0.35">
      <c r="A62" s="540">
        <v>45691</v>
      </c>
      <c r="B62" s="541">
        <v>7.5</v>
      </c>
      <c r="C62" s="542" t="s">
        <v>46</v>
      </c>
      <c r="D62" s="542" t="s">
        <v>545</v>
      </c>
      <c r="E62" s="542" t="s">
        <v>669</v>
      </c>
      <c r="F62" s="542" t="s">
        <v>654</v>
      </c>
      <c r="G62" s="543" t="b">
        <f>IF(A62="","",IF(Daten!$AE$4=0,TRUE,MONTH(A62)=Daten!$AE$4))</f>
        <v>1</v>
      </c>
      <c r="H62" s="537" t="s">
        <v>282</v>
      </c>
      <c r="I62" s="544" t="s">
        <v>57</v>
      </c>
      <c r="J62" s="544"/>
      <c r="K62" s="542" t="s">
        <v>655</v>
      </c>
      <c r="L62" s="545"/>
      <c r="M62" s="551">
        <v>7.5</v>
      </c>
      <c r="N62" s="551"/>
      <c r="O62" s="551"/>
      <c r="P62" s="551"/>
      <c r="Q62" s="551"/>
      <c r="R62" s="551"/>
      <c r="S62" s="551"/>
      <c r="T62" s="551"/>
      <c r="U62" s="551"/>
      <c r="V62" s="551"/>
      <c r="W62" s="551"/>
      <c r="X62" s="551"/>
      <c r="Y62" s="551"/>
      <c r="Z62" s="551"/>
    </row>
    <row r="63" spans="1:26" x14ac:dyDescent="0.35">
      <c r="A63" s="533">
        <v>45691</v>
      </c>
      <c r="B63" s="534">
        <v>15</v>
      </c>
      <c r="C63" s="535" t="s">
        <v>45</v>
      </c>
      <c r="D63" s="535" t="s">
        <v>552</v>
      </c>
      <c r="E63" s="535" t="s">
        <v>672</v>
      </c>
      <c r="F63" s="535" t="s">
        <v>654</v>
      </c>
      <c r="G63" s="536" t="b">
        <f>IF(A63="","",IF(Daten!$AE$4=0,TRUE,MONTH(A63)=Daten!$AE$4))</f>
        <v>1</v>
      </c>
      <c r="H63" s="537" t="s">
        <v>387</v>
      </c>
      <c r="I63" s="538" t="s">
        <v>57</v>
      </c>
      <c r="J63" s="538"/>
      <c r="K63" s="535" t="s">
        <v>655</v>
      </c>
      <c r="L63" s="539"/>
      <c r="M63" s="550"/>
      <c r="N63" s="550"/>
      <c r="O63" s="550"/>
      <c r="P63" s="550"/>
      <c r="Q63" s="550"/>
      <c r="R63" s="550"/>
      <c r="S63" s="550">
        <v>15</v>
      </c>
      <c r="T63" s="550"/>
      <c r="U63" s="550"/>
      <c r="V63" s="550"/>
      <c r="W63" s="550"/>
      <c r="X63" s="550"/>
      <c r="Y63" s="550"/>
      <c r="Z63" s="550"/>
    </row>
    <row r="64" spans="1:26" x14ac:dyDescent="0.35">
      <c r="A64" s="540">
        <v>45691</v>
      </c>
      <c r="B64" s="541">
        <v>15</v>
      </c>
      <c r="C64" s="542" t="s">
        <v>546</v>
      </c>
      <c r="D64" s="542" t="s">
        <v>547</v>
      </c>
      <c r="E64" s="542" t="s">
        <v>670</v>
      </c>
      <c r="F64" s="542" t="s">
        <v>654</v>
      </c>
      <c r="G64" s="543" t="b">
        <f>IF(A64="","",IF(Daten!$AE$4=0,TRUE,MONTH(A64)=Daten!$AE$4))</f>
        <v>1</v>
      </c>
      <c r="H64" s="537" t="s">
        <v>387</v>
      </c>
      <c r="I64" s="544" t="s">
        <v>57</v>
      </c>
      <c r="J64" s="544"/>
      <c r="K64" s="542" t="s">
        <v>655</v>
      </c>
      <c r="L64" s="545"/>
      <c r="M64" s="551"/>
      <c r="N64" s="551"/>
      <c r="O64" s="551"/>
      <c r="P64" s="551"/>
      <c r="Q64" s="551"/>
      <c r="R64" s="551"/>
      <c r="S64" s="551">
        <v>15</v>
      </c>
      <c r="T64" s="551"/>
      <c r="U64" s="551"/>
      <c r="V64" s="551"/>
      <c r="W64" s="551"/>
      <c r="X64" s="551"/>
      <c r="Y64" s="551"/>
      <c r="Z64" s="551"/>
    </row>
    <row r="65" spans="1:26" x14ac:dyDescent="0.35">
      <c r="A65" s="533">
        <v>45691</v>
      </c>
      <c r="B65" s="534">
        <v>15</v>
      </c>
      <c r="C65" s="535" t="s">
        <v>548</v>
      </c>
      <c r="D65" s="535" t="s">
        <v>549</v>
      </c>
      <c r="E65" s="535" t="s">
        <v>357</v>
      </c>
      <c r="F65" s="535" t="s">
        <v>654</v>
      </c>
      <c r="G65" s="536" t="b">
        <f>IF(A65="","",IF(Daten!$AE$4=0,TRUE,MONTH(A65)=Daten!$AE$4))</f>
        <v>1</v>
      </c>
      <c r="H65" s="537" t="s">
        <v>387</v>
      </c>
      <c r="I65" s="538" t="s">
        <v>57</v>
      </c>
      <c r="J65" s="538"/>
      <c r="K65" s="535" t="s">
        <v>655</v>
      </c>
      <c r="L65" s="539"/>
      <c r="M65" s="550"/>
      <c r="N65" s="550"/>
      <c r="O65" s="550"/>
      <c r="P65" s="550"/>
      <c r="Q65" s="550"/>
      <c r="R65" s="550"/>
      <c r="S65" s="550">
        <v>15</v>
      </c>
      <c r="T65" s="550"/>
      <c r="U65" s="550"/>
      <c r="V65" s="550"/>
      <c r="W65" s="550"/>
      <c r="X65" s="550"/>
      <c r="Y65" s="550"/>
      <c r="Z65" s="550"/>
    </row>
    <row r="66" spans="1:26" x14ac:dyDescent="0.35">
      <c r="A66" s="540">
        <v>45691</v>
      </c>
      <c r="B66" s="541">
        <v>15</v>
      </c>
      <c r="C66" s="542" t="s">
        <v>569</v>
      </c>
      <c r="D66" s="542" t="s">
        <v>570</v>
      </c>
      <c r="E66" s="542" t="s">
        <v>656</v>
      </c>
      <c r="F66" s="542" t="s">
        <v>654</v>
      </c>
      <c r="G66" s="543" t="b">
        <f>IF(A66="","",IF(Daten!$AE$4=0,TRUE,MONTH(A66)=Daten!$AE$4))</f>
        <v>1</v>
      </c>
      <c r="H66" s="537" t="s">
        <v>387</v>
      </c>
      <c r="I66" s="544" t="s">
        <v>57</v>
      </c>
      <c r="J66" s="544"/>
      <c r="K66" s="542" t="s">
        <v>655</v>
      </c>
      <c r="L66" s="545"/>
      <c r="M66" s="551"/>
      <c r="N66" s="551"/>
      <c r="O66" s="551"/>
      <c r="P66" s="551"/>
      <c r="Q66" s="551"/>
      <c r="R66" s="551"/>
      <c r="S66" s="551">
        <v>15</v>
      </c>
      <c r="T66" s="551"/>
      <c r="U66" s="551"/>
      <c r="V66" s="551"/>
      <c r="W66" s="551"/>
      <c r="X66" s="551"/>
      <c r="Y66" s="551"/>
      <c r="Z66" s="551"/>
    </row>
    <row r="67" spans="1:26" x14ac:dyDescent="0.35">
      <c r="A67" s="533">
        <v>45691</v>
      </c>
      <c r="B67" s="534">
        <v>15</v>
      </c>
      <c r="C67" s="535" t="s">
        <v>569</v>
      </c>
      <c r="D67" s="535" t="s">
        <v>570</v>
      </c>
      <c r="E67" s="535" t="s">
        <v>680</v>
      </c>
      <c r="F67" s="535" t="s">
        <v>654</v>
      </c>
      <c r="G67" s="536" t="b">
        <f>IF(A67="","",IF(Daten!$AE$4=0,TRUE,MONTH(A67)=Daten!$AE$4))</f>
        <v>1</v>
      </c>
      <c r="H67" s="537" t="s">
        <v>282</v>
      </c>
      <c r="I67" s="538" t="s">
        <v>57</v>
      </c>
      <c r="J67" s="538"/>
      <c r="K67" s="535" t="s">
        <v>655</v>
      </c>
      <c r="L67" s="539"/>
      <c r="M67" s="550">
        <v>15</v>
      </c>
      <c r="N67" s="550"/>
      <c r="O67" s="550"/>
      <c r="P67" s="550"/>
      <c r="Q67" s="550"/>
      <c r="R67" s="550"/>
      <c r="S67" s="550"/>
      <c r="T67" s="550"/>
      <c r="U67" s="550"/>
      <c r="V67" s="550"/>
      <c r="W67" s="550"/>
      <c r="X67" s="550"/>
      <c r="Y67" s="550"/>
      <c r="Z67" s="550"/>
    </row>
    <row r="68" spans="1:26" x14ac:dyDescent="0.35">
      <c r="A68" s="540">
        <v>45691</v>
      </c>
      <c r="B68" s="541">
        <v>15</v>
      </c>
      <c r="C68" s="542" t="s">
        <v>573</v>
      </c>
      <c r="D68" s="542" t="s">
        <v>543</v>
      </c>
      <c r="E68" s="542" t="s">
        <v>673</v>
      </c>
      <c r="F68" s="542" t="s">
        <v>654</v>
      </c>
      <c r="G68" s="543" t="b">
        <f>IF(A68="","",IF(Daten!$AE$4=0,TRUE,MONTH(A68)=Daten!$AE$4))</f>
        <v>1</v>
      </c>
      <c r="H68" s="537" t="s">
        <v>387</v>
      </c>
      <c r="I68" s="544" t="s">
        <v>57</v>
      </c>
      <c r="J68" s="544"/>
      <c r="K68" s="542" t="s">
        <v>655</v>
      </c>
      <c r="L68" s="545"/>
      <c r="M68" s="551"/>
      <c r="N68" s="551"/>
      <c r="O68" s="551"/>
      <c r="P68" s="551"/>
      <c r="Q68" s="551"/>
      <c r="R68" s="551"/>
      <c r="S68" s="551">
        <v>15</v>
      </c>
      <c r="T68" s="551"/>
      <c r="U68" s="551"/>
      <c r="V68" s="551"/>
      <c r="W68" s="551"/>
      <c r="X68" s="551"/>
      <c r="Y68" s="551"/>
      <c r="Z68" s="551"/>
    </row>
    <row r="69" spans="1:26" x14ac:dyDescent="0.35">
      <c r="A69" s="533">
        <v>45691</v>
      </c>
      <c r="B69" s="534">
        <v>15</v>
      </c>
      <c r="C69" s="535" t="s">
        <v>538</v>
      </c>
      <c r="D69" s="535" t="s">
        <v>539</v>
      </c>
      <c r="E69" s="535" t="s">
        <v>657</v>
      </c>
      <c r="F69" s="535" t="s">
        <v>654</v>
      </c>
      <c r="G69" s="536" t="b">
        <f>IF(A69="","",IF(Daten!$AE$4=0,TRUE,MONTH(A69)=Daten!$AE$4))</f>
        <v>1</v>
      </c>
      <c r="H69" s="537" t="s">
        <v>282</v>
      </c>
      <c r="I69" s="538" t="s">
        <v>57</v>
      </c>
      <c r="J69" s="538"/>
      <c r="K69" s="535" t="s">
        <v>655</v>
      </c>
      <c r="L69" s="539"/>
      <c r="M69" s="550">
        <v>15</v>
      </c>
      <c r="N69" s="550"/>
      <c r="O69" s="550"/>
      <c r="P69" s="550"/>
      <c r="Q69" s="550"/>
      <c r="R69" s="550"/>
      <c r="S69" s="550"/>
      <c r="T69" s="550"/>
      <c r="U69" s="550"/>
      <c r="V69" s="550"/>
      <c r="W69" s="550"/>
      <c r="X69" s="550"/>
      <c r="Y69" s="550"/>
      <c r="Z69" s="550"/>
    </row>
    <row r="70" spans="1:26" x14ac:dyDescent="0.35">
      <c r="A70" s="540">
        <v>45691</v>
      </c>
      <c r="B70" s="541">
        <v>15</v>
      </c>
      <c r="C70" s="542" t="s">
        <v>573</v>
      </c>
      <c r="D70" s="542" t="s">
        <v>543</v>
      </c>
      <c r="E70" s="542" t="s">
        <v>665</v>
      </c>
      <c r="F70" s="542" t="s">
        <v>654</v>
      </c>
      <c r="G70" s="543" t="b">
        <f>IF(A70="","",IF(Daten!$AE$4=0,TRUE,MONTH(A70)=Daten!$AE$4))</f>
        <v>1</v>
      </c>
      <c r="H70" s="537" t="s">
        <v>282</v>
      </c>
      <c r="I70" s="544" t="s">
        <v>57</v>
      </c>
      <c r="J70" s="544"/>
      <c r="K70" s="542" t="s">
        <v>655</v>
      </c>
      <c r="L70" s="545"/>
      <c r="M70" s="551">
        <v>15</v>
      </c>
      <c r="N70" s="551"/>
      <c r="O70" s="551"/>
      <c r="P70" s="551"/>
      <c r="Q70" s="551"/>
      <c r="R70" s="551"/>
      <c r="S70" s="551"/>
      <c r="T70" s="551"/>
      <c r="U70" s="551"/>
      <c r="V70" s="551"/>
      <c r="W70" s="551"/>
      <c r="X70" s="551"/>
      <c r="Y70" s="551"/>
      <c r="Z70" s="551"/>
    </row>
    <row r="71" spans="1:26" x14ac:dyDescent="0.35">
      <c r="A71" s="533">
        <v>45691</v>
      </c>
      <c r="B71" s="534">
        <v>15</v>
      </c>
      <c r="C71" s="535" t="s">
        <v>555</v>
      </c>
      <c r="D71" s="535" t="s">
        <v>556</v>
      </c>
      <c r="E71" s="535" t="s">
        <v>674</v>
      </c>
      <c r="F71" s="535" t="s">
        <v>654</v>
      </c>
      <c r="G71" s="536" t="b">
        <f>IF(A71="","",IF(Daten!$AE$4=0,TRUE,MONTH(A71)=Daten!$AE$4))</f>
        <v>1</v>
      </c>
      <c r="H71" s="537" t="s">
        <v>387</v>
      </c>
      <c r="I71" s="538" t="s">
        <v>57</v>
      </c>
      <c r="J71" s="538"/>
      <c r="K71" s="535" t="s">
        <v>655</v>
      </c>
      <c r="L71" s="539"/>
      <c r="M71" s="550"/>
      <c r="N71" s="550"/>
      <c r="O71" s="550"/>
      <c r="P71" s="550"/>
      <c r="Q71" s="550"/>
      <c r="R71" s="550"/>
      <c r="S71" s="550">
        <v>15</v>
      </c>
      <c r="T71" s="550"/>
      <c r="U71" s="550"/>
      <c r="V71" s="550"/>
      <c r="W71" s="550"/>
      <c r="X71" s="550"/>
      <c r="Y71" s="550"/>
      <c r="Z71" s="550"/>
    </row>
    <row r="72" spans="1:26" x14ac:dyDescent="0.35">
      <c r="A72" s="540">
        <v>45691</v>
      </c>
      <c r="B72" s="541">
        <v>15</v>
      </c>
      <c r="C72" s="542" t="s">
        <v>555</v>
      </c>
      <c r="D72" s="542" t="s">
        <v>556</v>
      </c>
      <c r="E72" s="542" t="s">
        <v>676</v>
      </c>
      <c r="F72" s="542" t="s">
        <v>654</v>
      </c>
      <c r="G72" s="543" t="b">
        <f>IF(A72="","",IF(Daten!$AE$4=0,TRUE,MONTH(A72)=Daten!$AE$4))</f>
        <v>1</v>
      </c>
      <c r="H72" s="537" t="s">
        <v>282</v>
      </c>
      <c r="I72" s="544" t="s">
        <v>57</v>
      </c>
      <c r="J72" s="544"/>
      <c r="K72" s="542" t="s">
        <v>655</v>
      </c>
      <c r="L72" s="545"/>
      <c r="M72" s="551">
        <v>15</v>
      </c>
      <c r="N72" s="551"/>
      <c r="O72" s="551"/>
      <c r="P72" s="551"/>
      <c r="Q72" s="551"/>
      <c r="R72" s="551"/>
      <c r="S72" s="551"/>
      <c r="T72" s="551"/>
      <c r="U72" s="551"/>
      <c r="V72" s="551"/>
      <c r="W72" s="551"/>
      <c r="X72" s="551"/>
      <c r="Y72" s="551"/>
      <c r="Z72" s="551"/>
    </row>
    <row r="73" spans="1:26" x14ac:dyDescent="0.35">
      <c r="A73" s="533">
        <v>45691</v>
      </c>
      <c r="B73" s="534">
        <v>15</v>
      </c>
      <c r="C73" s="535" t="s">
        <v>557</v>
      </c>
      <c r="D73" s="535" t="s">
        <v>558</v>
      </c>
      <c r="E73" s="535" t="s">
        <v>675</v>
      </c>
      <c r="F73" s="535" t="s">
        <v>654</v>
      </c>
      <c r="G73" s="536" t="b">
        <f>IF(A73="","",IF(Daten!$AE$4=0,TRUE,MONTH(A73)=Daten!$AE$4))</f>
        <v>1</v>
      </c>
      <c r="H73" s="537" t="s">
        <v>282</v>
      </c>
      <c r="I73" s="538" t="s">
        <v>57</v>
      </c>
      <c r="J73" s="538"/>
      <c r="K73" s="535" t="s">
        <v>655</v>
      </c>
      <c r="L73" s="539"/>
      <c r="M73" s="550">
        <v>15</v>
      </c>
      <c r="N73" s="550"/>
      <c r="O73" s="550"/>
      <c r="P73" s="550"/>
      <c r="Q73" s="550"/>
      <c r="R73" s="550"/>
      <c r="S73" s="550"/>
      <c r="T73" s="550"/>
      <c r="U73" s="550"/>
      <c r="V73" s="550"/>
      <c r="W73" s="550"/>
      <c r="X73" s="550"/>
      <c r="Y73" s="550"/>
      <c r="Z73" s="550"/>
    </row>
    <row r="74" spans="1:26" x14ac:dyDescent="0.35">
      <c r="A74" s="540">
        <v>45691</v>
      </c>
      <c r="B74" s="541">
        <v>-4.3</v>
      </c>
      <c r="C74" s="542"/>
      <c r="D74" s="542">
        <v>0</v>
      </c>
      <c r="E74" s="542" t="s">
        <v>712</v>
      </c>
      <c r="F74" s="542" t="s">
        <v>353</v>
      </c>
      <c r="G74" s="543" t="b">
        <f>IF(A74="","",IF(Daten!$AE$4=0,TRUE,MONTH(A74)=Daten!$AE$4))</f>
        <v>1</v>
      </c>
      <c r="H74" s="537" t="s">
        <v>424</v>
      </c>
      <c r="I74" s="544" t="s">
        <v>57</v>
      </c>
      <c r="J74" s="544"/>
      <c r="K74" s="542" t="s">
        <v>655</v>
      </c>
      <c r="L74" s="545"/>
      <c r="M74" s="551"/>
      <c r="N74" s="551"/>
      <c r="O74" s="551"/>
      <c r="P74" s="551"/>
      <c r="Q74" s="551"/>
      <c r="R74" s="551"/>
      <c r="S74" s="551"/>
      <c r="T74" s="551"/>
      <c r="U74" s="551"/>
      <c r="V74" s="551"/>
      <c r="W74" s="551"/>
      <c r="X74" s="551"/>
      <c r="Y74" s="551">
        <v>-4.3</v>
      </c>
      <c r="Z74" s="551"/>
    </row>
    <row r="75" spans="1:26" x14ac:dyDescent="0.35">
      <c r="A75" s="533">
        <v>45692</v>
      </c>
      <c r="B75" s="534">
        <v>7.5</v>
      </c>
      <c r="C75" s="535" t="s">
        <v>661</v>
      </c>
      <c r="D75" s="535" t="s">
        <v>544</v>
      </c>
      <c r="E75" s="535" t="s">
        <v>668</v>
      </c>
      <c r="F75" s="535" t="s">
        <v>654</v>
      </c>
      <c r="G75" s="536" t="b">
        <f>IF(A75="","",IF(Daten!$AE$4=0,TRUE,MONTH(A75)=Daten!$AE$4))</f>
        <v>1</v>
      </c>
      <c r="H75" s="537" t="s">
        <v>282</v>
      </c>
      <c r="I75" s="538" t="s">
        <v>57</v>
      </c>
      <c r="J75" s="538"/>
      <c r="K75" s="535" t="s">
        <v>655</v>
      </c>
      <c r="L75" s="539"/>
      <c r="M75" s="550">
        <v>7.5</v>
      </c>
      <c r="N75" s="550"/>
      <c r="O75" s="550"/>
      <c r="P75" s="550"/>
      <c r="Q75" s="550"/>
      <c r="R75" s="550"/>
      <c r="S75" s="550"/>
      <c r="T75" s="550"/>
      <c r="U75" s="550"/>
      <c r="V75" s="550"/>
      <c r="W75" s="550"/>
      <c r="X75" s="550"/>
      <c r="Y75" s="550"/>
      <c r="Z75" s="550"/>
    </row>
    <row r="76" spans="1:26" x14ac:dyDescent="0.35">
      <c r="A76" s="540">
        <v>45692</v>
      </c>
      <c r="B76" s="541">
        <v>15</v>
      </c>
      <c r="C76" s="542" t="s">
        <v>661</v>
      </c>
      <c r="D76" s="542" t="s">
        <v>544</v>
      </c>
      <c r="E76" s="542" t="s">
        <v>666</v>
      </c>
      <c r="F76" s="542" t="s">
        <v>654</v>
      </c>
      <c r="G76" s="543" t="b">
        <f>IF(A76="","",IF(Daten!$AE$4=0,TRUE,MONTH(A76)=Daten!$AE$4))</f>
        <v>1</v>
      </c>
      <c r="H76" s="537" t="s">
        <v>387</v>
      </c>
      <c r="I76" s="544" t="s">
        <v>57</v>
      </c>
      <c r="J76" s="544"/>
      <c r="K76" s="542" t="s">
        <v>655</v>
      </c>
      <c r="L76" s="545"/>
      <c r="M76" s="551"/>
      <c r="N76" s="551"/>
      <c r="O76" s="551"/>
      <c r="P76" s="551"/>
      <c r="Q76" s="551"/>
      <c r="R76" s="551"/>
      <c r="S76" s="551">
        <v>15</v>
      </c>
      <c r="T76" s="551"/>
      <c r="U76" s="551"/>
      <c r="V76" s="551"/>
      <c r="W76" s="551"/>
      <c r="X76" s="551"/>
      <c r="Y76" s="551"/>
      <c r="Z76" s="551"/>
    </row>
    <row r="77" spans="1:26" x14ac:dyDescent="0.35">
      <c r="A77" s="533">
        <v>45692</v>
      </c>
      <c r="B77" s="534">
        <v>15</v>
      </c>
      <c r="C77" s="535" t="s">
        <v>536</v>
      </c>
      <c r="D77" s="535" t="s">
        <v>537</v>
      </c>
      <c r="E77" s="535" t="s">
        <v>667</v>
      </c>
      <c r="F77" s="535" t="s">
        <v>654</v>
      </c>
      <c r="G77" s="536" t="b">
        <f>IF(A77="","",IF(Daten!$AE$4=0,TRUE,MONTH(A77)=Daten!$AE$4))</f>
        <v>1</v>
      </c>
      <c r="H77" s="537" t="s">
        <v>387</v>
      </c>
      <c r="I77" s="538" t="s">
        <v>57</v>
      </c>
      <c r="J77" s="538"/>
      <c r="K77" s="535" t="s">
        <v>655</v>
      </c>
      <c r="L77" s="539"/>
      <c r="M77" s="550"/>
      <c r="N77" s="550"/>
      <c r="O77" s="550"/>
      <c r="P77" s="550"/>
      <c r="Q77" s="550"/>
      <c r="R77" s="550"/>
      <c r="S77" s="550">
        <v>15</v>
      </c>
      <c r="T77" s="550"/>
      <c r="U77" s="550"/>
      <c r="V77" s="550"/>
      <c r="W77" s="550"/>
      <c r="X77" s="550"/>
      <c r="Y77" s="550"/>
      <c r="Z77" s="550"/>
    </row>
    <row r="78" spans="1:26" x14ac:dyDescent="0.35">
      <c r="A78" s="540">
        <v>45692</v>
      </c>
      <c r="B78" s="541">
        <v>-59.8</v>
      </c>
      <c r="C78" s="542" t="s">
        <v>693</v>
      </c>
      <c r="D78" s="542" t="s">
        <v>533</v>
      </c>
      <c r="E78" s="542" t="s">
        <v>710</v>
      </c>
      <c r="F78" s="542" t="s">
        <v>660</v>
      </c>
      <c r="G78" s="543" t="b">
        <f>IF(A78="","",IF(Daten!$AE$4=0,TRUE,MONTH(A78)=Daten!$AE$4))</f>
        <v>1</v>
      </c>
      <c r="H78" s="537" t="s">
        <v>431</v>
      </c>
      <c r="I78" s="544" t="s">
        <v>57</v>
      </c>
      <c r="J78" s="544"/>
      <c r="K78" s="542" t="s">
        <v>655</v>
      </c>
      <c r="L78" s="545"/>
      <c r="M78" s="551"/>
      <c r="N78" s="551"/>
      <c r="O78" s="551"/>
      <c r="P78" s="551"/>
      <c r="Q78" s="551"/>
      <c r="R78" s="551"/>
      <c r="S78" s="551"/>
      <c r="T78" s="551">
        <v>-59.8</v>
      </c>
      <c r="U78" s="551"/>
      <c r="V78" s="551"/>
      <c r="W78" s="551"/>
      <c r="X78" s="551"/>
      <c r="Y78" s="551"/>
      <c r="Z78" s="551"/>
    </row>
    <row r="79" spans="1:26" x14ac:dyDescent="0.35">
      <c r="A79" s="533">
        <v>45693</v>
      </c>
      <c r="B79" s="534">
        <v>112.57</v>
      </c>
      <c r="C79" s="535" t="s">
        <v>536</v>
      </c>
      <c r="D79" s="535" t="s">
        <v>537</v>
      </c>
      <c r="E79" s="535" t="s">
        <v>708</v>
      </c>
      <c r="F79" s="535" t="s">
        <v>691</v>
      </c>
      <c r="G79" s="536" t="b">
        <f>IF(A79="","",IF(Daten!$AE$4=0,TRUE,MONTH(A79)=Daten!$AE$4))</f>
        <v>1</v>
      </c>
      <c r="H79" s="537" t="s">
        <v>280</v>
      </c>
      <c r="I79" s="538" t="s">
        <v>57</v>
      </c>
      <c r="J79" s="538"/>
      <c r="K79" s="535" t="s">
        <v>655</v>
      </c>
      <c r="L79" s="539"/>
      <c r="M79" s="550"/>
      <c r="N79" s="550"/>
      <c r="O79" s="550"/>
      <c r="P79" s="550"/>
      <c r="Q79" s="550"/>
      <c r="R79" s="550"/>
      <c r="S79" s="550">
        <v>112.57</v>
      </c>
      <c r="T79" s="550"/>
      <c r="U79" s="550"/>
      <c r="V79" s="550"/>
      <c r="W79" s="550"/>
      <c r="X79" s="550"/>
      <c r="Y79" s="550"/>
      <c r="Z79" s="550"/>
    </row>
    <row r="80" spans="1:26" x14ac:dyDescent="0.35">
      <c r="A80" s="540">
        <v>45693</v>
      </c>
      <c r="B80" s="541">
        <v>277.26</v>
      </c>
      <c r="C80" s="542" t="s">
        <v>536</v>
      </c>
      <c r="D80" s="542" t="s">
        <v>537</v>
      </c>
      <c r="E80" s="542" t="s">
        <v>160</v>
      </c>
      <c r="F80" s="542" t="s">
        <v>691</v>
      </c>
      <c r="G80" s="543" t="b">
        <f>IF(A80="","",IF(Daten!$AE$4=0,TRUE,MONTH(A80)=Daten!$AE$4))</f>
        <v>1</v>
      </c>
      <c r="H80" s="537" t="s">
        <v>275</v>
      </c>
      <c r="I80" s="544" t="s">
        <v>57</v>
      </c>
      <c r="J80" s="544"/>
      <c r="K80" s="542" t="s">
        <v>655</v>
      </c>
      <c r="L80" s="545"/>
      <c r="M80" s="551"/>
      <c r="N80" s="551"/>
      <c r="O80" s="551"/>
      <c r="P80" s="551"/>
      <c r="Q80" s="551"/>
      <c r="R80" s="551"/>
      <c r="S80" s="551">
        <v>277.26</v>
      </c>
      <c r="T80" s="551"/>
      <c r="U80" s="551"/>
      <c r="V80" s="551"/>
      <c r="W80" s="551"/>
      <c r="X80" s="551"/>
      <c r="Y80" s="551"/>
      <c r="Z80" s="551"/>
    </row>
    <row r="81" spans="1:26" x14ac:dyDescent="0.35">
      <c r="A81" s="533">
        <v>45693</v>
      </c>
      <c r="B81" s="534">
        <v>15</v>
      </c>
      <c r="C81" s="535" t="s">
        <v>538</v>
      </c>
      <c r="D81" s="535" t="s">
        <v>539</v>
      </c>
      <c r="E81" s="535" t="s">
        <v>663</v>
      </c>
      <c r="F81" s="535" t="s">
        <v>654</v>
      </c>
      <c r="G81" s="536" t="b">
        <f>IF(A81="","",IF(Daten!$AE$4=0,TRUE,MONTH(A81)=Daten!$AE$4))</f>
        <v>1</v>
      </c>
      <c r="H81" s="537" t="s">
        <v>387</v>
      </c>
      <c r="I81" s="538" t="s">
        <v>57</v>
      </c>
      <c r="J81" s="538"/>
      <c r="K81" s="535" t="s">
        <v>655</v>
      </c>
      <c r="L81" s="539"/>
      <c r="M81" s="550"/>
      <c r="N81" s="550"/>
      <c r="O81" s="550"/>
      <c r="P81" s="550"/>
      <c r="Q81" s="550"/>
      <c r="R81" s="550"/>
      <c r="S81" s="550">
        <v>15</v>
      </c>
      <c r="T81" s="550"/>
      <c r="U81" s="550"/>
      <c r="V81" s="550"/>
      <c r="W81" s="550"/>
      <c r="X81" s="550"/>
      <c r="Y81" s="550"/>
      <c r="Z81" s="550"/>
    </row>
    <row r="82" spans="1:26" x14ac:dyDescent="0.35">
      <c r="A82" s="540">
        <v>45693</v>
      </c>
      <c r="B82" s="541">
        <v>-497</v>
      </c>
      <c r="C82" s="542" t="s">
        <v>658</v>
      </c>
      <c r="D82" s="542" t="s">
        <v>541</v>
      </c>
      <c r="E82" s="542" t="s">
        <v>709</v>
      </c>
      <c r="F82" s="542" t="s">
        <v>660</v>
      </c>
      <c r="G82" s="543" t="b">
        <f>IF(A82="","",IF(Daten!$AE$4=0,TRUE,MONTH(A82)=Daten!$AE$4))</f>
        <v>1</v>
      </c>
      <c r="H82" s="537" t="s">
        <v>423</v>
      </c>
      <c r="I82" s="544" t="s">
        <v>57</v>
      </c>
      <c r="J82" s="544"/>
      <c r="K82" s="542" t="s">
        <v>655</v>
      </c>
      <c r="L82" s="545"/>
      <c r="M82" s="551"/>
      <c r="N82" s="551"/>
      <c r="O82" s="551"/>
      <c r="P82" s="551"/>
      <c r="Q82" s="551"/>
      <c r="R82" s="551"/>
      <c r="S82" s="551"/>
      <c r="T82" s="551">
        <v>-497</v>
      </c>
      <c r="U82" s="551"/>
      <c r="V82" s="551"/>
      <c r="W82" s="551"/>
      <c r="X82" s="551"/>
      <c r="Y82" s="551"/>
      <c r="Z82" s="551"/>
    </row>
    <row r="83" spans="1:26" x14ac:dyDescent="0.35">
      <c r="A83" s="533">
        <v>45695</v>
      </c>
      <c r="B83" s="534">
        <v>75.239999999999995</v>
      </c>
      <c r="C83" s="535" t="s">
        <v>355</v>
      </c>
      <c r="D83" s="535" t="s">
        <v>556</v>
      </c>
      <c r="E83" s="535" t="s">
        <v>706</v>
      </c>
      <c r="F83" s="535" t="s">
        <v>691</v>
      </c>
      <c r="G83" s="536" t="b">
        <f>IF(A83="","",IF(Daten!$AE$4=0,TRUE,MONTH(A83)=Daten!$AE$4))</f>
        <v>1</v>
      </c>
      <c r="H83" s="537" t="s">
        <v>278</v>
      </c>
      <c r="I83" s="538" t="s">
        <v>57</v>
      </c>
      <c r="J83" s="538"/>
      <c r="K83" s="535" t="s">
        <v>655</v>
      </c>
      <c r="L83" s="539"/>
      <c r="M83" s="550"/>
      <c r="N83" s="550"/>
      <c r="O83" s="550"/>
      <c r="P83" s="550"/>
      <c r="Q83" s="550"/>
      <c r="R83" s="550"/>
      <c r="S83" s="550">
        <v>75.239999999999995</v>
      </c>
      <c r="T83" s="550"/>
      <c r="U83" s="550"/>
      <c r="V83" s="550"/>
      <c r="W83" s="550"/>
      <c r="X83" s="550"/>
      <c r="Y83" s="550"/>
      <c r="Z83" s="550"/>
    </row>
    <row r="84" spans="1:26" x14ac:dyDescent="0.35">
      <c r="A84" s="540">
        <v>45695</v>
      </c>
      <c r="B84" s="541">
        <v>108.63</v>
      </c>
      <c r="C84" s="542" t="s">
        <v>355</v>
      </c>
      <c r="D84" s="542" t="s">
        <v>556</v>
      </c>
      <c r="E84" s="542" t="s">
        <v>707</v>
      </c>
      <c r="F84" s="542" t="s">
        <v>691</v>
      </c>
      <c r="G84" s="543" t="b">
        <f>IF(A84="","",IF(Daten!$AE$4=0,TRUE,MONTH(A84)=Daten!$AE$4))</f>
        <v>1</v>
      </c>
      <c r="H84" s="537" t="s">
        <v>391</v>
      </c>
      <c r="I84" s="544" t="s">
        <v>57</v>
      </c>
      <c r="J84" s="544"/>
      <c r="K84" s="542" t="s">
        <v>655</v>
      </c>
      <c r="L84" s="545"/>
      <c r="M84" s="551"/>
      <c r="N84" s="551"/>
      <c r="O84" s="551"/>
      <c r="P84" s="551"/>
      <c r="Q84" s="551"/>
      <c r="R84" s="551"/>
      <c r="S84" s="551">
        <v>108.63</v>
      </c>
      <c r="T84" s="551"/>
      <c r="U84" s="551"/>
      <c r="V84" s="551"/>
      <c r="W84" s="551"/>
      <c r="X84" s="551"/>
      <c r="Y84" s="551"/>
      <c r="Z84" s="551"/>
    </row>
    <row r="85" spans="1:26" x14ac:dyDescent="0.35">
      <c r="A85" s="533">
        <v>45702</v>
      </c>
      <c r="B85" s="534">
        <v>84.18</v>
      </c>
      <c r="C85" s="535" t="s">
        <v>355</v>
      </c>
      <c r="D85" s="535" t="s">
        <v>556</v>
      </c>
      <c r="E85" s="535" t="s">
        <v>705</v>
      </c>
      <c r="F85" s="535" t="s">
        <v>691</v>
      </c>
      <c r="G85" s="536" t="b">
        <f>IF(A85="","",IF(Daten!$AE$4=0,TRUE,MONTH(A85)=Daten!$AE$4))</f>
        <v>1</v>
      </c>
      <c r="H85" s="537" t="s">
        <v>275</v>
      </c>
      <c r="I85" s="538" t="s">
        <v>57</v>
      </c>
      <c r="J85" s="538"/>
      <c r="K85" s="535" t="s">
        <v>655</v>
      </c>
      <c r="L85" s="539"/>
      <c r="M85" s="550"/>
      <c r="N85" s="550"/>
      <c r="O85" s="550"/>
      <c r="P85" s="550"/>
      <c r="Q85" s="550"/>
      <c r="R85" s="550"/>
      <c r="S85" s="550">
        <v>84.18</v>
      </c>
      <c r="T85" s="550"/>
      <c r="U85" s="550"/>
      <c r="V85" s="550"/>
      <c r="W85" s="550"/>
      <c r="X85" s="550"/>
      <c r="Y85" s="550"/>
      <c r="Z85" s="550"/>
    </row>
    <row r="86" spans="1:26" x14ac:dyDescent="0.35">
      <c r="A86" s="540">
        <v>45705</v>
      </c>
      <c r="B86" s="541">
        <v>112.57</v>
      </c>
      <c r="C86" s="542" t="s">
        <v>566</v>
      </c>
      <c r="D86" s="542" t="s">
        <v>545</v>
      </c>
      <c r="E86" s="542" t="s">
        <v>701</v>
      </c>
      <c r="F86" s="542" t="s">
        <v>691</v>
      </c>
      <c r="G86" s="543" t="b">
        <f>IF(A86="","",IF(Daten!$AE$4=0,TRUE,MONTH(A86)=Daten!$AE$4))</f>
        <v>1</v>
      </c>
      <c r="H86" s="537" t="s">
        <v>278</v>
      </c>
      <c r="I86" s="544" t="s">
        <v>375</v>
      </c>
      <c r="J86" s="544"/>
      <c r="K86" s="542" t="s">
        <v>655</v>
      </c>
      <c r="L86" s="545" t="s">
        <v>715</v>
      </c>
      <c r="M86" s="554"/>
      <c r="N86" s="554"/>
      <c r="O86" s="554"/>
      <c r="P86" s="554"/>
      <c r="Q86" s="554"/>
      <c r="R86" s="554"/>
      <c r="S86" s="554">
        <v>112.57</v>
      </c>
      <c r="T86" s="551"/>
      <c r="U86" s="551"/>
      <c r="V86" s="551"/>
      <c r="W86" s="551"/>
      <c r="X86" s="551"/>
      <c r="Y86" s="551"/>
      <c r="Z86" s="551"/>
    </row>
    <row r="87" spans="1:26" x14ac:dyDescent="0.35">
      <c r="A87" s="533">
        <v>45705</v>
      </c>
      <c r="B87" s="534">
        <v>150</v>
      </c>
      <c r="C87" s="535" t="s">
        <v>566</v>
      </c>
      <c r="D87" s="535" t="s">
        <v>545</v>
      </c>
      <c r="E87" s="535" t="s">
        <v>702</v>
      </c>
      <c r="F87" s="535" t="s">
        <v>691</v>
      </c>
      <c r="G87" s="536" t="b">
        <f>IF(A87="","",IF(Daten!$AE$4=0,TRUE,MONTH(A87)=Daten!$AE$4))</f>
        <v>1</v>
      </c>
      <c r="H87" s="537" t="s">
        <v>397</v>
      </c>
      <c r="I87" s="538" t="s">
        <v>57</v>
      </c>
      <c r="J87" s="538"/>
      <c r="K87" s="535" t="s">
        <v>655</v>
      </c>
      <c r="L87" s="539"/>
      <c r="M87" s="550"/>
      <c r="N87" s="550"/>
      <c r="O87" s="550"/>
      <c r="P87" s="550"/>
      <c r="Q87" s="550"/>
      <c r="R87" s="550"/>
      <c r="S87" s="550">
        <v>150</v>
      </c>
      <c r="T87" s="550"/>
      <c r="U87" s="550"/>
      <c r="V87" s="550"/>
      <c r="W87" s="550"/>
      <c r="X87" s="550"/>
      <c r="Y87" s="550"/>
      <c r="Z87" s="550"/>
    </row>
    <row r="88" spans="1:26" x14ac:dyDescent="0.35">
      <c r="A88" s="540">
        <v>45705</v>
      </c>
      <c r="B88" s="541">
        <v>-59.94</v>
      </c>
      <c r="C88" s="542" t="s">
        <v>534</v>
      </c>
      <c r="D88" s="542" t="s">
        <v>535</v>
      </c>
      <c r="E88" s="542" t="s">
        <v>703</v>
      </c>
      <c r="F88" s="542" t="s">
        <v>660</v>
      </c>
      <c r="G88" s="543" t="b">
        <f>IF(A88="","",IF(Daten!$AE$4=0,TRUE,MONTH(A88)=Daten!$AE$4))</f>
        <v>1</v>
      </c>
      <c r="H88" s="537" t="s">
        <v>361</v>
      </c>
      <c r="I88" s="544" t="s">
        <v>57</v>
      </c>
      <c r="J88" s="544"/>
      <c r="K88" s="542" t="s">
        <v>655</v>
      </c>
      <c r="L88" s="545"/>
      <c r="M88" s="551"/>
      <c r="N88" s="551"/>
      <c r="O88" s="551"/>
      <c r="P88" s="551"/>
      <c r="Q88" s="551"/>
      <c r="R88" s="551"/>
      <c r="S88" s="551"/>
      <c r="T88" s="551">
        <v>-59.94</v>
      </c>
      <c r="U88" s="551"/>
      <c r="V88" s="551"/>
      <c r="W88" s="551"/>
      <c r="X88" s="551"/>
      <c r="Y88" s="551"/>
      <c r="Z88" s="551"/>
    </row>
    <row r="89" spans="1:26" x14ac:dyDescent="0.35">
      <c r="A89" s="533">
        <v>45705</v>
      </c>
      <c r="B89" s="534">
        <v>76.75</v>
      </c>
      <c r="C89" s="535" t="s">
        <v>566</v>
      </c>
      <c r="D89" s="535" t="s">
        <v>545</v>
      </c>
      <c r="E89" s="535" t="s">
        <v>704</v>
      </c>
      <c r="F89" s="535" t="s">
        <v>692</v>
      </c>
      <c r="G89" s="536" t="b">
        <f>IF(A89="","",IF(Daten!$AE$4=0,TRUE,MONTH(A89)=Daten!$AE$4))</f>
        <v>1</v>
      </c>
      <c r="H89" s="537" t="s">
        <v>275</v>
      </c>
      <c r="I89" s="538" t="s">
        <v>57</v>
      </c>
      <c r="J89" s="538"/>
      <c r="K89" s="535" t="s">
        <v>655</v>
      </c>
      <c r="L89" s="539"/>
      <c r="M89" s="550"/>
      <c r="N89" s="550"/>
      <c r="O89" s="550"/>
      <c r="P89" s="550"/>
      <c r="Q89" s="550"/>
      <c r="R89" s="550"/>
      <c r="S89" s="550">
        <v>76.75</v>
      </c>
      <c r="T89" s="550"/>
      <c r="U89" s="550"/>
      <c r="V89" s="550"/>
      <c r="W89" s="550"/>
      <c r="X89" s="550"/>
      <c r="Y89" s="550"/>
      <c r="Z89" s="550"/>
    </row>
    <row r="90" spans="1:26" x14ac:dyDescent="0.35">
      <c r="A90" s="540">
        <v>45706</v>
      </c>
      <c r="B90" s="541">
        <v>15</v>
      </c>
      <c r="C90" s="542" t="s">
        <v>529</v>
      </c>
      <c r="D90" s="542" t="s">
        <v>530</v>
      </c>
      <c r="E90" s="542" t="s">
        <v>662</v>
      </c>
      <c r="F90" s="542" t="s">
        <v>654</v>
      </c>
      <c r="G90" s="543" t="b">
        <f>IF(A90="","",IF(Daten!$AE$4=0,TRUE,MONTH(A90)=Daten!$AE$4))</f>
        <v>1</v>
      </c>
      <c r="H90" s="537" t="s">
        <v>387</v>
      </c>
      <c r="I90" s="544" t="s">
        <v>57</v>
      </c>
      <c r="J90" s="544"/>
      <c r="K90" s="542" t="s">
        <v>655</v>
      </c>
      <c r="L90" s="545"/>
      <c r="M90" s="551"/>
      <c r="N90" s="551"/>
      <c r="O90" s="551"/>
      <c r="P90" s="551"/>
      <c r="Q90" s="551"/>
      <c r="R90" s="551"/>
      <c r="S90" s="551">
        <v>15</v>
      </c>
      <c r="T90" s="551"/>
      <c r="U90" s="551"/>
      <c r="V90" s="551"/>
      <c r="W90" s="551"/>
      <c r="X90" s="551"/>
      <c r="Y90" s="551"/>
      <c r="Z90" s="551"/>
    </row>
    <row r="91" spans="1:26" x14ac:dyDescent="0.35">
      <c r="A91" s="533">
        <v>45706</v>
      </c>
      <c r="B91" s="534">
        <v>326.2</v>
      </c>
      <c r="C91" s="535" t="s">
        <v>546</v>
      </c>
      <c r="D91" s="535" t="s">
        <v>547</v>
      </c>
      <c r="E91" s="535" t="s">
        <v>700</v>
      </c>
      <c r="F91" s="535" t="s">
        <v>691</v>
      </c>
      <c r="G91" s="536" t="b">
        <f>IF(A91="","",IF(Daten!$AE$4=0,TRUE,MONTH(A91)=Daten!$AE$4))</f>
        <v>1</v>
      </c>
      <c r="H91" s="537" t="s">
        <v>625</v>
      </c>
      <c r="I91" s="538" t="s">
        <v>375</v>
      </c>
      <c r="J91" s="538"/>
      <c r="K91" s="535" t="s">
        <v>655</v>
      </c>
      <c r="L91" s="539" t="s">
        <v>715</v>
      </c>
      <c r="M91" s="555"/>
      <c r="N91" s="555"/>
      <c r="O91" s="555"/>
      <c r="P91" s="555"/>
      <c r="Q91" s="555"/>
      <c r="R91" s="555"/>
      <c r="S91" s="555">
        <v>326.2</v>
      </c>
      <c r="T91" s="550"/>
      <c r="U91" s="550"/>
      <c r="V91" s="550"/>
      <c r="W91" s="550"/>
      <c r="X91" s="550"/>
      <c r="Y91" s="550"/>
      <c r="Z91" s="550"/>
    </row>
    <row r="92" spans="1:26" x14ac:dyDescent="0.35">
      <c r="A92" s="540">
        <v>45707</v>
      </c>
      <c r="B92" s="541">
        <v>112.57</v>
      </c>
      <c r="C92" s="542" t="s">
        <v>553</v>
      </c>
      <c r="D92" s="542" t="s">
        <v>554</v>
      </c>
      <c r="E92" s="542" t="s">
        <v>699</v>
      </c>
      <c r="F92" s="542" t="s">
        <v>691</v>
      </c>
      <c r="G92" s="543" t="b">
        <f>IF(A92="","",IF(Daten!$AE$4=0,TRUE,MONTH(A92)=Daten!$AE$4))</f>
        <v>1</v>
      </c>
      <c r="H92" s="537" t="s">
        <v>280</v>
      </c>
      <c r="I92" s="544" t="s">
        <v>57</v>
      </c>
      <c r="J92" s="544"/>
      <c r="K92" s="542" t="s">
        <v>655</v>
      </c>
      <c r="L92" s="545"/>
      <c r="M92" s="551"/>
      <c r="N92" s="551"/>
      <c r="O92" s="551"/>
      <c r="P92" s="551"/>
      <c r="Q92" s="551"/>
      <c r="R92" s="551"/>
      <c r="S92" s="551">
        <v>112.57</v>
      </c>
      <c r="T92" s="551"/>
      <c r="U92" s="551"/>
      <c r="V92" s="551"/>
      <c r="W92" s="551"/>
      <c r="X92" s="551"/>
      <c r="Y92" s="551"/>
      <c r="Z92" s="551"/>
    </row>
    <row r="93" spans="1:26" x14ac:dyDescent="0.35">
      <c r="A93" s="533">
        <v>45708</v>
      </c>
      <c r="B93" s="534">
        <v>112.57</v>
      </c>
      <c r="C93" s="535" t="s">
        <v>44</v>
      </c>
      <c r="D93" s="535" t="s">
        <v>542</v>
      </c>
      <c r="E93" s="535" t="s">
        <v>697</v>
      </c>
      <c r="F93" s="535" t="s">
        <v>691</v>
      </c>
      <c r="G93" s="536" t="b">
        <f>IF(A93="","",IF(Daten!$AE$4=0,TRUE,MONTH(A93)=Daten!$AE$4))</f>
        <v>1</v>
      </c>
      <c r="H93" s="537" t="s">
        <v>278</v>
      </c>
      <c r="I93" s="538" t="s">
        <v>57</v>
      </c>
      <c r="J93" s="538"/>
      <c r="K93" s="535" t="s">
        <v>655</v>
      </c>
      <c r="L93" s="539"/>
      <c r="M93" s="550"/>
      <c r="N93" s="550"/>
      <c r="O93" s="550"/>
      <c r="P93" s="550"/>
      <c r="Q93" s="550"/>
      <c r="R93" s="550"/>
      <c r="S93" s="550">
        <v>112.57</v>
      </c>
      <c r="T93" s="550"/>
      <c r="U93" s="550"/>
      <c r="V93" s="550"/>
      <c r="W93" s="550"/>
      <c r="X93" s="550"/>
      <c r="Y93" s="550"/>
      <c r="Z93" s="550"/>
    </row>
    <row r="94" spans="1:26" x14ac:dyDescent="0.35">
      <c r="A94" s="540">
        <v>45708</v>
      </c>
      <c r="B94" s="541">
        <v>136.09</v>
      </c>
      <c r="C94" s="542" t="s">
        <v>44</v>
      </c>
      <c r="D94" s="542" t="s">
        <v>542</v>
      </c>
      <c r="E94" s="542" t="s">
        <v>698</v>
      </c>
      <c r="F94" s="542" t="s">
        <v>691</v>
      </c>
      <c r="G94" s="543" t="b">
        <f>IF(A94="","",IF(Daten!$AE$4=0,TRUE,MONTH(A94)=Daten!$AE$4))</f>
        <v>1</v>
      </c>
      <c r="H94" s="537" t="s">
        <v>275</v>
      </c>
      <c r="I94" s="544" t="s">
        <v>57</v>
      </c>
      <c r="J94" s="544"/>
      <c r="K94" s="542" t="s">
        <v>655</v>
      </c>
      <c r="L94" s="545"/>
      <c r="M94" s="551"/>
      <c r="N94" s="551"/>
      <c r="O94" s="551"/>
      <c r="P94" s="551"/>
      <c r="Q94" s="551"/>
      <c r="R94" s="551"/>
      <c r="S94" s="551">
        <v>136.09</v>
      </c>
      <c r="T94" s="551"/>
      <c r="U94" s="551"/>
      <c r="V94" s="551"/>
      <c r="W94" s="551"/>
      <c r="X94" s="551"/>
      <c r="Y94" s="551"/>
      <c r="Z94" s="551"/>
    </row>
    <row r="95" spans="1:26" ht="29" x14ac:dyDescent="0.35">
      <c r="A95" s="533">
        <v>45713</v>
      </c>
      <c r="B95" s="534">
        <v>45.14</v>
      </c>
      <c r="C95" s="535" t="s">
        <v>661</v>
      </c>
      <c r="D95" s="535" t="s">
        <v>544</v>
      </c>
      <c r="E95" s="535" t="s">
        <v>696</v>
      </c>
      <c r="F95" s="535" t="s">
        <v>691</v>
      </c>
      <c r="G95" s="536" t="b">
        <f>IF(A95="","",IF(Daten!$AE$4=0,TRUE,MONTH(A95)=Daten!$AE$4))</f>
        <v>1</v>
      </c>
      <c r="H95" s="537" t="s">
        <v>275</v>
      </c>
      <c r="I95" s="557" t="s">
        <v>57</v>
      </c>
      <c r="J95" s="538"/>
      <c r="K95" s="535" t="s">
        <v>655</v>
      </c>
      <c r="L95" s="539" t="s">
        <v>714</v>
      </c>
      <c r="M95" s="550"/>
      <c r="N95" s="550"/>
      <c r="O95" s="550"/>
      <c r="P95" s="550"/>
      <c r="Q95" s="550"/>
      <c r="R95" s="550"/>
      <c r="S95" s="550">
        <v>45.14</v>
      </c>
      <c r="T95" s="550"/>
      <c r="U95" s="550"/>
      <c r="V95" s="550"/>
      <c r="W95" s="550"/>
      <c r="X95" s="550"/>
      <c r="Y95" s="550"/>
      <c r="Z95" s="550"/>
    </row>
    <row r="96" spans="1:26" ht="29" x14ac:dyDescent="0.35">
      <c r="A96" s="540">
        <v>45713</v>
      </c>
      <c r="B96" s="541">
        <v>15</v>
      </c>
      <c r="C96" s="542" t="s">
        <v>553</v>
      </c>
      <c r="D96" s="542" t="s">
        <v>554</v>
      </c>
      <c r="E96" s="542" t="s">
        <v>679</v>
      </c>
      <c r="F96" s="542" t="s">
        <v>654</v>
      </c>
      <c r="G96" s="543" t="b">
        <f>IF(A96="","",IF(Daten!$AE$4=0,TRUE,MONTH(A96)=Daten!$AE$4))</f>
        <v>1</v>
      </c>
      <c r="H96" s="537" t="s">
        <v>387</v>
      </c>
      <c r="I96" s="557" t="s">
        <v>57</v>
      </c>
      <c r="J96" s="544"/>
      <c r="K96" s="542" t="s">
        <v>655</v>
      </c>
      <c r="L96" s="545" t="s">
        <v>714</v>
      </c>
      <c r="M96" s="551"/>
      <c r="N96" s="551"/>
      <c r="O96" s="551"/>
      <c r="P96" s="551"/>
      <c r="Q96" s="551"/>
      <c r="R96" s="551"/>
      <c r="S96" s="551">
        <v>15</v>
      </c>
      <c r="T96" s="551"/>
      <c r="U96" s="551"/>
      <c r="V96" s="551"/>
      <c r="W96" s="551"/>
      <c r="X96" s="551"/>
      <c r="Y96" s="551"/>
      <c r="Z96" s="551"/>
    </row>
    <row r="97" spans="1:26" ht="29" x14ac:dyDescent="0.35">
      <c r="A97" s="533">
        <v>45714</v>
      </c>
      <c r="B97" s="534">
        <v>120</v>
      </c>
      <c r="C97" s="535" t="s">
        <v>661</v>
      </c>
      <c r="D97" s="535" t="s">
        <v>544</v>
      </c>
      <c r="E97" s="535" t="s">
        <v>695</v>
      </c>
      <c r="F97" s="535" t="s">
        <v>691</v>
      </c>
      <c r="G97" s="536" t="b">
        <f>IF(A97="","",IF(Daten!$AE$4=0,TRUE,MONTH(A97)=Daten!$AE$4))</f>
        <v>1</v>
      </c>
      <c r="H97" s="537" t="s">
        <v>397</v>
      </c>
      <c r="I97" s="557" t="s">
        <v>57</v>
      </c>
      <c r="J97" s="538"/>
      <c r="K97" s="535" t="s">
        <v>655</v>
      </c>
      <c r="L97" s="539" t="s">
        <v>714</v>
      </c>
      <c r="M97" s="550"/>
      <c r="N97" s="550"/>
      <c r="O97" s="550"/>
      <c r="P97" s="550"/>
      <c r="Q97" s="550"/>
      <c r="R97" s="550"/>
      <c r="S97" s="550">
        <v>120</v>
      </c>
      <c r="T97" s="550"/>
      <c r="U97" s="550"/>
      <c r="V97" s="550"/>
      <c r="W97" s="550"/>
      <c r="X97" s="550"/>
      <c r="Y97" s="550"/>
      <c r="Z97" s="550"/>
    </row>
    <row r="98" spans="1:26" x14ac:dyDescent="0.35">
      <c r="A98" s="540">
        <v>45714</v>
      </c>
      <c r="B98" s="541">
        <v>7.5</v>
      </c>
      <c r="C98" s="542" t="s">
        <v>559</v>
      </c>
      <c r="D98" s="542" t="s">
        <v>560</v>
      </c>
      <c r="E98" s="542" t="s">
        <v>678</v>
      </c>
      <c r="F98" s="542" t="s">
        <v>654</v>
      </c>
      <c r="G98" s="543" t="b">
        <f>IF(A98="","",IF(Daten!$AE$4=0,TRUE,MONTH(A98)=Daten!$AE$4))</f>
        <v>1</v>
      </c>
      <c r="H98" s="537" t="s">
        <v>282</v>
      </c>
      <c r="I98" s="544" t="s">
        <v>56</v>
      </c>
      <c r="J98" s="544"/>
      <c r="K98" s="542" t="s">
        <v>655</v>
      </c>
      <c r="L98" s="545"/>
      <c r="M98" s="551">
        <v>7.5</v>
      </c>
      <c r="N98" s="551"/>
      <c r="O98" s="551"/>
      <c r="P98" s="551"/>
      <c r="Q98" s="551"/>
      <c r="R98" s="551"/>
      <c r="S98" s="551"/>
      <c r="T98" s="551"/>
      <c r="U98" s="551"/>
      <c r="V98" s="551"/>
      <c r="W98" s="551"/>
      <c r="X98" s="551"/>
      <c r="Y98" s="551"/>
      <c r="Z98" s="551"/>
    </row>
    <row r="99" spans="1:26" x14ac:dyDescent="0.35">
      <c r="A99" s="533">
        <v>45715</v>
      </c>
      <c r="B99" s="534">
        <v>7.5</v>
      </c>
      <c r="C99" s="535" t="s">
        <v>553</v>
      </c>
      <c r="D99" s="535" t="s">
        <v>554</v>
      </c>
      <c r="E99" s="535" t="s">
        <v>677</v>
      </c>
      <c r="F99" s="535" t="s">
        <v>654</v>
      </c>
      <c r="G99" s="536" t="b">
        <f>IF(A99="","",IF(Daten!$AE$4=0,TRUE,MONTH(A99)=Daten!$AE$4))</f>
        <v>1</v>
      </c>
      <c r="H99" s="537" t="s">
        <v>282</v>
      </c>
      <c r="I99" s="538" t="s">
        <v>56</v>
      </c>
      <c r="J99" s="538"/>
      <c r="K99" s="535" t="s">
        <v>655</v>
      </c>
      <c r="L99" s="539"/>
      <c r="M99" s="550">
        <v>7.5</v>
      </c>
      <c r="N99" s="550"/>
      <c r="O99" s="550"/>
      <c r="P99" s="550"/>
      <c r="Q99" s="550"/>
      <c r="R99" s="550"/>
      <c r="S99" s="550"/>
      <c r="T99" s="550"/>
      <c r="U99" s="550"/>
      <c r="V99" s="550"/>
      <c r="W99" s="550"/>
      <c r="X99" s="550"/>
      <c r="Y99" s="550"/>
      <c r="Z99" s="550"/>
    </row>
    <row r="100" spans="1:26" x14ac:dyDescent="0.35">
      <c r="A100" s="540">
        <v>45716</v>
      </c>
      <c r="B100" s="541">
        <v>15</v>
      </c>
      <c r="C100" s="542" t="s">
        <v>548</v>
      </c>
      <c r="D100" s="542" t="s">
        <v>549</v>
      </c>
      <c r="E100" s="542" t="s">
        <v>282</v>
      </c>
      <c r="F100" s="542" t="s">
        <v>654</v>
      </c>
      <c r="G100" s="543" t="b">
        <f>IF(A100="","",IF(Daten!$AE$4=0,TRUE,MONTH(A100)=Daten!$AE$4))</f>
        <v>1</v>
      </c>
      <c r="H100" s="537" t="s">
        <v>282</v>
      </c>
      <c r="I100" s="544" t="s">
        <v>56</v>
      </c>
      <c r="J100" s="544"/>
      <c r="K100" s="542" t="s">
        <v>655</v>
      </c>
      <c r="L100" s="545"/>
      <c r="M100" s="551">
        <v>15</v>
      </c>
      <c r="N100" s="551"/>
      <c r="O100" s="551"/>
      <c r="P100" s="551"/>
      <c r="Q100" s="551"/>
      <c r="R100" s="551"/>
      <c r="S100" s="551"/>
      <c r="T100" s="551"/>
      <c r="U100" s="551"/>
      <c r="V100" s="551"/>
      <c r="W100" s="551"/>
      <c r="X100" s="551"/>
      <c r="Y100" s="551"/>
      <c r="Z100" s="551"/>
    </row>
    <row r="101" spans="1:26" x14ac:dyDescent="0.35">
      <c r="A101" s="546">
        <v>45716</v>
      </c>
      <c r="B101" s="552">
        <v>-80.12</v>
      </c>
      <c r="C101" s="547" t="s">
        <v>561</v>
      </c>
      <c r="D101" s="547" t="s">
        <v>562</v>
      </c>
      <c r="E101" s="547" t="s">
        <v>694</v>
      </c>
      <c r="F101" s="547" t="s">
        <v>690</v>
      </c>
      <c r="G101" s="548" t="b">
        <f>IF(A101="","",IF(Daten!$AE$4=0,TRUE,MONTH(A101)=Daten!$AE$4))</f>
        <v>1</v>
      </c>
      <c r="H101" s="556" t="s">
        <v>362</v>
      </c>
      <c r="I101" s="558" t="s">
        <v>57</v>
      </c>
      <c r="J101" s="558"/>
      <c r="K101" s="547" t="s">
        <v>655</v>
      </c>
      <c r="L101" s="559"/>
      <c r="M101" s="553"/>
      <c r="N101" s="553"/>
      <c r="O101" s="553"/>
      <c r="P101" s="553"/>
      <c r="Q101" s="553"/>
      <c r="R101" s="553"/>
      <c r="S101" s="553"/>
      <c r="T101" s="553">
        <v>-80.12</v>
      </c>
      <c r="U101" s="553"/>
      <c r="V101" s="553"/>
      <c r="W101" s="553"/>
      <c r="X101" s="553"/>
      <c r="Y101" s="553"/>
      <c r="Z101" s="553"/>
    </row>
  </sheetData>
  <sheetProtection sheet="1" objects="1" scenarios="1" selectLockedCells="1"/>
  <autoFilter ref="A27:Z27" xr:uid="{2989E6A1-D645-4B25-8A09-02B4C7F71BF5}"/>
  <sortState xmlns:xlrd2="http://schemas.microsoft.com/office/spreadsheetml/2017/richdata2" ref="A28:Z101">
    <sortCondition ref="A28:A101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dataValidations count="1">
    <dataValidation type="list" errorStyle="information" allowBlank="1" sqref="I28:I101" xr:uid="{6C50D4EA-3199-46A1-BB8A-B33BC2DA6C1F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1485900</xdr:colOff>
                <xdr:row>8</xdr:row>
                <xdr:rowOff>50800</xdr:rowOff>
              </from>
              <to>
                <xdr:col>6</xdr:col>
                <xdr:colOff>1371600</xdr:colOff>
                <xdr:row>15</xdr:row>
                <xdr:rowOff>25400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4">
        <x14:dataValidation type="list" errorStyle="information" allowBlank="1" xr:uid="{BA5A894B-0CE1-4A7B-83A2-48A59DD1A4E6}">
          <x14:formula1>
            <xm:f>Daten!$AF$4:$AF$13</xm:f>
          </x14:formula1>
          <xm:sqref>H28</xm:sqref>
        </x14:dataValidation>
        <x14:dataValidation type="list" errorStyle="information" allowBlank="1" xr:uid="{0E9CE18D-3D3C-4D86-90DC-80981D0429A2}">
          <x14:formula1>
            <xm:f>Daten!$AF$4:$AF$13</xm:f>
          </x14:formula1>
          <xm:sqref>H29</xm:sqref>
        </x14:dataValidation>
        <x14:dataValidation type="list" errorStyle="information" allowBlank="1" xr:uid="{799757D1-1452-4918-9C61-5966CC6DFC6E}">
          <x14:formula1>
            <xm:f>Daten!$AF$4:$AF$13</xm:f>
          </x14:formula1>
          <xm:sqref>H30</xm:sqref>
        </x14:dataValidation>
        <x14:dataValidation type="list" errorStyle="information" allowBlank="1" xr:uid="{2C7B9478-FB5E-4D0B-A3E8-D3714ED7D5CC}">
          <x14:formula1>
            <xm:f>Daten!$AF$4:$AF$13</xm:f>
          </x14:formula1>
          <xm:sqref>H31</xm:sqref>
        </x14:dataValidation>
        <x14:dataValidation type="list" errorStyle="information" allowBlank="1" xr:uid="{26893FA9-9553-44B3-A202-E86BFBCF7CE4}">
          <x14:formula1>
            <xm:f>Daten!$AF$4:$AF$13</xm:f>
          </x14:formula1>
          <xm:sqref>H32</xm:sqref>
        </x14:dataValidation>
        <x14:dataValidation type="list" errorStyle="information" allowBlank="1" xr:uid="{C0F3C75A-E40F-4D79-9E3D-87EA64F82726}">
          <x14:formula1>
            <xm:f>Daten!$AF$4:$AF$13</xm:f>
          </x14:formula1>
          <xm:sqref>H33</xm:sqref>
        </x14:dataValidation>
        <x14:dataValidation type="list" errorStyle="information" allowBlank="1" xr:uid="{0F99C609-C425-47B0-8A79-58859E0E3C6F}">
          <x14:formula1>
            <xm:f>Daten!$AF$4:$AF$13</xm:f>
          </x14:formula1>
          <xm:sqref>H34</xm:sqref>
        </x14:dataValidation>
        <x14:dataValidation type="list" errorStyle="information" allowBlank="1" xr:uid="{B245F852-A4AD-4E38-B7A4-46E47A21D93B}">
          <x14:formula1>
            <xm:f>Daten!$AF$4:$AF$13</xm:f>
          </x14:formula1>
          <xm:sqref>H35</xm:sqref>
        </x14:dataValidation>
        <x14:dataValidation type="list" errorStyle="information" allowBlank="1" xr:uid="{866DB64B-0FEA-4D25-8F65-D27CA53546C6}">
          <x14:formula1>
            <xm:f>Daten!$AF$4:$AF$13</xm:f>
          </x14:formula1>
          <xm:sqref>H36</xm:sqref>
        </x14:dataValidation>
        <x14:dataValidation type="list" errorStyle="information" allowBlank="1" xr:uid="{14B1C0CB-10D0-40B4-84D3-12C4038B60B6}">
          <x14:formula1>
            <xm:f>Daten!$AF$4:$AF$13</xm:f>
          </x14:formula1>
          <xm:sqref>H37</xm:sqref>
        </x14:dataValidation>
        <x14:dataValidation type="list" errorStyle="information" allowBlank="1" xr:uid="{86B8C3E3-3BF0-4778-931C-FF7BD112CF8F}">
          <x14:formula1>
            <xm:f>Daten!$AF$4:$AF$13</xm:f>
          </x14:formula1>
          <xm:sqref>H38</xm:sqref>
        </x14:dataValidation>
        <x14:dataValidation type="list" errorStyle="information" allowBlank="1" xr:uid="{B59826F4-DFCC-4C4A-8B89-AC86E2E8EC3F}">
          <x14:formula1>
            <xm:f>Daten!$AF$4:$AF$13</xm:f>
          </x14:formula1>
          <xm:sqref>H39</xm:sqref>
        </x14:dataValidation>
        <x14:dataValidation type="list" errorStyle="information" allowBlank="1" xr:uid="{382E7D27-5237-48E2-844D-6D08B04DCBFB}">
          <x14:formula1>
            <xm:f>Daten!$AF$4:$AF$13</xm:f>
          </x14:formula1>
          <xm:sqref>H40</xm:sqref>
        </x14:dataValidation>
        <x14:dataValidation type="list" errorStyle="information" allowBlank="1" xr:uid="{C671438D-F6B2-480F-B6A6-A30589DB3951}">
          <x14:formula1>
            <xm:f>Daten!$AF$4:$AF$13</xm:f>
          </x14:formula1>
          <xm:sqref>H41</xm:sqref>
        </x14:dataValidation>
        <x14:dataValidation type="list" errorStyle="information" allowBlank="1" xr:uid="{97060022-10DA-4252-A364-38BFEE52C83F}">
          <x14:formula1>
            <xm:f>Daten!$AF$4:$AF$13</xm:f>
          </x14:formula1>
          <xm:sqref>H42</xm:sqref>
        </x14:dataValidation>
        <x14:dataValidation type="list" errorStyle="information" allowBlank="1" xr:uid="{BED6730E-E342-4C5D-875D-F3C36121209D}">
          <x14:formula1>
            <xm:f>Daten!$AF$4:$AF$13</xm:f>
          </x14:formula1>
          <xm:sqref>H43</xm:sqref>
        </x14:dataValidation>
        <x14:dataValidation type="list" errorStyle="information" allowBlank="1" xr:uid="{94AD1D57-7374-4BA0-90BD-AC273592078A}">
          <x14:formula1>
            <xm:f>Daten!$AF$4:$AF$13</xm:f>
          </x14:formula1>
          <xm:sqref>H44</xm:sqref>
        </x14:dataValidation>
        <x14:dataValidation type="list" errorStyle="information" allowBlank="1" xr:uid="{1DE7AF60-35E1-46E5-AD69-F4ABF907C40D}">
          <x14:formula1>
            <xm:f>Daten!$AF$4:$AF$13</xm:f>
          </x14:formula1>
          <xm:sqref>H45</xm:sqref>
        </x14:dataValidation>
        <x14:dataValidation type="list" errorStyle="information" allowBlank="1" xr:uid="{8ACBECB2-5F98-41F5-8BD1-24B61334E869}">
          <x14:formula1>
            <xm:f>Daten!$AF$4:$AF$13</xm:f>
          </x14:formula1>
          <xm:sqref>H46</xm:sqref>
        </x14:dataValidation>
        <x14:dataValidation type="list" errorStyle="information" allowBlank="1" xr:uid="{F61B36C5-8A72-4CBC-93BF-303083979BC7}">
          <x14:formula1>
            <xm:f>Daten!$AF$4:$AF$13</xm:f>
          </x14:formula1>
          <xm:sqref>H47</xm:sqref>
        </x14:dataValidation>
        <x14:dataValidation type="list" errorStyle="information" allowBlank="1" xr:uid="{24D1E26D-D4B9-49BE-8075-7C1F2AEE97F5}">
          <x14:formula1>
            <xm:f>Daten!$AF$4:$AF$13</xm:f>
          </x14:formula1>
          <xm:sqref>H48</xm:sqref>
        </x14:dataValidation>
        <x14:dataValidation type="list" errorStyle="information" allowBlank="1" xr:uid="{E62DFB26-13A9-4924-9A0A-57BD33E16F43}">
          <x14:formula1>
            <xm:f>Daten!$AG$4:$AG$18</xm:f>
          </x14:formula1>
          <xm:sqref>H49</xm:sqref>
        </x14:dataValidation>
        <x14:dataValidation type="list" errorStyle="information" allowBlank="1" xr:uid="{4888898A-AB65-458B-ADAE-72426364793B}">
          <x14:formula1>
            <xm:f>Daten!$AG$4:$AG$18</xm:f>
          </x14:formula1>
          <xm:sqref>H50</xm:sqref>
        </x14:dataValidation>
        <x14:dataValidation type="list" errorStyle="information" allowBlank="1" xr:uid="{79DDC2C0-C651-4035-8DCE-501CE9DF1AFE}">
          <x14:formula1>
            <xm:f>Daten!$AF$4:$AF$13</xm:f>
          </x14:formula1>
          <xm:sqref>H51</xm:sqref>
        </x14:dataValidation>
        <x14:dataValidation type="list" errorStyle="information" allowBlank="1" xr:uid="{4C085560-37A2-4B44-9CE9-FFA07BCF9687}">
          <x14:formula1>
            <xm:f>Daten!$AF$4:$AF$13</xm:f>
          </x14:formula1>
          <xm:sqref>H52</xm:sqref>
        </x14:dataValidation>
        <x14:dataValidation type="list" errorStyle="information" allowBlank="1" xr:uid="{5676C361-C9D4-4B44-BBE1-7E25BE8134C8}">
          <x14:formula1>
            <xm:f>Daten!$AF$4:$AF$13</xm:f>
          </x14:formula1>
          <xm:sqref>H53</xm:sqref>
        </x14:dataValidation>
        <x14:dataValidation type="list" errorStyle="information" allowBlank="1" xr:uid="{CE2BC3CE-584D-4A97-82EB-5D844E5027F5}">
          <x14:formula1>
            <xm:f>Daten!$AF$4:$AF$13</xm:f>
          </x14:formula1>
          <xm:sqref>H54</xm:sqref>
        </x14:dataValidation>
        <x14:dataValidation type="list" errorStyle="information" allowBlank="1" xr:uid="{45C86F45-CCE2-4BAE-87A2-84E3D21AEA96}">
          <x14:formula1>
            <xm:f>Daten!$AF$4:$AF$13</xm:f>
          </x14:formula1>
          <xm:sqref>H55</xm:sqref>
        </x14:dataValidation>
        <x14:dataValidation type="list" errorStyle="information" allowBlank="1" xr:uid="{BF8BD1F1-8476-4391-984A-3B853BA8CE40}">
          <x14:formula1>
            <xm:f>Daten!$AF$4:$AF$13</xm:f>
          </x14:formula1>
          <xm:sqref>H56</xm:sqref>
        </x14:dataValidation>
        <x14:dataValidation type="list" errorStyle="information" allowBlank="1" xr:uid="{1B32371A-FF7B-4856-9F42-EB1C19F36DBB}">
          <x14:formula1>
            <xm:f>Daten!$AF$4:$AF$13</xm:f>
          </x14:formula1>
          <xm:sqref>H57</xm:sqref>
        </x14:dataValidation>
        <x14:dataValidation type="list" errorStyle="information" allowBlank="1" xr:uid="{D65086DF-FBC3-4084-A12C-2D132C110AF6}">
          <x14:formula1>
            <xm:f>Daten!$AF$4:$AF$13</xm:f>
          </x14:formula1>
          <xm:sqref>H58</xm:sqref>
        </x14:dataValidation>
        <x14:dataValidation type="list" errorStyle="information" allowBlank="1" xr:uid="{6982F22F-3421-4F8D-AD0F-9EDC2C411110}">
          <x14:formula1>
            <xm:f>Daten!$AF$4:$AF$13</xm:f>
          </x14:formula1>
          <xm:sqref>H59</xm:sqref>
        </x14:dataValidation>
        <x14:dataValidation type="list" errorStyle="information" allowBlank="1" xr:uid="{15C38F65-DD12-472B-B806-47401FD92A5D}">
          <x14:formula1>
            <xm:f>Daten!$AF$4:$AF$13</xm:f>
          </x14:formula1>
          <xm:sqref>H60</xm:sqref>
        </x14:dataValidation>
        <x14:dataValidation type="list" errorStyle="information" allowBlank="1" xr:uid="{B23205B7-2305-4660-9D4C-14F3B9B8E857}">
          <x14:formula1>
            <xm:f>Daten!$AF$4:$AF$13</xm:f>
          </x14:formula1>
          <xm:sqref>H61</xm:sqref>
        </x14:dataValidation>
        <x14:dataValidation type="list" errorStyle="information" allowBlank="1" xr:uid="{B507924E-8027-4EB3-858E-A4DF588DC66F}">
          <x14:formula1>
            <xm:f>Daten!$AF$4:$AF$13</xm:f>
          </x14:formula1>
          <xm:sqref>H62</xm:sqref>
        </x14:dataValidation>
        <x14:dataValidation type="list" errorStyle="information" allowBlank="1" xr:uid="{8570132F-DCBC-46FB-8646-1CFC55810ECC}">
          <x14:formula1>
            <xm:f>Daten!$AF$4:$AF$13</xm:f>
          </x14:formula1>
          <xm:sqref>H63</xm:sqref>
        </x14:dataValidation>
        <x14:dataValidation type="list" errorStyle="information" allowBlank="1" xr:uid="{D37729A6-B8E2-4155-A3C6-AE045C50B6C7}">
          <x14:formula1>
            <xm:f>Daten!$AF$4:$AF$13</xm:f>
          </x14:formula1>
          <xm:sqref>H64</xm:sqref>
        </x14:dataValidation>
        <x14:dataValidation type="list" errorStyle="information" allowBlank="1" xr:uid="{3FD5F36A-41FB-4CFB-A9EF-0817DC87A5D8}">
          <x14:formula1>
            <xm:f>Daten!$AF$4:$AF$13</xm:f>
          </x14:formula1>
          <xm:sqref>H65</xm:sqref>
        </x14:dataValidation>
        <x14:dataValidation type="list" errorStyle="information" allowBlank="1" xr:uid="{6BF9E344-78D9-4CCF-AD88-D1A3A5B37067}">
          <x14:formula1>
            <xm:f>Daten!$AF$4:$AF$13</xm:f>
          </x14:formula1>
          <xm:sqref>H66</xm:sqref>
        </x14:dataValidation>
        <x14:dataValidation type="list" errorStyle="information" allowBlank="1" xr:uid="{4A55A9DB-3545-470B-AA7F-B7FF73F44333}">
          <x14:formula1>
            <xm:f>Daten!$AF$4:$AF$13</xm:f>
          </x14:formula1>
          <xm:sqref>H67</xm:sqref>
        </x14:dataValidation>
        <x14:dataValidation type="list" errorStyle="information" allowBlank="1" xr:uid="{3DE20A9A-487E-4DA4-800C-0EAB711B48C0}">
          <x14:formula1>
            <xm:f>Daten!$AF$4:$AF$13</xm:f>
          </x14:formula1>
          <xm:sqref>H68</xm:sqref>
        </x14:dataValidation>
        <x14:dataValidation type="list" errorStyle="information" allowBlank="1" xr:uid="{160316ED-9B67-47DF-898C-890ACA7442B8}">
          <x14:formula1>
            <xm:f>Daten!$AF$4:$AF$13</xm:f>
          </x14:formula1>
          <xm:sqref>H69</xm:sqref>
        </x14:dataValidation>
        <x14:dataValidation type="list" errorStyle="information" allowBlank="1" xr:uid="{A2563348-EB36-432A-A6A2-300B448B6AFF}">
          <x14:formula1>
            <xm:f>Daten!$AF$4:$AF$13</xm:f>
          </x14:formula1>
          <xm:sqref>H70</xm:sqref>
        </x14:dataValidation>
        <x14:dataValidation type="list" errorStyle="information" allowBlank="1" xr:uid="{49DA72CF-9F75-4E30-9E3D-083948A8DF80}">
          <x14:formula1>
            <xm:f>Daten!$AF$4:$AF$13</xm:f>
          </x14:formula1>
          <xm:sqref>H71</xm:sqref>
        </x14:dataValidation>
        <x14:dataValidation type="list" errorStyle="information" allowBlank="1" xr:uid="{F005183F-730B-447B-9912-83A399308235}">
          <x14:formula1>
            <xm:f>Daten!$AF$4:$AF$13</xm:f>
          </x14:formula1>
          <xm:sqref>H72</xm:sqref>
        </x14:dataValidation>
        <x14:dataValidation type="list" errorStyle="information" allowBlank="1" xr:uid="{28CA612C-9835-4CE6-98C3-D1CCF96B0354}">
          <x14:formula1>
            <xm:f>Daten!$AF$4:$AF$13</xm:f>
          </x14:formula1>
          <xm:sqref>H73</xm:sqref>
        </x14:dataValidation>
        <x14:dataValidation type="list" errorStyle="information" allowBlank="1" xr:uid="{7C99F62C-2459-4E9E-8779-2CA83A6208B5}">
          <x14:formula1>
            <xm:f>Daten!$AG$4:$AG$18</xm:f>
          </x14:formula1>
          <xm:sqref>H74</xm:sqref>
        </x14:dataValidation>
        <x14:dataValidation type="list" errorStyle="information" allowBlank="1" xr:uid="{E0B4A585-8B7E-4DF5-B4EC-A505ED32D876}">
          <x14:formula1>
            <xm:f>Daten!$AF$4:$AF$13</xm:f>
          </x14:formula1>
          <xm:sqref>H75</xm:sqref>
        </x14:dataValidation>
        <x14:dataValidation type="list" errorStyle="information" allowBlank="1" xr:uid="{4DF8C855-4489-4393-9F75-CD56258BAFD4}">
          <x14:formula1>
            <xm:f>Daten!$AF$4:$AF$13</xm:f>
          </x14:formula1>
          <xm:sqref>H76</xm:sqref>
        </x14:dataValidation>
        <x14:dataValidation type="list" errorStyle="information" allowBlank="1" xr:uid="{7E4F6203-1D45-43FD-B689-FB8163AF89EB}">
          <x14:formula1>
            <xm:f>Daten!$AF$4:$AF$13</xm:f>
          </x14:formula1>
          <xm:sqref>H77</xm:sqref>
        </x14:dataValidation>
        <x14:dataValidation type="list" errorStyle="information" allowBlank="1" xr:uid="{2CC94233-85E9-47D6-BFDD-AC6D7DD6A191}">
          <x14:formula1>
            <xm:f>Daten!$AG$4:$AG$18</xm:f>
          </x14:formula1>
          <xm:sqref>H78</xm:sqref>
        </x14:dataValidation>
        <x14:dataValidation type="list" errorStyle="information" allowBlank="1" xr:uid="{96CB4109-BE3F-48CF-AD70-D950ADF30CD9}">
          <x14:formula1>
            <xm:f>Daten!$AF$4:$AF$13</xm:f>
          </x14:formula1>
          <xm:sqref>H79</xm:sqref>
        </x14:dataValidation>
        <x14:dataValidation type="list" errorStyle="information" allowBlank="1" xr:uid="{DBF36196-D993-43F1-BBC5-A621B0C6F218}">
          <x14:formula1>
            <xm:f>Daten!$AF$4:$AF$13</xm:f>
          </x14:formula1>
          <xm:sqref>H80</xm:sqref>
        </x14:dataValidation>
        <x14:dataValidation type="list" errorStyle="information" allowBlank="1" xr:uid="{D79D060B-F641-4FA9-95D7-0105888D24E1}">
          <x14:formula1>
            <xm:f>Daten!$AF$4:$AF$13</xm:f>
          </x14:formula1>
          <xm:sqref>H81</xm:sqref>
        </x14:dataValidation>
        <x14:dataValidation type="list" errorStyle="information" allowBlank="1" xr:uid="{3E0E2468-7674-427C-BD66-0B6500B1E122}">
          <x14:formula1>
            <xm:f>Daten!$AG$4:$AG$18</xm:f>
          </x14:formula1>
          <xm:sqref>H82</xm:sqref>
        </x14:dataValidation>
        <x14:dataValidation type="list" errorStyle="information" allowBlank="1" xr:uid="{0ADFEAAD-FEDE-4AD6-BB35-EECEE7778187}">
          <x14:formula1>
            <xm:f>Daten!$AF$4:$AF$13</xm:f>
          </x14:formula1>
          <xm:sqref>H83</xm:sqref>
        </x14:dataValidation>
        <x14:dataValidation type="list" errorStyle="information" allowBlank="1" xr:uid="{F4F48E69-CDDA-4FEF-8F41-B531EC5F6748}">
          <x14:formula1>
            <xm:f>Daten!$AF$4:$AF$13</xm:f>
          </x14:formula1>
          <xm:sqref>H84</xm:sqref>
        </x14:dataValidation>
        <x14:dataValidation type="list" errorStyle="information" allowBlank="1" xr:uid="{6EC16EC5-EE05-44A9-A154-6B60A542664D}">
          <x14:formula1>
            <xm:f>Daten!$AF$4:$AF$13</xm:f>
          </x14:formula1>
          <xm:sqref>H85</xm:sqref>
        </x14:dataValidation>
        <x14:dataValidation type="list" errorStyle="information" allowBlank="1" xr:uid="{2B95F845-AC75-49C5-9904-A2EAD2C1BC4E}">
          <x14:formula1>
            <xm:f>Daten!$AF$4:$AF$13</xm:f>
          </x14:formula1>
          <xm:sqref>H86</xm:sqref>
        </x14:dataValidation>
        <x14:dataValidation type="list" errorStyle="information" allowBlank="1" xr:uid="{BDF634D5-8469-4ECD-803F-C280E66992FD}">
          <x14:formula1>
            <xm:f>Daten!$AF$4:$AF$13</xm:f>
          </x14:formula1>
          <xm:sqref>H87</xm:sqref>
        </x14:dataValidation>
        <x14:dataValidation type="list" errorStyle="information" allowBlank="1" xr:uid="{248F0332-43B1-4BE9-AA36-8736795BF506}">
          <x14:formula1>
            <xm:f>Daten!$AG$4:$AG$18</xm:f>
          </x14:formula1>
          <xm:sqref>H88</xm:sqref>
        </x14:dataValidation>
        <x14:dataValidation type="list" errorStyle="information" allowBlank="1" xr:uid="{29FE64D6-E7C8-4170-8190-770BDD9A4C15}">
          <x14:formula1>
            <xm:f>Daten!$AF$4:$AF$13</xm:f>
          </x14:formula1>
          <xm:sqref>H89</xm:sqref>
        </x14:dataValidation>
        <x14:dataValidation type="list" errorStyle="information" allowBlank="1" xr:uid="{68B64825-0184-48FA-B4BA-810CC23B5D23}">
          <x14:formula1>
            <xm:f>Daten!$AF$4:$AF$13</xm:f>
          </x14:formula1>
          <xm:sqref>H90</xm:sqref>
        </x14:dataValidation>
        <x14:dataValidation type="list" errorStyle="information" allowBlank="1" xr:uid="{1CB7CB83-5CE9-4290-BE17-2E0E396A3C7A}">
          <x14:formula1>
            <xm:f>Daten!$AF$4:$AF$13</xm:f>
          </x14:formula1>
          <xm:sqref>H91</xm:sqref>
        </x14:dataValidation>
        <x14:dataValidation type="list" errorStyle="information" allowBlank="1" xr:uid="{CB57836B-18AC-49E9-8679-128E740A74A2}">
          <x14:formula1>
            <xm:f>Daten!$AF$4:$AF$13</xm:f>
          </x14:formula1>
          <xm:sqref>H92</xm:sqref>
        </x14:dataValidation>
        <x14:dataValidation type="list" errorStyle="information" allowBlank="1" xr:uid="{FA047DD3-9272-49E5-938A-0F29150532E3}">
          <x14:formula1>
            <xm:f>Daten!$AF$4:$AF$13</xm:f>
          </x14:formula1>
          <xm:sqref>H93</xm:sqref>
        </x14:dataValidation>
        <x14:dataValidation type="list" errorStyle="information" allowBlank="1" xr:uid="{175AD0EF-A413-4F98-A64C-038C178C913E}">
          <x14:formula1>
            <xm:f>Daten!$AF$4:$AF$13</xm:f>
          </x14:formula1>
          <xm:sqref>H94</xm:sqref>
        </x14:dataValidation>
        <x14:dataValidation type="list" errorStyle="information" allowBlank="1" xr:uid="{C1C2EBCA-0CA8-4172-9013-7B2D3B40DADB}">
          <x14:formula1>
            <xm:f>Daten!$AF$4:$AF$13</xm:f>
          </x14:formula1>
          <xm:sqref>H95</xm:sqref>
        </x14:dataValidation>
        <x14:dataValidation type="list" errorStyle="information" allowBlank="1" xr:uid="{08D80CE1-ED84-4333-B20F-EBA2C948F10A}">
          <x14:formula1>
            <xm:f>Daten!$AF$4:$AF$13</xm:f>
          </x14:formula1>
          <xm:sqref>H96</xm:sqref>
        </x14:dataValidation>
        <x14:dataValidation type="list" errorStyle="information" allowBlank="1" xr:uid="{AAF6DBCD-D6A3-4820-B6F8-303B44DFA1B8}">
          <x14:formula1>
            <xm:f>Daten!$AF$4:$AF$13</xm:f>
          </x14:formula1>
          <xm:sqref>H97</xm:sqref>
        </x14:dataValidation>
        <x14:dataValidation type="list" errorStyle="information" allowBlank="1" xr:uid="{63246B43-8129-495A-8A99-29024CD9E273}">
          <x14:formula1>
            <xm:f>Daten!$AF$4:$AF$13</xm:f>
          </x14:formula1>
          <xm:sqref>H98</xm:sqref>
        </x14:dataValidation>
        <x14:dataValidation type="list" errorStyle="information" allowBlank="1" xr:uid="{A02D0FFC-E99D-4D44-96FB-8B12BFDB20FD}">
          <x14:formula1>
            <xm:f>Daten!$AF$4:$AF$13</xm:f>
          </x14:formula1>
          <xm:sqref>H99</xm:sqref>
        </x14:dataValidation>
        <x14:dataValidation type="list" errorStyle="information" allowBlank="1" xr:uid="{03314496-D227-452C-9445-CB52236C7BDF}">
          <x14:formula1>
            <xm:f>Daten!$AF$4:$AF$13</xm:f>
          </x14:formula1>
          <xm:sqref>H100</xm:sqref>
        </x14:dataValidation>
        <x14:dataValidation type="list" errorStyle="information" allowBlank="1" xr:uid="{C6A9BC22-2FA3-426C-88AC-A7363FF24ADD}">
          <x14:formula1>
            <xm:f>Daten!$AG$4:$AG$18</xm:f>
          </x14:formula1>
          <xm:sqref>H101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50" customWidth="1"/>
    <col min="2" max="2" width="11.26953125" style="445" customWidth="1"/>
    <col min="3" max="3" width="28.7265625" style="450" customWidth="1"/>
    <col min="4" max="4" width="20.453125" style="450" customWidth="1"/>
    <col min="5" max="5" width="12.26953125" style="450" customWidth="1"/>
    <col min="6" max="6" width="16" style="295" customWidth="1"/>
    <col min="7" max="7" width="18" style="450" customWidth="1"/>
    <col min="8" max="8" width="11.453125" style="450" customWidth="1"/>
    <col min="9" max="9" width="12.7265625" style="450" customWidth="1"/>
    <col min="10" max="10" width="13.54296875" style="450" customWidth="1"/>
    <col min="11" max="11" width="12.453125" style="450" customWidth="1"/>
    <col min="12" max="12" width="18.453125" style="450" customWidth="1"/>
    <col min="13" max="13" width="19.7265625" style="450" customWidth="1"/>
    <col min="14" max="14" width="23.1796875" style="450" customWidth="1"/>
    <col min="15" max="15" width="15.26953125" style="450" customWidth="1"/>
    <col min="16" max="16" width="13.7265625" style="450" customWidth="1"/>
    <col min="17" max="17" width="16.54296875" style="450" customWidth="1"/>
    <col min="18" max="18" width="14.1796875" style="450" customWidth="1"/>
    <col min="19" max="19" width="25.26953125" style="450" customWidth="1"/>
    <col min="20" max="20" width="20.7265625" style="450" customWidth="1"/>
    <col min="21" max="16384" width="11.453125" style="450"/>
  </cols>
  <sheetData>
    <row r="1" spans="1:13" ht="15" thickBot="1" x14ac:dyDescent="0.4">
      <c r="F1" s="450"/>
    </row>
    <row r="2" spans="1:13" ht="21.75" customHeight="1" x14ac:dyDescent="0.35">
      <c r="B2" s="478" t="s">
        <v>445</v>
      </c>
      <c r="C2" s="479"/>
      <c r="D2" s="17">
        <v>0</v>
      </c>
      <c r="F2" s="450"/>
    </row>
    <row r="3" spans="1:13" ht="21.75" customHeight="1" thickBot="1" x14ac:dyDescent="0.4">
      <c r="B3" s="480" t="s">
        <v>446</v>
      </c>
      <c r="C3" s="481"/>
      <c r="D3" s="16" t="s">
        <v>447</v>
      </c>
      <c r="F3" s="450"/>
    </row>
    <row r="4" spans="1:13" x14ac:dyDescent="0.35">
      <c r="F4" s="450"/>
    </row>
    <row r="5" spans="1:13" ht="50.25" customHeight="1" x14ac:dyDescent="0.35">
      <c r="B5" s="482" t="s">
        <v>62</v>
      </c>
      <c r="C5" s="482"/>
      <c r="D5" s="482"/>
      <c r="F5" s="450"/>
      <c r="M5" s="15" t="str">
        <f>C24</f>
        <v>xxx  2024</v>
      </c>
    </row>
    <row r="6" spans="1:13" ht="10.5" customHeight="1" x14ac:dyDescent="0.35">
      <c r="F6" s="450"/>
    </row>
    <row r="7" spans="1:13" x14ac:dyDescent="0.35">
      <c r="A7" s="483" t="s">
        <v>24</v>
      </c>
      <c r="B7" s="12" t="s">
        <v>40</v>
      </c>
      <c r="C7" s="286"/>
      <c r="D7" s="287" t="str">
        <f>IF(SUM(G27:G1048576)=0,"",SUM(G27:G1048576))</f>
        <v/>
      </c>
      <c r="F7" s="450"/>
    </row>
    <row r="8" spans="1:13" x14ac:dyDescent="0.35">
      <c r="A8" s="483"/>
      <c r="B8" s="13" t="s">
        <v>39</v>
      </c>
      <c r="C8" s="288"/>
      <c r="D8" s="289" t="str">
        <f>IF(SUM(H27:H1048576)=0,"",SUM(H27:H1048576))</f>
        <v/>
      </c>
      <c r="F8" s="450"/>
      <c r="I8" s="284"/>
    </row>
    <row r="9" spans="1:13" x14ac:dyDescent="0.35">
      <c r="A9" s="483"/>
      <c r="B9" s="12" t="s">
        <v>38</v>
      </c>
      <c r="C9" s="286"/>
      <c r="D9" s="287" t="str">
        <f>IF(SUM(I27:I1048576)=0,"",SUM(I27:I1048576))</f>
        <v/>
      </c>
      <c r="F9" s="450"/>
      <c r="I9" s="284"/>
    </row>
    <row r="10" spans="1:13" x14ac:dyDescent="0.35">
      <c r="A10" s="483"/>
      <c r="B10" s="13" t="s">
        <v>37</v>
      </c>
      <c r="C10" s="288"/>
      <c r="D10" s="289" t="str">
        <f>IF(SUM(J27:J1048576)=0,"",SUM(J27:J1048576))</f>
        <v/>
      </c>
      <c r="F10" s="450"/>
    </row>
    <row r="11" spans="1:13" x14ac:dyDescent="0.35">
      <c r="A11" s="483"/>
      <c r="B11" s="12" t="s">
        <v>36</v>
      </c>
      <c r="C11" s="286"/>
      <c r="D11" s="287" t="str">
        <f>IF(SUM(K27:K1048576)=0,"",SUM(K27:K1048576))</f>
        <v/>
      </c>
      <c r="F11" s="450"/>
      <c r="I11" s="284"/>
    </row>
    <row r="12" spans="1:13" x14ac:dyDescent="0.35">
      <c r="A12" s="483"/>
      <c r="B12" s="13" t="s">
        <v>32</v>
      </c>
      <c r="C12" s="288"/>
      <c r="D12" s="289" t="str">
        <f>IF(SUM(L27:L1048576)=0,"",SUM(L27:L1048576))</f>
        <v/>
      </c>
      <c r="F12" s="450"/>
      <c r="I12" s="284"/>
    </row>
    <row r="13" spans="1:13" ht="15" thickBot="1" x14ac:dyDescent="0.4">
      <c r="A13" s="483"/>
      <c r="B13" s="12" t="s">
        <v>35</v>
      </c>
      <c r="C13" s="286"/>
      <c r="D13" s="287" t="str">
        <f>IF(SUM(N27:N1048576)=0,"",SUM(N27:N1048576))</f>
        <v/>
      </c>
      <c r="F13" s="450"/>
      <c r="I13" s="284"/>
    </row>
    <row r="14" spans="1:13" ht="19" thickTop="1" x14ac:dyDescent="0.35">
      <c r="A14" s="483"/>
      <c r="B14" s="11" t="s">
        <v>28</v>
      </c>
      <c r="C14" s="290"/>
      <c r="D14" s="291">
        <f>SUM(D7:D13)</f>
        <v>0</v>
      </c>
      <c r="F14" s="450"/>
    </row>
    <row r="15" spans="1:13" ht="15" thickBot="1" x14ac:dyDescent="0.4">
      <c r="A15" s="447"/>
      <c r="B15" s="13" t="s">
        <v>27</v>
      </c>
      <c r="C15" s="288"/>
      <c r="D15" s="289" t="str">
        <f>IF(SUM(N27:N1048576)=0,"",SUM(N27:N1048576))</f>
        <v/>
      </c>
      <c r="F15" s="450"/>
    </row>
    <row r="16" spans="1:13" x14ac:dyDescent="0.35">
      <c r="A16" s="484" t="s">
        <v>23</v>
      </c>
      <c r="B16" s="10" t="s">
        <v>34</v>
      </c>
      <c r="C16" s="9"/>
      <c r="D16" s="8" t="str">
        <f>IF(SUM(O27:O1048576)=0,"",SUM(O27:O1048576))</f>
        <v/>
      </c>
      <c r="F16" s="450"/>
    </row>
    <row r="17" spans="1:20" x14ac:dyDescent="0.35">
      <c r="A17" s="485"/>
      <c r="B17" s="5" t="s">
        <v>33</v>
      </c>
      <c r="C17" s="4"/>
      <c r="D17" s="3" t="str">
        <f>IF(SUM(P27:P1048576)=0,"",SUM(P27:P1048576))</f>
        <v/>
      </c>
      <c r="F17" s="450"/>
    </row>
    <row r="18" spans="1:20" x14ac:dyDescent="0.35">
      <c r="A18" s="485"/>
      <c r="B18" s="1" t="s">
        <v>32</v>
      </c>
      <c r="C18" s="7"/>
      <c r="D18" s="6" t="str">
        <f>IF(SUM(Q27:Q1048576)=0,"",SUM(Q27:Q1048576))</f>
        <v/>
      </c>
      <c r="F18" s="450"/>
    </row>
    <row r="19" spans="1:20" x14ac:dyDescent="0.35">
      <c r="A19" s="485"/>
      <c r="B19" s="5" t="s">
        <v>31</v>
      </c>
      <c r="C19" s="4"/>
      <c r="D19" s="3" t="str">
        <f>IF(SUM(R27:R1048576)=0,"",SUM(R27:R1048576))</f>
        <v/>
      </c>
      <c r="F19" s="450"/>
    </row>
    <row r="20" spans="1:20" x14ac:dyDescent="0.35">
      <c r="A20" s="485"/>
      <c r="B20" s="1" t="s">
        <v>30</v>
      </c>
      <c r="C20" s="7"/>
      <c r="D20" s="6" t="str">
        <f>IF(SUM(S27:S1048576)=0,"",SUM(S27:S1048576))</f>
        <v/>
      </c>
      <c r="F20" s="450"/>
    </row>
    <row r="21" spans="1:20" x14ac:dyDescent="0.35">
      <c r="A21" s="485"/>
      <c r="B21" s="5" t="s">
        <v>29</v>
      </c>
      <c r="C21" s="4"/>
      <c r="D21" s="3" t="str">
        <f>IF(SUM(T27:T1048576)=0,"",SUM(T27:T1048576))</f>
        <v/>
      </c>
      <c r="F21" s="450"/>
    </row>
    <row r="22" spans="1:20" ht="18.5" x14ac:dyDescent="0.35">
      <c r="A22" s="485"/>
      <c r="B22" s="2" t="s">
        <v>28</v>
      </c>
      <c r="C22" s="292"/>
      <c r="D22" s="293">
        <f>SUM(D16:D21)</f>
        <v>0</v>
      </c>
      <c r="F22" s="450"/>
    </row>
    <row r="23" spans="1:20" x14ac:dyDescent="0.35">
      <c r="F23" s="450"/>
    </row>
    <row r="24" spans="1:20" ht="26" x14ac:dyDescent="0.35">
      <c r="B24" s="446" t="s">
        <v>61</v>
      </c>
      <c r="C24" s="486" t="s">
        <v>448</v>
      </c>
      <c r="D24" s="459"/>
      <c r="E24" s="459"/>
      <c r="F24" s="487"/>
      <c r="G24" s="488" t="str">
        <f>B5</f>
        <v>Vereinskasse</v>
      </c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489"/>
      <c r="T24" s="489"/>
    </row>
    <row r="25" spans="1:20" s="285" customFormat="1" ht="21" x14ac:dyDescent="0.35">
      <c r="B25" s="177"/>
      <c r="C25" s="294"/>
      <c r="D25" s="294"/>
      <c r="E25" s="294"/>
      <c r="F25" s="294"/>
      <c r="G25" s="490" t="s">
        <v>24</v>
      </c>
      <c r="H25" s="491"/>
      <c r="I25" s="491"/>
      <c r="J25" s="491"/>
      <c r="K25" s="491"/>
      <c r="L25" s="491"/>
      <c r="M25" s="491"/>
      <c r="N25" s="492"/>
      <c r="O25" s="493" t="s">
        <v>23</v>
      </c>
      <c r="P25" s="494"/>
      <c r="Q25" s="494"/>
      <c r="R25" s="494"/>
      <c r="S25" s="494"/>
      <c r="T25" s="494"/>
    </row>
    <row r="26" spans="1:20" ht="31.5" customHeight="1" x14ac:dyDescent="0.35">
      <c r="B26" s="278" t="s">
        <v>21</v>
      </c>
      <c r="C26" s="279" t="s">
        <v>60</v>
      </c>
      <c r="D26" s="279" t="s">
        <v>19</v>
      </c>
      <c r="E26" s="279" t="s">
        <v>18</v>
      </c>
      <c r="F26" s="279" t="s">
        <v>517</v>
      </c>
      <c r="G26" s="280" t="s">
        <v>17</v>
      </c>
      <c r="H26" s="280" t="s">
        <v>16</v>
      </c>
      <c r="I26" s="280" t="s">
        <v>15</v>
      </c>
      <c r="J26" s="280" t="s">
        <v>14</v>
      </c>
      <c r="K26" s="280" t="s">
        <v>13</v>
      </c>
      <c r="L26" s="280" t="s">
        <v>12</v>
      </c>
      <c r="M26" s="280" t="s">
        <v>11</v>
      </c>
      <c r="N26" s="280" t="s">
        <v>59</v>
      </c>
      <c r="O26" s="281" t="s">
        <v>10</v>
      </c>
      <c r="P26" s="281" t="s">
        <v>9</v>
      </c>
      <c r="Q26" s="281" t="s">
        <v>8</v>
      </c>
      <c r="R26" s="281" t="s">
        <v>7</v>
      </c>
      <c r="S26" s="281" t="s">
        <v>6</v>
      </c>
      <c r="T26" s="282" t="s">
        <v>5</v>
      </c>
    </row>
    <row r="27" spans="1:20" x14ac:dyDescent="0.35">
      <c r="F27" s="457"/>
    </row>
    <row r="28" spans="1:20" x14ac:dyDescent="0.35">
      <c r="F28" s="457"/>
    </row>
    <row r="29" spans="1:20" x14ac:dyDescent="0.35">
      <c r="F29" s="457"/>
    </row>
    <row r="30" spans="1:20" x14ac:dyDescent="0.35">
      <c r="F30" s="457"/>
    </row>
    <row r="31" spans="1:20" x14ac:dyDescent="0.35">
      <c r="F31" s="457"/>
    </row>
    <row r="32" spans="1:20" x14ac:dyDescent="0.35">
      <c r="F32" s="457"/>
    </row>
    <row r="33" spans="6:6" x14ac:dyDescent="0.35">
      <c r="F33" s="457"/>
    </row>
    <row r="34" spans="6:6" x14ac:dyDescent="0.35">
      <c r="F34" s="457"/>
    </row>
    <row r="35" spans="6:6" x14ac:dyDescent="0.35">
      <c r="F35" s="457"/>
    </row>
    <row r="36" spans="6:6" x14ac:dyDescent="0.35">
      <c r="F36" s="457"/>
    </row>
    <row r="37" spans="6:6" x14ac:dyDescent="0.35">
      <c r="F37" s="457"/>
    </row>
    <row r="38" spans="6:6" x14ac:dyDescent="0.35">
      <c r="F38" s="457"/>
    </row>
    <row r="39" spans="6:6" x14ac:dyDescent="0.35">
      <c r="F39" s="457"/>
    </row>
    <row r="40" spans="6:6" x14ac:dyDescent="0.35">
      <c r="F40" s="457"/>
    </row>
    <row r="41" spans="6:6" x14ac:dyDescent="0.35">
      <c r="F41" s="457"/>
    </row>
    <row r="42" spans="6:6" x14ac:dyDescent="0.35">
      <c r="F42" s="457"/>
    </row>
    <row r="43" spans="6:6" x14ac:dyDescent="0.35">
      <c r="F43" s="457"/>
    </row>
    <row r="44" spans="6:6" x14ac:dyDescent="0.35">
      <c r="F44" s="457"/>
    </row>
    <row r="45" spans="6:6" x14ac:dyDescent="0.35">
      <c r="F45" s="457"/>
    </row>
    <row r="46" spans="6:6" x14ac:dyDescent="0.35">
      <c r="F46" s="457"/>
    </row>
    <row r="47" spans="6:6" x14ac:dyDescent="0.35">
      <c r="F47" s="457"/>
    </row>
    <row r="48" spans="6:6" x14ac:dyDescent="0.35">
      <c r="F48" s="457"/>
    </row>
    <row r="49" spans="6:6" x14ac:dyDescent="0.35">
      <c r="F49" s="457"/>
    </row>
    <row r="50" spans="6:6" x14ac:dyDescent="0.35">
      <c r="F50" s="457"/>
    </row>
    <row r="51" spans="6:6" x14ac:dyDescent="0.35">
      <c r="F51" s="457"/>
    </row>
    <row r="52" spans="6:6" x14ac:dyDescent="0.35">
      <c r="F52" s="457"/>
    </row>
    <row r="53" spans="6:6" x14ac:dyDescent="0.35">
      <c r="F53" s="457"/>
    </row>
    <row r="54" spans="6:6" x14ac:dyDescent="0.35">
      <c r="F54" s="457"/>
    </row>
    <row r="55" spans="6:6" x14ac:dyDescent="0.35">
      <c r="F55" s="457"/>
    </row>
    <row r="56" spans="6:6" x14ac:dyDescent="0.35">
      <c r="F56" s="457"/>
    </row>
    <row r="57" spans="6:6" x14ac:dyDescent="0.35">
      <c r="F57" s="457"/>
    </row>
    <row r="58" spans="6:6" x14ac:dyDescent="0.35">
      <c r="F58" s="457"/>
    </row>
    <row r="59" spans="6:6" x14ac:dyDescent="0.35">
      <c r="F59" s="457"/>
    </row>
    <row r="60" spans="6:6" x14ac:dyDescent="0.35">
      <c r="F60" s="457"/>
    </row>
    <row r="61" spans="6:6" x14ac:dyDescent="0.35">
      <c r="F61" s="457"/>
    </row>
    <row r="62" spans="6:6" x14ac:dyDescent="0.35">
      <c r="F62" s="457"/>
    </row>
    <row r="63" spans="6:6" x14ac:dyDescent="0.35">
      <c r="F63" s="457"/>
    </row>
    <row r="64" spans="6:6" x14ac:dyDescent="0.35">
      <c r="F64" s="457"/>
    </row>
    <row r="65" spans="6:6" x14ac:dyDescent="0.35">
      <c r="F65" s="457"/>
    </row>
    <row r="66" spans="6:6" x14ac:dyDescent="0.35">
      <c r="F66" s="457"/>
    </row>
    <row r="67" spans="6:6" x14ac:dyDescent="0.35">
      <c r="F67" s="457"/>
    </row>
    <row r="68" spans="6:6" x14ac:dyDescent="0.35">
      <c r="F68" s="457"/>
    </row>
    <row r="69" spans="6:6" x14ac:dyDescent="0.35">
      <c r="F69" s="457"/>
    </row>
    <row r="70" spans="6:6" x14ac:dyDescent="0.35">
      <c r="F70" s="457"/>
    </row>
    <row r="71" spans="6:6" x14ac:dyDescent="0.35">
      <c r="F71" s="457"/>
    </row>
    <row r="72" spans="6:6" x14ac:dyDescent="0.35">
      <c r="F72" s="457"/>
    </row>
    <row r="73" spans="6:6" x14ac:dyDescent="0.35">
      <c r="F73" s="457"/>
    </row>
    <row r="74" spans="6:6" x14ac:dyDescent="0.35">
      <c r="F74" s="457"/>
    </row>
    <row r="75" spans="6:6" x14ac:dyDescent="0.35">
      <c r="F75" s="457"/>
    </row>
    <row r="76" spans="6:6" x14ac:dyDescent="0.35">
      <c r="F76" s="457"/>
    </row>
    <row r="77" spans="6:6" x14ac:dyDescent="0.35">
      <c r="F77" s="457"/>
    </row>
    <row r="78" spans="6:6" x14ac:dyDescent="0.35">
      <c r="F78" s="457"/>
    </row>
    <row r="79" spans="6:6" x14ac:dyDescent="0.35">
      <c r="F79" s="457"/>
    </row>
    <row r="80" spans="6:6" x14ac:dyDescent="0.35">
      <c r="F80" s="457"/>
    </row>
    <row r="81" spans="6:6" x14ac:dyDescent="0.35">
      <c r="F81" s="457"/>
    </row>
    <row r="82" spans="6:6" x14ac:dyDescent="0.35">
      <c r="F82" s="457"/>
    </row>
    <row r="83" spans="6:6" x14ac:dyDescent="0.35">
      <c r="F83" s="457"/>
    </row>
    <row r="84" spans="6:6" x14ac:dyDescent="0.35">
      <c r="F84" s="457"/>
    </row>
    <row r="85" spans="6:6" x14ac:dyDescent="0.35">
      <c r="F85" s="457"/>
    </row>
    <row r="86" spans="6:6" x14ac:dyDescent="0.35">
      <c r="F86" s="457"/>
    </row>
    <row r="87" spans="6:6" x14ac:dyDescent="0.35">
      <c r="F87" s="457"/>
    </row>
    <row r="88" spans="6:6" x14ac:dyDescent="0.35">
      <c r="F88" s="457"/>
    </row>
    <row r="89" spans="6:6" x14ac:dyDescent="0.35">
      <c r="F89" s="457"/>
    </row>
    <row r="90" spans="6:6" x14ac:dyDescent="0.35">
      <c r="F90" s="457"/>
    </row>
    <row r="91" spans="6:6" x14ac:dyDescent="0.35">
      <c r="F91" s="457"/>
    </row>
    <row r="92" spans="6:6" x14ac:dyDescent="0.35">
      <c r="F92" s="457"/>
    </row>
    <row r="93" spans="6:6" x14ac:dyDescent="0.35">
      <c r="F93" s="457"/>
    </row>
    <row r="94" spans="6:6" x14ac:dyDescent="0.35">
      <c r="F94" s="457"/>
    </row>
    <row r="95" spans="6:6" x14ac:dyDescent="0.35">
      <c r="F95" s="457"/>
    </row>
    <row r="96" spans="6:6" x14ac:dyDescent="0.35">
      <c r="F96" s="457"/>
    </row>
    <row r="97" spans="6:6" x14ac:dyDescent="0.35">
      <c r="F97" s="457"/>
    </row>
    <row r="98" spans="6:6" x14ac:dyDescent="0.35">
      <c r="F98" s="457"/>
    </row>
    <row r="99" spans="6:6" x14ac:dyDescent="0.35">
      <c r="F99" s="457"/>
    </row>
    <row r="100" spans="6:6" x14ac:dyDescent="0.35">
      <c r="F100" s="457"/>
    </row>
    <row r="101" spans="6:6" x14ac:dyDescent="0.35">
      <c r="F101" s="457"/>
    </row>
    <row r="102" spans="6:6" x14ac:dyDescent="0.35">
      <c r="F102" s="457"/>
    </row>
    <row r="103" spans="6:6" x14ac:dyDescent="0.35">
      <c r="F103" s="457"/>
    </row>
    <row r="104" spans="6:6" x14ac:dyDescent="0.35">
      <c r="F104" s="457"/>
    </row>
    <row r="105" spans="6:6" x14ac:dyDescent="0.35">
      <c r="F105" s="457"/>
    </row>
    <row r="106" spans="6:6" x14ac:dyDescent="0.35">
      <c r="F106" s="457"/>
    </row>
    <row r="107" spans="6:6" x14ac:dyDescent="0.35">
      <c r="F107" s="457"/>
    </row>
    <row r="108" spans="6:6" x14ac:dyDescent="0.35">
      <c r="F108" s="457"/>
    </row>
    <row r="109" spans="6:6" x14ac:dyDescent="0.35">
      <c r="F109" s="457"/>
    </row>
    <row r="110" spans="6:6" x14ac:dyDescent="0.35">
      <c r="F110" s="457"/>
    </row>
    <row r="111" spans="6:6" x14ac:dyDescent="0.35">
      <c r="F111" s="457"/>
    </row>
    <row r="112" spans="6:6" x14ac:dyDescent="0.35">
      <c r="F112" s="457"/>
    </row>
    <row r="113" spans="6:6" x14ac:dyDescent="0.35">
      <c r="F113" s="457"/>
    </row>
    <row r="114" spans="6:6" x14ac:dyDescent="0.35">
      <c r="F114" s="457"/>
    </row>
    <row r="115" spans="6:6" x14ac:dyDescent="0.35">
      <c r="F115" s="457"/>
    </row>
    <row r="116" spans="6:6" x14ac:dyDescent="0.35">
      <c r="F116" s="457"/>
    </row>
    <row r="117" spans="6:6" x14ac:dyDescent="0.35">
      <c r="F117" s="457"/>
    </row>
    <row r="118" spans="6:6" x14ac:dyDescent="0.35">
      <c r="F118" s="457"/>
    </row>
    <row r="119" spans="6:6" x14ac:dyDescent="0.35">
      <c r="F119" s="457"/>
    </row>
    <row r="120" spans="6:6" x14ac:dyDescent="0.35">
      <c r="F120" s="457"/>
    </row>
    <row r="121" spans="6:6" x14ac:dyDescent="0.35">
      <c r="F121" s="457"/>
    </row>
    <row r="122" spans="6:6" x14ac:dyDescent="0.35">
      <c r="F122" s="457"/>
    </row>
    <row r="123" spans="6:6" x14ac:dyDescent="0.35">
      <c r="F123" s="457"/>
    </row>
    <row r="124" spans="6:6" x14ac:dyDescent="0.35">
      <c r="F124" s="457"/>
    </row>
    <row r="125" spans="6:6" x14ac:dyDescent="0.35">
      <c r="F125" s="457"/>
    </row>
    <row r="126" spans="6:6" x14ac:dyDescent="0.35">
      <c r="F126" s="457"/>
    </row>
    <row r="127" spans="6:6" x14ac:dyDescent="0.35">
      <c r="F127" s="457"/>
    </row>
    <row r="128" spans="6:6" x14ac:dyDescent="0.35">
      <c r="F128" s="457"/>
    </row>
    <row r="129" spans="6:6" x14ac:dyDescent="0.35">
      <c r="F129" s="457"/>
    </row>
    <row r="130" spans="6:6" x14ac:dyDescent="0.35">
      <c r="F130" s="457"/>
    </row>
    <row r="131" spans="6:6" x14ac:dyDescent="0.35">
      <c r="F131" s="457"/>
    </row>
    <row r="132" spans="6:6" x14ac:dyDescent="0.35">
      <c r="F132" s="457"/>
    </row>
    <row r="133" spans="6:6" x14ac:dyDescent="0.35">
      <c r="F133" s="457"/>
    </row>
    <row r="134" spans="6:6" x14ac:dyDescent="0.35">
      <c r="F134" s="457"/>
    </row>
    <row r="135" spans="6:6" x14ac:dyDescent="0.35">
      <c r="F135" s="457"/>
    </row>
    <row r="136" spans="6:6" x14ac:dyDescent="0.35">
      <c r="F136" s="457"/>
    </row>
    <row r="137" spans="6:6" x14ac:dyDescent="0.35">
      <c r="F137" s="457"/>
    </row>
    <row r="138" spans="6:6" x14ac:dyDescent="0.35">
      <c r="F138" s="457"/>
    </row>
    <row r="139" spans="6:6" x14ac:dyDescent="0.35">
      <c r="F139" s="457"/>
    </row>
    <row r="140" spans="6:6" x14ac:dyDescent="0.35">
      <c r="F140" s="457"/>
    </row>
    <row r="141" spans="6:6" x14ac:dyDescent="0.35">
      <c r="F141" s="457"/>
    </row>
    <row r="142" spans="6:6" x14ac:dyDescent="0.35">
      <c r="F142" s="457"/>
    </row>
    <row r="143" spans="6:6" x14ac:dyDescent="0.35">
      <c r="F143" s="457"/>
    </row>
    <row r="144" spans="6:6" x14ac:dyDescent="0.35">
      <c r="F144" s="457"/>
    </row>
    <row r="145" spans="6:6" x14ac:dyDescent="0.35">
      <c r="F145" s="457"/>
    </row>
    <row r="146" spans="6:6" x14ac:dyDescent="0.35">
      <c r="F146" s="457"/>
    </row>
    <row r="147" spans="6:6" x14ac:dyDescent="0.35">
      <c r="F147" s="457"/>
    </row>
    <row r="148" spans="6:6" x14ac:dyDescent="0.35">
      <c r="F148" s="457"/>
    </row>
    <row r="149" spans="6:6" x14ac:dyDescent="0.35">
      <c r="F149" s="457"/>
    </row>
    <row r="150" spans="6:6" x14ac:dyDescent="0.35">
      <c r="F150" s="457"/>
    </row>
    <row r="151" spans="6:6" x14ac:dyDescent="0.35">
      <c r="F151" s="457"/>
    </row>
    <row r="152" spans="6:6" x14ac:dyDescent="0.35">
      <c r="F152" s="457"/>
    </row>
    <row r="153" spans="6:6" x14ac:dyDescent="0.35">
      <c r="F153" s="457"/>
    </row>
    <row r="154" spans="6:6" x14ac:dyDescent="0.35">
      <c r="F154" s="457"/>
    </row>
    <row r="155" spans="6:6" x14ac:dyDescent="0.35">
      <c r="F155" s="457"/>
    </row>
    <row r="156" spans="6:6" x14ac:dyDescent="0.35">
      <c r="F156" s="457"/>
    </row>
    <row r="157" spans="6:6" x14ac:dyDescent="0.35">
      <c r="F157" s="457"/>
    </row>
    <row r="158" spans="6:6" x14ac:dyDescent="0.35">
      <c r="F158" s="457"/>
    </row>
    <row r="159" spans="6:6" x14ac:dyDescent="0.35">
      <c r="F159" s="457"/>
    </row>
    <row r="160" spans="6:6" x14ac:dyDescent="0.35">
      <c r="F160" s="457"/>
    </row>
    <row r="161" spans="6:6" x14ac:dyDescent="0.35">
      <c r="F161" s="457"/>
    </row>
    <row r="162" spans="6:6" x14ac:dyDescent="0.35">
      <c r="F162" s="457"/>
    </row>
    <row r="163" spans="6:6" x14ac:dyDescent="0.35">
      <c r="F163" s="457"/>
    </row>
    <row r="164" spans="6:6" x14ac:dyDescent="0.35">
      <c r="F164" s="457"/>
    </row>
    <row r="165" spans="6:6" x14ac:dyDescent="0.35">
      <c r="F165" s="457"/>
    </row>
    <row r="166" spans="6:6" x14ac:dyDescent="0.35">
      <c r="F166" s="457"/>
    </row>
    <row r="167" spans="6:6" x14ac:dyDescent="0.35">
      <c r="F167" s="457"/>
    </row>
    <row r="168" spans="6:6" x14ac:dyDescent="0.35">
      <c r="F168" s="457"/>
    </row>
    <row r="169" spans="6:6" x14ac:dyDescent="0.35">
      <c r="F169" s="457"/>
    </row>
    <row r="170" spans="6:6" x14ac:dyDescent="0.35">
      <c r="F170" s="457"/>
    </row>
    <row r="171" spans="6:6" x14ac:dyDescent="0.35">
      <c r="F171" s="457"/>
    </row>
    <row r="172" spans="6:6" x14ac:dyDescent="0.35">
      <c r="F172" s="457"/>
    </row>
    <row r="173" spans="6:6" x14ac:dyDescent="0.35">
      <c r="F173" s="457"/>
    </row>
    <row r="174" spans="6:6" x14ac:dyDescent="0.35">
      <c r="F174" s="457"/>
    </row>
    <row r="175" spans="6:6" x14ac:dyDescent="0.35">
      <c r="F175" s="457"/>
    </row>
    <row r="176" spans="6:6" x14ac:dyDescent="0.35">
      <c r="F176" s="457"/>
    </row>
    <row r="177" spans="6:6" x14ac:dyDescent="0.35">
      <c r="F177" s="457"/>
    </row>
    <row r="178" spans="6:6" x14ac:dyDescent="0.35">
      <c r="F178" s="457"/>
    </row>
    <row r="179" spans="6:6" x14ac:dyDescent="0.35">
      <c r="F179" s="457"/>
    </row>
    <row r="180" spans="6:6" x14ac:dyDescent="0.35">
      <c r="F180" s="457"/>
    </row>
    <row r="181" spans="6:6" x14ac:dyDescent="0.35">
      <c r="F181" s="457"/>
    </row>
    <row r="182" spans="6:6" x14ac:dyDescent="0.35">
      <c r="F182" s="457"/>
    </row>
    <row r="183" spans="6:6" x14ac:dyDescent="0.35">
      <c r="F183" s="457"/>
    </row>
    <row r="184" spans="6:6" x14ac:dyDescent="0.35">
      <c r="F184" s="457"/>
    </row>
    <row r="185" spans="6:6" x14ac:dyDescent="0.35">
      <c r="F185" s="457"/>
    </row>
    <row r="186" spans="6:6" x14ac:dyDescent="0.35">
      <c r="F186" s="457"/>
    </row>
    <row r="187" spans="6:6" x14ac:dyDescent="0.35">
      <c r="F187" s="457"/>
    </row>
    <row r="188" spans="6:6" x14ac:dyDescent="0.35">
      <c r="F188" s="457"/>
    </row>
    <row r="189" spans="6:6" x14ac:dyDescent="0.35">
      <c r="F189" s="457"/>
    </row>
    <row r="190" spans="6:6" x14ac:dyDescent="0.35">
      <c r="F190" s="457"/>
    </row>
    <row r="191" spans="6:6" x14ac:dyDescent="0.35">
      <c r="F191" s="457"/>
    </row>
    <row r="192" spans="6:6" x14ac:dyDescent="0.35">
      <c r="F192" s="457"/>
    </row>
    <row r="193" spans="6:6" x14ac:dyDescent="0.35">
      <c r="F193" s="457"/>
    </row>
    <row r="194" spans="6:6" x14ac:dyDescent="0.35">
      <c r="F194" s="457"/>
    </row>
    <row r="195" spans="6:6" x14ac:dyDescent="0.35">
      <c r="F195" s="457"/>
    </row>
    <row r="196" spans="6:6" x14ac:dyDescent="0.35">
      <c r="F196" s="457"/>
    </row>
    <row r="197" spans="6:6" x14ac:dyDescent="0.35">
      <c r="F197" s="457"/>
    </row>
    <row r="198" spans="6:6" x14ac:dyDescent="0.35">
      <c r="F198" s="457"/>
    </row>
    <row r="199" spans="6:6" x14ac:dyDescent="0.35">
      <c r="F199" s="457"/>
    </row>
    <row r="200" spans="6:6" x14ac:dyDescent="0.35">
      <c r="F200" s="457"/>
    </row>
    <row r="201" spans="6:6" x14ac:dyDescent="0.35">
      <c r="F201" s="457"/>
    </row>
    <row r="202" spans="6:6" x14ac:dyDescent="0.35">
      <c r="F202" s="457"/>
    </row>
    <row r="203" spans="6:6" x14ac:dyDescent="0.35">
      <c r="F203" s="457"/>
    </row>
    <row r="204" spans="6:6" x14ac:dyDescent="0.35">
      <c r="F204" s="457"/>
    </row>
    <row r="205" spans="6:6" x14ac:dyDescent="0.35">
      <c r="F205" s="457"/>
    </row>
    <row r="206" spans="6:6" x14ac:dyDescent="0.35">
      <c r="F206" s="457"/>
    </row>
    <row r="207" spans="6:6" x14ac:dyDescent="0.35">
      <c r="F207" s="457"/>
    </row>
    <row r="208" spans="6:6" x14ac:dyDescent="0.35">
      <c r="F208" s="457"/>
    </row>
    <row r="209" spans="6:6" x14ac:dyDescent="0.35">
      <c r="F209" s="457"/>
    </row>
    <row r="210" spans="6:6" x14ac:dyDescent="0.35">
      <c r="F210" s="457"/>
    </row>
    <row r="211" spans="6:6" x14ac:dyDescent="0.35">
      <c r="F211" s="457"/>
    </row>
    <row r="212" spans="6:6" x14ac:dyDescent="0.35">
      <c r="F212" s="457"/>
    </row>
    <row r="213" spans="6:6" x14ac:dyDescent="0.35">
      <c r="F213" s="457"/>
    </row>
    <row r="214" spans="6:6" x14ac:dyDescent="0.35">
      <c r="F214" s="457"/>
    </row>
    <row r="215" spans="6:6" x14ac:dyDescent="0.35">
      <c r="F215" s="457"/>
    </row>
    <row r="216" spans="6:6" x14ac:dyDescent="0.35">
      <c r="F216" s="457"/>
    </row>
    <row r="217" spans="6:6" x14ac:dyDescent="0.35">
      <c r="F217" s="457"/>
    </row>
    <row r="218" spans="6:6" x14ac:dyDescent="0.35">
      <c r="F218" s="457"/>
    </row>
    <row r="219" spans="6:6" x14ac:dyDescent="0.35">
      <c r="F219" s="457"/>
    </row>
    <row r="220" spans="6:6" x14ac:dyDescent="0.35">
      <c r="F220" s="457"/>
    </row>
    <row r="221" spans="6:6" x14ac:dyDescent="0.35">
      <c r="F221" s="457"/>
    </row>
    <row r="222" spans="6:6" x14ac:dyDescent="0.35">
      <c r="F222" s="457"/>
    </row>
    <row r="223" spans="6:6" x14ac:dyDescent="0.35">
      <c r="F223" s="457"/>
    </row>
    <row r="224" spans="6:6" x14ac:dyDescent="0.35">
      <c r="F224" s="457"/>
    </row>
    <row r="225" spans="6:6" x14ac:dyDescent="0.35">
      <c r="F225" s="457"/>
    </row>
    <row r="226" spans="6:6" x14ac:dyDescent="0.35">
      <c r="F226" s="457"/>
    </row>
    <row r="227" spans="6:6" x14ac:dyDescent="0.35">
      <c r="F227" s="457"/>
    </row>
    <row r="228" spans="6:6" x14ac:dyDescent="0.35">
      <c r="F228" s="457"/>
    </row>
    <row r="229" spans="6:6" x14ac:dyDescent="0.35">
      <c r="F229" s="457"/>
    </row>
    <row r="230" spans="6:6" x14ac:dyDescent="0.35">
      <c r="F230" s="457"/>
    </row>
    <row r="231" spans="6:6" x14ac:dyDescent="0.35">
      <c r="F231" s="457"/>
    </row>
    <row r="232" spans="6:6" x14ac:dyDescent="0.35">
      <c r="F232" s="457"/>
    </row>
    <row r="233" spans="6:6" x14ac:dyDescent="0.35">
      <c r="F233" s="457"/>
    </row>
    <row r="234" spans="6:6" x14ac:dyDescent="0.35">
      <c r="F234" s="457"/>
    </row>
    <row r="235" spans="6:6" x14ac:dyDescent="0.35">
      <c r="F235" s="457"/>
    </row>
    <row r="236" spans="6:6" x14ac:dyDescent="0.35">
      <c r="F236" s="457"/>
    </row>
    <row r="237" spans="6:6" x14ac:dyDescent="0.35">
      <c r="F237" s="457"/>
    </row>
    <row r="238" spans="6:6" x14ac:dyDescent="0.35">
      <c r="F238" s="457"/>
    </row>
    <row r="239" spans="6:6" x14ac:dyDescent="0.35">
      <c r="F239" s="457"/>
    </row>
    <row r="240" spans="6:6" x14ac:dyDescent="0.35">
      <c r="F240" s="457"/>
    </row>
    <row r="241" spans="6:6" x14ac:dyDescent="0.35">
      <c r="F241" s="457"/>
    </row>
    <row r="242" spans="6:6" x14ac:dyDescent="0.35">
      <c r="F242" s="457"/>
    </row>
    <row r="243" spans="6:6" x14ac:dyDescent="0.35">
      <c r="F243" s="457"/>
    </row>
    <row r="244" spans="6:6" x14ac:dyDescent="0.35">
      <c r="F244" s="457"/>
    </row>
    <row r="245" spans="6:6" x14ac:dyDescent="0.35">
      <c r="F245" s="457"/>
    </row>
    <row r="246" spans="6:6" x14ac:dyDescent="0.35">
      <c r="F246" s="457"/>
    </row>
    <row r="247" spans="6:6" x14ac:dyDescent="0.35">
      <c r="F247" s="457"/>
    </row>
    <row r="248" spans="6:6" x14ac:dyDescent="0.35">
      <c r="F248" s="457"/>
    </row>
    <row r="249" spans="6:6" x14ac:dyDescent="0.35">
      <c r="F249" s="457"/>
    </row>
    <row r="250" spans="6:6" x14ac:dyDescent="0.35">
      <c r="F250" s="457"/>
    </row>
    <row r="251" spans="6:6" x14ac:dyDescent="0.35">
      <c r="F251" s="457"/>
    </row>
    <row r="252" spans="6:6" x14ac:dyDescent="0.35">
      <c r="F252" s="457"/>
    </row>
    <row r="253" spans="6:6" x14ac:dyDescent="0.35">
      <c r="F253" s="457"/>
    </row>
    <row r="254" spans="6:6" x14ac:dyDescent="0.35">
      <c r="F254" s="457"/>
    </row>
    <row r="255" spans="6:6" x14ac:dyDescent="0.35">
      <c r="F255" s="457"/>
    </row>
    <row r="256" spans="6:6" x14ac:dyDescent="0.35">
      <c r="F256" s="457"/>
    </row>
    <row r="257" spans="6:6" x14ac:dyDescent="0.35">
      <c r="F257" s="457"/>
    </row>
    <row r="258" spans="6:6" x14ac:dyDescent="0.35">
      <c r="F258" s="457"/>
    </row>
    <row r="259" spans="6:6" x14ac:dyDescent="0.35">
      <c r="F259" s="457"/>
    </row>
    <row r="260" spans="6:6" x14ac:dyDescent="0.35">
      <c r="F260" s="457"/>
    </row>
    <row r="261" spans="6:6" x14ac:dyDescent="0.35">
      <c r="F261" s="457"/>
    </row>
    <row r="262" spans="6:6" x14ac:dyDescent="0.35">
      <c r="F262" s="457"/>
    </row>
    <row r="263" spans="6:6" x14ac:dyDescent="0.35">
      <c r="F263" s="457"/>
    </row>
    <row r="264" spans="6:6" x14ac:dyDescent="0.35">
      <c r="F264" s="457"/>
    </row>
    <row r="265" spans="6:6" x14ac:dyDescent="0.35">
      <c r="F265" s="457"/>
    </row>
    <row r="266" spans="6:6" x14ac:dyDescent="0.35">
      <c r="F266" s="457"/>
    </row>
    <row r="267" spans="6:6" x14ac:dyDescent="0.35">
      <c r="F267" s="457"/>
    </row>
    <row r="268" spans="6:6" x14ac:dyDescent="0.35">
      <c r="F268" s="457"/>
    </row>
    <row r="269" spans="6:6" x14ac:dyDescent="0.35">
      <c r="F269" s="457"/>
    </row>
    <row r="270" spans="6:6" x14ac:dyDescent="0.35">
      <c r="F270" s="457"/>
    </row>
    <row r="271" spans="6:6" x14ac:dyDescent="0.35">
      <c r="F271" s="457"/>
    </row>
    <row r="272" spans="6:6" x14ac:dyDescent="0.35">
      <c r="F272" s="457"/>
    </row>
    <row r="273" spans="6:6" x14ac:dyDescent="0.35">
      <c r="F273" s="457"/>
    </row>
    <row r="274" spans="6:6" x14ac:dyDescent="0.35">
      <c r="F274" s="457"/>
    </row>
    <row r="275" spans="6:6" x14ac:dyDescent="0.35">
      <c r="F275" s="457"/>
    </row>
    <row r="276" spans="6:6" x14ac:dyDescent="0.35">
      <c r="F276" s="457"/>
    </row>
    <row r="277" spans="6:6" x14ac:dyDescent="0.35">
      <c r="F277" s="457"/>
    </row>
    <row r="278" spans="6:6" x14ac:dyDescent="0.35">
      <c r="F278" s="457"/>
    </row>
    <row r="279" spans="6:6" x14ac:dyDescent="0.35">
      <c r="F279" s="457"/>
    </row>
    <row r="280" spans="6:6" x14ac:dyDescent="0.35">
      <c r="F280" s="457"/>
    </row>
    <row r="281" spans="6:6" x14ac:dyDescent="0.35">
      <c r="F281" s="457"/>
    </row>
    <row r="282" spans="6:6" x14ac:dyDescent="0.35">
      <c r="F282" s="457"/>
    </row>
    <row r="283" spans="6:6" x14ac:dyDescent="0.35">
      <c r="F283" s="457"/>
    </row>
    <row r="284" spans="6:6" x14ac:dyDescent="0.35">
      <c r="F284" s="457"/>
    </row>
    <row r="285" spans="6:6" x14ac:dyDescent="0.35">
      <c r="F285" s="457"/>
    </row>
    <row r="286" spans="6:6" x14ac:dyDescent="0.35">
      <c r="F286" s="457"/>
    </row>
    <row r="287" spans="6:6" x14ac:dyDescent="0.35">
      <c r="F287" s="457"/>
    </row>
    <row r="288" spans="6:6" x14ac:dyDescent="0.35">
      <c r="F288" s="457"/>
    </row>
    <row r="289" spans="6:6" x14ac:dyDescent="0.35">
      <c r="F289" s="457"/>
    </row>
    <row r="290" spans="6:6" x14ac:dyDescent="0.35">
      <c r="F290" s="457"/>
    </row>
    <row r="291" spans="6:6" x14ac:dyDescent="0.35">
      <c r="F291" s="457"/>
    </row>
    <row r="292" spans="6:6" x14ac:dyDescent="0.35">
      <c r="F292" s="457"/>
    </row>
    <row r="293" spans="6:6" x14ac:dyDescent="0.35">
      <c r="F293" s="457"/>
    </row>
    <row r="294" spans="6:6" x14ac:dyDescent="0.35">
      <c r="F294" s="457"/>
    </row>
    <row r="295" spans="6:6" x14ac:dyDescent="0.35">
      <c r="F295" s="457"/>
    </row>
    <row r="296" spans="6:6" x14ac:dyDescent="0.35">
      <c r="F296" s="457"/>
    </row>
    <row r="297" spans="6:6" x14ac:dyDescent="0.35">
      <c r="F297" s="457"/>
    </row>
    <row r="298" spans="6:6" x14ac:dyDescent="0.35">
      <c r="F298" s="457"/>
    </row>
    <row r="299" spans="6:6" x14ac:dyDescent="0.35">
      <c r="F299" s="457"/>
    </row>
    <row r="300" spans="6:6" x14ac:dyDescent="0.35">
      <c r="F300" s="457"/>
    </row>
    <row r="301" spans="6:6" x14ac:dyDescent="0.35">
      <c r="F301" s="457"/>
    </row>
    <row r="302" spans="6:6" x14ac:dyDescent="0.35">
      <c r="F302" s="457"/>
    </row>
    <row r="303" spans="6:6" x14ac:dyDescent="0.35">
      <c r="F303" s="457"/>
    </row>
    <row r="304" spans="6:6" x14ac:dyDescent="0.35">
      <c r="F304" s="457"/>
    </row>
    <row r="305" spans="6:6" x14ac:dyDescent="0.35">
      <c r="F305" s="457"/>
    </row>
    <row r="306" spans="6:6" x14ac:dyDescent="0.35">
      <c r="F306" s="457"/>
    </row>
    <row r="307" spans="6:6" x14ac:dyDescent="0.35">
      <c r="F307" s="457"/>
    </row>
    <row r="308" spans="6:6" x14ac:dyDescent="0.35">
      <c r="F308" s="457"/>
    </row>
    <row r="309" spans="6:6" x14ac:dyDescent="0.35">
      <c r="F309" s="457"/>
    </row>
    <row r="310" spans="6:6" x14ac:dyDescent="0.35">
      <c r="F310" s="457"/>
    </row>
    <row r="311" spans="6:6" x14ac:dyDescent="0.35">
      <c r="F311" s="457"/>
    </row>
    <row r="312" spans="6:6" x14ac:dyDescent="0.35">
      <c r="F312" s="457"/>
    </row>
    <row r="313" spans="6:6" x14ac:dyDescent="0.35">
      <c r="F313" s="457"/>
    </row>
    <row r="314" spans="6:6" x14ac:dyDescent="0.35">
      <c r="F314" s="457"/>
    </row>
    <row r="315" spans="6:6" x14ac:dyDescent="0.35">
      <c r="F315" s="457"/>
    </row>
    <row r="316" spans="6:6" x14ac:dyDescent="0.35">
      <c r="F316" s="457"/>
    </row>
    <row r="317" spans="6:6" x14ac:dyDescent="0.35">
      <c r="F317" s="457"/>
    </row>
    <row r="318" spans="6:6" x14ac:dyDescent="0.35">
      <c r="F318" s="457"/>
    </row>
    <row r="319" spans="6:6" x14ac:dyDescent="0.35">
      <c r="F319" s="457"/>
    </row>
    <row r="320" spans="6:6" x14ac:dyDescent="0.35">
      <c r="F320" s="457"/>
    </row>
    <row r="321" spans="6:6" x14ac:dyDescent="0.35">
      <c r="F321" s="457"/>
    </row>
    <row r="322" spans="6:6" x14ac:dyDescent="0.35">
      <c r="F322" s="457"/>
    </row>
    <row r="323" spans="6:6" x14ac:dyDescent="0.35">
      <c r="F323" s="457"/>
    </row>
    <row r="324" spans="6:6" x14ac:dyDescent="0.35">
      <c r="F324" s="457"/>
    </row>
    <row r="325" spans="6:6" x14ac:dyDescent="0.35">
      <c r="F325" s="457"/>
    </row>
    <row r="326" spans="6:6" x14ac:dyDescent="0.35">
      <c r="F326" s="457"/>
    </row>
    <row r="327" spans="6:6" x14ac:dyDescent="0.35">
      <c r="F327" s="457"/>
    </row>
    <row r="328" spans="6:6" x14ac:dyDescent="0.35">
      <c r="F328" s="457"/>
    </row>
    <row r="329" spans="6:6" x14ac:dyDescent="0.35">
      <c r="F329" s="457"/>
    </row>
    <row r="330" spans="6:6" x14ac:dyDescent="0.35">
      <c r="F330" s="457"/>
    </row>
    <row r="331" spans="6:6" x14ac:dyDescent="0.35">
      <c r="F331" s="457"/>
    </row>
    <row r="332" spans="6:6" x14ac:dyDescent="0.35">
      <c r="F332" s="457"/>
    </row>
    <row r="333" spans="6:6" x14ac:dyDescent="0.35">
      <c r="F333" s="457"/>
    </row>
    <row r="334" spans="6:6" x14ac:dyDescent="0.35">
      <c r="F334" s="457"/>
    </row>
    <row r="335" spans="6:6" x14ac:dyDescent="0.35">
      <c r="F335" s="457"/>
    </row>
    <row r="336" spans="6:6" x14ac:dyDescent="0.35">
      <c r="F336" s="457"/>
    </row>
    <row r="337" spans="6:6" x14ac:dyDescent="0.35">
      <c r="F337" s="457"/>
    </row>
    <row r="338" spans="6:6" x14ac:dyDescent="0.35">
      <c r="F338" s="457"/>
    </row>
    <row r="339" spans="6:6" x14ac:dyDescent="0.35">
      <c r="F339" s="457"/>
    </row>
    <row r="340" spans="6:6" x14ac:dyDescent="0.35">
      <c r="F340" s="457"/>
    </row>
    <row r="341" spans="6:6" x14ac:dyDescent="0.35">
      <c r="F341" s="457"/>
    </row>
    <row r="342" spans="6:6" x14ac:dyDescent="0.35">
      <c r="F342" s="457"/>
    </row>
    <row r="343" spans="6:6" x14ac:dyDescent="0.35">
      <c r="F343" s="457"/>
    </row>
    <row r="344" spans="6:6" x14ac:dyDescent="0.35">
      <c r="F344" s="457"/>
    </row>
    <row r="345" spans="6:6" x14ac:dyDescent="0.35">
      <c r="F345" s="457"/>
    </row>
    <row r="346" spans="6:6" x14ac:dyDescent="0.35">
      <c r="F346" s="457"/>
    </row>
    <row r="347" spans="6:6" x14ac:dyDescent="0.35">
      <c r="F347" s="457"/>
    </row>
    <row r="348" spans="6:6" x14ac:dyDescent="0.35">
      <c r="F348" s="457"/>
    </row>
    <row r="349" spans="6:6" x14ac:dyDescent="0.35">
      <c r="F349" s="457"/>
    </row>
    <row r="350" spans="6:6" x14ac:dyDescent="0.35">
      <c r="F350" s="457"/>
    </row>
    <row r="351" spans="6:6" x14ac:dyDescent="0.35">
      <c r="F351" s="457"/>
    </row>
    <row r="352" spans="6:6" x14ac:dyDescent="0.35">
      <c r="F352" s="457"/>
    </row>
    <row r="353" spans="6:6" x14ac:dyDescent="0.35">
      <c r="F353" s="457"/>
    </row>
    <row r="354" spans="6:6" x14ac:dyDescent="0.35">
      <c r="F354" s="457"/>
    </row>
    <row r="355" spans="6:6" x14ac:dyDescent="0.35">
      <c r="F355" s="457"/>
    </row>
    <row r="356" spans="6:6" x14ac:dyDescent="0.35">
      <c r="F356" s="457"/>
    </row>
    <row r="357" spans="6:6" x14ac:dyDescent="0.35">
      <c r="F357" s="457"/>
    </row>
    <row r="358" spans="6:6" x14ac:dyDescent="0.35">
      <c r="F358" s="457"/>
    </row>
    <row r="359" spans="6:6" x14ac:dyDescent="0.35">
      <c r="F359" s="457"/>
    </row>
    <row r="360" spans="6:6" x14ac:dyDescent="0.35">
      <c r="F360" s="457"/>
    </row>
    <row r="361" spans="6:6" x14ac:dyDescent="0.35">
      <c r="F361" s="457"/>
    </row>
    <row r="362" spans="6:6" x14ac:dyDescent="0.35">
      <c r="F362" s="457"/>
    </row>
    <row r="363" spans="6:6" x14ac:dyDescent="0.35">
      <c r="F363" s="457"/>
    </row>
    <row r="364" spans="6:6" x14ac:dyDescent="0.35">
      <c r="F364" s="457"/>
    </row>
    <row r="365" spans="6:6" x14ac:dyDescent="0.35">
      <c r="F365" s="457"/>
    </row>
    <row r="366" spans="6:6" x14ac:dyDescent="0.35">
      <c r="F366" s="457"/>
    </row>
    <row r="367" spans="6:6" x14ac:dyDescent="0.35">
      <c r="F367" s="457"/>
    </row>
    <row r="368" spans="6:6" x14ac:dyDescent="0.35">
      <c r="F368" s="457"/>
    </row>
    <row r="369" spans="6:6" x14ac:dyDescent="0.35">
      <c r="F369" s="457"/>
    </row>
    <row r="370" spans="6:6" x14ac:dyDescent="0.35">
      <c r="F370" s="457"/>
    </row>
    <row r="371" spans="6:6" x14ac:dyDescent="0.35">
      <c r="F371" s="457"/>
    </row>
    <row r="372" spans="6:6" x14ac:dyDescent="0.35">
      <c r="F372" s="457"/>
    </row>
    <row r="373" spans="6:6" x14ac:dyDescent="0.35">
      <c r="F373" s="457"/>
    </row>
    <row r="374" spans="6:6" x14ac:dyDescent="0.35">
      <c r="F374" s="457"/>
    </row>
    <row r="375" spans="6:6" x14ac:dyDescent="0.35">
      <c r="F375" s="457"/>
    </row>
    <row r="376" spans="6:6" x14ac:dyDescent="0.35">
      <c r="F376" s="457"/>
    </row>
    <row r="377" spans="6:6" x14ac:dyDescent="0.35">
      <c r="F377" s="457"/>
    </row>
    <row r="378" spans="6:6" x14ac:dyDescent="0.35">
      <c r="F378" s="457"/>
    </row>
    <row r="379" spans="6:6" x14ac:dyDescent="0.35">
      <c r="F379" s="457"/>
    </row>
    <row r="380" spans="6:6" x14ac:dyDescent="0.35">
      <c r="F380" s="457"/>
    </row>
    <row r="381" spans="6:6" x14ac:dyDescent="0.35">
      <c r="F381" s="457"/>
    </row>
    <row r="382" spans="6:6" x14ac:dyDescent="0.35">
      <c r="F382" s="457"/>
    </row>
    <row r="383" spans="6:6" x14ac:dyDescent="0.35">
      <c r="F383" s="457"/>
    </row>
    <row r="384" spans="6:6" x14ac:dyDescent="0.35">
      <c r="F384" s="457"/>
    </row>
    <row r="385" spans="6:6" x14ac:dyDescent="0.35">
      <c r="F385" s="457"/>
    </row>
    <row r="386" spans="6:6" x14ac:dyDescent="0.35">
      <c r="F386" s="457"/>
    </row>
    <row r="387" spans="6:6" x14ac:dyDescent="0.35">
      <c r="F387" s="457"/>
    </row>
    <row r="388" spans="6:6" x14ac:dyDescent="0.35">
      <c r="F388" s="457"/>
    </row>
    <row r="389" spans="6:6" x14ac:dyDescent="0.35">
      <c r="F389" s="457"/>
    </row>
    <row r="390" spans="6:6" x14ac:dyDescent="0.35">
      <c r="F390" s="457"/>
    </row>
    <row r="391" spans="6:6" x14ac:dyDescent="0.35">
      <c r="F391" s="457"/>
    </row>
    <row r="392" spans="6:6" x14ac:dyDescent="0.35">
      <c r="F392" s="457"/>
    </row>
    <row r="393" spans="6:6" x14ac:dyDescent="0.35">
      <c r="F393" s="457"/>
    </row>
    <row r="394" spans="6:6" x14ac:dyDescent="0.35">
      <c r="F394" s="457"/>
    </row>
    <row r="395" spans="6:6" x14ac:dyDescent="0.35">
      <c r="F395" s="457"/>
    </row>
    <row r="396" spans="6:6" x14ac:dyDescent="0.35">
      <c r="F396" s="457"/>
    </row>
    <row r="397" spans="6:6" x14ac:dyDescent="0.35">
      <c r="F397" s="457"/>
    </row>
    <row r="398" spans="6:6" x14ac:dyDescent="0.35">
      <c r="F398" s="457"/>
    </row>
    <row r="399" spans="6:6" x14ac:dyDescent="0.35">
      <c r="F399" s="457"/>
    </row>
    <row r="400" spans="6:6" x14ac:dyDescent="0.35">
      <c r="F400" s="457"/>
    </row>
    <row r="401" spans="6:6" x14ac:dyDescent="0.35">
      <c r="F401" s="457"/>
    </row>
    <row r="402" spans="6:6" x14ac:dyDescent="0.35">
      <c r="F402" s="457"/>
    </row>
    <row r="403" spans="6:6" x14ac:dyDescent="0.35">
      <c r="F403" s="457"/>
    </row>
    <row r="404" spans="6:6" x14ac:dyDescent="0.35">
      <c r="F404" s="457"/>
    </row>
    <row r="405" spans="6:6" x14ac:dyDescent="0.35">
      <c r="F405" s="457"/>
    </row>
    <row r="406" spans="6:6" x14ac:dyDescent="0.35">
      <c r="F406" s="457"/>
    </row>
    <row r="407" spans="6:6" x14ac:dyDescent="0.35">
      <c r="F407" s="457"/>
    </row>
    <row r="408" spans="6:6" x14ac:dyDescent="0.35">
      <c r="F408" s="457"/>
    </row>
    <row r="409" spans="6:6" x14ac:dyDescent="0.35">
      <c r="F409" s="457"/>
    </row>
    <row r="410" spans="6:6" x14ac:dyDescent="0.35">
      <c r="F410" s="457"/>
    </row>
    <row r="411" spans="6:6" x14ac:dyDescent="0.35">
      <c r="F411" s="457"/>
    </row>
    <row r="412" spans="6:6" x14ac:dyDescent="0.35">
      <c r="F412" s="457"/>
    </row>
    <row r="413" spans="6:6" x14ac:dyDescent="0.35">
      <c r="F413" s="457"/>
    </row>
    <row r="414" spans="6:6" x14ac:dyDescent="0.35">
      <c r="F414" s="457"/>
    </row>
    <row r="415" spans="6:6" x14ac:dyDescent="0.35">
      <c r="F415" s="457"/>
    </row>
    <row r="416" spans="6:6" x14ac:dyDescent="0.35">
      <c r="F416" s="457"/>
    </row>
    <row r="417" spans="6:6" x14ac:dyDescent="0.35">
      <c r="F417" s="457"/>
    </row>
    <row r="418" spans="6:6" x14ac:dyDescent="0.35">
      <c r="F418" s="457"/>
    </row>
    <row r="419" spans="6:6" x14ac:dyDescent="0.35">
      <c r="F419" s="457"/>
    </row>
    <row r="420" spans="6:6" x14ac:dyDescent="0.35">
      <c r="F420" s="457"/>
    </row>
    <row r="421" spans="6:6" x14ac:dyDescent="0.35">
      <c r="F421" s="457"/>
    </row>
    <row r="422" spans="6:6" x14ac:dyDescent="0.35">
      <c r="F422" s="457"/>
    </row>
    <row r="423" spans="6:6" x14ac:dyDescent="0.35">
      <c r="F423" s="457"/>
    </row>
    <row r="424" spans="6:6" x14ac:dyDescent="0.35">
      <c r="F424" s="457"/>
    </row>
    <row r="425" spans="6:6" x14ac:dyDescent="0.35">
      <c r="F425" s="457"/>
    </row>
    <row r="426" spans="6:6" x14ac:dyDescent="0.35">
      <c r="F426" s="457"/>
    </row>
    <row r="427" spans="6:6" x14ac:dyDescent="0.35">
      <c r="F427" s="457"/>
    </row>
    <row r="428" spans="6:6" x14ac:dyDescent="0.35">
      <c r="F428" s="457"/>
    </row>
    <row r="429" spans="6:6" x14ac:dyDescent="0.35">
      <c r="F429" s="457"/>
    </row>
    <row r="430" spans="6:6" x14ac:dyDescent="0.35">
      <c r="F430" s="457"/>
    </row>
    <row r="431" spans="6:6" x14ac:dyDescent="0.35">
      <c r="F431" s="457"/>
    </row>
    <row r="432" spans="6:6" x14ac:dyDescent="0.35">
      <c r="F432" s="457"/>
    </row>
    <row r="433" spans="6:6" x14ac:dyDescent="0.35">
      <c r="F433" s="457"/>
    </row>
    <row r="434" spans="6:6" x14ac:dyDescent="0.35">
      <c r="F434" s="457"/>
    </row>
    <row r="435" spans="6:6" x14ac:dyDescent="0.35">
      <c r="F435" s="457"/>
    </row>
    <row r="436" spans="6:6" x14ac:dyDescent="0.35">
      <c r="F436" s="457"/>
    </row>
    <row r="437" spans="6:6" x14ac:dyDescent="0.35">
      <c r="F437" s="457"/>
    </row>
    <row r="438" spans="6:6" x14ac:dyDescent="0.35">
      <c r="F438" s="457"/>
    </row>
    <row r="439" spans="6:6" x14ac:dyDescent="0.35">
      <c r="F439" s="457"/>
    </row>
    <row r="440" spans="6:6" x14ac:dyDescent="0.35">
      <c r="F440" s="457"/>
    </row>
    <row r="441" spans="6:6" x14ac:dyDescent="0.35">
      <c r="F441" s="457"/>
    </row>
    <row r="442" spans="6:6" x14ac:dyDescent="0.35">
      <c r="F442" s="457"/>
    </row>
    <row r="443" spans="6:6" x14ac:dyDescent="0.35">
      <c r="F443" s="457"/>
    </row>
    <row r="444" spans="6:6" x14ac:dyDescent="0.35">
      <c r="F444" s="457"/>
    </row>
    <row r="445" spans="6:6" x14ac:dyDescent="0.35">
      <c r="F445" s="457"/>
    </row>
    <row r="446" spans="6:6" x14ac:dyDescent="0.35">
      <c r="F446" s="457"/>
    </row>
    <row r="447" spans="6:6" x14ac:dyDescent="0.35">
      <c r="F447" s="457"/>
    </row>
    <row r="448" spans="6:6" x14ac:dyDescent="0.35">
      <c r="F448" s="457"/>
    </row>
    <row r="449" spans="6:6" x14ac:dyDescent="0.35">
      <c r="F449" s="457"/>
    </row>
    <row r="450" spans="6:6" x14ac:dyDescent="0.35">
      <c r="F450" s="457"/>
    </row>
    <row r="451" spans="6:6" x14ac:dyDescent="0.35">
      <c r="F451" s="457"/>
    </row>
    <row r="452" spans="6:6" x14ac:dyDescent="0.35">
      <c r="F452" s="457"/>
    </row>
    <row r="453" spans="6:6" x14ac:dyDescent="0.35">
      <c r="F453" s="457"/>
    </row>
    <row r="454" spans="6:6" x14ac:dyDescent="0.35">
      <c r="F454" s="457"/>
    </row>
    <row r="455" spans="6:6" x14ac:dyDescent="0.35">
      <c r="F455" s="457"/>
    </row>
    <row r="456" spans="6:6" x14ac:dyDescent="0.35">
      <c r="F456" s="457"/>
    </row>
    <row r="457" spans="6:6" x14ac:dyDescent="0.35">
      <c r="F457" s="457"/>
    </row>
    <row r="458" spans="6:6" x14ac:dyDescent="0.35">
      <c r="F458" s="457"/>
    </row>
    <row r="459" spans="6:6" x14ac:dyDescent="0.35">
      <c r="F459" s="457"/>
    </row>
    <row r="460" spans="6:6" x14ac:dyDescent="0.35">
      <c r="F460" s="457"/>
    </row>
    <row r="461" spans="6:6" x14ac:dyDescent="0.35">
      <c r="F461" s="457"/>
    </row>
    <row r="462" spans="6:6" x14ac:dyDescent="0.35">
      <c r="F462" s="457"/>
    </row>
    <row r="463" spans="6:6" x14ac:dyDescent="0.35">
      <c r="F463" s="457"/>
    </row>
    <row r="464" spans="6:6" x14ac:dyDescent="0.35">
      <c r="F464" s="457"/>
    </row>
    <row r="465" spans="6:6" x14ac:dyDescent="0.35">
      <c r="F465" s="457"/>
    </row>
    <row r="466" spans="6:6" x14ac:dyDescent="0.35">
      <c r="F466" s="457"/>
    </row>
    <row r="467" spans="6:6" x14ac:dyDescent="0.35">
      <c r="F467" s="457"/>
    </row>
    <row r="468" spans="6:6" x14ac:dyDescent="0.35">
      <c r="F468" s="457"/>
    </row>
    <row r="469" spans="6:6" x14ac:dyDescent="0.35">
      <c r="F469" s="457"/>
    </row>
    <row r="470" spans="6:6" x14ac:dyDescent="0.35">
      <c r="F470" s="457"/>
    </row>
    <row r="471" spans="6:6" x14ac:dyDescent="0.35">
      <c r="F471" s="457"/>
    </row>
    <row r="472" spans="6:6" x14ac:dyDescent="0.35">
      <c r="F472" s="457"/>
    </row>
    <row r="473" spans="6:6" x14ac:dyDescent="0.35">
      <c r="F473" s="457"/>
    </row>
    <row r="474" spans="6:6" x14ac:dyDescent="0.35">
      <c r="F474" s="457"/>
    </row>
    <row r="475" spans="6:6" x14ac:dyDescent="0.35">
      <c r="F475" s="457"/>
    </row>
    <row r="476" spans="6:6" x14ac:dyDescent="0.35">
      <c r="F476" s="457"/>
    </row>
    <row r="477" spans="6:6" x14ac:dyDescent="0.35">
      <c r="F477" s="457"/>
    </row>
    <row r="478" spans="6:6" x14ac:dyDescent="0.35">
      <c r="F478" s="457"/>
    </row>
    <row r="479" spans="6:6" x14ac:dyDescent="0.35">
      <c r="F479" s="457"/>
    </row>
    <row r="480" spans="6:6" x14ac:dyDescent="0.35">
      <c r="F480" s="457"/>
    </row>
    <row r="481" spans="6:6" x14ac:dyDescent="0.35">
      <c r="F481" s="457"/>
    </row>
    <row r="482" spans="6:6" x14ac:dyDescent="0.35">
      <c r="F482" s="457"/>
    </row>
    <row r="483" spans="6:6" x14ac:dyDescent="0.35">
      <c r="F483" s="457"/>
    </row>
    <row r="484" spans="6:6" x14ac:dyDescent="0.35">
      <c r="F484" s="457"/>
    </row>
    <row r="485" spans="6:6" x14ac:dyDescent="0.35">
      <c r="F485" s="457"/>
    </row>
    <row r="486" spans="6:6" x14ac:dyDescent="0.35">
      <c r="F486" s="457"/>
    </row>
    <row r="487" spans="6:6" x14ac:dyDescent="0.35">
      <c r="F487" s="457"/>
    </row>
    <row r="488" spans="6:6" x14ac:dyDescent="0.35">
      <c r="F488" s="457"/>
    </row>
    <row r="489" spans="6:6" x14ac:dyDescent="0.35">
      <c r="F489" s="457"/>
    </row>
    <row r="490" spans="6:6" x14ac:dyDescent="0.35">
      <c r="F490" s="457"/>
    </row>
    <row r="491" spans="6:6" x14ac:dyDescent="0.35">
      <c r="F491" s="457"/>
    </row>
    <row r="492" spans="6:6" x14ac:dyDescent="0.35">
      <c r="F492" s="457"/>
    </row>
    <row r="493" spans="6:6" x14ac:dyDescent="0.35">
      <c r="F493" s="457"/>
    </row>
    <row r="494" spans="6:6" x14ac:dyDescent="0.35">
      <c r="F494" s="457"/>
    </row>
    <row r="495" spans="6:6" x14ac:dyDescent="0.35">
      <c r="F495" s="457"/>
    </row>
    <row r="496" spans="6:6" x14ac:dyDescent="0.35">
      <c r="F496" s="457"/>
    </row>
    <row r="497" spans="6:6" x14ac:dyDescent="0.35">
      <c r="F497" s="457"/>
    </row>
    <row r="498" spans="6:6" x14ac:dyDescent="0.35">
      <c r="F498" s="457"/>
    </row>
    <row r="499" spans="6:6" x14ac:dyDescent="0.35">
      <c r="F499" s="457"/>
    </row>
    <row r="500" spans="6:6" x14ac:dyDescent="0.35">
      <c r="F500" s="457"/>
    </row>
    <row r="501" spans="6:6" x14ac:dyDescent="0.35">
      <c r="F501" s="457"/>
    </row>
    <row r="502" spans="6:6" x14ac:dyDescent="0.35">
      <c r="F502" s="457"/>
    </row>
    <row r="503" spans="6:6" x14ac:dyDescent="0.35">
      <c r="F503" s="457"/>
    </row>
    <row r="504" spans="6:6" x14ac:dyDescent="0.35">
      <c r="F504" s="457"/>
    </row>
    <row r="505" spans="6:6" x14ac:dyDescent="0.35">
      <c r="F505" s="457"/>
    </row>
    <row r="506" spans="6:6" x14ac:dyDescent="0.35">
      <c r="F506" s="457"/>
    </row>
    <row r="507" spans="6:6" x14ac:dyDescent="0.35">
      <c r="F507" s="457"/>
    </row>
    <row r="508" spans="6:6" x14ac:dyDescent="0.35">
      <c r="F508" s="457"/>
    </row>
    <row r="509" spans="6:6" x14ac:dyDescent="0.35">
      <c r="F509" s="457"/>
    </row>
    <row r="510" spans="6:6" x14ac:dyDescent="0.35">
      <c r="F510" s="457"/>
    </row>
    <row r="511" spans="6:6" x14ac:dyDescent="0.35">
      <c r="F511" s="457"/>
    </row>
    <row r="512" spans="6:6" x14ac:dyDescent="0.35">
      <c r="F512" s="457"/>
    </row>
    <row r="513" spans="6:6" x14ac:dyDescent="0.35">
      <c r="F513" s="457"/>
    </row>
    <row r="514" spans="6:6" x14ac:dyDescent="0.35">
      <c r="F514" s="457"/>
    </row>
    <row r="515" spans="6:6" x14ac:dyDescent="0.35">
      <c r="F515" s="457"/>
    </row>
    <row r="516" spans="6:6" x14ac:dyDescent="0.35">
      <c r="F516" s="457"/>
    </row>
    <row r="517" spans="6:6" x14ac:dyDescent="0.35">
      <c r="F517" s="457"/>
    </row>
    <row r="518" spans="6:6" x14ac:dyDescent="0.35">
      <c r="F518" s="457"/>
    </row>
    <row r="519" spans="6:6" x14ac:dyDescent="0.35">
      <c r="F519" s="457"/>
    </row>
    <row r="520" spans="6:6" x14ac:dyDescent="0.35">
      <c r="F520" s="457"/>
    </row>
    <row r="521" spans="6:6" x14ac:dyDescent="0.35">
      <c r="F521" s="457"/>
    </row>
    <row r="522" spans="6:6" x14ac:dyDescent="0.35">
      <c r="F522" s="457"/>
    </row>
    <row r="523" spans="6:6" x14ac:dyDescent="0.35">
      <c r="F523" s="457"/>
    </row>
    <row r="524" spans="6:6" x14ac:dyDescent="0.35">
      <c r="F524" s="457"/>
    </row>
    <row r="525" spans="6:6" x14ac:dyDescent="0.35">
      <c r="F525" s="457"/>
    </row>
    <row r="526" spans="6:6" x14ac:dyDescent="0.35">
      <c r="F526" s="457"/>
    </row>
    <row r="527" spans="6:6" x14ac:dyDescent="0.35">
      <c r="F527" s="457"/>
    </row>
    <row r="528" spans="6:6" x14ac:dyDescent="0.35">
      <c r="F528" s="457"/>
    </row>
    <row r="529" spans="6:6" x14ac:dyDescent="0.35">
      <c r="F529" s="457"/>
    </row>
    <row r="530" spans="6:6" x14ac:dyDescent="0.35">
      <c r="F530" s="457"/>
    </row>
    <row r="531" spans="6:6" x14ac:dyDescent="0.35">
      <c r="F531" s="457"/>
    </row>
    <row r="532" spans="6:6" x14ac:dyDescent="0.35">
      <c r="F532" s="457"/>
    </row>
    <row r="533" spans="6:6" x14ac:dyDescent="0.35">
      <c r="F533" s="457"/>
    </row>
    <row r="534" spans="6:6" x14ac:dyDescent="0.35">
      <c r="F534" s="457"/>
    </row>
    <row r="535" spans="6:6" x14ac:dyDescent="0.35">
      <c r="F535" s="457"/>
    </row>
    <row r="536" spans="6:6" x14ac:dyDescent="0.35">
      <c r="F536" s="457"/>
    </row>
    <row r="537" spans="6:6" x14ac:dyDescent="0.35">
      <c r="F537" s="457"/>
    </row>
    <row r="538" spans="6:6" x14ac:dyDescent="0.35">
      <c r="F538" s="457"/>
    </row>
    <row r="539" spans="6:6" x14ac:dyDescent="0.35">
      <c r="F539" s="457"/>
    </row>
    <row r="540" spans="6:6" x14ac:dyDescent="0.35">
      <c r="F540" s="457"/>
    </row>
    <row r="541" spans="6:6" x14ac:dyDescent="0.35">
      <c r="F541" s="457"/>
    </row>
    <row r="542" spans="6:6" x14ac:dyDescent="0.35">
      <c r="F542" s="457"/>
    </row>
    <row r="543" spans="6:6" x14ac:dyDescent="0.35">
      <c r="F543" s="457"/>
    </row>
    <row r="544" spans="6:6" x14ac:dyDescent="0.35">
      <c r="F544" s="457"/>
    </row>
    <row r="545" spans="6:6" x14ac:dyDescent="0.35">
      <c r="F545" s="457"/>
    </row>
    <row r="546" spans="6:6" x14ac:dyDescent="0.35">
      <c r="F546" s="457"/>
    </row>
    <row r="547" spans="6:6" x14ac:dyDescent="0.35">
      <c r="F547" s="457"/>
    </row>
    <row r="548" spans="6:6" x14ac:dyDescent="0.35">
      <c r="F548" s="457"/>
    </row>
    <row r="549" spans="6:6" x14ac:dyDescent="0.35">
      <c r="F549" s="457"/>
    </row>
    <row r="550" spans="6:6" x14ac:dyDescent="0.35">
      <c r="F550" s="457"/>
    </row>
    <row r="551" spans="6:6" x14ac:dyDescent="0.35">
      <c r="F551" s="457"/>
    </row>
    <row r="552" spans="6:6" x14ac:dyDescent="0.35">
      <c r="F552" s="457"/>
    </row>
    <row r="553" spans="6:6" x14ac:dyDescent="0.35">
      <c r="F553" s="457"/>
    </row>
    <row r="554" spans="6:6" x14ac:dyDescent="0.35">
      <c r="F554" s="457"/>
    </row>
    <row r="555" spans="6:6" x14ac:dyDescent="0.35">
      <c r="F555" s="457"/>
    </row>
    <row r="556" spans="6:6" x14ac:dyDescent="0.35">
      <c r="F556" s="457"/>
    </row>
    <row r="557" spans="6:6" x14ac:dyDescent="0.35">
      <c r="F557" s="457"/>
    </row>
    <row r="558" spans="6:6" x14ac:dyDescent="0.35">
      <c r="F558" s="457"/>
    </row>
    <row r="559" spans="6:6" x14ac:dyDescent="0.35">
      <c r="F559" s="457"/>
    </row>
    <row r="560" spans="6:6" x14ac:dyDescent="0.35">
      <c r="F560" s="457"/>
    </row>
    <row r="561" spans="6:6" x14ac:dyDescent="0.35">
      <c r="F561" s="457"/>
    </row>
    <row r="562" spans="6:6" x14ac:dyDescent="0.35">
      <c r="F562" s="457"/>
    </row>
    <row r="563" spans="6:6" x14ac:dyDescent="0.35">
      <c r="F563" s="457"/>
    </row>
    <row r="564" spans="6:6" x14ac:dyDescent="0.35">
      <c r="F564" s="457"/>
    </row>
    <row r="565" spans="6:6" x14ac:dyDescent="0.35">
      <c r="F565" s="457"/>
    </row>
    <row r="566" spans="6:6" x14ac:dyDescent="0.35">
      <c r="F566" s="457"/>
    </row>
    <row r="567" spans="6:6" x14ac:dyDescent="0.35">
      <c r="F567" s="457"/>
    </row>
    <row r="568" spans="6:6" x14ac:dyDescent="0.35">
      <c r="F568" s="457"/>
    </row>
    <row r="569" spans="6:6" x14ac:dyDescent="0.35">
      <c r="F569" s="457"/>
    </row>
    <row r="570" spans="6:6" x14ac:dyDescent="0.35">
      <c r="F570" s="457"/>
    </row>
    <row r="571" spans="6:6" x14ac:dyDescent="0.35">
      <c r="F571" s="457"/>
    </row>
    <row r="572" spans="6:6" x14ac:dyDescent="0.35">
      <c r="F572" s="457"/>
    </row>
    <row r="573" spans="6:6" x14ac:dyDescent="0.35">
      <c r="F573" s="457"/>
    </row>
    <row r="574" spans="6:6" x14ac:dyDescent="0.35">
      <c r="F574" s="457"/>
    </row>
    <row r="575" spans="6:6" x14ac:dyDescent="0.35">
      <c r="F575" s="457"/>
    </row>
    <row r="576" spans="6:6" x14ac:dyDescent="0.35">
      <c r="F576" s="457"/>
    </row>
    <row r="577" spans="6:6" x14ac:dyDescent="0.35">
      <c r="F577" s="457"/>
    </row>
    <row r="578" spans="6:6" x14ac:dyDescent="0.35">
      <c r="F578" s="457"/>
    </row>
    <row r="579" spans="6:6" x14ac:dyDescent="0.35">
      <c r="F579" s="457"/>
    </row>
    <row r="580" spans="6:6" x14ac:dyDescent="0.35">
      <c r="F580" s="457"/>
    </row>
    <row r="581" spans="6:6" x14ac:dyDescent="0.35">
      <c r="F581" s="457"/>
    </row>
    <row r="582" spans="6:6" x14ac:dyDescent="0.35">
      <c r="F582" s="457"/>
    </row>
    <row r="583" spans="6:6" x14ac:dyDescent="0.35">
      <c r="F583" s="457"/>
    </row>
    <row r="584" spans="6:6" x14ac:dyDescent="0.35">
      <c r="F584" s="457"/>
    </row>
    <row r="585" spans="6:6" x14ac:dyDescent="0.35">
      <c r="F585" s="457"/>
    </row>
    <row r="586" spans="6:6" x14ac:dyDescent="0.35">
      <c r="F586" s="457"/>
    </row>
    <row r="587" spans="6:6" x14ac:dyDescent="0.35">
      <c r="F587" s="457"/>
    </row>
    <row r="588" spans="6:6" x14ac:dyDescent="0.35">
      <c r="F588" s="457"/>
    </row>
    <row r="589" spans="6:6" x14ac:dyDescent="0.35">
      <c r="F589" s="457"/>
    </row>
    <row r="590" spans="6:6" x14ac:dyDescent="0.35">
      <c r="F590" s="457"/>
    </row>
    <row r="591" spans="6:6" x14ac:dyDescent="0.35">
      <c r="F591" s="457"/>
    </row>
    <row r="592" spans="6:6" x14ac:dyDescent="0.35">
      <c r="F592" s="457"/>
    </row>
    <row r="593" spans="6:6" x14ac:dyDescent="0.35">
      <c r="F593" s="457"/>
    </row>
    <row r="594" spans="6:6" x14ac:dyDescent="0.35">
      <c r="F594" s="457"/>
    </row>
    <row r="595" spans="6:6" x14ac:dyDescent="0.35">
      <c r="F595" s="457"/>
    </row>
    <row r="596" spans="6:6" x14ac:dyDescent="0.35">
      <c r="F596" s="457"/>
    </row>
    <row r="597" spans="6:6" x14ac:dyDescent="0.35">
      <c r="F597" s="457"/>
    </row>
    <row r="598" spans="6:6" x14ac:dyDescent="0.35">
      <c r="F598" s="457"/>
    </row>
    <row r="599" spans="6:6" x14ac:dyDescent="0.35">
      <c r="F599" s="457"/>
    </row>
    <row r="600" spans="6:6" x14ac:dyDescent="0.35">
      <c r="F600" s="457"/>
    </row>
    <row r="601" spans="6:6" x14ac:dyDescent="0.35">
      <c r="F601" s="457"/>
    </row>
    <row r="602" spans="6:6" x14ac:dyDescent="0.35">
      <c r="F602" s="457"/>
    </row>
    <row r="603" spans="6:6" x14ac:dyDescent="0.35">
      <c r="F603" s="457"/>
    </row>
    <row r="604" spans="6:6" x14ac:dyDescent="0.35">
      <c r="F604" s="457"/>
    </row>
    <row r="605" spans="6:6" x14ac:dyDescent="0.35">
      <c r="F605" s="457"/>
    </row>
    <row r="606" spans="6:6" x14ac:dyDescent="0.35">
      <c r="F606" s="457"/>
    </row>
    <row r="607" spans="6:6" x14ac:dyDescent="0.35">
      <c r="F607" s="457"/>
    </row>
    <row r="608" spans="6:6" x14ac:dyDescent="0.35">
      <c r="F608" s="457"/>
    </row>
    <row r="609" spans="6:6" x14ac:dyDescent="0.35">
      <c r="F609" s="457"/>
    </row>
    <row r="610" spans="6:6" x14ac:dyDescent="0.35">
      <c r="F610" s="457"/>
    </row>
    <row r="611" spans="6:6" x14ac:dyDescent="0.35">
      <c r="F611" s="457"/>
    </row>
    <row r="612" spans="6:6" x14ac:dyDescent="0.35">
      <c r="F612" s="457"/>
    </row>
    <row r="613" spans="6:6" x14ac:dyDescent="0.35">
      <c r="F613" s="457"/>
    </row>
    <row r="614" spans="6:6" x14ac:dyDescent="0.35">
      <c r="F614" s="457"/>
    </row>
    <row r="615" spans="6:6" x14ac:dyDescent="0.35">
      <c r="F615" s="457"/>
    </row>
    <row r="616" spans="6:6" x14ac:dyDescent="0.35">
      <c r="F616" s="457"/>
    </row>
    <row r="617" spans="6:6" x14ac:dyDescent="0.35">
      <c r="F617" s="457"/>
    </row>
    <row r="618" spans="6:6" x14ac:dyDescent="0.35">
      <c r="F618" s="457"/>
    </row>
    <row r="619" spans="6:6" x14ac:dyDescent="0.35">
      <c r="F619" s="457"/>
    </row>
    <row r="620" spans="6:6" x14ac:dyDescent="0.35">
      <c r="F620" s="457"/>
    </row>
    <row r="621" spans="6:6" x14ac:dyDescent="0.35">
      <c r="F621" s="457"/>
    </row>
    <row r="622" spans="6:6" x14ac:dyDescent="0.35">
      <c r="F622" s="457"/>
    </row>
    <row r="623" spans="6:6" x14ac:dyDescent="0.35">
      <c r="F623" s="457"/>
    </row>
    <row r="624" spans="6:6" x14ac:dyDescent="0.35">
      <c r="F624" s="457"/>
    </row>
    <row r="625" spans="6:6" x14ac:dyDescent="0.35">
      <c r="F625" s="457"/>
    </row>
    <row r="626" spans="6:6" x14ac:dyDescent="0.35">
      <c r="F626" s="457"/>
    </row>
    <row r="627" spans="6:6" x14ac:dyDescent="0.35">
      <c r="F627" s="457"/>
    </row>
    <row r="628" spans="6:6" x14ac:dyDescent="0.35">
      <c r="F628" s="457"/>
    </row>
    <row r="629" spans="6:6" x14ac:dyDescent="0.35">
      <c r="F629" s="457"/>
    </row>
    <row r="630" spans="6:6" x14ac:dyDescent="0.35">
      <c r="F630" s="457"/>
    </row>
    <row r="631" spans="6:6" x14ac:dyDescent="0.35">
      <c r="F631" s="457"/>
    </row>
    <row r="632" spans="6:6" x14ac:dyDescent="0.35">
      <c r="F632" s="457"/>
    </row>
    <row r="633" spans="6:6" x14ac:dyDescent="0.35">
      <c r="F633" s="457"/>
    </row>
    <row r="634" spans="6:6" x14ac:dyDescent="0.35">
      <c r="F634" s="457"/>
    </row>
    <row r="635" spans="6:6" x14ac:dyDescent="0.35">
      <c r="F635" s="457"/>
    </row>
    <row r="636" spans="6:6" x14ac:dyDescent="0.35">
      <c r="F636" s="457"/>
    </row>
    <row r="637" spans="6:6" x14ac:dyDescent="0.35">
      <c r="F637" s="457"/>
    </row>
    <row r="638" spans="6:6" x14ac:dyDescent="0.35">
      <c r="F638" s="457"/>
    </row>
    <row r="639" spans="6:6" x14ac:dyDescent="0.35">
      <c r="F639" s="457"/>
    </row>
    <row r="640" spans="6:6" x14ac:dyDescent="0.35">
      <c r="F640" s="457"/>
    </row>
    <row r="641" spans="6:6" x14ac:dyDescent="0.35">
      <c r="F641" s="457"/>
    </row>
    <row r="642" spans="6:6" x14ac:dyDescent="0.35">
      <c r="F642" s="457"/>
    </row>
    <row r="643" spans="6:6" x14ac:dyDescent="0.35">
      <c r="F643" s="457"/>
    </row>
    <row r="644" spans="6:6" x14ac:dyDescent="0.35">
      <c r="F644" s="457"/>
    </row>
    <row r="645" spans="6:6" x14ac:dyDescent="0.35">
      <c r="F645" s="457"/>
    </row>
    <row r="646" spans="6:6" x14ac:dyDescent="0.35">
      <c r="F646" s="457"/>
    </row>
    <row r="647" spans="6:6" x14ac:dyDescent="0.35">
      <c r="F647" s="457"/>
    </row>
    <row r="648" spans="6:6" x14ac:dyDescent="0.35">
      <c r="F648" s="457"/>
    </row>
    <row r="649" spans="6:6" x14ac:dyDescent="0.35">
      <c r="F649" s="457"/>
    </row>
    <row r="650" spans="6:6" x14ac:dyDescent="0.35">
      <c r="F650" s="457"/>
    </row>
    <row r="651" spans="6:6" x14ac:dyDescent="0.35">
      <c r="F651" s="457"/>
    </row>
    <row r="652" spans="6:6" x14ac:dyDescent="0.35">
      <c r="F652" s="457"/>
    </row>
    <row r="653" spans="6:6" x14ac:dyDescent="0.35">
      <c r="F653" s="457"/>
    </row>
    <row r="654" spans="6:6" x14ac:dyDescent="0.35">
      <c r="F654" s="457"/>
    </row>
    <row r="655" spans="6:6" x14ac:dyDescent="0.35">
      <c r="F655" s="457"/>
    </row>
    <row r="656" spans="6:6" x14ac:dyDescent="0.35">
      <c r="F656" s="457"/>
    </row>
    <row r="657" spans="6:6" x14ac:dyDescent="0.35">
      <c r="F657" s="457"/>
    </row>
    <row r="658" spans="6:6" x14ac:dyDescent="0.35">
      <c r="F658" s="457"/>
    </row>
    <row r="659" spans="6:6" x14ac:dyDescent="0.35">
      <c r="F659" s="457"/>
    </row>
    <row r="660" spans="6:6" x14ac:dyDescent="0.35">
      <c r="F660" s="457"/>
    </row>
    <row r="661" spans="6:6" x14ac:dyDescent="0.35">
      <c r="F661" s="457"/>
    </row>
    <row r="662" spans="6:6" x14ac:dyDescent="0.35">
      <c r="F662" s="457"/>
    </row>
    <row r="663" spans="6:6" x14ac:dyDescent="0.35">
      <c r="F663" s="457"/>
    </row>
    <row r="664" spans="6:6" x14ac:dyDescent="0.35">
      <c r="F664" s="457"/>
    </row>
    <row r="665" spans="6:6" x14ac:dyDescent="0.35">
      <c r="F665" s="457"/>
    </row>
    <row r="666" spans="6:6" x14ac:dyDescent="0.35">
      <c r="F666" s="457"/>
    </row>
    <row r="667" spans="6:6" x14ac:dyDescent="0.35">
      <c r="F667" s="457"/>
    </row>
    <row r="668" spans="6:6" x14ac:dyDescent="0.35">
      <c r="F668" s="457"/>
    </row>
    <row r="669" spans="6:6" x14ac:dyDescent="0.35">
      <c r="F669" s="457"/>
    </row>
    <row r="670" spans="6:6" x14ac:dyDescent="0.35">
      <c r="F670" s="457"/>
    </row>
    <row r="671" spans="6:6" x14ac:dyDescent="0.35">
      <c r="F671" s="457"/>
    </row>
    <row r="672" spans="6:6" x14ac:dyDescent="0.35">
      <c r="F672" s="457"/>
    </row>
    <row r="673" spans="6:6" x14ac:dyDescent="0.35">
      <c r="F673" s="457"/>
    </row>
    <row r="674" spans="6:6" x14ac:dyDescent="0.35">
      <c r="F674" s="457"/>
    </row>
    <row r="675" spans="6:6" x14ac:dyDescent="0.35">
      <c r="F675" s="457"/>
    </row>
    <row r="676" spans="6:6" x14ac:dyDescent="0.35">
      <c r="F676" s="457"/>
    </row>
    <row r="677" spans="6:6" x14ac:dyDescent="0.35">
      <c r="F677" s="457"/>
    </row>
    <row r="678" spans="6:6" x14ac:dyDescent="0.35">
      <c r="F678" s="457"/>
    </row>
    <row r="679" spans="6:6" x14ac:dyDescent="0.35">
      <c r="F679" s="457"/>
    </row>
    <row r="680" spans="6:6" x14ac:dyDescent="0.35">
      <c r="F680" s="457"/>
    </row>
    <row r="681" spans="6:6" x14ac:dyDescent="0.35">
      <c r="F681" s="457"/>
    </row>
    <row r="682" spans="6:6" x14ac:dyDescent="0.35">
      <c r="F682" s="457"/>
    </row>
    <row r="683" spans="6:6" x14ac:dyDescent="0.35">
      <c r="F683" s="457"/>
    </row>
    <row r="684" spans="6:6" x14ac:dyDescent="0.35">
      <c r="F684" s="457"/>
    </row>
    <row r="685" spans="6:6" x14ac:dyDescent="0.35">
      <c r="F685" s="457"/>
    </row>
    <row r="686" spans="6:6" x14ac:dyDescent="0.35">
      <c r="F686" s="457"/>
    </row>
    <row r="687" spans="6:6" x14ac:dyDescent="0.35">
      <c r="F687" s="457"/>
    </row>
    <row r="688" spans="6:6" x14ac:dyDescent="0.35">
      <c r="F688" s="457"/>
    </row>
    <row r="689" spans="6:6" x14ac:dyDescent="0.35">
      <c r="F689" s="457"/>
    </row>
    <row r="690" spans="6:6" x14ac:dyDescent="0.35">
      <c r="F690" s="457"/>
    </row>
    <row r="691" spans="6:6" x14ac:dyDescent="0.35">
      <c r="F691" s="457"/>
    </row>
    <row r="692" spans="6:6" x14ac:dyDescent="0.35">
      <c r="F692" s="457"/>
    </row>
    <row r="693" spans="6:6" x14ac:dyDescent="0.35">
      <c r="F693" s="457"/>
    </row>
    <row r="694" spans="6:6" x14ac:dyDescent="0.35">
      <c r="F694" s="457"/>
    </row>
    <row r="695" spans="6:6" x14ac:dyDescent="0.35">
      <c r="F695" s="457"/>
    </row>
    <row r="696" spans="6:6" x14ac:dyDescent="0.35">
      <c r="F696" s="457"/>
    </row>
    <row r="697" spans="6:6" x14ac:dyDescent="0.35">
      <c r="F697" s="457"/>
    </row>
    <row r="698" spans="6:6" x14ac:dyDescent="0.35">
      <c r="F698" s="457"/>
    </row>
    <row r="699" spans="6:6" x14ac:dyDescent="0.35">
      <c r="F699" s="457"/>
    </row>
    <row r="700" spans="6:6" x14ac:dyDescent="0.35">
      <c r="F700" s="457"/>
    </row>
    <row r="701" spans="6:6" x14ac:dyDescent="0.35">
      <c r="F701" s="457"/>
    </row>
    <row r="702" spans="6:6" x14ac:dyDescent="0.35">
      <c r="F702" s="457"/>
    </row>
    <row r="703" spans="6:6" x14ac:dyDescent="0.35">
      <c r="F703" s="457"/>
    </row>
    <row r="704" spans="6:6" x14ac:dyDescent="0.35">
      <c r="F704" s="457"/>
    </row>
    <row r="705" spans="6:6" x14ac:dyDescent="0.35">
      <c r="F705" s="457"/>
    </row>
    <row r="706" spans="6:6" x14ac:dyDescent="0.35">
      <c r="F706" s="457"/>
    </row>
    <row r="707" spans="6:6" x14ac:dyDescent="0.35">
      <c r="F707" s="457"/>
    </row>
    <row r="708" spans="6:6" x14ac:dyDescent="0.35">
      <c r="F708" s="457"/>
    </row>
    <row r="709" spans="6:6" x14ac:dyDescent="0.35">
      <c r="F709" s="457"/>
    </row>
    <row r="710" spans="6:6" x14ac:dyDescent="0.35">
      <c r="F710" s="457"/>
    </row>
    <row r="711" spans="6:6" x14ac:dyDescent="0.35">
      <c r="F711" s="457"/>
    </row>
    <row r="712" spans="6:6" x14ac:dyDescent="0.35">
      <c r="F712" s="457"/>
    </row>
    <row r="713" spans="6:6" x14ac:dyDescent="0.35">
      <c r="F713" s="457"/>
    </row>
    <row r="714" spans="6:6" x14ac:dyDescent="0.35">
      <c r="F714" s="457"/>
    </row>
    <row r="715" spans="6:6" x14ac:dyDescent="0.35">
      <c r="F715" s="457"/>
    </row>
    <row r="716" spans="6:6" x14ac:dyDescent="0.35">
      <c r="F716" s="457"/>
    </row>
    <row r="717" spans="6:6" x14ac:dyDescent="0.35">
      <c r="F717" s="457"/>
    </row>
    <row r="718" spans="6:6" x14ac:dyDescent="0.35">
      <c r="F718" s="457"/>
    </row>
    <row r="719" spans="6:6" x14ac:dyDescent="0.35">
      <c r="F719" s="457"/>
    </row>
    <row r="720" spans="6:6" x14ac:dyDescent="0.35">
      <c r="F720" s="457"/>
    </row>
    <row r="721" spans="6:6" x14ac:dyDescent="0.35">
      <c r="F721" s="457"/>
    </row>
    <row r="722" spans="6:6" x14ac:dyDescent="0.35">
      <c r="F722" s="457"/>
    </row>
    <row r="723" spans="6:6" x14ac:dyDescent="0.35">
      <c r="F723" s="457"/>
    </row>
    <row r="724" spans="6:6" x14ac:dyDescent="0.35">
      <c r="F724" s="457"/>
    </row>
    <row r="725" spans="6:6" x14ac:dyDescent="0.35">
      <c r="F725" s="457"/>
    </row>
    <row r="726" spans="6:6" x14ac:dyDescent="0.35">
      <c r="F726" s="457"/>
    </row>
    <row r="727" spans="6:6" x14ac:dyDescent="0.35">
      <c r="F727" s="457"/>
    </row>
    <row r="728" spans="6:6" x14ac:dyDescent="0.35">
      <c r="F728" s="457"/>
    </row>
    <row r="729" spans="6:6" x14ac:dyDescent="0.35">
      <c r="F729" s="457"/>
    </row>
    <row r="730" spans="6:6" x14ac:dyDescent="0.35">
      <c r="F730" s="457"/>
    </row>
    <row r="731" spans="6:6" x14ac:dyDescent="0.35">
      <c r="F731" s="457"/>
    </row>
    <row r="732" spans="6:6" x14ac:dyDescent="0.35">
      <c r="F732" s="457"/>
    </row>
    <row r="733" spans="6:6" x14ac:dyDescent="0.35">
      <c r="F733" s="457"/>
    </row>
    <row r="734" spans="6:6" x14ac:dyDescent="0.35">
      <c r="F734" s="457"/>
    </row>
    <row r="735" spans="6:6" x14ac:dyDescent="0.35">
      <c r="F735" s="457"/>
    </row>
    <row r="736" spans="6:6" x14ac:dyDescent="0.35">
      <c r="F736" s="457"/>
    </row>
    <row r="737" spans="6:6" x14ac:dyDescent="0.35">
      <c r="F737" s="457"/>
    </row>
    <row r="738" spans="6:6" x14ac:dyDescent="0.35">
      <c r="F738" s="457"/>
    </row>
    <row r="739" spans="6:6" x14ac:dyDescent="0.35">
      <c r="F739" s="457"/>
    </row>
    <row r="740" spans="6:6" x14ac:dyDescent="0.35">
      <c r="F740" s="457"/>
    </row>
    <row r="741" spans="6:6" x14ac:dyDescent="0.35">
      <c r="F741" s="457"/>
    </row>
    <row r="742" spans="6:6" x14ac:dyDescent="0.35">
      <c r="F742" s="457"/>
    </row>
    <row r="743" spans="6:6" x14ac:dyDescent="0.35">
      <c r="F743" s="457"/>
    </row>
    <row r="744" spans="6:6" x14ac:dyDescent="0.35">
      <c r="F744" s="457"/>
    </row>
    <row r="745" spans="6:6" x14ac:dyDescent="0.35">
      <c r="F745" s="457"/>
    </row>
    <row r="746" spans="6:6" x14ac:dyDescent="0.35">
      <c r="F746" s="457"/>
    </row>
    <row r="747" spans="6:6" x14ac:dyDescent="0.35">
      <c r="F747" s="457"/>
    </row>
    <row r="748" spans="6:6" x14ac:dyDescent="0.35">
      <c r="F748" s="457"/>
    </row>
    <row r="749" spans="6:6" x14ac:dyDescent="0.35">
      <c r="F749" s="457"/>
    </row>
    <row r="750" spans="6:6" x14ac:dyDescent="0.35">
      <c r="F750" s="457"/>
    </row>
    <row r="751" spans="6:6" x14ac:dyDescent="0.35">
      <c r="F751" s="457"/>
    </row>
    <row r="752" spans="6:6" x14ac:dyDescent="0.35">
      <c r="F752" s="457"/>
    </row>
    <row r="753" spans="6:6" x14ac:dyDescent="0.35">
      <c r="F753" s="457"/>
    </row>
    <row r="754" spans="6:6" x14ac:dyDescent="0.35">
      <c r="F754" s="457"/>
    </row>
    <row r="755" spans="6:6" x14ac:dyDescent="0.35">
      <c r="F755" s="457"/>
    </row>
    <row r="756" spans="6:6" x14ac:dyDescent="0.35">
      <c r="F756" s="457"/>
    </row>
    <row r="757" spans="6:6" x14ac:dyDescent="0.35">
      <c r="F757" s="457"/>
    </row>
    <row r="758" spans="6:6" x14ac:dyDescent="0.35">
      <c r="F758" s="457"/>
    </row>
    <row r="759" spans="6:6" x14ac:dyDescent="0.35">
      <c r="F759" s="457"/>
    </row>
    <row r="760" spans="6:6" x14ac:dyDescent="0.35">
      <c r="F760" s="457"/>
    </row>
    <row r="761" spans="6:6" x14ac:dyDescent="0.35">
      <c r="F761" s="457"/>
    </row>
    <row r="762" spans="6:6" x14ac:dyDescent="0.35">
      <c r="F762" s="457"/>
    </row>
    <row r="763" spans="6:6" x14ac:dyDescent="0.35">
      <c r="F763" s="457"/>
    </row>
    <row r="764" spans="6:6" x14ac:dyDescent="0.35">
      <c r="F764" s="457"/>
    </row>
    <row r="765" spans="6:6" x14ac:dyDescent="0.35">
      <c r="F765" s="457"/>
    </row>
    <row r="766" spans="6:6" x14ac:dyDescent="0.35">
      <c r="F766" s="457"/>
    </row>
    <row r="767" spans="6:6" x14ac:dyDescent="0.35">
      <c r="F767" s="457"/>
    </row>
    <row r="768" spans="6:6" x14ac:dyDescent="0.35">
      <c r="F768" s="457"/>
    </row>
    <row r="769" spans="6:6" x14ac:dyDescent="0.35">
      <c r="F769" s="457"/>
    </row>
    <row r="770" spans="6:6" x14ac:dyDescent="0.35">
      <c r="F770" s="457"/>
    </row>
    <row r="771" spans="6:6" x14ac:dyDescent="0.35">
      <c r="F771" s="457"/>
    </row>
    <row r="772" spans="6:6" x14ac:dyDescent="0.35">
      <c r="F772" s="457"/>
    </row>
    <row r="773" spans="6:6" x14ac:dyDescent="0.35">
      <c r="F773" s="457"/>
    </row>
    <row r="774" spans="6:6" x14ac:dyDescent="0.35">
      <c r="F774" s="457"/>
    </row>
    <row r="775" spans="6:6" x14ac:dyDescent="0.35">
      <c r="F775" s="457"/>
    </row>
    <row r="776" spans="6:6" x14ac:dyDescent="0.35">
      <c r="F776" s="457"/>
    </row>
    <row r="777" spans="6:6" x14ac:dyDescent="0.35">
      <c r="F777" s="457"/>
    </row>
    <row r="778" spans="6:6" x14ac:dyDescent="0.35">
      <c r="F778" s="457"/>
    </row>
    <row r="779" spans="6:6" x14ac:dyDescent="0.35">
      <c r="F779" s="457"/>
    </row>
    <row r="780" spans="6:6" x14ac:dyDescent="0.35">
      <c r="F780" s="457"/>
    </row>
    <row r="781" spans="6:6" x14ac:dyDescent="0.35">
      <c r="F781" s="457"/>
    </row>
    <row r="782" spans="6:6" x14ac:dyDescent="0.35">
      <c r="F782" s="457"/>
    </row>
    <row r="783" spans="6:6" x14ac:dyDescent="0.35">
      <c r="F783" s="457"/>
    </row>
    <row r="784" spans="6:6" x14ac:dyDescent="0.35">
      <c r="F784" s="457"/>
    </row>
    <row r="785" spans="6:6" x14ac:dyDescent="0.35">
      <c r="F785" s="457"/>
    </row>
    <row r="786" spans="6:6" x14ac:dyDescent="0.35">
      <c r="F786" s="457"/>
    </row>
    <row r="787" spans="6:6" x14ac:dyDescent="0.35">
      <c r="F787" s="457"/>
    </row>
    <row r="788" spans="6:6" x14ac:dyDescent="0.35">
      <c r="F788" s="457"/>
    </row>
    <row r="789" spans="6:6" x14ac:dyDescent="0.35">
      <c r="F789" s="457"/>
    </row>
    <row r="790" spans="6:6" x14ac:dyDescent="0.35">
      <c r="F790" s="457"/>
    </row>
    <row r="791" spans="6:6" x14ac:dyDescent="0.35">
      <c r="F791" s="457"/>
    </row>
    <row r="792" spans="6:6" x14ac:dyDescent="0.35">
      <c r="F792" s="457"/>
    </row>
    <row r="793" spans="6:6" x14ac:dyDescent="0.35">
      <c r="F793" s="457"/>
    </row>
    <row r="794" spans="6:6" x14ac:dyDescent="0.35">
      <c r="F794" s="457"/>
    </row>
    <row r="795" spans="6:6" x14ac:dyDescent="0.35">
      <c r="F795" s="457"/>
    </row>
    <row r="796" spans="6:6" x14ac:dyDescent="0.35">
      <c r="F796" s="457"/>
    </row>
    <row r="797" spans="6:6" x14ac:dyDescent="0.35">
      <c r="F797" s="457"/>
    </row>
    <row r="798" spans="6:6" x14ac:dyDescent="0.35">
      <c r="F798" s="457"/>
    </row>
    <row r="799" spans="6:6" x14ac:dyDescent="0.35">
      <c r="F799" s="457"/>
    </row>
    <row r="800" spans="6:6" x14ac:dyDescent="0.35">
      <c r="F800" s="457"/>
    </row>
    <row r="801" spans="6:6" x14ac:dyDescent="0.35">
      <c r="F801" s="457"/>
    </row>
    <row r="802" spans="6:6" x14ac:dyDescent="0.35">
      <c r="F802" s="457"/>
    </row>
    <row r="803" spans="6:6" x14ac:dyDescent="0.35">
      <c r="F803" s="457"/>
    </row>
    <row r="804" spans="6:6" x14ac:dyDescent="0.35">
      <c r="F804" s="457"/>
    </row>
    <row r="805" spans="6:6" x14ac:dyDescent="0.35">
      <c r="F805" s="457"/>
    </row>
    <row r="806" spans="6:6" x14ac:dyDescent="0.35">
      <c r="F806" s="457"/>
    </row>
    <row r="807" spans="6:6" x14ac:dyDescent="0.35">
      <c r="F807" s="457"/>
    </row>
    <row r="808" spans="6:6" x14ac:dyDescent="0.35">
      <c r="F808" s="457"/>
    </row>
    <row r="809" spans="6:6" x14ac:dyDescent="0.35">
      <c r="F809" s="457"/>
    </row>
    <row r="810" spans="6:6" x14ac:dyDescent="0.35">
      <c r="F810" s="457"/>
    </row>
    <row r="811" spans="6:6" x14ac:dyDescent="0.35">
      <c r="F811" s="457"/>
    </row>
    <row r="812" spans="6:6" x14ac:dyDescent="0.35">
      <c r="F812" s="457"/>
    </row>
    <row r="813" spans="6:6" x14ac:dyDescent="0.35">
      <c r="F813" s="457"/>
    </row>
    <row r="814" spans="6:6" x14ac:dyDescent="0.35">
      <c r="F814" s="457"/>
    </row>
    <row r="815" spans="6:6" x14ac:dyDescent="0.35">
      <c r="F815" s="457"/>
    </row>
    <row r="816" spans="6:6" x14ac:dyDescent="0.35">
      <c r="F816" s="457"/>
    </row>
    <row r="817" spans="6:6" x14ac:dyDescent="0.35">
      <c r="F817" s="457"/>
    </row>
    <row r="818" spans="6:6" x14ac:dyDescent="0.35">
      <c r="F818" s="457"/>
    </row>
    <row r="819" spans="6:6" x14ac:dyDescent="0.35">
      <c r="F819" s="457"/>
    </row>
    <row r="820" spans="6:6" x14ac:dyDescent="0.35">
      <c r="F820" s="457"/>
    </row>
    <row r="821" spans="6:6" x14ac:dyDescent="0.35">
      <c r="F821" s="457"/>
    </row>
    <row r="822" spans="6:6" x14ac:dyDescent="0.35">
      <c r="F822" s="457"/>
    </row>
    <row r="823" spans="6:6" x14ac:dyDescent="0.35">
      <c r="F823" s="457"/>
    </row>
    <row r="824" spans="6:6" x14ac:dyDescent="0.35">
      <c r="F824" s="457"/>
    </row>
    <row r="825" spans="6:6" x14ac:dyDescent="0.35">
      <c r="F825" s="457"/>
    </row>
    <row r="826" spans="6:6" x14ac:dyDescent="0.35">
      <c r="F826" s="457"/>
    </row>
    <row r="827" spans="6:6" x14ac:dyDescent="0.35">
      <c r="F827" s="457"/>
    </row>
    <row r="828" spans="6:6" x14ac:dyDescent="0.35">
      <c r="F828" s="457"/>
    </row>
    <row r="829" spans="6:6" x14ac:dyDescent="0.35">
      <c r="F829" s="457"/>
    </row>
    <row r="830" spans="6:6" x14ac:dyDescent="0.35">
      <c r="F830" s="457"/>
    </row>
    <row r="831" spans="6:6" x14ac:dyDescent="0.35">
      <c r="F831" s="457"/>
    </row>
    <row r="832" spans="6:6" x14ac:dyDescent="0.35">
      <c r="F832" s="457"/>
    </row>
    <row r="833" spans="6:6" x14ac:dyDescent="0.35">
      <c r="F833" s="457"/>
    </row>
    <row r="834" spans="6:6" x14ac:dyDescent="0.35">
      <c r="F834" s="457"/>
    </row>
    <row r="835" spans="6:6" x14ac:dyDescent="0.35">
      <c r="F835" s="457"/>
    </row>
    <row r="836" spans="6:6" x14ac:dyDescent="0.35">
      <c r="F836" s="457"/>
    </row>
    <row r="837" spans="6:6" x14ac:dyDescent="0.35">
      <c r="F837" s="457"/>
    </row>
    <row r="838" spans="6:6" x14ac:dyDescent="0.35">
      <c r="F838" s="457"/>
    </row>
    <row r="839" spans="6:6" x14ac:dyDescent="0.35">
      <c r="F839" s="457"/>
    </row>
    <row r="840" spans="6:6" x14ac:dyDescent="0.35">
      <c r="F840" s="457"/>
    </row>
    <row r="841" spans="6:6" x14ac:dyDescent="0.35">
      <c r="F841" s="457"/>
    </row>
    <row r="842" spans="6:6" x14ac:dyDescent="0.35">
      <c r="F842" s="457"/>
    </row>
    <row r="843" spans="6:6" x14ac:dyDescent="0.35">
      <c r="F843" s="457"/>
    </row>
    <row r="844" spans="6:6" x14ac:dyDescent="0.35">
      <c r="F844" s="457"/>
    </row>
    <row r="845" spans="6:6" x14ac:dyDescent="0.35">
      <c r="F845" s="457"/>
    </row>
    <row r="846" spans="6:6" x14ac:dyDescent="0.35">
      <c r="F846" s="457"/>
    </row>
    <row r="847" spans="6:6" x14ac:dyDescent="0.35">
      <c r="F847" s="457"/>
    </row>
    <row r="848" spans="6:6" x14ac:dyDescent="0.35">
      <c r="F848" s="457"/>
    </row>
    <row r="849" spans="6:6" x14ac:dyDescent="0.35">
      <c r="F849" s="457"/>
    </row>
    <row r="850" spans="6:6" x14ac:dyDescent="0.35">
      <c r="F850" s="457"/>
    </row>
    <row r="851" spans="6:6" x14ac:dyDescent="0.35">
      <c r="F851" s="457"/>
    </row>
    <row r="852" spans="6:6" x14ac:dyDescent="0.35">
      <c r="F852" s="457"/>
    </row>
    <row r="853" spans="6:6" x14ac:dyDescent="0.35">
      <c r="F853" s="457"/>
    </row>
    <row r="854" spans="6:6" x14ac:dyDescent="0.35">
      <c r="F854" s="457"/>
    </row>
    <row r="855" spans="6:6" x14ac:dyDescent="0.35">
      <c r="F855" s="457"/>
    </row>
    <row r="856" spans="6:6" x14ac:dyDescent="0.35">
      <c r="F856" s="457"/>
    </row>
    <row r="857" spans="6:6" x14ac:dyDescent="0.35">
      <c r="F857" s="457"/>
    </row>
    <row r="858" spans="6:6" x14ac:dyDescent="0.35">
      <c r="F858" s="457"/>
    </row>
    <row r="859" spans="6:6" x14ac:dyDescent="0.35">
      <c r="F859" s="457"/>
    </row>
    <row r="860" spans="6:6" x14ac:dyDescent="0.35">
      <c r="F860" s="457"/>
    </row>
    <row r="861" spans="6:6" x14ac:dyDescent="0.35">
      <c r="F861" s="457"/>
    </row>
    <row r="862" spans="6:6" x14ac:dyDescent="0.35">
      <c r="F862" s="457"/>
    </row>
    <row r="863" spans="6:6" x14ac:dyDescent="0.35">
      <c r="F863" s="457"/>
    </row>
    <row r="864" spans="6:6" x14ac:dyDescent="0.35">
      <c r="F864" s="457"/>
    </row>
    <row r="865" spans="6:6" x14ac:dyDescent="0.35">
      <c r="F865" s="457"/>
    </row>
    <row r="866" spans="6:6" x14ac:dyDescent="0.35">
      <c r="F866" s="457"/>
    </row>
    <row r="867" spans="6:6" x14ac:dyDescent="0.35">
      <c r="F867" s="457"/>
    </row>
    <row r="868" spans="6:6" x14ac:dyDescent="0.35">
      <c r="F868" s="457"/>
    </row>
    <row r="869" spans="6:6" x14ac:dyDescent="0.35">
      <c r="F869" s="457"/>
    </row>
    <row r="870" spans="6:6" x14ac:dyDescent="0.35">
      <c r="F870" s="457"/>
    </row>
    <row r="871" spans="6:6" x14ac:dyDescent="0.35">
      <c r="F871" s="457"/>
    </row>
    <row r="872" spans="6:6" x14ac:dyDescent="0.35">
      <c r="F872" s="457"/>
    </row>
    <row r="873" spans="6:6" x14ac:dyDescent="0.35">
      <c r="F873" s="457"/>
    </row>
    <row r="874" spans="6:6" x14ac:dyDescent="0.35">
      <c r="F874" s="457"/>
    </row>
    <row r="875" spans="6:6" x14ac:dyDescent="0.35">
      <c r="F875" s="457"/>
    </row>
    <row r="876" spans="6:6" x14ac:dyDescent="0.35">
      <c r="F876" s="457"/>
    </row>
    <row r="877" spans="6:6" x14ac:dyDescent="0.35">
      <c r="F877" s="457"/>
    </row>
    <row r="878" spans="6:6" x14ac:dyDescent="0.35">
      <c r="F878" s="457"/>
    </row>
    <row r="879" spans="6:6" x14ac:dyDescent="0.35">
      <c r="F879" s="457"/>
    </row>
    <row r="880" spans="6:6" x14ac:dyDescent="0.35">
      <c r="F880" s="457"/>
    </row>
    <row r="881" spans="6:6" x14ac:dyDescent="0.35">
      <c r="F881" s="457"/>
    </row>
    <row r="882" spans="6:6" x14ac:dyDescent="0.35">
      <c r="F882" s="457"/>
    </row>
    <row r="883" spans="6:6" x14ac:dyDescent="0.35">
      <c r="F883" s="457"/>
    </row>
    <row r="884" spans="6:6" x14ac:dyDescent="0.35">
      <c r="F884" s="457"/>
    </row>
    <row r="885" spans="6:6" x14ac:dyDescent="0.35">
      <c r="F885" s="457"/>
    </row>
    <row r="886" spans="6:6" x14ac:dyDescent="0.35">
      <c r="F886" s="457"/>
    </row>
    <row r="887" spans="6:6" x14ac:dyDescent="0.35">
      <c r="F887" s="457"/>
    </row>
    <row r="888" spans="6:6" x14ac:dyDescent="0.35">
      <c r="F888" s="457"/>
    </row>
    <row r="889" spans="6:6" x14ac:dyDescent="0.35">
      <c r="F889" s="457"/>
    </row>
    <row r="890" spans="6:6" x14ac:dyDescent="0.35">
      <c r="F890" s="457"/>
    </row>
    <row r="891" spans="6:6" x14ac:dyDescent="0.35">
      <c r="F891" s="457"/>
    </row>
    <row r="892" spans="6:6" x14ac:dyDescent="0.35">
      <c r="F892" s="457"/>
    </row>
    <row r="893" spans="6:6" x14ac:dyDescent="0.35">
      <c r="F893" s="457"/>
    </row>
    <row r="894" spans="6:6" x14ac:dyDescent="0.35">
      <c r="F894" s="457"/>
    </row>
    <row r="895" spans="6:6" x14ac:dyDescent="0.35">
      <c r="F895" s="457"/>
    </row>
    <row r="896" spans="6:6" x14ac:dyDescent="0.35">
      <c r="F896" s="457"/>
    </row>
    <row r="897" spans="6:6" x14ac:dyDescent="0.35">
      <c r="F897" s="457"/>
    </row>
    <row r="898" spans="6:6" x14ac:dyDescent="0.35">
      <c r="F898" s="457"/>
    </row>
    <row r="899" spans="6:6" x14ac:dyDescent="0.35">
      <c r="F899" s="457"/>
    </row>
    <row r="900" spans="6:6" x14ac:dyDescent="0.35">
      <c r="F900" s="457"/>
    </row>
    <row r="901" spans="6:6" x14ac:dyDescent="0.35">
      <c r="F901" s="457"/>
    </row>
    <row r="902" spans="6:6" x14ac:dyDescent="0.35">
      <c r="F902" s="457"/>
    </row>
    <row r="903" spans="6:6" x14ac:dyDescent="0.35">
      <c r="F903" s="457"/>
    </row>
    <row r="904" spans="6:6" x14ac:dyDescent="0.35">
      <c r="F904" s="457"/>
    </row>
    <row r="905" spans="6:6" x14ac:dyDescent="0.35">
      <c r="F905" s="457"/>
    </row>
    <row r="906" spans="6:6" x14ac:dyDescent="0.35">
      <c r="F906" s="457"/>
    </row>
    <row r="907" spans="6:6" x14ac:dyDescent="0.35">
      <c r="F907" s="457"/>
    </row>
    <row r="908" spans="6:6" x14ac:dyDescent="0.35">
      <c r="F908" s="457"/>
    </row>
    <row r="909" spans="6:6" x14ac:dyDescent="0.35">
      <c r="F909" s="457"/>
    </row>
    <row r="910" spans="6:6" x14ac:dyDescent="0.35">
      <c r="F910" s="457"/>
    </row>
    <row r="911" spans="6:6" x14ac:dyDescent="0.35">
      <c r="F911" s="457"/>
    </row>
    <row r="912" spans="6:6" x14ac:dyDescent="0.35">
      <c r="F912" s="457"/>
    </row>
    <row r="913" spans="6:6" x14ac:dyDescent="0.35">
      <c r="F913" s="457"/>
    </row>
    <row r="914" spans="6:6" x14ac:dyDescent="0.35">
      <c r="F914" s="457"/>
    </row>
    <row r="915" spans="6:6" x14ac:dyDescent="0.35">
      <c r="F915" s="457"/>
    </row>
    <row r="916" spans="6:6" x14ac:dyDescent="0.35">
      <c r="F916" s="457"/>
    </row>
    <row r="917" spans="6:6" x14ac:dyDescent="0.35">
      <c r="F917" s="457"/>
    </row>
    <row r="918" spans="6:6" x14ac:dyDescent="0.35">
      <c r="F918" s="457"/>
    </row>
    <row r="919" spans="6:6" x14ac:dyDescent="0.35">
      <c r="F919" s="457"/>
    </row>
    <row r="920" spans="6:6" x14ac:dyDescent="0.35">
      <c r="F920" s="457"/>
    </row>
    <row r="921" spans="6:6" x14ac:dyDescent="0.35">
      <c r="F921" s="457"/>
    </row>
    <row r="922" spans="6:6" x14ac:dyDescent="0.35">
      <c r="F922" s="457"/>
    </row>
    <row r="923" spans="6:6" x14ac:dyDescent="0.35">
      <c r="F923" s="457"/>
    </row>
    <row r="924" spans="6:6" x14ac:dyDescent="0.35">
      <c r="F924" s="457"/>
    </row>
    <row r="925" spans="6:6" x14ac:dyDescent="0.35">
      <c r="F925" s="457"/>
    </row>
    <row r="926" spans="6:6" x14ac:dyDescent="0.35">
      <c r="F926" s="457"/>
    </row>
    <row r="927" spans="6:6" x14ac:dyDescent="0.35">
      <c r="F927" s="457"/>
    </row>
    <row r="928" spans="6:6" x14ac:dyDescent="0.35">
      <c r="F928" s="457"/>
    </row>
    <row r="929" spans="6:6" x14ac:dyDescent="0.35">
      <c r="F929" s="457"/>
    </row>
    <row r="930" spans="6:6" x14ac:dyDescent="0.35">
      <c r="F930" s="457"/>
    </row>
    <row r="931" spans="6:6" x14ac:dyDescent="0.35">
      <c r="F931" s="457"/>
    </row>
    <row r="932" spans="6:6" x14ac:dyDescent="0.35">
      <c r="F932" s="457"/>
    </row>
    <row r="933" spans="6:6" x14ac:dyDescent="0.35">
      <c r="F933" s="457"/>
    </row>
    <row r="934" spans="6:6" x14ac:dyDescent="0.35">
      <c r="F934" s="457"/>
    </row>
    <row r="935" spans="6:6" x14ac:dyDescent="0.35">
      <c r="F935" s="457"/>
    </row>
    <row r="936" spans="6:6" x14ac:dyDescent="0.35">
      <c r="F936" s="457"/>
    </row>
    <row r="937" spans="6:6" x14ac:dyDescent="0.35">
      <c r="F937" s="457"/>
    </row>
    <row r="938" spans="6:6" x14ac:dyDescent="0.35">
      <c r="F938" s="457"/>
    </row>
    <row r="939" spans="6:6" x14ac:dyDescent="0.35">
      <c r="F939" s="457"/>
    </row>
    <row r="940" spans="6:6" x14ac:dyDescent="0.35">
      <c r="F940" s="457"/>
    </row>
    <row r="941" spans="6:6" x14ac:dyDescent="0.35">
      <c r="F941" s="457"/>
    </row>
    <row r="942" spans="6:6" x14ac:dyDescent="0.35">
      <c r="F942" s="457"/>
    </row>
    <row r="943" spans="6:6" x14ac:dyDescent="0.35">
      <c r="F943" s="457"/>
    </row>
    <row r="944" spans="6:6" x14ac:dyDescent="0.35">
      <c r="F944" s="457"/>
    </row>
    <row r="945" spans="6:6" x14ac:dyDescent="0.35">
      <c r="F945" s="457"/>
    </row>
    <row r="946" spans="6:6" x14ac:dyDescent="0.35">
      <c r="F946" s="457"/>
    </row>
    <row r="947" spans="6:6" x14ac:dyDescent="0.35">
      <c r="F947" s="457"/>
    </row>
    <row r="948" spans="6:6" x14ac:dyDescent="0.35">
      <c r="F948" s="457"/>
    </row>
    <row r="949" spans="6:6" x14ac:dyDescent="0.35">
      <c r="F949" s="457"/>
    </row>
    <row r="950" spans="6:6" x14ac:dyDescent="0.35">
      <c r="F950" s="457"/>
    </row>
    <row r="951" spans="6:6" x14ac:dyDescent="0.35">
      <c r="F951" s="457"/>
    </row>
    <row r="952" spans="6:6" x14ac:dyDescent="0.35">
      <c r="F952" s="457"/>
    </row>
    <row r="953" spans="6:6" x14ac:dyDescent="0.35">
      <c r="F953" s="457"/>
    </row>
    <row r="954" spans="6:6" x14ac:dyDescent="0.35">
      <c r="F954" s="457"/>
    </row>
    <row r="955" spans="6:6" x14ac:dyDescent="0.35">
      <c r="F955" s="457"/>
    </row>
    <row r="956" spans="6:6" x14ac:dyDescent="0.35">
      <c r="F956" s="457"/>
    </row>
    <row r="957" spans="6:6" x14ac:dyDescent="0.35">
      <c r="F957" s="457"/>
    </row>
    <row r="958" spans="6:6" x14ac:dyDescent="0.35">
      <c r="F958" s="457"/>
    </row>
    <row r="959" spans="6:6" x14ac:dyDescent="0.35">
      <c r="F959" s="457"/>
    </row>
    <row r="960" spans="6:6" x14ac:dyDescent="0.35">
      <c r="F960" s="457"/>
    </row>
    <row r="961" spans="6:6" x14ac:dyDescent="0.35">
      <c r="F961" s="457"/>
    </row>
    <row r="962" spans="6:6" x14ac:dyDescent="0.35">
      <c r="F962" s="457"/>
    </row>
    <row r="963" spans="6:6" x14ac:dyDescent="0.35">
      <c r="F963" s="457"/>
    </row>
    <row r="964" spans="6:6" x14ac:dyDescent="0.35">
      <c r="F964" s="457"/>
    </row>
    <row r="965" spans="6:6" x14ac:dyDescent="0.35">
      <c r="F965" s="457"/>
    </row>
    <row r="966" spans="6:6" x14ac:dyDescent="0.35">
      <c r="F966" s="457"/>
    </row>
    <row r="967" spans="6:6" x14ac:dyDescent="0.35">
      <c r="F967" s="457"/>
    </row>
    <row r="968" spans="6:6" x14ac:dyDescent="0.35">
      <c r="F968" s="457"/>
    </row>
    <row r="969" spans="6:6" x14ac:dyDescent="0.35">
      <c r="F969" s="457"/>
    </row>
    <row r="970" spans="6:6" x14ac:dyDescent="0.35">
      <c r="F970" s="457"/>
    </row>
    <row r="971" spans="6:6" x14ac:dyDescent="0.35">
      <c r="F971" s="457"/>
    </row>
    <row r="972" spans="6:6" x14ac:dyDescent="0.35">
      <c r="F972" s="457"/>
    </row>
    <row r="973" spans="6:6" x14ac:dyDescent="0.35">
      <c r="F973" s="457"/>
    </row>
    <row r="974" spans="6:6" x14ac:dyDescent="0.35">
      <c r="F974" s="457"/>
    </row>
    <row r="975" spans="6:6" x14ac:dyDescent="0.35">
      <c r="F975" s="457"/>
    </row>
    <row r="976" spans="6:6" x14ac:dyDescent="0.35">
      <c r="F976" s="457"/>
    </row>
    <row r="977" spans="6:6" x14ac:dyDescent="0.35">
      <c r="F977" s="457"/>
    </row>
    <row r="978" spans="6:6" x14ac:dyDescent="0.35">
      <c r="F978" s="457"/>
    </row>
    <row r="979" spans="6:6" x14ac:dyDescent="0.35">
      <c r="F979" s="457"/>
    </row>
    <row r="980" spans="6:6" x14ac:dyDescent="0.35">
      <c r="F980" s="457"/>
    </row>
    <row r="981" spans="6:6" x14ac:dyDescent="0.35">
      <c r="F981" s="457"/>
    </row>
    <row r="982" spans="6:6" x14ac:dyDescent="0.35">
      <c r="F982" s="457"/>
    </row>
    <row r="983" spans="6:6" x14ac:dyDescent="0.35">
      <c r="F983" s="457"/>
    </row>
    <row r="984" spans="6:6" x14ac:dyDescent="0.35">
      <c r="F984" s="457"/>
    </row>
    <row r="985" spans="6:6" x14ac:dyDescent="0.35">
      <c r="F985" s="457"/>
    </row>
    <row r="986" spans="6:6" x14ac:dyDescent="0.35">
      <c r="F986" s="457"/>
    </row>
    <row r="987" spans="6:6" x14ac:dyDescent="0.35">
      <c r="F987" s="457"/>
    </row>
    <row r="988" spans="6:6" x14ac:dyDescent="0.35">
      <c r="F988" s="457"/>
    </row>
    <row r="989" spans="6:6" x14ac:dyDescent="0.35">
      <c r="F989" s="457"/>
    </row>
    <row r="990" spans="6:6" x14ac:dyDescent="0.35">
      <c r="F990" s="457"/>
    </row>
    <row r="991" spans="6:6" x14ac:dyDescent="0.35">
      <c r="F991" s="457"/>
    </row>
    <row r="992" spans="6:6" x14ac:dyDescent="0.35">
      <c r="F992" s="457"/>
    </row>
    <row r="993" spans="6:6" x14ac:dyDescent="0.35">
      <c r="F993" s="457"/>
    </row>
    <row r="994" spans="6:6" x14ac:dyDescent="0.35">
      <c r="F994" s="457"/>
    </row>
    <row r="995" spans="6:6" x14ac:dyDescent="0.35">
      <c r="F995" s="457"/>
    </row>
    <row r="996" spans="6:6" x14ac:dyDescent="0.35">
      <c r="F996" s="457"/>
    </row>
    <row r="997" spans="6:6" x14ac:dyDescent="0.35">
      <c r="F997" s="457"/>
    </row>
    <row r="998" spans="6:6" x14ac:dyDescent="0.35">
      <c r="F998" s="457"/>
    </row>
    <row r="999" spans="6:6" x14ac:dyDescent="0.35">
      <c r="F999" s="457"/>
    </row>
    <row r="1000" spans="6:6" x14ac:dyDescent="0.35">
      <c r="F1000" s="457"/>
    </row>
    <row r="1001" spans="6:6" x14ac:dyDescent="0.35">
      <c r="F1001" s="457"/>
    </row>
    <row r="1002" spans="6:6" x14ac:dyDescent="0.35">
      <c r="F1002" s="457"/>
    </row>
    <row r="1003" spans="6:6" x14ac:dyDescent="0.35">
      <c r="F1003" s="457"/>
    </row>
    <row r="1004" spans="6:6" x14ac:dyDescent="0.35">
      <c r="F1004" s="457"/>
    </row>
    <row r="1005" spans="6:6" x14ac:dyDescent="0.35">
      <c r="F1005" s="457"/>
    </row>
    <row r="1006" spans="6:6" x14ac:dyDescent="0.35">
      <c r="F1006" s="457"/>
    </row>
    <row r="1007" spans="6:6" x14ac:dyDescent="0.35">
      <c r="F1007" s="457"/>
    </row>
    <row r="1008" spans="6:6" x14ac:dyDescent="0.35">
      <c r="F1008" s="457"/>
    </row>
    <row r="1009" spans="6:6" x14ac:dyDescent="0.35">
      <c r="F1009" s="457"/>
    </row>
    <row r="1010" spans="6:6" x14ac:dyDescent="0.35">
      <c r="F1010" s="457"/>
    </row>
    <row r="1011" spans="6:6" x14ac:dyDescent="0.35">
      <c r="F1011" s="457"/>
    </row>
    <row r="1012" spans="6:6" x14ac:dyDescent="0.35">
      <c r="F1012" s="457"/>
    </row>
    <row r="1013" spans="6:6" x14ac:dyDescent="0.35">
      <c r="F1013" s="457"/>
    </row>
    <row r="1014" spans="6:6" x14ac:dyDescent="0.35">
      <c r="F1014" s="457"/>
    </row>
    <row r="1015" spans="6:6" x14ac:dyDescent="0.35">
      <c r="F1015" s="457"/>
    </row>
    <row r="1016" spans="6:6" x14ac:dyDescent="0.35">
      <c r="F1016" s="457"/>
    </row>
    <row r="1017" spans="6:6" x14ac:dyDescent="0.35">
      <c r="F1017" s="457"/>
    </row>
    <row r="1018" spans="6:6" x14ac:dyDescent="0.35">
      <c r="F1018" s="457"/>
    </row>
    <row r="1019" spans="6:6" x14ac:dyDescent="0.35">
      <c r="F1019" s="457"/>
    </row>
    <row r="1020" spans="6:6" x14ac:dyDescent="0.35">
      <c r="F1020" s="457"/>
    </row>
    <row r="1021" spans="6:6" x14ac:dyDescent="0.35">
      <c r="F1021" s="457"/>
    </row>
    <row r="1022" spans="6:6" x14ac:dyDescent="0.35">
      <c r="F1022" s="457"/>
    </row>
    <row r="1023" spans="6:6" x14ac:dyDescent="0.35">
      <c r="F1023" s="457"/>
    </row>
    <row r="1024" spans="6:6" x14ac:dyDescent="0.35">
      <c r="F1024" s="457"/>
    </row>
    <row r="1025" spans="6:6" x14ac:dyDescent="0.35">
      <c r="F1025" s="457"/>
    </row>
    <row r="1026" spans="6:6" x14ac:dyDescent="0.35">
      <c r="F1026" s="457"/>
    </row>
    <row r="1027" spans="6:6" x14ac:dyDescent="0.35">
      <c r="F1027" s="457"/>
    </row>
    <row r="1028" spans="6:6" x14ac:dyDescent="0.35">
      <c r="F1028" s="457"/>
    </row>
    <row r="1029" spans="6:6" x14ac:dyDescent="0.35">
      <c r="F1029" s="457"/>
    </row>
    <row r="1030" spans="6:6" x14ac:dyDescent="0.35">
      <c r="F1030" s="457"/>
    </row>
    <row r="1031" spans="6:6" x14ac:dyDescent="0.35">
      <c r="F1031" s="457"/>
    </row>
    <row r="1032" spans="6:6" x14ac:dyDescent="0.35">
      <c r="F1032" s="457"/>
    </row>
    <row r="1033" spans="6:6" x14ac:dyDescent="0.35">
      <c r="F1033" s="457"/>
    </row>
    <row r="1034" spans="6:6" x14ac:dyDescent="0.35">
      <c r="F1034" s="457"/>
    </row>
    <row r="1035" spans="6:6" x14ac:dyDescent="0.35">
      <c r="F1035" s="457"/>
    </row>
    <row r="1036" spans="6:6" x14ac:dyDescent="0.35">
      <c r="F1036" s="457"/>
    </row>
    <row r="1037" spans="6:6" x14ac:dyDescent="0.35">
      <c r="F1037" s="457"/>
    </row>
    <row r="1038" spans="6:6" x14ac:dyDescent="0.35">
      <c r="F1038" s="457"/>
    </row>
    <row r="1039" spans="6:6" x14ac:dyDescent="0.35">
      <c r="F1039" s="457"/>
    </row>
    <row r="1040" spans="6:6" x14ac:dyDescent="0.35">
      <c r="F1040" s="457"/>
    </row>
    <row r="1041" spans="6:6" x14ac:dyDescent="0.35">
      <c r="F1041" s="457"/>
    </row>
    <row r="1042" spans="6:6" x14ac:dyDescent="0.35">
      <c r="F1042" s="457"/>
    </row>
    <row r="1043" spans="6:6" x14ac:dyDescent="0.35">
      <c r="F1043" s="457"/>
    </row>
    <row r="1044" spans="6:6" x14ac:dyDescent="0.35">
      <c r="F1044" s="457"/>
    </row>
    <row r="1045" spans="6:6" x14ac:dyDescent="0.35">
      <c r="F1045" s="457"/>
    </row>
    <row r="1046" spans="6:6" x14ac:dyDescent="0.35">
      <c r="F1046" s="457"/>
    </row>
    <row r="1047" spans="6:6" x14ac:dyDescent="0.35">
      <c r="F1047" s="457"/>
    </row>
    <row r="1048" spans="6:6" x14ac:dyDescent="0.35">
      <c r="F1048" s="457"/>
    </row>
    <row r="1049" spans="6:6" x14ac:dyDescent="0.35">
      <c r="F1049" s="457"/>
    </row>
    <row r="1050" spans="6:6" x14ac:dyDescent="0.35">
      <c r="F1050" s="457"/>
    </row>
    <row r="1051" spans="6:6" x14ac:dyDescent="0.35">
      <c r="F1051" s="457"/>
    </row>
    <row r="1052" spans="6:6" x14ac:dyDescent="0.35">
      <c r="F1052" s="457"/>
    </row>
    <row r="1053" spans="6:6" x14ac:dyDescent="0.35">
      <c r="F1053" s="457"/>
    </row>
    <row r="1054" spans="6:6" x14ac:dyDescent="0.35">
      <c r="F1054" s="457"/>
    </row>
    <row r="1055" spans="6:6" x14ac:dyDescent="0.35">
      <c r="F1055" s="457"/>
    </row>
    <row r="1056" spans="6:6" x14ac:dyDescent="0.35">
      <c r="F1056" s="457"/>
    </row>
    <row r="1057" spans="6:6" x14ac:dyDescent="0.35">
      <c r="F1057" s="457"/>
    </row>
    <row r="1058" spans="6:6" x14ac:dyDescent="0.35">
      <c r="F1058" s="457"/>
    </row>
    <row r="1059" spans="6:6" x14ac:dyDescent="0.35">
      <c r="F1059" s="457"/>
    </row>
    <row r="1060" spans="6:6" x14ac:dyDescent="0.35">
      <c r="F1060" s="457"/>
    </row>
    <row r="1061" spans="6:6" x14ac:dyDescent="0.35">
      <c r="F1061" s="457"/>
    </row>
    <row r="1062" spans="6:6" x14ac:dyDescent="0.35">
      <c r="F1062" s="457"/>
    </row>
    <row r="1063" spans="6:6" x14ac:dyDescent="0.35">
      <c r="F1063" s="457"/>
    </row>
    <row r="1064" spans="6:6" x14ac:dyDescent="0.35">
      <c r="F1064" s="457"/>
    </row>
    <row r="1065" spans="6:6" x14ac:dyDescent="0.35">
      <c r="F1065" s="457"/>
    </row>
    <row r="1066" spans="6:6" x14ac:dyDescent="0.35">
      <c r="F1066" s="457"/>
    </row>
    <row r="1067" spans="6:6" x14ac:dyDescent="0.35">
      <c r="F1067" s="457"/>
    </row>
    <row r="1068" spans="6:6" x14ac:dyDescent="0.35">
      <c r="F1068" s="457"/>
    </row>
    <row r="1069" spans="6:6" x14ac:dyDescent="0.35">
      <c r="F1069" s="457"/>
    </row>
    <row r="1070" spans="6:6" x14ac:dyDescent="0.35">
      <c r="F1070" s="457"/>
    </row>
    <row r="1071" spans="6:6" x14ac:dyDescent="0.35">
      <c r="F1071" s="457"/>
    </row>
    <row r="1072" spans="6:6" x14ac:dyDescent="0.35">
      <c r="F1072" s="457"/>
    </row>
    <row r="1073" spans="6:6" x14ac:dyDescent="0.35">
      <c r="F1073" s="457"/>
    </row>
    <row r="1074" spans="6:6" x14ac:dyDescent="0.35">
      <c r="F1074" s="457"/>
    </row>
    <row r="1075" spans="6:6" x14ac:dyDescent="0.35">
      <c r="F1075" s="457"/>
    </row>
    <row r="1076" spans="6:6" x14ac:dyDescent="0.35">
      <c r="F1076" s="457"/>
    </row>
    <row r="1077" spans="6:6" x14ac:dyDescent="0.35">
      <c r="F1077" s="457"/>
    </row>
    <row r="1078" spans="6:6" x14ac:dyDescent="0.35">
      <c r="F1078" s="457"/>
    </row>
    <row r="1079" spans="6:6" x14ac:dyDescent="0.35">
      <c r="F1079" s="457"/>
    </row>
    <row r="1080" spans="6:6" x14ac:dyDescent="0.35">
      <c r="F1080" s="457"/>
    </row>
    <row r="1081" spans="6:6" x14ac:dyDescent="0.35">
      <c r="F1081" s="457"/>
    </row>
    <row r="1082" spans="6:6" x14ac:dyDescent="0.35">
      <c r="F1082" s="457"/>
    </row>
    <row r="1083" spans="6:6" x14ac:dyDescent="0.35">
      <c r="F1083" s="457"/>
    </row>
    <row r="1084" spans="6:6" x14ac:dyDescent="0.35">
      <c r="F1084" s="457"/>
    </row>
    <row r="1085" spans="6:6" x14ac:dyDescent="0.35">
      <c r="F1085" s="457"/>
    </row>
    <row r="1086" spans="6:6" x14ac:dyDescent="0.35">
      <c r="F1086" s="457"/>
    </row>
    <row r="1087" spans="6:6" x14ac:dyDescent="0.35">
      <c r="F1087" s="457"/>
    </row>
    <row r="1088" spans="6:6" x14ac:dyDescent="0.35">
      <c r="F1088" s="457"/>
    </row>
    <row r="1089" spans="6:6" x14ac:dyDescent="0.35">
      <c r="F1089" s="457"/>
    </row>
    <row r="1090" spans="6:6" x14ac:dyDescent="0.35">
      <c r="F1090" s="457"/>
    </row>
    <row r="1091" spans="6:6" x14ac:dyDescent="0.35">
      <c r="F1091" s="457"/>
    </row>
    <row r="1092" spans="6:6" x14ac:dyDescent="0.35">
      <c r="F1092" s="457"/>
    </row>
    <row r="1093" spans="6:6" x14ac:dyDescent="0.35">
      <c r="F1093" s="457"/>
    </row>
    <row r="1094" spans="6:6" x14ac:dyDescent="0.35">
      <c r="F1094" s="457"/>
    </row>
    <row r="1095" spans="6:6" x14ac:dyDescent="0.35">
      <c r="F1095" s="457"/>
    </row>
    <row r="1096" spans="6:6" x14ac:dyDescent="0.35">
      <c r="F1096" s="457"/>
    </row>
    <row r="1097" spans="6:6" x14ac:dyDescent="0.35">
      <c r="F1097" s="457"/>
    </row>
    <row r="1098" spans="6:6" x14ac:dyDescent="0.35">
      <c r="F1098" s="457"/>
    </row>
    <row r="1099" spans="6:6" x14ac:dyDescent="0.35">
      <c r="F1099" s="457"/>
    </row>
    <row r="1100" spans="6:6" x14ac:dyDescent="0.35">
      <c r="F1100" s="457"/>
    </row>
    <row r="1101" spans="6:6" x14ac:dyDescent="0.35">
      <c r="F1101" s="457"/>
    </row>
    <row r="1102" spans="6:6" x14ac:dyDescent="0.35">
      <c r="F1102" s="457"/>
    </row>
    <row r="1103" spans="6:6" x14ac:dyDescent="0.35">
      <c r="F1103" s="457"/>
    </row>
    <row r="1104" spans="6:6" x14ac:dyDescent="0.35">
      <c r="F1104" s="457"/>
    </row>
    <row r="1105" spans="6:6" x14ac:dyDescent="0.35">
      <c r="F1105" s="457"/>
    </row>
    <row r="1106" spans="6:6" x14ac:dyDescent="0.35">
      <c r="F1106" s="457"/>
    </row>
    <row r="1107" spans="6:6" x14ac:dyDescent="0.35">
      <c r="F1107" s="457"/>
    </row>
    <row r="1108" spans="6:6" x14ac:dyDescent="0.35">
      <c r="F1108" s="457"/>
    </row>
    <row r="1109" spans="6:6" x14ac:dyDescent="0.35">
      <c r="F1109" s="457"/>
    </row>
    <row r="1110" spans="6:6" x14ac:dyDescent="0.35">
      <c r="F1110" s="457"/>
    </row>
    <row r="1111" spans="6:6" x14ac:dyDescent="0.35">
      <c r="F1111" s="457"/>
    </row>
    <row r="1112" spans="6:6" x14ac:dyDescent="0.35">
      <c r="F1112" s="457"/>
    </row>
    <row r="1113" spans="6:6" x14ac:dyDescent="0.35">
      <c r="F1113" s="457"/>
    </row>
    <row r="1114" spans="6:6" x14ac:dyDescent="0.35">
      <c r="F1114" s="457"/>
    </row>
    <row r="1115" spans="6:6" x14ac:dyDescent="0.35">
      <c r="F1115" s="457"/>
    </row>
    <row r="1116" spans="6:6" x14ac:dyDescent="0.35">
      <c r="F1116" s="457"/>
    </row>
    <row r="1117" spans="6:6" x14ac:dyDescent="0.35">
      <c r="F1117" s="457"/>
    </row>
    <row r="1118" spans="6:6" x14ac:dyDescent="0.35">
      <c r="F1118" s="457"/>
    </row>
    <row r="1119" spans="6:6" x14ac:dyDescent="0.35">
      <c r="F1119" s="457"/>
    </row>
    <row r="1120" spans="6:6" x14ac:dyDescent="0.35">
      <c r="F1120" s="457"/>
    </row>
    <row r="1121" spans="6:6" x14ac:dyDescent="0.35">
      <c r="F1121" s="457"/>
    </row>
    <row r="1122" spans="6:6" x14ac:dyDescent="0.35">
      <c r="F1122" s="457"/>
    </row>
    <row r="1123" spans="6:6" x14ac:dyDescent="0.35">
      <c r="F1123" s="457"/>
    </row>
    <row r="1124" spans="6:6" x14ac:dyDescent="0.35">
      <c r="F1124" s="457"/>
    </row>
    <row r="1125" spans="6:6" x14ac:dyDescent="0.35">
      <c r="F1125" s="457"/>
    </row>
    <row r="1126" spans="6:6" x14ac:dyDescent="0.35">
      <c r="F1126" s="457"/>
    </row>
    <row r="1127" spans="6:6" x14ac:dyDescent="0.35">
      <c r="F1127" s="457"/>
    </row>
    <row r="1128" spans="6:6" x14ac:dyDescent="0.35">
      <c r="F1128" s="457"/>
    </row>
    <row r="1129" spans="6:6" x14ac:dyDescent="0.35">
      <c r="F1129" s="457"/>
    </row>
    <row r="1130" spans="6:6" x14ac:dyDescent="0.35">
      <c r="F1130" s="457"/>
    </row>
    <row r="1131" spans="6:6" x14ac:dyDescent="0.35">
      <c r="F1131" s="457"/>
    </row>
    <row r="1132" spans="6:6" x14ac:dyDescent="0.35">
      <c r="F1132" s="457"/>
    </row>
    <row r="1133" spans="6:6" x14ac:dyDescent="0.35">
      <c r="F1133" s="457"/>
    </row>
    <row r="1134" spans="6:6" x14ac:dyDescent="0.35">
      <c r="F1134" s="457"/>
    </row>
    <row r="1135" spans="6:6" x14ac:dyDescent="0.35">
      <c r="F1135" s="457"/>
    </row>
    <row r="1136" spans="6:6" x14ac:dyDescent="0.35">
      <c r="F1136" s="457"/>
    </row>
    <row r="1137" spans="6:6" x14ac:dyDescent="0.35">
      <c r="F1137" s="457"/>
    </row>
    <row r="1138" spans="6:6" x14ac:dyDescent="0.35">
      <c r="F1138" s="457"/>
    </row>
    <row r="1139" spans="6:6" x14ac:dyDescent="0.35">
      <c r="F1139" s="457"/>
    </row>
    <row r="1140" spans="6:6" x14ac:dyDescent="0.35">
      <c r="F1140" s="457"/>
    </row>
    <row r="1141" spans="6:6" x14ac:dyDescent="0.35">
      <c r="F1141" s="457"/>
    </row>
    <row r="1142" spans="6:6" x14ac:dyDescent="0.35">
      <c r="F1142" s="457"/>
    </row>
    <row r="1143" spans="6:6" x14ac:dyDescent="0.35">
      <c r="F1143" s="457"/>
    </row>
    <row r="1144" spans="6:6" x14ac:dyDescent="0.35">
      <c r="F1144" s="457"/>
    </row>
    <row r="1145" spans="6:6" x14ac:dyDescent="0.35">
      <c r="F1145" s="457"/>
    </row>
    <row r="1146" spans="6:6" x14ac:dyDescent="0.35">
      <c r="F1146" s="457"/>
    </row>
    <row r="1147" spans="6:6" x14ac:dyDescent="0.35">
      <c r="F1147" s="457"/>
    </row>
    <row r="1148" spans="6:6" x14ac:dyDescent="0.35">
      <c r="F1148" s="457"/>
    </row>
    <row r="1149" spans="6:6" x14ac:dyDescent="0.35">
      <c r="F1149" s="457"/>
    </row>
    <row r="1150" spans="6:6" x14ac:dyDescent="0.35">
      <c r="F1150" s="457"/>
    </row>
    <row r="1151" spans="6:6" x14ac:dyDescent="0.35">
      <c r="F1151" s="457"/>
    </row>
    <row r="1152" spans="6:6" x14ac:dyDescent="0.35">
      <c r="F1152" s="457"/>
    </row>
    <row r="1153" spans="6:6" x14ac:dyDescent="0.35">
      <c r="F1153" s="457"/>
    </row>
    <row r="1154" spans="6:6" x14ac:dyDescent="0.35">
      <c r="F1154" s="457"/>
    </row>
    <row r="1155" spans="6:6" x14ac:dyDescent="0.35">
      <c r="F1155" s="457"/>
    </row>
    <row r="1156" spans="6:6" x14ac:dyDescent="0.35">
      <c r="F1156" s="457"/>
    </row>
    <row r="1157" spans="6:6" x14ac:dyDescent="0.35">
      <c r="F1157" s="457"/>
    </row>
    <row r="1158" spans="6:6" x14ac:dyDescent="0.35">
      <c r="F1158" s="457"/>
    </row>
    <row r="1159" spans="6:6" x14ac:dyDescent="0.35">
      <c r="F1159" s="457"/>
    </row>
    <row r="1160" spans="6:6" x14ac:dyDescent="0.35">
      <c r="F1160" s="457"/>
    </row>
    <row r="1161" spans="6:6" x14ac:dyDescent="0.35">
      <c r="F1161" s="457"/>
    </row>
    <row r="1162" spans="6:6" x14ac:dyDescent="0.35">
      <c r="F1162" s="457"/>
    </row>
    <row r="1163" spans="6:6" x14ac:dyDescent="0.35">
      <c r="F1163" s="457"/>
    </row>
    <row r="1164" spans="6:6" x14ac:dyDescent="0.35">
      <c r="F1164" s="457"/>
    </row>
    <row r="1165" spans="6:6" x14ac:dyDescent="0.35">
      <c r="F1165" s="457"/>
    </row>
    <row r="1166" spans="6:6" x14ac:dyDescent="0.35">
      <c r="F1166" s="457"/>
    </row>
    <row r="1167" spans="6:6" x14ac:dyDescent="0.35">
      <c r="F1167" s="457"/>
    </row>
    <row r="1168" spans="6:6" x14ac:dyDescent="0.35">
      <c r="F1168" s="457"/>
    </row>
    <row r="1169" spans="6:6" x14ac:dyDescent="0.35">
      <c r="F1169" s="457"/>
    </row>
    <row r="1170" spans="6:6" x14ac:dyDescent="0.35">
      <c r="F1170" s="457"/>
    </row>
    <row r="1171" spans="6:6" x14ac:dyDescent="0.35">
      <c r="F1171" s="457"/>
    </row>
    <row r="1172" spans="6:6" x14ac:dyDescent="0.35">
      <c r="F1172" s="457"/>
    </row>
    <row r="1173" spans="6:6" x14ac:dyDescent="0.35">
      <c r="F1173" s="457"/>
    </row>
    <row r="1174" spans="6:6" x14ac:dyDescent="0.35">
      <c r="F1174" s="457"/>
    </row>
    <row r="1175" spans="6:6" x14ac:dyDescent="0.35">
      <c r="F1175" s="457"/>
    </row>
    <row r="1176" spans="6:6" x14ac:dyDescent="0.35">
      <c r="F1176" s="457"/>
    </row>
    <row r="1177" spans="6:6" x14ac:dyDescent="0.35">
      <c r="F1177" s="457"/>
    </row>
    <row r="1178" spans="6:6" x14ac:dyDescent="0.35">
      <c r="F1178" s="457"/>
    </row>
    <row r="1179" spans="6:6" x14ac:dyDescent="0.35">
      <c r="F1179" s="457"/>
    </row>
    <row r="1180" spans="6:6" x14ac:dyDescent="0.35">
      <c r="F1180" s="457"/>
    </row>
    <row r="1181" spans="6:6" x14ac:dyDescent="0.35">
      <c r="F1181" s="457"/>
    </row>
    <row r="1182" spans="6:6" x14ac:dyDescent="0.35">
      <c r="F1182" s="457"/>
    </row>
    <row r="1183" spans="6:6" x14ac:dyDescent="0.35">
      <c r="F1183" s="457"/>
    </row>
    <row r="1184" spans="6:6" x14ac:dyDescent="0.35">
      <c r="F1184" s="457"/>
    </row>
    <row r="1185" spans="6:6" x14ac:dyDescent="0.35">
      <c r="F1185" s="457"/>
    </row>
    <row r="1186" spans="6:6" x14ac:dyDescent="0.35">
      <c r="F1186" s="457"/>
    </row>
    <row r="1187" spans="6:6" x14ac:dyDescent="0.35">
      <c r="F1187" s="457"/>
    </row>
    <row r="1188" spans="6:6" x14ac:dyDescent="0.35">
      <c r="F1188" s="457"/>
    </row>
    <row r="1189" spans="6:6" x14ac:dyDescent="0.35">
      <c r="F1189" s="457"/>
    </row>
    <row r="1190" spans="6:6" x14ac:dyDescent="0.35">
      <c r="F1190" s="457"/>
    </row>
    <row r="1191" spans="6:6" x14ac:dyDescent="0.35">
      <c r="F1191" s="457"/>
    </row>
    <row r="1192" spans="6:6" x14ac:dyDescent="0.35">
      <c r="F1192" s="457"/>
    </row>
    <row r="1193" spans="6:6" x14ac:dyDescent="0.35">
      <c r="F1193" s="457"/>
    </row>
    <row r="1194" spans="6:6" x14ac:dyDescent="0.35">
      <c r="F1194" s="457"/>
    </row>
    <row r="1195" spans="6:6" x14ac:dyDescent="0.35">
      <c r="F1195" s="457"/>
    </row>
    <row r="1196" spans="6:6" x14ac:dyDescent="0.35">
      <c r="F1196" s="457"/>
    </row>
    <row r="1197" spans="6:6" x14ac:dyDescent="0.35">
      <c r="F1197" s="457"/>
    </row>
    <row r="1198" spans="6:6" x14ac:dyDescent="0.35">
      <c r="F1198" s="457"/>
    </row>
    <row r="1199" spans="6:6" x14ac:dyDescent="0.35">
      <c r="F1199" s="457"/>
    </row>
    <row r="1200" spans="6:6" x14ac:dyDescent="0.35">
      <c r="F1200" s="457"/>
    </row>
    <row r="1201" spans="6:6" x14ac:dyDescent="0.35">
      <c r="F1201" s="457"/>
    </row>
    <row r="1202" spans="6:6" x14ac:dyDescent="0.35">
      <c r="F1202" s="457"/>
    </row>
    <row r="1203" spans="6:6" x14ac:dyDescent="0.35">
      <c r="F1203" s="457"/>
    </row>
    <row r="1204" spans="6:6" x14ac:dyDescent="0.35">
      <c r="F1204" s="457"/>
    </row>
    <row r="1205" spans="6:6" x14ac:dyDescent="0.35">
      <c r="F1205" s="457"/>
    </row>
    <row r="1206" spans="6:6" x14ac:dyDescent="0.35">
      <c r="F1206" s="457"/>
    </row>
    <row r="1207" spans="6:6" x14ac:dyDescent="0.35">
      <c r="F1207" s="457"/>
    </row>
    <row r="1208" spans="6:6" x14ac:dyDescent="0.35">
      <c r="F1208" s="457"/>
    </row>
    <row r="1209" spans="6:6" x14ac:dyDescent="0.35">
      <c r="F1209" s="457"/>
    </row>
    <row r="1210" spans="6:6" x14ac:dyDescent="0.35">
      <c r="F1210" s="457"/>
    </row>
    <row r="1211" spans="6:6" x14ac:dyDescent="0.35">
      <c r="F1211" s="457"/>
    </row>
    <row r="1212" spans="6:6" x14ac:dyDescent="0.35">
      <c r="F1212" s="457"/>
    </row>
    <row r="1213" spans="6:6" x14ac:dyDescent="0.35">
      <c r="F1213" s="457"/>
    </row>
    <row r="1214" spans="6:6" x14ac:dyDescent="0.35">
      <c r="F1214" s="457"/>
    </row>
    <row r="1215" spans="6:6" x14ac:dyDescent="0.35">
      <c r="F1215" s="457"/>
    </row>
    <row r="1216" spans="6:6" x14ac:dyDescent="0.35">
      <c r="F1216" s="457"/>
    </row>
    <row r="1217" spans="6:6" x14ac:dyDescent="0.35">
      <c r="F1217" s="457"/>
    </row>
    <row r="1218" spans="6:6" x14ac:dyDescent="0.35">
      <c r="F1218" s="457"/>
    </row>
    <row r="1219" spans="6:6" x14ac:dyDescent="0.35">
      <c r="F1219" s="457"/>
    </row>
    <row r="1220" spans="6:6" x14ac:dyDescent="0.35">
      <c r="F1220" s="457"/>
    </row>
    <row r="1221" spans="6:6" x14ac:dyDescent="0.35">
      <c r="F1221" s="457"/>
    </row>
    <row r="1222" spans="6:6" x14ac:dyDescent="0.35">
      <c r="F1222" s="457"/>
    </row>
    <row r="1223" spans="6:6" x14ac:dyDescent="0.35">
      <c r="F1223" s="457"/>
    </row>
    <row r="1224" spans="6:6" x14ac:dyDescent="0.35">
      <c r="F1224" s="457"/>
    </row>
    <row r="1225" spans="6:6" x14ac:dyDescent="0.35">
      <c r="F1225" s="457"/>
    </row>
    <row r="1226" spans="6:6" x14ac:dyDescent="0.35">
      <c r="F1226" s="457"/>
    </row>
    <row r="1227" spans="6:6" x14ac:dyDescent="0.35">
      <c r="F1227" s="457"/>
    </row>
    <row r="1228" spans="6:6" x14ac:dyDescent="0.35">
      <c r="F1228" s="457"/>
    </row>
    <row r="1229" spans="6:6" x14ac:dyDescent="0.35">
      <c r="F1229" s="457"/>
    </row>
    <row r="1230" spans="6:6" x14ac:dyDescent="0.35">
      <c r="F1230" s="457"/>
    </row>
    <row r="1231" spans="6:6" x14ac:dyDescent="0.35">
      <c r="F1231" s="457"/>
    </row>
    <row r="1232" spans="6:6" x14ac:dyDescent="0.35">
      <c r="F1232" s="457"/>
    </row>
    <row r="1233" spans="6:6" x14ac:dyDescent="0.35">
      <c r="F1233" s="457"/>
    </row>
    <row r="1234" spans="6:6" x14ac:dyDescent="0.35">
      <c r="F1234" s="457"/>
    </row>
    <row r="1235" spans="6:6" x14ac:dyDescent="0.35">
      <c r="F1235" s="457"/>
    </row>
    <row r="1236" spans="6:6" x14ac:dyDescent="0.35">
      <c r="F1236" s="457"/>
    </row>
    <row r="1237" spans="6:6" x14ac:dyDescent="0.35">
      <c r="F1237" s="457"/>
    </row>
    <row r="1238" spans="6:6" x14ac:dyDescent="0.35">
      <c r="F1238" s="457"/>
    </row>
    <row r="1239" spans="6:6" x14ac:dyDescent="0.35">
      <c r="F1239" s="457"/>
    </row>
    <row r="1240" spans="6:6" x14ac:dyDescent="0.35">
      <c r="F1240" s="457"/>
    </row>
    <row r="1241" spans="6:6" x14ac:dyDescent="0.35">
      <c r="F1241" s="457"/>
    </row>
    <row r="1242" spans="6:6" x14ac:dyDescent="0.35">
      <c r="F1242" s="457"/>
    </row>
    <row r="1243" spans="6:6" x14ac:dyDescent="0.35">
      <c r="F1243" s="457"/>
    </row>
    <row r="1244" spans="6:6" x14ac:dyDescent="0.35">
      <c r="F1244" s="457"/>
    </row>
    <row r="1245" spans="6:6" x14ac:dyDescent="0.35">
      <c r="F1245" s="457"/>
    </row>
    <row r="1246" spans="6:6" x14ac:dyDescent="0.35">
      <c r="F1246" s="457"/>
    </row>
    <row r="1247" spans="6:6" x14ac:dyDescent="0.35">
      <c r="F1247" s="457"/>
    </row>
    <row r="1248" spans="6:6" x14ac:dyDescent="0.35">
      <c r="F1248" s="457"/>
    </row>
    <row r="1249" spans="6:6" x14ac:dyDescent="0.35">
      <c r="F1249" s="457"/>
    </row>
    <row r="1250" spans="6:6" x14ac:dyDescent="0.35">
      <c r="F1250" s="457"/>
    </row>
    <row r="1251" spans="6:6" x14ac:dyDescent="0.35">
      <c r="F1251" s="457"/>
    </row>
    <row r="1252" spans="6:6" x14ac:dyDescent="0.35">
      <c r="F1252" s="457"/>
    </row>
    <row r="1253" spans="6:6" x14ac:dyDescent="0.35">
      <c r="F1253" s="457"/>
    </row>
    <row r="1254" spans="6:6" x14ac:dyDescent="0.35">
      <c r="F1254" s="457"/>
    </row>
    <row r="1255" spans="6:6" x14ac:dyDescent="0.35">
      <c r="F1255" s="457"/>
    </row>
    <row r="1256" spans="6:6" x14ac:dyDescent="0.35">
      <c r="F1256" s="457"/>
    </row>
    <row r="1257" spans="6:6" x14ac:dyDescent="0.35">
      <c r="F1257" s="457"/>
    </row>
    <row r="1258" spans="6:6" x14ac:dyDescent="0.35">
      <c r="F1258" s="457"/>
    </row>
    <row r="1259" spans="6:6" x14ac:dyDescent="0.35">
      <c r="F1259" s="457"/>
    </row>
    <row r="1260" spans="6:6" x14ac:dyDescent="0.35">
      <c r="F1260" s="457"/>
    </row>
    <row r="1261" spans="6:6" x14ac:dyDescent="0.35">
      <c r="F1261" s="457"/>
    </row>
    <row r="1262" spans="6:6" x14ac:dyDescent="0.35">
      <c r="F1262" s="457"/>
    </row>
    <row r="1263" spans="6:6" x14ac:dyDescent="0.35">
      <c r="F1263" s="457"/>
    </row>
    <row r="1264" spans="6:6" x14ac:dyDescent="0.35">
      <c r="F1264" s="457"/>
    </row>
    <row r="1265" spans="6:6" x14ac:dyDescent="0.35">
      <c r="F1265" s="457"/>
    </row>
    <row r="1266" spans="6:6" x14ac:dyDescent="0.35">
      <c r="F1266" s="457"/>
    </row>
    <row r="1267" spans="6:6" x14ac:dyDescent="0.35">
      <c r="F1267" s="457"/>
    </row>
    <row r="1268" spans="6:6" x14ac:dyDescent="0.35">
      <c r="F1268" s="457"/>
    </row>
    <row r="1269" spans="6:6" x14ac:dyDescent="0.35">
      <c r="F1269" s="457"/>
    </row>
    <row r="1270" spans="6:6" x14ac:dyDescent="0.35">
      <c r="F1270" s="457"/>
    </row>
    <row r="1271" spans="6:6" x14ac:dyDescent="0.35">
      <c r="F1271" s="457"/>
    </row>
    <row r="1272" spans="6:6" x14ac:dyDescent="0.35">
      <c r="F1272" s="457"/>
    </row>
    <row r="1273" spans="6:6" x14ac:dyDescent="0.35">
      <c r="F1273" s="457"/>
    </row>
    <row r="1274" spans="6:6" x14ac:dyDescent="0.35">
      <c r="F1274" s="457"/>
    </row>
    <row r="1275" spans="6:6" x14ac:dyDescent="0.35">
      <c r="F1275" s="457"/>
    </row>
    <row r="1276" spans="6:6" x14ac:dyDescent="0.35">
      <c r="F1276" s="457"/>
    </row>
    <row r="1277" spans="6:6" x14ac:dyDescent="0.35">
      <c r="F1277" s="457"/>
    </row>
    <row r="1278" spans="6:6" x14ac:dyDescent="0.35">
      <c r="F1278" s="457"/>
    </row>
    <row r="1279" spans="6:6" x14ac:dyDescent="0.35">
      <c r="F1279" s="457"/>
    </row>
    <row r="1280" spans="6:6" x14ac:dyDescent="0.35">
      <c r="F1280" s="457"/>
    </row>
    <row r="1281" spans="6:6" x14ac:dyDescent="0.35">
      <c r="F1281" s="457"/>
    </row>
    <row r="1282" spans="6:6" x14ac:dyDescent="0.35">
      <c r="F1282" s="457"/>
    </row>
    <row r="1283" spans="6:6" x14ac:dyDescent="0.35">
      <c r="F1283" s="457"/>
    </row>
    <row r="1284" spans="6:6" x14ac:dyDescent="0.35">
      <c r="F1284" s="457"/>
    </row>
    <row r="1285" spans="6:6" x14ac:dyDescent="0.35">
      <c r="F1285" s="457"/>
    </row>
    <row r="1286" spans="6:6" x14ac:dyDescent="0.35">
      <c r="F1286" s="457"/>
    </row>
    <row r="1287" spans="6:6" x14ac:dyDescent="0.35">
      <c r="F1287" s="457"/>
    </row>
    <row r="1288" spans="6:6" x14ac:dyDescent="0.35">
      <c r="F1288" s="457"/>
    </row>
    <row r="1289" spans="6:6" x14ac:dyDescent="0.35">
      <c r="F1289" s="457"/>
    </row>
    <row r="1290" spans="6:6" x14ac:dyDescent="0.35">
      <c r="F1290" s="457"/>
    </row>
    <row r="1291" spans="6:6" x14ac:dyDescent="0.35">
      <c r="F1291" s="457"/>
    </row>
    <row r="1292" spans="6:6" x14ac:dyDescent="0.35">
      <c r="F1292" s="457"/>
    </row>
    <row r="1293" spans="6:6" x14ac:dyDescent="0.35">
      <c r="F1293" s="457"/>
    </row>
    <row r="1294" spans="6:6" x14ac:dyDescent="0.35">
      <c r="F1294" s="457"/>
    </row>
    <row r="1295" spans="6:6" x14ac:dyDescent="0.35">
      <c r="F1295" s="457"/>
    </row>
    <row r="1296" spans="6:6" x14ac:dyDescent="0.35">
      <c r="F1296" s="457"/>
    </row>
    <row r="1297" spans="6:6" x14ac:dyDescent="0.35">
      <c r="F1297" s="457"/>
    </row>
    <row r="1298" spans="6:6" x14ac:dyDescent="0.35">
      <c r="F1298" s="457"/>
    </row>
    <row r="1299" spans="6:6" x14ac:dyDescent="0.35">
      <c r="F1299" s="457"/>
    </row>
    <row r="1300" spans="6:6" x14ac:dyDescent="0.35">
      <c r="F1300" s="457"/>
    </row>
    <row r="1301" spans="6:6" x14ac:dyDescent="0.35">
      <c r="F1301" s="457"/>
    </row>
    <row r="1302" spans="6:6" x14ac:dyDescent="0.35">
      <c r="F1302" s="457"/>
    </row>
    <row r="1303" spans="6:6" x14ac:dyDescent="0.35">
      <c r="F1303" s="457"/>
    </row>
    <row r="1304" spans="6:6" x14ac:dyDescent="0.35">
      <c r="F1304" s="457"/>
    </row>
    <row r="1305" spans="6:6" x14ac:dyDescent="0.35">
      <c r="F1305" s="457"/>
    </row>
    <row r="1306" spans="6:6" x14ac:dyDescent="0.35">
      <c r="F1306" s="457"/>
    </row>
    <row r="1307" spans="6:6" x14ac:dyDescent="0.35">
      <c r="F1307" s="457"/>
    </row>
    <row r="1308" spans="6:6" x14ac:dyDescent="0.35">
      <c r="F1308" s="457"/>
    </row>
    <row r="1309" spans="6:6" x14ac:dyDescent="0.35">
      <c r="F1309" s="457"/>
    </row>
    <row r="1310" spans="6:6" x14ac:dyDescent="0.35">
      <c r="F1310" s="457"/>
    </row>
    <row r="1311" spans="6:6" x14ac:dyDescent="0.35">
      <c r="F1311" s="457"/>
    </row>
    <row r="1312" spans="6:6" x14ac:dyDescent="0.35">
      <c r="F1312" s="457"/>
    </row>
    <row r="1313" spans="6:6" x14ac:dyDescent="0.35">
      <c r="F1313" s="457"/>
    </row>
    <row r="1314" spans="6:6" x14ac:dyDescent="0.35">
      <c r="F1314" s="457"/>
    </row>
    <row r="1315" spans="6:6" x14ac:dyDescent="0.35">
      <c r="F1315" s="457"/>
    </row>
    <row r="1316" spans="6:6" x14ac:dyDescent="0.35">
      <c r="F1316" s="457"/>
    </row>
    <row r="1317" spans="6:6" x14ac:dyDescent="0.35">
      <c r="F1317" s="457"/>
    </row>
    <row r="1318" spans="6:6" x14ac:dyDescent="0.35">
      <c r="F1318" s="457"/>
    </row>
    <row r="1319" spans="6:6" x14ac:dyDescent="0.35">
      <c r="F1319" s="457"/>
    </row>
    <row r="1320" spans="6:6" x14ac:dyDescent="0.35">
      <c r="F1320" s="457"/>
    </row>
    <row r="1321" spans="6:6" x14ac:dyDescent="0.35">
      <c r="F1321" s="457"/>
    </row>
    <row r="1322" spans="6:6" x14ac:dyDescent="0.35">
      <c r="F1322" s="457"/>
    </row>
    <row r="1323" spans="6:6" x14ac:dyDescent="0.35">
      <c r="F1323" s="457"/>
    </row>
    <row r="1324" spans="6:6" x14ac:dyDescent="0.35">
      <c r="F1324" s="457"/>
    </row>
    <row r="1325" spans="6:6" x14ac:dyDescent="0.35">
      <c r="F1325" s="457"/>
    </row>
    <row r="1326" spans="6:6" x14ac:dyDescent="0.35">
      <c r="F1326" s="457"/>
    </row>
    <row r="1327" spans="6:6" x14ac:dyDescent="0.35">
      <c r="F1327" s="457"/>
    </row>
    <row r="1328" spans="6:6" x14ac:dyDescent="0.35">
      <c r="F1328" s="457"/>
    </row>
    <row r="1329" spans="6:6" x14ac:dyDescent="0.35">
      <c r="F1329" s="457"/>
    </row>
    <row r="1330" spans="6:6" x14ac:dyDescent="0.35">
      <c r="F1330" s="457"/>
    </row>
    <row r="1331" spans="6:6" x14ac:dyDescent="0.35">
      <c r="F1331" s="457"/>
    </row>
    <row r="1332" spans="6:6" x14ac:dyDescent="0.35">
      <c r="F1332" s="457"/>
    </row>
    <row r="1333" spans="6:6" x14ac:dyDescent="0.35">
      <c r="F1333" s="457"/>
    </row>
    <row r="1334" spans="6:6" x14ac:dyDescent="0.35">
      <c r="F1334" s="457"/>
    </row>
    <row r="1335" spans="6:6" x14ac:dyDescent="0.35">
      <c r="F1335" s="457"/>
    </row>
    <row r="1336" spans="6:6" x14ac:dyDescent="0.35">
      <c r="F1336" s="457"/>
    </row>
    <row r="1337" spans="6:6" x14ac:dyDescent="0.35">
      <c r="F1337" s="457"/>
    </row>
    <row r="1338" spans="6:6" x14ac:dyDescent="0.35">
      <c r="F1338" s="457"/>
    </row>
    <row r="1339" spans="6:6" x14ac:dyDescent="0.35">
      <c r="F1339" s="457"/>
    </row>
    <row r="1340" spans="6:6" x14ac:dyDescent="0.35">
      <c r="F1340" s="457"/>
    </row>
    <row r="1341" spans="6:6" x14ac:dyDescent="0.35">
      <c r="F1341" s="457"/>
    </row>
    <row r="1342" spans="6:6" x14ac:dyDescent="0.35">
      <c r="F1342" s="457"/>
    </row>
    <row r="1343" spans="6:6" x14ac:dyDescent="0.35">
      <c r="F1343" s="457"/>
    </row>
    <row r="1344" spans="6:6" x14ac:dyDescent="0.35">
      <c r="F1344" s="457"/>
    </row>
    <row r="1345" spans="6:6" x14ac:dyDescent="0.35">
      <c r="F1345" s="457"/>
    </row>
    <row r="1346" spans="6:6" x14ac:dyDescent="0.35">
      <c r="F1346" s="457"/>
    </row>
    <row r="1347" spans="6:6" x14ac:dyDescent="0.35">
      <c r="F1347" s="457"/>
    </row>
    <row r="1348" spans="6:6" x14ac:dyDescent="0.35">
      <c r="F1348" s="457"/>
    </row>
    <row r="1349" spans="6:6" x14ac:dyDescent="0.35">
      <c r="F1349" s="457"/>
    </row>
    <row r="1350" spans="6:6" x14ac:dyDescent="0.35">
      <c r="F1350" s="457"/>
    </row>
    <row r="1351" spans="6:6" x14ac:dyDescent="0.35">
      <c r="F1351" s="457"/>
    </row>
    <row r="1352" spans="6:6" x14ac:dyDescent="0.35">
      <c r="F1352" s="457"/>
    </row>
    <row r="1353" spans="6:6" x14ac:dyDescent="0.35">
      <c r="F1353" s="457"/>
    </row>
    <row r="1354" spans="6:6" x14ac:dyDescent="0.35">
      <c r="F1354" s="457"/>
    </row>
    <row r="1355" spans="6:6" x14ac:dyDescent="0.35">
      <c r="F1355" s="457"/>
    </row>
    <row r="1356" spans="6:6" x14ac:dyDescent="0.35">
      <c r="F1356" s="457"/>
    </row>
    <row r="1357" spans="6:6" x14ac:dyDescent="0.35">
      <c r="F1357" s="457"/>
    </row>
    <row r="1358" spans="6:6" x14ac:dyDescent="0.35">
      <c r="F1358" s="457"/>
    </row>
    <row r="1359" spans="6:6" x14ac:dyDescent="0.35">
      <c r="F1359" s="457"/>
    </row>
    <row r="1360" spans="6:6" x14ac:dyDescent="0.35">
      <c r="F1360" s="457"/>
    </row>
    <row r="1361" spans="6:6" x14ac:dyDescent="0.35">
      <c r="F1361" s="457"/>
    </row>
    <row r="1362" spans="6:6" x14ac:dyDescent="0.35">
      <c r="F1362" s="457"/>
    </row>
    <row r="1363" spans="6:6" x14ac:dyDescent="0.35">
      <c r="F1363" s="457"/>
    </row>
    <row r="1364" spans="6:6" x14ac:dyDescent="0.35">
      <c r="F1364" s="457"/>
    </row>
    <row r="1365" spans="6:6" x14ac:dyDescent="0.35">
      <c r="F1365" s="457"/>
    </row>
    <row r="1366" spans="6:6" x14ac:dyDescent="0.35">
      <c r="F1366" s="457"/>
    </row>
    <row r="1367" spans="6:6" x14ac:dyDescent="0.35">
      <c r="F1367" s="457"/>
    </row>
    <row r="1368" spans="6:6" x14ac:dyDescent="0.35">
      <c r="F1368" s="457"/>
    </row>
    <row r="1369" spans="6:6" x14ac:dyDescent="0.35">
      <c r="F1369" s="457"/>
    </row>
    <row r="1370" spans="6:6" x14ac:dyDescent="0.35">
      <c r="F1370" s="457"/>
    </row>
    <row r="1371" spans="6:6" x14ac:dyDescent="0.35">
      <c r="F1371" s="457"/>
    </row>
    <row r="1372" spans="6:6" x14ac:dyDescent="0.35">
      <c r="F1372" s="457"/>
    </row>
    <row r="1373" spans="6:6" x14ac:dyDescent="0.35">
      <c r="F1373" s="457"/>
    </row>
    <row r="1374" spans="6:6" x14ac:dyDescent="0.35">
      <c r="F1374" s="457"/>
    </row>
    <row r="1375" spans="6:6" x14ac:dyDescent="0.35">
      <c r="F1375" s="457"/>
    </row>
    <row r="1376" spans="6:6" x14ac:dyDescent="0.35">
      <c r="F1376" s="457"/>
    </row>
    <row r="1377" spans="6:6" x14ac:dyDescent="0.35">
      <c r="F1377" s="457"/>
    </row>
    <row r="1378" spans="6:6" x14ac:dyDescent="0.35">
      <c r="F1378" s="457"/>
    </row>
    <row r="1379" spans="6:6" x14ac:dyDescent="0.35">
      <c r="F1379" s="457"/>
    </row>
    <row r="1380" spans="6:6" x14ac:dyDescent="0.35">
      <c r="F1380" s="457"/>
    </row>
    <row r="1381" spans="6:6" x14ac:dyDescent="0.35">
      <c r="F1381" s="457"/>
    </row>
    <row r="1382" spans="6:6" x14ac:dyDescent="0.35">
      <c r="F1382" s="457"/>
    </row>
    <row r="1383" spans="6:6" x14ac:dyDescent="0.35">
      <c r="F1383" s="457"/>
    </row>
    <row r="1384" spans="6:6" x14ac:dyDescent="0.35">
      <c r="F1384" s="457"/>
    </row>
    <row r="1385" spans="6:6" x14ac:dyDescent="0.35">
      <c r="F1385" s="457"/>
    </row>
    <row r="1386" spans="6:6" x14ac:dyDescent="0.35">
      <c r="F1386" s="457"/>
    </row>
    <row r="1387" spans="6:6" x14ac:dyDescent="0.35">
      <c r="F1387" s="457"/>
    </row>
    <row r="1388" spans="6:6" x14ac:dyDescent="0.35">
      <c r="F1388" s="457"/>
    </row>
    <row r="1389" spans="6:6" x14ac:dyDescent="0.35">
      <c r="F1389" s="457"/>
    </row>
    <row r="1390" spans="6:6" x14ac:dyDescent="0.35">
      <c r="F1390" s="457"/>
    </row>
    <row r="1391" spans="6:6" x14ac:dyDescent="0.35">
      <c r="F1391" s="457"/>
    </row>
    <row r="1392" spans="6:6" x14ac:dyDescent="0.35">
      <c r="F1392" s="457"/>
    </row>
    <row r="1393" spans="6:6" x14ac:dyDescent="0.35">
      <c r="F1393" s="457"/>
    </row>
    <row r="1394" spans="6:6" x14ac:dyDescent="0.35">
      <c r="F1394" s="457"/>
    </row>
    <row r="1395" spans="6:6" x14ac:dyDescent="0.35">
      <c r="F1395" s="457"/>
    </row>
    <row r="1396" spans="6:6" x14ac:dyDescent="0.35">
      <c r="F1396" s="457"/>
    </row>
    <row r="1397" spans="6:6" x14ac:dyDescent="0.35">
      <c r="F1397" s="457"/>
    </row>
    <row r="1398" spans="6:6" x14ac:dyDescent="0.35">
      <c r="F1398" s="457"/>
    </row>
    <row r="1399" spans="6:6" x14ac:dyDescent="0.35">
      <c r="F1399" s="457"/>
    </row>
    <row r="1400" spans="6:6" x14ac:dyDescent="0.35">
      <c r="F1400" s="457"/>
    </row>
    <row r="1401" spans="6:6" x14ac:dyDescent="0.35">
      <c r="F1401" s="457"/>
    </row>
    <row r="1402" spans="6:6" x14ac:dyDescent="0.35">
      <c r="F1402" s="457"/>
    </row>
    <row r="1403" spans="6:6" x14ac:dyDescent="0.35">
      <c r="F1403" s="457"/>
    </row>
    <row r="1404" spans="6:6" x14ac:dyDescent="0.35">
      <c r="F1404" s="457"/>
    </row>
    <row r="1405" spans="6:6" x14ac:dyDescent="0.35">
      <c r="F1405" s="457"/>
    </row>
    <row r="1406" spans="6:6" x14ac:dyDescent="0.35">
      <c r="F1406" s="457"/>
    </row>
    <row r="1407" spans="6:6" x14ac:dyDescent="0.35">
      <c r="F1407" s="457"/>
    </row>
    <row r="1408" spans="6:6" x14ac:dyDescent="0.35">
      <c r="F1408" s="457"/>
    </row>
    <row r="1409" spans="6:6" x14ac:dyDescent="0.35">
      <c r="F1409" s="457"/>
    </row>
    <row r="1410" spans="6:6" x14ac:dyDescent="0.35">
      <c r="F1410" s="457"/>
    </row>
    <row r="1411" spans="6:6" x14ac:dyDescent="0.35">
      <c r="F1411" s="457"/>
    </row>
    <row r="1412" spans="6:6" x14ac:dyDescent="0.35">
      <c r="F1412" s="457"/>
    </row>
    <row r="1413" spans="6:6" x14ac:dyDescent="0.35">
      <c r="F1413" s="457"/>
    </row>
    <row r="1414" spans="6:6" x14ac:dyDescent="0.35">
      <c r="F1414" s="457"/>
    </row>
    <row r="1415" spans="6:6" x14ac:dyDescent="0.35">
      <c r="F1415" s="457"/>
    </row>
    <row r="1416" spans="6:6" x14ac:dyDescent="0.35">
      <c r="F1416" s="457"/>
    </row>
    <row r="1417" spans="6:6" x14ac:dyDescent="0.35">
      <c r="F1417" s="457"/>
    </row>
    <row r="1418" spans="6:6" x14ac:dyDescent="0.35">
      <c r="F1418" s="457"/>
    </row>
    <row r="1419" spans="6:6" x14ac:dyDescent="0.35">
      <c r="F1419" s="457"/>
    </row>
    <row r="1420" spans="6:6" x14ac:dyDescent="0.35">
      <c r="F1420" s="457"/>
    </row>
    <row r="1421" spans="6:6" x14ac:dyDescent="0.35">
      <c r="F1421" s="457"/>
    </row>
    <row r="1422" spans="6:6" x14ac:dyDescent="0.35">
      <c r="F1422" s="457"/>
    </row>
    <row r="1423" spans="6:6" x14ac:dyDescent="0.35">
      <c r="F1423" s="457"/>
    </row>
    <row r="1424" spans="6:6" x14ac:dyDescent="0.35">
      <c r="F1424" s="457"/>
    </row>
    <row r="1425" spans="6:6" x14ac:dyDescent="0.35">
      <c r="F1425" s="457"/>
    </row>
    <row r="1426" spans="6:6" x14ac:dyDescent="0.35">
      <c r="F1426" s="457"/>
    </row>
    <row r="1427" spans="6:6" x14ac:dyDescent="0.35">
      <c r="F1427" s="457"/>
    </row>
    <row r="1428" spans="6:6" x14ac:dyDescent="0.35">
      <c r="F1428" s="457"/>
    </row>
    <row r="1429" spans="6:6" x14ac:dyDescent="0.35">
      <c r="F1429" s="457"/>
    </row>
    <row r="1430" spans="6:6" x14ac:dyDescent="0.35">
      <c r="F1430" s="457"/>
    </row>
    <row r="1431" spans="6:6" x14ac:dyDescent="0.35">
      <c r="F1431" s="457"/>
    </row>
    <row r="1432" spans="6:6" x14ac:dyDescent="0.35">
      <c r="F1432" s="457"/>
    </row>
    <row r="1433" spans="6:6" x14ac:dyDescent="0.35">
      <c r="F1433" s="457"/>
    </row>
    <row r="1434" spans="6:6" x14ac:dyDescent="0.35">
      <c r="F1434" s="457"/>
    </row>
    <row r="1435" spans="6:6" x14ac:dyDescent="0.35">
      <c r="F1435" s="457"/>
    </row>
    <row r="1436" spans="6:6" x14ac:dyDescent="0.35">
      <c r="F1436" s="457"/>
    </row>
    <row r="1437" spans="6:6" x14ac:dyDescent="0.35">
      <c r="F1437" s="457"/>
    </row>
    <row r="1438" spans="6:6" x14ac:dyDescent="0.35">
      <c r="F1438" s="457"/>
    </row>
    <row r="1439" spans="6:6" x14ac:dyDescent="0.35">
      <c r="F1439" s="457"/>
    </row>
    <row r="1440" spans="6:6" x14ac:dyDescent="0.35">
      <c r="F1440" s="457"/>
    </row>
    <row r="1441" spans="6:6" x14ac:dyDescent="0.35">
      <c r="F1441" s="457"/>
    </row>
    <row r="1442" spans="6:6" x14ac:dyDescent="0.35">
      <c r="F1442" s="457"/>
    </row>
    <row r="1443" spans="6:6" x14ac:dyDescent="0.35">
      <c r="F1443" s="457"/>
    </row>
    <row r="1444" spans="6:6" x14ac:dyDescent="0.35">
      <c r="F1444" s="457"/>
    </row>
    <row r="1445" spans="6:6" x14ac:dyDescent="0.35">
      <c r="F1445" s="457"/>
    </row>
    <row r="1446" spans="6:6" x14ac:dyDescent="0.35">
      <c r="F1446" s="457"/>
    </row>
    <row r="1447" spans="6:6" x14ac:dyDescent="0.35">
      <c r="F1447" s="457"/>
    </row>
    <row r="1448" spans="6:6" x14ac:dyDescent="0.35">
      <c r="F1448" s="457"/>
    </row>
    <row r="1449" spans="6:6" x14ac:dyDescent="0.35">
      <c r="F1449" s="457"/>
    </row>
    <row r="1450" spans="6:6" x14ac:dyDescent="0.35">
      <c r="F1450" s="457"/>
    </row>
    <row r="1451" spans="6:6" x14ac:dyDescent="0.35">
      <c r="F1451" s="457"/>
    </row>
    <row r="1452" spans="6:6" x14ac:dyDescent="0.35">
      <c r="F1452" s="457"/>
    </row>
    <row r="1453" spans="6:6" x14ac:dyDescent="0.35">
      <c r="F1453" s="457"/>
    </row>
    <row r="1454" spans="6:6" x14ac:dyDescent="0.35">
      <c r="F1454" s="457"/>
    </row>
    <row r="1455" spans="6:6" x14ac:dyDescent="0.35">
      <c r="F1455" s="457"/>
    </row>
    <row r="1456" spans="6:6" x14ac:dyDescent="0.35">
      <c r="F1456" s="457"/>
    </row>
    <row r="1457" spans="6:6" x14ac:dyDescent="0.35">
      <c r="F1457" s="457"/>
    </row>
    <row r="1458" spans="6:6" x14ac:dyDescent="0.35">
      <c r="F1458" s="457"/>
    </row>
    <row r="1459" spans="6:6" x14ac:dyDescent="0.35">
      <c r="F1459" s="457"/>
    </row>
    <row r="1460" spans="6:6" x14ac:dyDescent="0.35">
      <c r="F1460" s="457"/>
    </row>
    <row r="1461" spans="6:6" x14ac:dyDescent="0.35">
      <c r="F1461" s="457"/>
    </row>
    <row r="1462" spans="6:6" x14ac:dyDescent="0.35">
      <c r="F1462" s="457"/>
    </row>
    <row r="1463" spans="6:6" x14ac:dyDescent="0.35">
      <c r="F1463" s="457"/>
    </row>
    <row r="1464" spans="6:6" x14ac:dyDescent="0.35">
      <c r="F1464" s="457"/>
    </row>
    <row r="1465" spans="6:6" x14ac:dyDescent="0.35">
      <c r="F1465" s="457"/>
    </row>
    <row r="1466" spans="6:6" x14ac:dyDescent="0.35">
      <c r="F1466" s="457"/>
    </row>
    <row r="1467" spans="6:6" x14ac:dyDescent="0.35">
      <c r="F1467" s="457"/>
    </row>
    <row r="1468" spans="6:6" x14ac:dyDescent="0.35">
      <c r="F1468" s="457"/>
    </row>
    <row r="1469" spans="6:6" x14ac:dyDescent="0.35">
      <c r="F1469" s="457"/>
    </row>
    <row r="1470" spans="6:6" x14ac:dyDescent="0.35">
      <c r="F1470" s="457"/>
    </row>
    <row r="1471" spans="6:6" x14ac:dyDescent="0.35">
      <c r="F1471" s="457"/>
    </row>
    <row r="1472" spans="6:6" x14ac:dyDescent="0.35">
      <c r="F1472" s="457"/>
    </row>
    <row r="1473" spans="6:6" x14ac:dyDescent="0.35">
      <c r="F1473" s="457"/>
    </row>
    <row r="1474" spans="6:6" x14ac:dyDescent="0.35">
      <c r="F1474" s="457"/>
    </row>
    <row r="1475" spans="6:6" x14ac:dyDescent="0.35">
      <c r="F1475" s="457"/>
    </row>
    <row r="1476" spans="6:6" x14ac:dyDescent="0.35">
      <c r="F1476" s="457"/>
    </row>
    <row r="1477" spans="6:6" x14ac:dyDescent="0.35">
      <c r="F1477" s="457"/>
    </row>
    <row r="1478" spans="6:6" x14ac:dyDescent="0.35">
      <c r="F1478" s="457"/>
    </row>
    <row r="1479" spans="6:6" x14ac:dyDescent="0.35">
      <c r="F1479" s="457"/>
    </row>
    <row r="1480" spans="6:6" x14ac:dyDescent="0.35">
      <c r="F1480" s="457"/>
    </row>
    <row r="1481" spans="6:6" x14ac:dyDescent="0.35">
      <c r="F1481" s="457"/>
    </row>
    <row r="1482" spans="6:6" x14ac:dyDescent="0.35">
      <c r="F1482" s="457"/>
    </row>
    <row r="1483" spans="6:6" x14ac:dyDescent="0.35">
      <c r="F1483" s="457"/>
    </row>
    <row r="1484" spans="6:6" x14ac:dyDescent="0.35">
      <c r="F1484" s="457"/>
    </row>
    <row r="1485" spans="6:6" x14ac:dyDescent="0.35">
      <c r="F1485" s="457"/>
    </row>
    <row r="1486" spans="6:6" x14ac:dyDescent="0.35">
      <c r="F1486" s="457"/>
    </row>
    <row r="1487" spans="6:6" x14ac:dyDescent="0.35">
      <c r="F1487" s="457"/>
    </row>
    <row r="1488" spans="6:6" x14ac:dyDescent="0.35">
      <c r="F1488" s="457"/>
    </row>
    <row r="1489" spans="6:6" x14ac:dyDescent="0.35">
      <c r="F1489" s="457"/>
    </row>
    <row r="1490" spans="6:6" x14ac:dyDescent="0.35">
      <c r="F1490" s="457"/>
    </row>
    <row r="1491" spans="6:6" x14ac:dyDescent="0.35">
      <c r="F1491" s="457"/>
    </row>
    <row r="1492" spans="6:6" x14ac:dyDescent="0.35">
      <c r="F1492" s="457"/>
    </row>
    <row r="1493" spans="6:6" x14ac:dyDescent="0.35">
      <c r="F1493" s="457"/>
    </row>
    <row r="1494" spans="6:6" x14ac:dyDescent="0.35">
      <c r="F1494" s="457"/>
    </row>
    <row r="1495" spans="6:6" x14ac:dyDescent="0.35">
      <c r="F1495" s="457"/>
    </row>
    <row r="1496" spans="6:6" x14ac:dyDescent="0.35">
      <c r="F1496" s="457"/>
    </row>
    <row r="1497" spans="6:6" x14ac:dyDescent="0.35">
      <c r="F1497" s="457"/>
    </row>
    <row r="1498" spans="6:6" x14ac:dyDescent="0.35">
      <c r="F1498" s="457"/>
    </row>
    <row r="1499" spans="6:6" x14ac:dyDescent="0.35">
      <c r="F1499" s="457"/>
    </row>
    <row r="1500" spans="6:6" x14ac:dyDescent="0.35">
      <c r="F1500" s="457"/>
    </row>
    <row r="1501" spans="6:6" x14ac:dyDescent="0.35">
      <c r="F1501" s="457"/>
    </row>
    <row r="1502" spans="6:6" x14ac:dyDescent="0.35">
      <c r="F1502" s="457"/>
    </row>
    <row r="1503" spans="6:6" x14ac:dyDescent="0.35">
      <c r="F1503" s="457"/>
    </row>
    <row r="1504" spans="6:6" x14ac:dyDescent="0.35">
      <c r="F1504" s="457"/>
    </row>
    <row r="1505" spans="6:6" x14ac:dyDescent="0.35">
      <c r="F1505" s="457"/>
    </row>
    <row r="1506" spans="6:6" x14ac:dyDescent="0.35">
      <c r="F1506" s="457"/>
    </row>
    <row r="1507" spans="6:6" x14ac:dyDescent="0.35">
      <c r="F1507" s="457"/>
    </row>
    <row r="1508" spans="6:6" x14ac:dyDescent="0.35">
      <c r="F1508" s="457"/>
    </row>
    <row r="1509" spans="6:6" x14ac:dyDescent="0.35">
      <c r="F1509" s="457"/>
    </row>
    <row r="1510" spans="6:6" x14ac:dyDescent="0.35">
      <c r="F1510" s="457"/>
    </row>
    <row r="1511" spans="6:6" x14ac:dyDescent="0.35">
      <c r="F1511" s="457"/>
    </row>
    <row r="1512" spans="6:6" x14ac:dyDescent="0.35">
      <c r="F1512" s="457"/>
    </row>
    <row r="1513" spans="6:6" x14ac:dyDescent="0.35">
      <c r="F1513" s="457"/>
    </row>
    <row r="1514" spans="6:6" x14ac:dyDescent="0.35">
      <c r="F1514" s="457"/>
    </row>
    <row r="1515" spans="6:6" x14ac:dyDescent="0.35">
      <c r="F1515" s="457"/>
    </row>
    <row r="1516" spans="6:6" x14ac:dyDescent="0.35">
      <c r="F1516" s="457"/>
    </row>
    <row r="1517" spans="6:6" x14ac:dyDescent="0.35">
      <c r="F1517" s="457"/>
    </row>
    <row r="1518" spans="6:6" x14ac:dyDescent="0.35">
      <c r="F1518" s="457"/>
    </row>
    <row r="1519" spans="6:6" x14ac:dyDescent="0.35">
      <c r="F1519" s="457"/>
    </row>
    <row r="1520" spans="6:6" x14ac:dyDescent="0.35">
      <c r="F1520" s="457"/>
    </row>
    <row r="1521" spans="6:6" x14ac:dyDescent="0.35">
      <c r="F1521" s="457"/>
    </row>
    <row r="1522" spans="6:6" x14ac:dyDescent="0.35">
      <c r="F1522" s="457"/>
    </row>
    <row r="1523" spans="6:6" x14ac:dyDescent="0.35">
      <c r="F1523" s="457"/>
    </row>
    <row r="1524" spans="6:6" x14ac:dyDescent="0.35">
      <c r="F1524" s="457"/>
    </row>
    <row r="1525" spans="6:6" x14ac:dyDescent="0.35">
      <c r="F1525" s="457"/>
    </row>
    <row r="1526" spans="6:6" x14ac:dyDescent="0.35">
      <c r="F1526" s="457"/>
    </row>
    <row r="1527" spans="6:6" x14ac:dyDescent="0.35">
      <c r="F1527" s="457"/>
    </row>
    <row r="1528" spans="6:6" x14ac:dyDescent="0.35">
      <c r="F1528" s="457"/>
    </row>
    <row r="1529" spans="6:6" x14ac:dyDescent="0.35">
      <c r="F1529" s="457"/>
    </row>
    <row r="1530" spans="6:6" x14ac:dyDescent="0.35">
      <c r="F1530" s="457"/>
    </row>
    <row r="1531" spans="6:6" x14ac:dyDescent="0.35">
      <c r="F1531" s="457"/>
    </row>
    <row r="1532" spans="6:6" x14ac:dyDescent="0.35">
      <c r="F1532" s="457"/>
    </row>
    <row r="1533" spans="6:6" x14ac:dyDescent="0.35">
      <c r="F1533" s="457"/>
    </row>
    <row r="1534" spans="6:6" x14ac:dyDescent="0.35">
      <c r="F1534" s="457"/>
    </row>
    <row r="1535" spans="6:6" x14ac:dyDescent="0.35">
      <c r="F1535" s="457"/>
    </row>
    <row r="1536" spans="6:6" x14ac:dyDescent="0.35">
      <c r="F1536" s="457"/>
    </row>
    <row r="1537" spans="6:6" x14ac:dyDescent="0.35">
      <c r="F1537" s="457"/>
    </row>
    <row r="1538" spans="6:6" x14ac:dyDescent="0.35">
      <c r="F1538" s="457"/>
    </row>
    <row r="1539" spans="6:6" x14ac:dyDescent="0.35">
      <c r="F1539" s="457"/>
    </row>
    <row r="1540" spans="6:6" x14ac:dyDescent="0.35">
      <c r="F1540" s="457"/>
    </row>
    <row r="1541" spans="6:6" x14ac:dyDescent="0.35">
      <c r="F1541" s="457"/>
    </row>
    <row r="1542" spans="6:6" x14ac:dyDescent="0.35">
      <c r="F1542" s="457"/>
    </row>
    <row r="1543" spans="6:6" x14ac:dyDescent="0.35">
      <c r="F1543" s="457"/>
    </row>
    <row r="1544" spans="6:6" x14ac:dyDescent="0.35">
      <c r="F1544" s="457"/>
    </row>
    <row r="1545" spans="6:6" x14ac:dyDescent="0.35">
      <c r="F1545" s="457"/>
    </row>
    <row r="1546" spans="6:6" x14ac:dyDescent="0.35">
      <c r="F1546" s="457"/>
    </row>
    <row r="1547" spans="6:6" x14ac:dyDescent="0.35">
      <c r="F1547" s="457"/>
    </row>
    <row r="1548" spans="6:6" x14ac:dyDescent="0.35">
      <c r="F1548" s="457"/>
    </row>
    <row r="1549" spans="6:6" x14ac:dyDescent="0.35">
      <c r="F1549" s="457"/>
    </row>
    <row r="1550" spans="6:6" x14ac:dyDescent="0.35">
      <c r="F1550" s="457"/>
    </row>
    <row r="1551" spans="6:6" x14ac:dyDescent="0.35">
      <c r="F1551" s="457"/>
    </row>
    <row r="1552" spans="6:6" x14ac:dyDescent="0.35">
      <c r="F1552" s="457"/>
    </row>
    <row r="1553" spans="6:6" x14ac:dyDescent="0.35">
      <c r="F1553" s="457"/>
    </row>
    <row r="1554" spans="6:6" x14ac:dyDescent="0.35">
      <c r="F1554" s="457"/>
    </row>
    <row r="1555" spans="6:6" x14ac:dyDescent="0.35">
      <c r="F1555" s="457"/>
    </row>
    <row r="1556" spans="6:6" x14ac:dyDescent="0.35">
      <c r="F1556" s="457"/>
    </row>
    <row r="1557" spans="6:6" x14ac:dyDescent="0.35">
      <c r="F1557" s="457"/>
    </row>
    <row r="1558" spans="6:6" x14ac:dyDescent="0.35">
      <c r="F1558" s="457"/>
    </row>
    <row r="1559" spans="6:6" x14ac:dyDescent="0.35">
      <c r="F1559" s="457"/>
    </row>
    <row r="1560" spans="6:6" x14ac:dyDescent="0.35">
      <c r="F1560" s="457"/>
    </row>
    <row r="1561" spans="6:6" x14ac:dyDescent="0.35">
      <c r="F1561" s="457"/>
    </row>
    <row r="1562" spans="6:6" x14ac:dyDescent="0.35">
      <c r="F1562" s="457"/>
    </row>
    <row r="1563" spans="6:6" x14ac:dyDescent="0.35">
      <c r="F1563" s="457"/>
    </row>
    <row r="1564" spans="6:6" x14ac:dyDescent="0.35">
      <c r="F1564" s="457"/>
    </row>
    <row r="1565" spans="6:6" x14ac:dyDescent="0.35">
      <c r="F1565" s="457"/>
    </row>
    <row r="1566" spans="6:6" x14ac:dyDescent="0.35">
      <c r="F1566" s="457"/>
    </row>
    <row r="1567" spans="6:6" x14ac:dyDescent="0.35">
      <c r="F1567" s="457"/>
    </row>
    <row r="1568" spans="6:6" x14ac:dyDescent="0.35">
      <c r="F1568" s="457"/>
    </row>
    <row r="1569" spans="6:6" x14ac:dyDescent="0.35">
      <c r="F1569" s="457"/>
    </row>
    <row r="1570" spans="6:6" x14ac:dyDescent="0.35">
      <c r="F1570" s="457"/>
    </row>
    <row r="1571" spans="6:6" x14ac:dyDescent="0.35">
      <c r="F1571" s="457"/>
    </row>
    <row r="1572" spans="6:6" x14ac:dyDescent="0.35">
      <c r="F1572" s="457"/>
    </row>
    <row r="1573" spans="6:6" x14ac:dyDescent="0.35">
      <c r="F1573" s="457"/>
    </row>
    <row r="1574" spans="6:6" x14ac:dyDescent="0.35">
      <c r="F1574" s="457"/>
    </row>
    <row r="1575" spans="6:6" x14ac:dyDescent="0.35">
      <c r="F1575" s="457"/>
    </row>
    <row r="1576" spans="6:6" x14ac:dyDescent="0.35">
      <c r="F1576" s="457"/>
    </row>
    <row r="1577" spans="6:6" x14ac:dyDescent="0.35">
      <c r="F1577" s="457"/>
    </row>
    <row r="1578" spans="6:6" x14ac:dyDescent="0.35">
      <c r="F1578" s="457"/>
    </row>
    <row r="1579" spans="6:6" x14ac:dyDescent="0.35">
      <c r="F1579" s="457"/>
    </row>
    <row r="1580" spans="6:6" x14ac:dyDescent="0.35">
      <c r="F1580" s="457"/>
    </row>
    <row r="1581" spans="6:6" x14ac:dyDescent="0.35">
      <c r="F1581" s="457"/>
    </row>
    <row r="1582" spans="6:6" x14ac:dyDescent="0.35">
      <c r="F1582" s="457"/>
    </row>
    <row r="1583" spans="6:6" x14ac:dyDescent="0.35">
      <c r="F1583" s="457"/>
    </row>
    <row r="1584" spans="6:6" x14ac:dyDescent="0.35">
      <c r="F1584" s="457"/>
    </row>
    <row r="1585" spans="6:6" x14ac:dyDescent="0.35">
      <c r="F1585" s="457"/>
    </row>
    <row r="1586" spans="6:6" x14ac:dyDescent="0.35">
      <c r="F1586" s="457"/>
    </row>
    <row r="1587" spans="6:6" x14ac:dyDescent="0.35">
      <c r="F1587" s="457"/>
    </row>
    <row r="1588" spans="6:6" x14ac:dyDescent="0.35">
      <c r="F1588" s="457"/>
    </row>
    <row r="1589" spans="6:6" x14ac:dyDescent="0.35">
      <c r="F1589" s="457"/>
    </row>
    <row r="1590" spans="6:6" x14ac:dyDescent="0.35">
      <c r="F1590" s="457"/>
    </row>
    <row r="1591" spans="6:6" x14ac:dyDescent="0.35">
      <c r="F1591" s="457"/>
    </row>
    <row r="1592" spans="6:6" x14ac:dyDescent="0.35">
      <c r="F1592" s="457"/>
    </row>
    <row r="1593" spans="6:6" x14ac:dyDescent="0.35">
      <c r="F1593" s="457"/>
    </row>
    <row r="1594" spans="6:6" x14ac:dyDescent="0.35">
      <c r="F1594" s="457"/>
    </row>
    <row r="1595" spans="6:6" x14ac:dyDescent="0.35">
      <c r="F1595" s="457"/>
    </row>
    <row r="1596" spans="6:6" x14ac:dyDescent="0.35">
      <c r="F1596" s="457"/>
    </row>
    <row r="1597" spans="6:6" x14ac:dyDescent="0.35">
      <c r="F1597" s="457"/>
    </row>
    <row r="1598" spans="6:6" x14ac:dyDescent="0.35">
      <c r="F1598" s="457"/>
    </row>
    <row r="1599" spans="6:6" x14ac:dyDescent="0.35">
      <c r="F1599" s="457"/>
    </row>
    <row r="1600" spans="6:6" x14ac:dyDescent="0.35">
      <c r="F1600" s="457"/>
    </row>
    <row r="1601" spans="6:6" x14ac:dyDescent="0.35">
      <c r="F1601" s="457"/>
    </row>
    <row r="1602" spans="6:6" x14ac:dyDescent="0.35">
      <c r="F1602" s="457"/>
    </row>
    <row r="1603" spans="6:6" x14ac:dyDescent="0.35">
      <c r="F1603" s="457"/>
    </row>
    <row r="1604" spans="6:6" x14ac:dyDescent="0.35">
      <c r="F1604" s="457"/>
    </row>
    <row r="1605" spans="6:6" x14ac:dyDescent="0.35">
      <c r="F1605" s="457"/>
    </row>
    <row r="1606" spans="6:6" x14ac:dyDescent="0.35">
      <c r="F1606" s="457"/>
    </row>
    <row r="1607" spans="6:6" x14ac:dyDescent="0.35">
      <c r="F1607" s="457"/>
    </row>
    <row r="1608" spans="6:6" x14ac:dyDescent="0.35">
      <c r="F1608" s="457"/>
    </row>
    <row r="1609" spans="6:6" x14ac:dyDescent="0.35">
      <c r="F1609" s="457"/>
    </row>
    <row r="1610" spans="6:6" x14ac:dyDescent="0.35">
      <c r="F1610" s="457"/>
    </row>
    <row r="1611" spans="6:6" x14ac:dyDescent="0.35">
      <c r="F1611" s="457"/>
    </row>
    <row r="1612" spans="6:6" x14ac:dyDescent="0.35">
      <c r="F1612" s="457"/>
    </row>
    <row r="1613" spans="6:6" x14ac:dyDescent="0.35">
      <c r="F1613" s="457"/>
    </row>
    <row r="1614" spans="6:6" x14ac:dyDescent="0.35">
      <c r="F1614" s="457"/>
    </row>
    <row r="1615" spans="6:6" x14ac:dyDescent="0.35">
      <c r="F1615" s="457"/>
    </row>
    <row r="1616" spans="6:6" x14ac:dyDescent="0.35">
      <c r="F1616" s="457"/>
    </row>
    <row r="1617" spans="6:6" x14ac:dyDescent="0.35">
      <c r="F1617" s="457"/>
    </row>
    <row r="1618" spans="6:6" x14ac:dyDescent="0.35">
      <c r="F1618" s="457"/>
    </row>
    <row r="1619" spans="6:6" x14ac:dyDescent="0.35">
      <c r="F1619" s="457"/>
    </row>
    <row r="1620" spans="6:6" x14ac:dyDescent="0.35">
      <c r="F1620" s="457"/>
    </row>
    <row r="1621" spans="6:6" x14ac:dyDescent="0.35">
      <c r="F1621" s="457"/>
    </row>
    <row r="1622" spans="6:6" x14ac:dyDescent="0.35">
      <c r="F1622" s="457"/>
    </row>
    <row r="1623" spans="6:6" x14ac:dyDescent="0.35">
      <c r="F1623" s="457"/>
    </row>
    <row r="1624" spans="6:6" x14ac:dyDescent="0.35">
      <c r="F1624" s="457"/>
    </row>
    <row r="1625" spans="6:6" x14ac:dyDescent="0.35">
      <c r="F1625" s="457"/>
    </row>
    <row r="1626" spans="6:6" x14ac:dyDescent="0.35">
      <c r="F1626" s="457"/>
    </row>
    <row r="1627" spans="6:6" x14ac:dyDescent="0.35">
      <c r="F1627" s="457"/>
    </row>
    <row r="1628" spans="6:6" x14ac:dyDescent="0.35">
      <c r="F1628" s="457"/>
    </row>
    <row r="1629" spans="6:6" x14ac:dyDescent="0.35">
      <c r="F1629" s="457"/>
    </row>
    <row r="1630" spans="6:6" x14ac:dyDescent="0.35">
      <c r="F1630" s="457"/>
    </row>
    <row r="1631" spans="6:6" x14ac:dyDescent="0.35">
      <c r="F1631" s="457"/>
    </row>
    <row r="1632" spans="6:6" x14ac:dyDescent="0.35">
      <c r="F1632" s="457"/>
    </row>
    <row r="1633" spans="6:6" x14ac:dyDescent="0.35">
      <c r="F1633" s="457"/>
    </row>
    <row r="1634" spans="6:6" x14ac:dyDescent="0.35">
      <c r="F1634" s="457"/>
    </row>
    <row r="1635" spans="6:6" x14ac:dyDescent="0.35">
      <c r="F1635" s="457"/>
    </row>
    <row r="1636" spans="6:6" x14ac:dyDescent="0.35">
      <c r="F1636" s="457"/>
    </row>
    <row r="1637" spans="6:6" x14ac:dyDescent="0.35">
      <c r="F1637" s="457"/>
    </row>
    <row r="1638" spans="6:6" x14ac:dyDescent="0.35">
      <c r="F1638" s="457"/>
    </row>
    <row r="1639" spans="6:6" x14ac:dyDescent="0.35">
      <c r="F1639" s="457"/>
    </row>
    <row r="1640" spans="6:6" x14ac:dyDescent="0.35">
      <c r="F1640" s="457"/>
    </row>
    <row r="1641" spans="6:6" x14ac:dyDescent="0.35">
      <c r="F1641" s="457"/>
    </row>
    <row r="1642" spans="6:6" x14ac:dyDescent="0.35">
      <c r="F1642" s="457"/>
    </row>
    <row r="1643" spans="6:6" x14ac:dyDescent="0.35">
      <c r="F1643" s="457"/>
    </row>
    <row r="1644" spans="6:6" x14ac:dyDescent="0.35">
      <c r="F1644" s="457"/>
    </row>
    <row r="1645" spans="6:6" x14ac:dyDescent="0.35">
      <c r="F1645" s="457"/>
    </row>
    <row r="1646" spans="6:6" x14ac:dyDescent="0.35">
      <c r="F1646" s="457"/>
    </row>
    <row r="1647" spans="6:6" x14ac:dyDescent="0.35">
      <c r="F1647" s="457"/>
    </row>
    <row r="1648" spans="6:6" x14ac:dyDescent="0.35">
      <c r="F1648" s="457"/>
    </row>
    <row r="1649" spans="6:6" x14ac:dyDescent="0.35">
      <c r="F1649" s="457"/>
    </row>
    <row r="1650" spans="6:6" x14ac:dyDescent="0.35">
      <c r="F1650" s="457"/>
    </row>
    <row r="1651" spans="6:6" x14ac:dyDescent="0.35">
      <c r="F1651" s="457"/>
    </row>
    <row r="1652" spans="6:6" x14ac:dyDescent="0.35">
      <c r="F1652" s="457"/>
    </row>
    <row r="1653" spans="6:6" x14ac:dyDescent="0.35">
      <c r="F1653" s="457"/>
    </row>
    <row r="1654" spans="6:6" x14ac:dyDescent="0.35">
      <c r="F1654" s="457"/>
    </row>
    <row r="1655" spans="6:6" x14ac:dyDescent="0.35">
      <c r="F1655" s="457"/>
    </row>
    <row r="1656" spans="6:6" x14ac:dyDescent="0.35">
      <c r="F1656" s="457"/>
    </row>
    <row r="1657" spans="6:6" x14ac:dyDescent="0.35">
      <c r="F1657" s="457"/>
    </row>
    <row r="1658" spans="6:6" x14ac:dyDescent="0.35">
      <c r="F1658" s="457"/>
    </row>
    <row r="1659" spans="6:6" x14ac:dyDescent="0.35">
      <c r="F1659" s="457"/>
    </row>
    <row r="1660" spans="6:6" x14ac:dyDescent="0.35">
      <c r="F1660" s="457"/>
    </row>
    <row r="1661" spans="6:6" x14ac:dyDescent="0.35">
      <c r="F1661" s="457"/>
    </row>
    <row r="1662" spans="6:6" x14ac:dyDescent="0.35">
      <c r="F1662" s="457"/>
    </row>
    <row r="1663" spans="6:6" x14ac:dyDescent="0.35">
      <c r="F1663" s="457"/>
    </row>
    <row r="1664" spans="6:6" x14ac:dyDescent="0.35">
      <c r="F1664" s="457"/>
    </row>
    <row r="1665" spans="6:6" x14ac:dyDescent="0.35">
      <c r="F1665" s="457"/>
    </row>
    <row r="1666" spans="6:6" x14ac:dyDescent="0.35">
      <c r="F1666" s="457"/>
    </row>
    <row r="1667" spans="6:6" x14ac:dyDescent="0.35">
      <c r="F1667" s="457"/>
    </row>
    <row r="1668" spans="6:6" x14ac:dyDescent="0.35">
      <c r="F1668" s="457"/>
    </row>
    <row r="1669" spans="6:6" x14ac:dyDescent="0.35">
      <c r="F1669" s="457"/>
    </row>
    <row r="1670" spans="6:6" x14ac:dyDescent="0.35">
      <c r="F1670" s="457"/>
    </row>
    <row r="1671" spans="6:6" x14ac:dyDescent="0.35">
      <c r="F1671" s="457"/>
    </row>
    <row r="1672" spans="6:6" x14ac:dyDescent="0.35">
      <c r="F1672" s="457"/>
    </row>
    <row r="1673" spans="6:6" x14ac:dyDescent="0.35">
      <c r="F1673" s="457"/>
    </row>
    <row r="1674" spans="6:6" x14ac:dyDescent="0.35">
      <c r="F1674" s="457"/>
    </row>
    <row r="1675" spans="6:6" x14ac:dyDescent="0.35">
      <c r="F1675" s="457"/>
    </row>
    <row r="1676" spans="6:6" x14ac:dyDescent="0.35">
      <c r="F1676" s="457"/>
    </row>
    <row r="1677" spans="6:6" x14ac:dyDescent="0.35">
      <c r="F1677" s="457"/>
    </row>
    <row r="1678" spans="6:6" x14ac:dyDescent="0.35">
      <c r="F1678" s="457"/>
    </row>
    <row r="1679" spans="6:6" x14ac:dyDescent="0.35">
      <c r="F1679" s="457"/>
    </row>
    <row r="1680" spans="6:6" x14ac:dyDescent="0.35">
      <c r="F1680" s="457"/>
    </row>
    <row r="1681" spans="6:6" x14ac:dyDescent="0.35">
      <c r="F1681" s="457"/>
    </row>
    <row r="1682" spans="6:6" x14ac:dyDescent="0.35">
      <c r="F1682" s="457"/>
    </row>
    <row r="1683" spans="6:6" x14ac:dyDescent="0.35">
      <c r="F1683" s="457"/>
    </row>
    <row r="1684" spans="6:6" x14ac:dyDescent="0.35">
      <c r="F1684" s="457"/>
    </row>
    <row r="1685" spans="6:6" x14ac:dyDescent="0.35">
      <c r="F1685" s="457"/>
    </row>
    <row r="1686" spans="6:6" x14ac:dyDescent="0.35">
      <c r="F1686" s="457"/>
    </row>
    <row r="1687" spans="6:6" x14ac:dyDescent="0.35">
      <c r="F1687" s="457"/>
    </row>
    <row r="1688" spans="6:6" x14ac:dyDescent="0.35">
      <c r="F1688" s="457"/>
    </row>
    <row r="1689" spans="6:6" x14ac:dyDescent="0.35">
      <c r="F1689" s="457"/>
    </row>
    <row r="1690" spans="6:6" x14ac:dyDescent="0.35">
      <c r="F1690" s="457"/>
    </row>
    <row r="1691" spans="6:6" x14ac:dyDescent="0.35">
      <c r="F1691" s="457"/>
    </row>
    <row r="1692" spans="6:6" x14ac:dyDescent="0.35">
      <c r="F1692" s="457"/>
    </row>
    <row r="1693" spans="6:6" x14ac:dyDescent="0.35">
      <c r="F1693" s="457"/>
    </row>
    <row r="1694" spans="6:6" x14ac:dyDescent="0.35">
      <c r="F1694" s="457"/>
    </row>
    <row r="1695" spans="6:6" x14ac:dyDescent="0.35">
      <c r="F1695" s="457"/>
    </row>
    <row r="1696" spans="6:6" x14ac:dyDescent="0.35">
      <c r="F1696" s="457"/>
    </row>
    <row r="1697" spans="6:6" x14ac:dyDescent="0.35">
      <c r="F1697" s="457"/>
    </row>
    <row r="1698" spans="6:6" x14ac:dyDescent="0.35">
      <c r="F1698" s="457"/>
    </row>
    <row r="1699" spans="6:6" x14ac:dyDescent="0.35">
      <c r="F1699" s="457"/>
    </row>
    <row r="1700" spans="6:6" x14ac:dyDescent="0.35">
      <c r="F1700" s="457"/>
    </row>
    <row r="1701" spans="6:6" x14ac:dyDescent="0.35">
      <c r="F1701" s="457"/>
    </row>
    <row r="1702" spans="6:6" x14ac:dyDescent="0.35">
      <c r="F1702" s="457"/>
    </row>
    <row r="1703" spans="6:6" x14ac:dyDescent="0.35">
      <c r="F1703" s="457"/>
    </row>
    <row r="1704" spans="6:6" x14ac:dyDescent="0.35">
      <c r="F1704" s="457"/>
    </row>
    <row r="1705" spans="6:6" x14ac:dyDescent="0.35">
      <c r="F1705" s="457"/>
    </row>
    <row r="1706" spans="6:6" x14ac:dyDescent="0.35">
      <c r="F1706" s="457"/>
    </row>
    <row r="1707" spans="6:6" x14ac:dyDescent="0.35">
      <c r="F1707" s="457"/>
    </row>
    <row r="1708" spans="6:6" x14ac:dyDescent="0.35">
      <c r="F1708" s="457"/>
    </row>
    <row r="1709" spans="6:6" x14ac:dyDescent="0.35">
      <c r="F1709" s="457"/>
    </row>
    <row r="1710" spans="6:6" x14ac:dyDescent="0.35">
      <c r="F1710" s="457"/>
    </row>
    <row r="1711" spans="6:6" x14ac:dyDescent="0.35">
      <c r="F1711" s="457"/>
    </row>
    <row r="1712" spans="6:6" x14ac:dyDescent="0.35">
      <c r="F1712" s="457"/>
    </row>
    <row r="1713" spans="6:6" x14ac:dyDescent="0.35">
      <c r="F1713" s="457"/>
    </row>
    <row r="1714" spans="6:6" x14ac:dyDescent="0.35">
      <c r="F1714" s="457"/>
    </row>
    <row r="1715" spans="6:6" x14ac:dyDescent="0.35">
      <c r="F1715" s="457"/>
    </row>
    <row r="1716" spans="6:6" x14ac:dyDescent="0.35">
      <c r="F1716" s="457"/>
    </row>
    <row r="1717" spans="6:6" x14ac:dyDescent="0.35">
      <c r="F1717" s="457"/>
    </row>
    <row r="1718" spans="6:6" x14ac:dyDescent="0.35">
      <c r="F1718" s="457"/>
    </row>
    <row r="1719" spans="6:6" x14ac:dyDescent="0.35">
      <c r="F1719" s="457"/>
    </row>
    <row r="1720" spans="6:6" x14ac:dyDescent="0.35">
      <c r="F1720" s="457"/>
    </row>
    <row r="1721" spans="6:6" x14ac:dyDescent="0.35">
      <c r="F1721" s="457"/>
    </row>
    <row r="1722" spans="6:6" x14ac:dyDescent="0.35">
      <c r="F1722" s="457"/>
    </row>
    <row r="1723" spans="6:6" x14ac:dyDescent="0.35">
      <c r="F1723" s="457"/>
    </row>
    <row r="1724" spans="6:6" x14ac:dyDescent="0.35">
      <c r="F1724" s="457"/>
    </row>
    <row r="1725" spans="6:6" x14ac:dyDescent="0.35">
      <c r="F1725" s="457"/>
    </row>
    <row r="1726" spans="6:6" x14ac:dyDescent="0.35">
      <c r="F1726" s="457"/>
    </row>
    <row r="1727" spans="6:6" x14ac:dyDescent="0.35">
      <c r="F1727" s="457"/>
    </row>
    <row r="1728" spans="6:6" x14ac:dyDescent="0.35">
      <c r="F1728" s="457"/>
    </row>
    <row r="1729" spans="6:6" x14ac:dyDescent="0.35">
      <c r="F1729" s="457"/>
    </row>
    <row r="1730" spans="6:6" x14ac:dyDescent="0.35">
      <c r="F1730" s="457"/>
    </row>
    <row r="1731" spans="6:6" x14ac:dyDescent="0.35">
      <c r="F1731" s="457"/>
    </row>
    <row r="1732" spans="6:6" x14ac:dyDescent="0.35">
      <c r="F1732" s="457"/>
    </row>
    <row r="1733" spans="6:6" x14ac:dyDescent="0.35">
      <c r="F1733" s="457"/>
    </row>
    <row r="1734" spans="6:6" x14ac:dyDescent="0.35">
      <c r="F1734" s="457"/>
    </row>
    <row r="1735" spans="6:6" x14ac:dyDescent="0.35">
      <c r="F1735" s="457"/>
    </row>
    <row r="1736" spans="6:6" x14ac:dyDescent="0.35">
      <c r="F1736" s="457"/>
    </row>
    <row r="1737" spans="6:6" x14ac:dyDescent="0.35">
      <c r="F1737" s="457"/>
    </row>
    <row r="1738" spans="6:6" x14ac:dyDescent="0.35">
      <c r="F1738" s="457"/>
    </row>
    <row r="1739" spans="6:6" x14ac:dyDescent="0.35">
      <c r="F1739" s="457"/>
    </row>
    <row r="1740" spans="6:6" x14ac:dyDescent="0.35">
      <c r="F1740" s="457"/>
    </row>
    <row r="1741" spans="6:6" x14ac:dyDescent="0.35">
      <c r="F1741" s="457"/>
    </row>
    <row r="1742" spans="6:6" x14ac:dyDescent="0.35">
      <c r="F1742" s="457"/>
    </row>
    <row r="1743" spans="6:6" x14ac:dyDescent="0.35">
      <c r="F1743" s="457"/>
    </row>
    <row r="1744" spans="6:6" x14ac:dyDescent="0.35">
      <c r="F1744" s="457"/>
    </row>
    <row r="1745" spans="6:6" x14ac:dyDescent="0.35">
      <c r="F1745" s="457"/>
    </row>
    <row r="1746" spans="6:6" x14ac:dyDescent="0.35">
      <c r="F1746" s="457"/>
    </row>
    <row r="1747" spans="6:6" x14ac:dyDescent="0.35">
      <c r="F1747" s="457"/>
    </row>
    <row r="1748" spans="6:6" x14ac:dyDescent="0.35">
      <c r="F1748" s="457"/>
    </row>
    <row r="1749" spans="6:6" x14ac:dyDescent="0.35">
      <c r="F1749" s="457"/>
    </row>
    <row r="1750" spans="6:6" x14ac:dyDescent="0.35">
      <c r="F1750" s="457"/>
    </row>
    <row r="1751" spans="6:6" x14ac:dyDescent="0.35">
      <c r="F1751" s="457"/>
    </row>
    <row r="1752" spans="6:6" x14ac:dyDescent="0.35">
      <c r="F1752" s="457"/>
    </row>
    <row r="1753" spans="6:6" x14ac:dyDescent="0.35">
      <c r="F1753" s="457"/>
    </row>
    <row r="1754" spans="6:6" x14ac:dyDescent="0.35">
      <c r="F1754" s="457"/>
    </row>
    <row r="1755" spans="6:6" x14ac:dyDescent="0.35">
      <c r="F1755" s="457"/>
    </row>
    <row r="1756" spans="6:6" x14ac:dyDescent="0.35">
      <c r="F1756" s="457"/>
    </row>
    <row r="1757" spans="6:6" x14ac:dyDescent="0.35">
      <c r="F1757" s="457"/>
    </row>
    <row r="1758" spans="6:6" x14ac:dyDescent="0.35">
      <c r="F1758" s="457"/>
    </row>
    <row r="1759" spans="6:6" x14ac:dyDescent="0.35">
      <c r="F1759" s="457"/>
    </row>
    <row r="1760" spans="6:6" x14ac:dyDescent="0.35">
      <c r="F1760" s="457"/>
    </row>
    <row r="1761" spans="6:6" x14ac:dyDescent="0.35">
      <c r="F1761" s="457"/>
    </row>
    <row r="1762" spans="6:6" x14ac:dyDescent="0.35">
      <c r="F1762" s="457"/>
    </row>
    <row r="1763" spans="6:6" x14ac:dyDescent="0.35">
      <c r="F1763" s="457"/>
    </row>
    <row r="1764" spans="6:6" x14ac:dyDescent="0.35">
      <c r="F1764" s="457"/>
    </row>
    <row r="1765" spans="6:6" x14ac:dyDescent="0.35">
      <c r="F1765" s="457"/>
    </row>
    <row r="1766" spans="6:6" x14ac:dyDescent="0.35">
      <c r="F1766" s="457"/>
    </row>
    <row r="1767" spans="6:6" x14ac:dyDescent="0.35">
      <c r="F1767" s="457"/>
    </row>
    <row r="1768" spans="6:6" x14ac:dyDescent="0.35">
      <c r="F1768" s="457"/>
    </row>
    <row r="1769" spans="6:6" x14ac:dyDescent="0.35">
      <c r="F1769" s="457"/>
    </row>
    <row r="1770" spans="6:6" x14ac:dyDescent="0.35">
      <c r="F1770" s="457"/>
    </row>
    <row r="1771" spans="6:6" x14ac:dyDescent="0.35">
      <c r="F1771" s="457"/>
    </row>
    <row r="1772" spans="6:6" x14ac:dyDescent="0.35">
      <c r="F1772" s="457"/>
    </row>
    <row r="1773" spans="6:6" x14ac:dyDescent="0.35">
      <c r="F1773" s="457"/>
    </row>
    <row r="1774" spans="6:6" x14ac:dyDescent="0.35">
      <c r="F1774" s="457"/>
    </row>
    <row r="1775" spans="6:6" x14ac:dyDescent="0.35">
      <c r="F1775" s="457"/>
    </row>
    <row r="1776" spans="6:6" x14ac:dyDescent="0.35">
      <c r="F1776" s="457"/>
    </row>
    <row r="1777" spans="6:6" x14ac:dyDescent="0.35">
      <c r="F1777" s="457"/>
    </row>
    <row r="1778" spans="6:6" x14ac:dyDescent="0.35">
      <c r="F1778" s="457"/>
    </row>
    <row r="1779" spans="6:6" x14ac:dyDescent="0.35">
      <c r="F1779" s="457"/>
    </row>
    <row r="1780" spans="6:6" x14ac:dyDescent="0.35">
      <c r="F1780" s="457"/>
    </row>
    <row r="1781" spans="6:6" x14ac:dyDescent="0.35">
      <c r="F1781" s="457"/>
    </row>
    <row r="1782" spans="6:6" x14ac:dyDescent="0.35">
      <c r="F1782" s="457"/>
    </row>
    <row r="1783" spans="6:6" x14ac:dyDescent="0.35">
      <c r="F1783" s="457"/>
    </row>
    <row r="1784" spans="6:6" x14ac:dyDescent="0.35">
      <c r="F1784" s="457"/>
    </row>
    <row r="1785" spans="6:6" x14ac:dyDescent="0.35">
      <c r="F1785" s="457"/>
    </row>
    <row r="1786" spans="6:6" x14ac:dyDescent="0.35">
      <c r="F1786" s="457"/>
    </row>
    <row r="1787" spans="6:6" x14ac:dyDescent="0.35">
      <c r="F1787" s="457"/>
    </row>
    <row r="1788" spans="6:6" x14ac:dyDescent="0.35">
      <c r="F1788" s="457"/>
    </row>
    <row r="1789" spans="6:6" x14ac:dyDescent="0.35">
      <c r="F1789" s="457"/>
    </row>
    <row r="1790" spans="6:6" x14ac:dyDescent="0.35">
      <c r="F1790" s="457"/>
    </row>
    <row r="1791" spans="6:6" x14ac:dyDescent="0.35">
      <c r="F1791" s="457"/>
    </row>
    <row r="1792" spans="6:6" x14ac:dyDescent="0.35">
      <c r="F1792" s="457"/>
    </row>
    <row r="1793" spans="6:6" x14ac:dyDescent="0.35">
      <c r="F1793" s="457"/>
    </row>
    <row r="1794" spans="6:6" x14ac:dyDescent="0.35">
      <c r="F1794" s="457"/>
    </row>
    <row r="1795" spans="6:6" x14ac:dyDescent="0.35">
      <c r="F1795" s="457"/>
    </row>
    <row r="1796" spans="6:6" x14ac:dyDescent="0.35">
      <c r="F1796" s="457"/>
    </row>
    <row r="1797" spans="6:6" x14ac:dyDescent="0.35">
      <c r="F1797" s="457"/>
    </row>
    <row r="1798" spans="6:6" x14ac:dyDescent="0.35">
      <c r="F1798" s="457"/>
    </row>
    <row r="1799" spans="6:6" x14ac:dyDescent="0.35">
      <c r="F1799" s="457"/>
    </row>
    <row r="1800" spans="6:6" x14ac:dyDescent="0.35">
      <c r="F1800" s="457"/>
    </row>
    <row r="1801" spans="6:6" x14ac:dyDescent="0.35">
      <c r="F1801" s="457"/>
    </row>
    <row r="1802" spans="6:6" x14ac:dyDescent="0.35">
      <c r="F1802" s="457"/>
    </row>
    <row r="1803" spans="6:6" x14ac:dyDescent="0.35">
      <c r="F1803" s="457"/>
    </row>
    <row r="1804" spans="6:6" x14ac:dyDescent="0.35">
      <c r="F1804" s="457"/>
    </row>
    <row r="1805" spans="6:6" x14ac:dyDescent="0.35">
      <c r="F1805" s="457"/>
    </row>
    <row r="1806" spans="6:6" x14ac:dyDescent="0.35">
      <c r="F1806" s="457"/>
    </row>
    <row r="1807" spans="6:6" x14ac:dyDescent="0.35">
      <c r="F1807" s="457"/>
    </row>
    <row r="1808" spans="6:6" x14ac:dyDescent="0.35">
      <c r="F1808" s="457"/>
    </row>
    <row r="1809" spans="6:6" x14ac:dyDescent="0.35">
      <c r="F1809" s="457"/>
    </row>
    <row r="1810" spans="6:6" x14ac:dyDescent="0.35">
      <c r="F1810" s="457"/>
    </row>
    <row r="1811" spans="6:6" x14ac:dyDescent="0.35">
      <c r="F1811" s="457"/>
    </row>
    <row r="1812" spans="6:6" x14ac:dyDescent="0.35">
      <c r="F1812" s="457"/>
    </row>
    <row r="1813" spans="6:6" x14ac:dyDescent="0.35">
      <c r="F1813" s="457"/>
    </row>
    <row r="1814" spans="6:6" x14ac:dyDescent="0.35">
      <c r="F1814" s="457"/>
    </row>
    <row r="1815" spans="6:6" x14ac:dyDescent="0.35">
      <c r="F1815" s="457"/>
    </row>
    <row r="1816" spans="6:6" x14ac:dyDescent="0.35">
      <c r="F1816" s="457"/>
    </row>
    <row r="1817" spans="6:6" x14ac:dyDescent="0.35">
      <c r="F1817" s="457"/>
    </row>
    <row r="1818" spans="6:6" x14ac:dyDescent="0.35">
      <c r="F1818" s="457"/>
    </row>
    <row r="1819" spans="6:6" x14ac:dyDescent="0.35">
      <c r="F1819" s="457"/>
    </row>
    <row r="1820" spans="6:6" x14ac:dyDescent="0.35">
      <c r="F1820" s="457"/>
    </row>
    <row r="1821" spans="6:6" x14ac:dyDescent="0.35">
      <c r="F1821" s="457"/>
    </row>
    <row r="1822" spans="6:6" x14ac:dyDescent="0.35">
      <c r="F1822" s="457"/>
    </row>
    <row r="1823" spans="6:6" x14ac:dyDescent="0.35">
      <c r="F1823" s="457"/>
    </row>
    <row r="1824" spans="6:6" x14ac:dyDescent="0.35">
      <c r="F1824" s="457"/>
    </row>
    <row r="1825" spans="6:6" x14ac:dyDescent="0.35">
      <c r="F1825" s="457"/>
    </row>
    <row r="1826" spans="6:6" x14ac:dyDescent="0.35">
      <c r="F1826" s="457"/>
    </row>
    <row r="1827" spans="6:6" x14ac:dyDescent="0.35">
      <c r="F1827" s="457"/>
    </row>
    <row r="1828" spans="6:6" x14ac:dyDescent="0.35">
      <c r="F1828" s="457"/>
    </row>
    <row r="1829" spans="6:6" x14ac:dyDescent="0.35">
      <c r="F1829" s="457"/>
    </row>
    <row r="1830" spans="6:6" x14ac:dyDescent="0.35">
      <c r="F1830" s="457"/>
    </row>
    <row r="1831" spans="6:6" x14ac:dyDescent="0.35">
      <c r="F1831" s="457"/>
    </row>
    <row r="1832" spans="6:6" x14ac:dyDescent="0.35">
      <c r="F1832" s="457"/>
    </row>
    <row r="1833" spans="6:6" x14ac:dyDescent="0.35">
      <c r="F1833" s="457"/>
    </row>
    <row r="1834" spans="6:6" x14ac:dyDescent="0.35">
      <c r="F1834" s="457"/>
    </row>
    <row r="1835" spans="6:6" x14ac:dyDescent="0.35">
      <c r="F1835" s="457"/>
    </row>
    <row r="1836" spans="6:6" x14ac:dyDescent="0.35">
      <c r="F1836" s="457"/>
    </row>
    <row r="1837" spans="6:6" x14ac:dyDescent="0.35">
      <c r="F1837" s="457"/>
    </row>
    <row r="1838" spans="6:6" x14ac:dyDescent="0.35">
      <c r="F1838" s="457"/>
    </row>
    <row r="1839" spans="6:6" x14ac:dyDescent="0.35">
      <c r="F1839" s="457"/>
    </row>
    <row r="1840" spans="6:6" x14ac:dyDescent="0.35">
      <c r="F1840" s="457"/>
    </row>
    <row r="1841" spans="6:6" x14ac:dyDescent="0.35">
      <c r="F1841" s="457"/>
    </row>
    <row r="1842" spans="6:6" x14ac:dyDescent="0.35">
      <c r="F1842" s="457"/>
    </row>
    <row r="1843" spans="6:6" x14ac:dyDescent="0.35">
      <c r="F1843" s="457"/>
    </row>
    <row r="1844" spans="6:6" x14ac:dyDescent="0.35">
      <c r="F1844" s="457"/>
    </row>
    <row r="1845" spans="6:6" x14ac:dyDescent="0.35">
      <c r="F1845" s="457"/>
    </row>
    <row r="1846" spans="6:6" x14ac:dyDescent="0.35">
      <c r="F1846" s="457"/>
    </row>
    <row r="1847" spans="6:6" x14ac:dyDescent="0.35">
      <c r="F1847" s="457"/>
    </row>
    <row r="1848" spans="6:6" x14ac:dyDescent="0.35">
      <c r="F1848" s="457"/>
    </row>
    <row r="1849" spans="6:6" x14ac:dyDescent="0.35">
      <c r="F1849" s="457"/>
    </row>
    <row r="1850" spans="6:6" x14ac:dyDescent="0.35">
      <c r="F1850" s="457"/>
    </row>
    <row r="1851" spans="6:6" x14ac:dyDescent="0.35">
      <c r="F1851" s="457"/>
    </row>
    <row r="1852" spans="6:6" x14ac:dyDescent="0.35">
      <c r="F1852" s="457"/>
    </row>
    <row r="1853" spans="6:6" x14ac:dyDescent="0.35">
      <c r="F1853" s="457"/>
    </row>
    <row r="1854" spans="6:6" x14ac:dyDescent="0.35">
      <c r="F1854" s="457"/>
    </row>
    <row r="1855" spans="6:6" x14ac:dyDescent="0.35">
      <c r="F1855" s="457"/>
    </row>
    <row r="1856" spans="6:6" x14ac:dyDescent="0.35">
      <c r="F1856" s="457"/>
    </row>
    <row r="1857" spans="6:6" x14ac:dyDescent="0.35">
      <c r="F1857" s="457"/>
    </row>
    <row r="1858" spans="6:6" x14ac:dyDescent="0.35">
      <c r="F1858" s="457"/>
    </row>
    <row r="1859" spans="6:6" x14ac:dyDescent="0.35">
      <c r="F1859" s="457"/>
    </row>
    <row r="1860" spans="6:6" x14ac:dyDescent="0.35">
      <c r="F1860" s="457"/>
    </row>
    <row r="1861" spans="6:6" x14ac:dyDescent="0.35">
      <c r="F1861" s="457"/>
    </row>
    <row r="1862" spans="6:6" x14ac:dyDescent="0.35">
      <c r="F1862" s="457"/>
    </row>
    <row r="1863" spans="6:6" x14ac:dyDescent="0.35">
      <c r="F1863" s="457"/>
    </row>
    <row r="1864" spans="6:6" x14ac:dyDescent="0.35">
      <c r="F1864" s="457"/>
    </row>
    <row r="1865" spans="6:6" x14ac:dyDescent="0.35">
      <c r="F1865" s="457"/>
    </row>
    <row r="1866" spans="6:6" x14ac:dyDescent="0.35">
      <c r="F1866" s="457"/>
    </row>
    <row r="1867" spans="6:6" x14ac:dyDescent="0.35">
      <c r="F1867" s="457"/>
    </row>
    <row r="1868" spans="6:6" x14ac:dyDescent="0.35">
      <c r="F1868" s="457"/>
    </row>
    <row r="1869" spans="6:6" x14ac:dyDescent="0.35">
      <c r="F1869" s="457"/>
    </row>
    <row r="1870" spans="6:6" x14ac:dyDescent="0.35">
      <c r="F1870" s="457"/>
    </row>
    <row r="1871" spans="6:6" x14ac:dyDescent="0.35">
      <c r="F1871" s="457"/>
    </row>
    <row r="1872" spans="6:6" x14ac:dyDescent="0.35">
      <c r="F1872" s="457"/>
    </row>
    <row r="1873" spans="6:6" x14ac:dyDescent="0.35">
      <c r="F1873" s="457"/>
    </row>
    <row r="1874" spans="6:6" x14ac:dyDescent="0.35">
      <c r="F1874" s="457"/>
    </row>
    <row r="1875" spans="6:6" x14ac:dyDescent="0.35">
      <c r="F1875" s="457"/>
    </row>
    <row r="1876" spans="6:6" x14ac:dyDescent="0.35">
      <c r="F1876" s="457"/>
    </row>
    <row r="1877" spans="6:6" x14ac:dyDescent="0.35">
      <c r="F1877" s="457"/>
    </row>
    <row r="1878" spans="6:6" x14ac:dyDescent="0.35">
      <c r="F1878" s="457"/>
    </row>
    <row r="1879" spans="6:6" x14ac:dyDescent="0.35">
      <c r="F1879" s="457"/>
    </row>
    <row r="1880" spans="6:6" x14ac:dyDescent="0.35">
      <c r="F1880" s="457"/>
    </row>
    <row r="1881" spans="6:6" x14ac:dyDescent="0.35">
      <c r="F1881" s="457"/>
    </row>
    <row r="1882" spans="6:6" x14ac:dyDescent="0.35">
      <c r="F1882" s="457"/>
    </row>
    <row r="1883" spans="6:6" x14ac:dyDescent="0.35">
      <c r="F1883" s="457"/>
    </row>
    <row r="1884" spans="6:6" x14ac:dyDescent="0.35">
      <c r="F1884" s="457"/>
    </row>
    <row r="1885" spans="6:6" x14ac:dyDescent="0.35">
      <c r="F1885" s="457"/>
    </row>
    <row r="1886" spans="6:6" x14ac:dyDescent="0.35">
      <c r="F1886" s="457"/>
    </row>
    <row r="1887" spans="6:6" x14ac:dyDescent="0.35">
      <c r="F1887" s="457"/>
    </row>
    <row r="1888" spans="6:6" x14ac:dyDescent="0.35">
      <c r="F1888" s="457"/>
    </row>
    <row r="1889" spans="6:6" x14ac:dyDescent="0.35">
      <c r="F1889" s="457"/>
    </row>
    <row r="1890" spans="6:6" x14ac:dyDescent="0.35">
      <c r="F1890" s="457"/>
    </row>
    <row r="1891" spans="6:6" x14ac:dyDescent="0.35">
      <c r="F1891" s="457"/>
    </row>
    <row r="1892" spans="6:6" x14ac:dyDescent="0.35">
      <c r="F1892" s="457"/>
    </row>
    <row r="1893" spans="6:6" x14ac:dyDescent="0.35">
      <c r="F1893" s="457"/>
    </row>
    <row r="1894" spans="6:6" x14ac:dyDescent="0.35">
      <c r="F1894" s="457"/>
    </row>
    <row r="1895" spans="6:6" x14ac:dyDescent="0.35">
      <c r="F1895" s="457"/>
    </row>
    <row r="1896" spans="6:6" x14ac:dyDescent="0.35">
      <c r="F1896" s="457"/>
    </row>
    <row r="1897" spans="6:6" x14ac:dyDescent="0.35">
      <c r="F1897" s="457"/>
    </row>
    <row r="1898" spans="6:6" x14ac:dyDescent="0.35">
      <c r="F1898" s="457"/>
    </row>
    <row r="1899" spans="6:6" x14ac:dyDescent="0.35">
      <c r="F1899" s="457"/>
    </row>
    <row r="1900" spans="6:6" x14ac:dyDescent="0.35">
      <c r="F1900" s="457"/>
    </row>
    <row r="1901" spans="6:6" x14ac:dyDescent="0.35">
      <c r="F1901" s="457"/>
    </row>
    <row r="1902" spans="6:6" x14ac:dyDescent="0.35">
      <c r="F1902" s="457"/>
    </row>
    <row r="1903" spans="6:6" x14ac:dyDescent="0.35">
      <c r="F1903" s="457"/>
    </row>
    <row r="1904" spans="6:6" x14ac:dyDescent="0.35">
      <c r="F1904" s="457"/>
    </row>
    <row r="1905" spans="6:6" x14ac:dyDescent="0.35">
      <c r="F1905" s="457"/>
    </row>
    <row r="1906" spans="6:6" x14ac:dyDescent="0.35">
      <c r="F1906" s="457"/>
    </row>
    <row r="1907" spans="6:6" x14ac:dyDescent="0.35">
      <c r="F1907" s="457"/>
    </row>
    <row r="1908" spans="6:6" x14ac:dyDescent="0.35">
      <c r="F1908" s="457"/>
    </row>
    <row r="1909" spans="6:6" x14ac:dyDescent="0.35">
      <c r="F1909" s="457"/>
    </row>
    <row r="1910" spans="6:6" x14ac:dyDescent="0.35">
      <c r="F1910" s="457"/>
    </row>
    <row r="1911" spans="6:6" x14ac:dyDescent="0.35">
      <c r="F1911" s="457"/>
    </row>
    <row r="1912" spans="6:6" x14ac:dyDescent="0.35">
      <c r="F1912" s="457"/>
    </row>
    <row r="1913" spans="6:6" x14ac:dyDescent="0.35">
      <c r="F1913" s="457"/>
    </row>
    <row r="1914" spans="6:6" x14ac:dyDescent="0.35">
      <c r="F1914" s="457"/>
    </row>
    <row r="1915" spans="6:6" x14ac:dyDescent="0.35">
      <c r="F1915" s="457"/>
    </row>
    <row r="1916" spans="6:6" x14ac:dyDescent="0.35">
      <c r="F1916" s="457"/>
    </row>
    <row r="1917" spans="6:6" x14ac:dyDescent="0.35">
      <c r="F1917" s="457"/>
    </row>
    <row r="1918" spans="6:6" x14ac:dyDescent="0.35">
      <c r="F1918" s="457"/>
    </row>
    <row r="1919" spans="6:6" x14ac:dyDescent="0.35">
      <c r="F1919" s="457"/>
    </row>
    <row r="1920" spans="6:6" x14ac:dyDescent="0.35">
      <c r="F1920" s="457"/>
    </row>
    <row r="1921" spans="6:6" x14ac:dyDescent="0.35">
      <c r="F1921" s="457"/>
    </row>
    <row r="1922" spans="6:6" x14ac:dyDescent="0.35">
      <c r="F1922" s="457"/>
    </row>
    <row r="1923" spans="6:6" x14ac:dyDescent="0.35">
      <c r="F1923" s="457"/>
    </row>
    <row r="1924" spans="6:6" x14ac:dyDescent="0.35">
      <c r="F1924" s="457"/>
    </row>
    <row r="1925" spans="6:6" x14ac:dyDescent="0.35">
      <c r="F1925" s="457"/>
    </row>
    <row r="1926" spans="6:6" x14ac:dyDescent="0.35">
      <c r="F1926" s="457"/>
    </row>
    <row r="1927" spans="6:6" x14ac:dyDescent="0.35">
      <c r="F1927" s="457"/>
    </row>
    <row r="1928" spans="6:6" x14ac:dyDescent="0.35">
      <c r="F1928" s="457"/>
    </row>
    <row r="1929" spans="6:6" x14ac:dyDescent="0.35">
      <c r="F1929" s="457"/>
    </row>
    <row r="1930" spans="6:6" x14ac:dyDescent="0.35">
      <c r="F1930" s="457"/>
    </row>
    <row r="1931" spans="6:6" x14ac:dyDescent="0.35">
      <c r="F1931" s="457"/>
    </row>
    <row r="1932" spans="6:6" x14ac:dyDescent="0.35">
      <c r="F1932" s="457"/>
    </row>
    <row r="1933" spans="6:6" x14ac:dyDescent="0.35">
      <c r="F1933" s="457"/>
    </row>
    <row r="1934" spans="6:6" x14ac:dyDescent="0.35">
      <c r="F1934" s="457"/>
    </row>
    <row r="1935" spans="6:6" x14ac:dyDescent="0.35">
      <c r="F1935" s="457"/>
    </row>
    <row r="1936" spans="6:6" x14ac:dyDescent="0.35">
      <c r="F1936" s="457"/>
    </row>
    <row r="1937" spans="6:6" x14ac:dyDescent="0.35">
      <c r="F1937" s="457"/>
    </row>
    <row r="1938" spans="6:6" x14ac:dyDescent="0.35">
      <c r="F1938" s="457"/>
    </row>
    <row r="1939" spans="6:6" x14ac:dyDescent="0.35">
      <c r="F1939" s="457"/>
    </row>
    <row r="1940" spans="6:6" x14ac:dyDescent="0.35">
      <c r="F1940" s="457"/>
    </row>
    <row r="1941" spans="6:6" x14ac:dyDescent="0.35">
      <c r="F1941" s="457"/>
    </row>
    <row r="1942" spans="6:6" x14ac:dyDescent="0.35">
      <c r="F1942" s="457"/>
    </row>
    <row r="1943" spans="6:6" x14ac:dyDescent="0.35">
      <c r="F1943" s="457"/>
    </row>
    <row r="1944" spans="6:6" x14ac:dyDescent="0.35">
      <c r="F1944" s="457"/>
    </row>
    <row r="1945" spans="6:6" x14ac:dyDescent="0.35">
      <c r="F1945" s="457"/>
    </row>
    <row r="1946" spans="6:6" x14ac:dyDescent="0.35">
      <c r="F1946" s="457"/>
    </row>
    <row r="1947" spans="6:6" x14ac:dyDescent="0.35">
      <c r="F1947" s="457"/>
    </row>
    <row r="1948" spans="6:6" x14ac:dyDescent="0.35">
      <c r="F1948" s="457"/>
    </row>
    <row r="1949" spans="6:6" x14ac:dyDescent="0.35">
      <c r="F1949" s="457"/>
    </row>
    <row r="1950" spans="6:6" x14ac:dyDescent="0.35">
      <c r="F1950" s="457"/>
    </row>
    <row r="1951" spans="6:6" x14ac:dyDescent="0.35">
      <c r="F1951" s="457"/>
    </row>
    <row r="1952" spans="6:6" x14ac:dyDescent="0.35">
      <c r="F1952" s="457"/>
    </row>
    <row r="1953" spans="6:6" x14ac:dyDescent="0.35">
      <c r="F1953" s="457"/>
    </row>
    <row r="1954" spans="6:6" x14ac:dyDescent="0.35">
      <c r="F1954" s="457"/>
    </row>
    <row r="1955" spans="6:6" x14ac:dyDescent="0.35">
      <c r="F1955" s="457"/>
    </row>
    <row r="1956" spans="6:6" x14ac:dyDescent="0.35">
      <c r="F1956" s="457"/>
    </row>
    <row r="1957" spans="6:6" x14ac:dyDescent="0.35">
      <c r="F1957" s="457"/>
    </row>
    <row r="1958" spans="6:6" x14ac:dyDescent="0.35">
      <c r="F1958" s="457"/>
    </row>
    <row r="1959" spans="6:6" x14ac:dyDescent="0.35">
      <c r="F1959" s="457"/>
    </row>
    <row r="1960" spans="6:6" x14ac:dyDescent="0.35">
      <c r="F1960" s="457"/>
    </row>
    <row r="1961" spans="6:6" x14ac:dyDescent="0.35">
      <c r="F1961" s="457"/>
    </row>
    <row r="1962" spans="6:6" x14ac:dyDescent="0.35">
      <c r="F1962" s="457"/>
    </row>
    <row r="1963" spans="6:6" x14ac:dyDescent="0.35">
      <c r="F1963" s="457"/>
    </row>
    <row r="1964" spans="6:6" x14ac:dyDescent="0.35">
      <c r="F1964" s="457"/>
    </row>
    <row r="1965" spans="6:6" x14ac:dyDescent="0.35">
      <c r="F1965" s="457"/>
    </row>
    <row r="1966" spans="6:6" x14ac:dyDescent="0.35">
      <c r="F1966" s="457"/>
    </row>
    <row r="1967" spans="6:6" x14ac:dyDescent="0.35">
      <c r="F1967" s="457"/>
    </row>
    <row r="1968" spans="6:6" x14ac:dyDescent="0.35">
      <c r="F1968" s="457"/>
    </row>
    <row r="1969" spans="6:6" x14ac:dyDescent="0.35">
      <c r="F1969" s="457"/>
    </row>
    <row r="1970" spans="6:6" x14ac:dyDescent="0.35">
      <c r="F1970" s="457"/>
    </row>
    <row r="1971" spans="6:6" x14ac:dyDescent="0.35">
      <c r="F1971" s="457"/>
    </row>
    <row r="1972" spans="6:6" x14ac:dyDescent="0.35">
      <c r="F1972" s="457"/>
    </row>
    <row r="1973" spans="6:6" x14ac:dyDescent="0.35">
      <c r="F1973" s="457"/>
    </row>
    <row r="1974" spans="6:6" x14ac:dyDescent="0.35">
      <c r="F1974" s="457"/>
    </row>
    <row r="1975" spans="6:6" x14ac:dyDescent="0.35">
      <c r="F1975" s="457"/>
    </row>
    <row r="1976" spans="6:6" x14ac:dyDescent="0.35">
      <c r="F1976" s="457"/>
    </row>
    <row r="1977" spans="6:6" x14ac:dyDescent="0.35">
      <c r="F1977" s="457"/>
    </row>
    <row r="1978" spans="6:6" x14ac:dyDescent="0.35">
      <c r="F1978" s="457"/>
    </row>
    <row r="1979" spans="6:6" x14ac:dyDescent="0.35">
      <c r="F1979" s="457"/>
    </row>
    <row r="1980" spans="6:6" x14ac:dyDescent="0.35">
      <c r="F1980" s="457"/>
    </row>
    <row r="1981" spans="6:6" x14ac:dyDescent="0.35">
      <c r="F1981" s="457"/>
    </row>
    <row r="1982" spans="6:6" x14ac:dyDescent="0.35">
      <c r="F1982" s="457"/>
    </row>
    <row r="1983" spans="6:6" x14ac:dyDescent="0.35">
      <c r="F1983" s="457"/>
    </row>
    <row r="1984" spans="6:6" x14ac:dyDescent="0.35">
      <c r="F1984" s="457"/>
    </row>
    <row r="1985" spans="6:6" x14ac:dyDescent="0.35">
      <c r="F1985" s="457"/>
    </row>
    <row r="1986" spans="6:6" x14ac:dyDescent="0.35">
      <c r="F1986" s="457"/>
    </row>
    <row r="1987" spans="6:6" x14ac:dyDescent="0.35">
      <c r="F1987" s="457"/>
    </row>
    <row r="1988" spans="6:6" x14ac:dyDescent="0.35">
      <c r="F1988" s="457"/>
    </row>
    <row r="1989" spans="6:6" x14ac:dyDescent="0.35">
      <c r="F1989" s="457"/>
    </row>
    <row r="1990" spans="6:6" x14ac:dyDescent="0.35">
      <c r="F1990" s="457"/>
    </row>
    <row r="1991" spans="6:6" x14ac:dyDescent="0.35">
      <c r="F1991" s="457"/>
    </row>
    <row r="1992" spans="6:6" x14ac:dyDescent="0.35">
      <c r="F1992" s="457"/>
    </row>
    <row r="1993" spans="6:6" x14ac:dyDescent="0.35">
      <c r="F1993" s="457"/>
    </row>
    <row r="1994" spans="6:6" x14ac:dyDescent="0.35">
      <c r="F1994" s="457"/>
    </row>
    <row r="1995" spans="6:6" x14ac:dyDescent="0.35">
      <c r="F1995" s="457"/>
    </row>
    <row r="1996" spans="6:6" x14ac:dyDescent="0.35">
      <c r="F1996" s="457"/>
    </row>
    <row r="1997" spans="6:6" x14ac:dyDescent="0.35">
      <c r="F1997" s="457"/>
    </row>
    <row r="1998" spans="6:6" x14ac:dyDescent="0.35">
      <c r="F1998" s="457"/>
    </row>
    <row r="1999" spans="6:6" x14ac:dyDescent="0.35">
      <c r="F1999" s="457"/>
    </row>
    <row r="2000" spans="6:6" x14ac:dyDescent="0.35">
      <c r="F2000" s="457"/>
    </row>
    <row r="2001" spans="6:6" x14ac:dyDescent="0.35">
      <c r="F2001" s="457"/>
    </row>
    <row r="2002" spans="6:6" x14ac:dyDescent="0.35">
      <c r="F2002" s="457"/>
    </row>
    <row r="2003" spans="6:6" x14ac:dyDescent="0.35">
      <c r="F2003" s="457"/>
    </row>
    <row r="2004" spans="6:6" x14ac:dyDescent="0.35">
      <c r="F2004" s="457"/>
    </row>
    <row r="2005" spans="6:6" x14ac:dyDescent="0.35">
      <c r="F2005" s="457"/>
    </row>
    <row r="2006" spans="6:6" x14ac:dyDescent="0.35">
      <c r="F2006" s="457"/>
    </row>
    <row r="2007" spans="6:6" x14ac:dyDescent="0.35">
      <c r="F2007" s="457"/>
    </row>
    <row r="2008" spans="6:6" x14ac:dyDescent="0.35">
      <c r="F2008" s="457"/>
    </row>
    <row r="2009" spans="6:6" x14ac:dyDescent="0.35">
      <c r="F2009" s="457"/>
    </row>
    <row r="2010" spans="6:6" x14ac:dyDescent="0.35">
      <c r="F2010" s="457"/>
    </row>
    <row r="2011" spans="6:6" x14ac:dyDescent="0.35">
      <c r="F2011" s="457"/>
    </row>
    <row r="2012" spans="6:6" x14ac:dyDescent="0.35">
      <c r="F2012" s="457"/>
    </row>
    <row r="2013" spans="6:6" x14ac:dyDescent="0.35">
      <c r="F2013" s="457"/>
    </row>
    <row r="2014" spans="6:6" x14ac:dyDescent="0.35">
      <c r="F2014" s="457"/>
    </row>
    <row r="2015" spans="6:6" x14ac:dyDescent="0.35">
      <c r="F2015" s="457"/>
    </row>
    <row r="2016" spans="6:6" x14ac:dyDescent="0.35">
      <c r="F2016" s="457"/>
    </row>
    <row r="2017" spans="6:6" x14ac:dyDescent="0.35">
      <c r="F2017" s="457"/>
    </row>
    <row r="2018" spans="6:6" x14ac:dyDescent="0.35">
      <c r="F2018" s="457"/>
    </row>
    <row r="2019" spans="6:6" x14ac:dyDescent="0.35">
      <c r="F2019" s="457"/>
    </row>
    <row r="2020" spans="6:6" x14ac:dyDescent="0.35">
      <c r="F2020" s="457"/>
    </row>
    <row r="2021" spans="6:6" x14ac:dyDescent="0.35">
      <c r="F2021" s="457"/>
    </row>
    <row r="2022" spans="6:6" x14ac:dyDescent="0.35">
      <c r="F2022" s="457"/>
    </row>
    <row r="2023" spans="6:6" x14ac:dyDescent="0.35">
      <c r="F2023" s="457"/>
    </row>
    <row r="2024" spans="6:6" x14ac:dyDescent="0.35">
      <c r="F2024" s="457"/>
    </row>
    <row r="2025" spans="6:6" x14ac:dyDescent="0.35">
      <c r="F2025" s="457"/>
    </row>
    <row r="2026" spans="6:6" x14ac:dyDescent="0.35">
      <c r="F2026" s="457"/>
    </row>
    <row r="2027" spans="6:6" x14ac:dyDescent="0.35">
      <c r="F2027" s="457"/>
    </row>
    <row r="2028" spans="6:6" x14ac:dyDescent="0.35">
      <c r="F2028" s="457"/>
    </row>
    <row r="2029" spans="6:6" x14ac:dyDescent="0.35">
      <c r="F2029" s="457"/>
    </row>
    <row r="2030" spans="6:6" x14ac:dyDescent="0.35">
      <c r="F2030" s="457"/>
    </row>
    <row r="2031" spans="6:6" x14ac:dyDescent="0.35">
      <c r="F2031" s="457"/>
    </row>
    <row r="2032" spans="6:6" x14ac:dyDescent="0.35">
      <c r="F2032" s="457"/>
    </row>
    <row r="2033" spans="6:6" x14ac:dyDescent="0.35">
      <c r="F2033" s="457"/>
    </row>
    <row r="2034" spans="6:6" x14ac:dyDescent="0.35">
      <c r="F2034" s="457"/>
    </row>
    <row r="2035" spans="6:6" x14ac:dyDescent="0.35">
      <c r="F2035" s="457"/>
    </row>
    <row r="2036" spans="6:6" x14ac:dyDescent="0.35">
      <c r="F2036" s="457"/>
    </row>
    <row r="2037" spans="6:6" x14ac:dyDescent="0.35">
      <c r="F2037" s="457"/>
    </row>
    <row r="2038" spans="6:6" x14ac:dyDescent="0.35">
      <c r="F2038" s="457"/>
    </row>
    <row r="2039" spans="6:6" x14ac:dyDescent="0.35">
      <c r="F2039" s="457"/>
    </row>
    <row r="2040" spans="6:6" x14ac:dyDescent="0.35">
      <c r="F2040" s="457"/>
    </row>
    <row r="2041" spans="6:6" x14ac:dyDescent="0.35">
      <c r="F2041" s="457"/>
    </row>
    <row r="2042" spans="6:6" x14ac:dyDescent="0.35">
      <c r="F2042" s="457"/>
    </row>
    <row r="2043" spans="6:6" x14ac:dyDescent="0.35">
      <c r="F2043" s="457"/>
    </row>
    <row r="2044" spans="6:6" x14ac:dyDescent="0.35">
      <c r="F2044" s="457"/>
    </row>
    <row r="2045" spans="6:6" x14ac:dyDescent="0.35">
      <c r="F2045" s="457"/>
    </row>
    <row r="2046" spans="6:6" x14ac:dyDescent="0.35">
      <c r="F2046" s="457"/>
    </row>
    <row r="2047" spans="6:6" x14ac:dyDescent="0.35">
      <c r="F2047" s="457"/>
    </row>
    <row r="2048" spans="6:6" x14ac:dyDescent="0.35">
      <c r="F2048" s="457"/>
    </row>
    <row r="2049" spans="6:6" x14ac:dyDescent="0.35">
      <c r="F2049" s="457"/>
    </row>
    <row r="2050" spans="6:6" x14ac:dyDescent="0.35">
      <c r="F2050" s="457"/>
    </row>
    <row r="2051" spans="6:6" x14ac:dyDescent="0.35">
      <c r="F2051" s="457"/>
    </row>
    <row r="2052" spans="6:6" x14ac:dyDescent="0.35">
      <c r="F2052" s="457"/>
    </row>
    <row r="2053" spans="6:6" x14ac:dyDescent="0.35">
      <c r="F2053" s="457"/>
    </row>
    <row r="2054" spans="6:6" x14ac:dyDescent="0.35">
      <c r="F2054" s="457"/>
    </row>
    <row r="2055" spans="6:6" x14ac:dyDescent="0.35">
      <c r="F2055" s="457"/>
    </row>
    <row r="2056" spans="6:6" x14ac:dyDescent="0.35">
      <c r="F2056" s="457"/>
    </row>
    <row r="2057" spans="6:6" x14ac:dyDescent="0.35">
      <c r="F2057" s="457"/>
    </row>
    <row r="2058" spans="6:6" x14ac:dyDescent="0.35">
      <c r="F2058" s="457"/>
    </row>
    <row r="2059" spans="6:6" x14ac:dyDescent="0.35">
      <c r="F2059" s="457"/>
    </row>
    <row r="2060" spans="6:6" x14ac:dyDescent="0.35">
      <c r="F2060" s="457"/>
    </row>
    <row r="2061" spans="6:6" x14ac:dyDescent="0.35">
      <c r="F2061" s="457"/>
    </row>
    <row r="2062" spans="6:6" x14ac:dyDescent="0.35">
      <c r="F2062" s="457"/>
    </row>
    <row r="2063" spans="6:6" x14ac:dyDescent="0.35">
      <c r="F2063" s="457"/>
    </row>
    <row r="2064" spans="6:6" x14ac:dyDescent="0.35">
      <c r="F2064" s="457"/>
    </row>
    <row r="2065" spans="6:6" x14ac:dyDescent="0.35">
      <c r="F2065" s="457"/>
    </row>
    <row r="2066" spans="6:6" x14ac:dyDescent="0.35">
      <c r="F2066" s="457"/>
    </row>
    <row r="2067" spans="6:6" x14ac:dyDescent="0.35">
      <c r="F2067" s="457"/>
    </row>
    <row r="2068" spans="6:6" x14ac:dyDescent="0.35">
      <c r="F2068" s="457"/>
    </row>
    <row r="2069" spans="6:6" x14ac:dyDescent="0.35">
      <c r="F2069" s="457"/>
    </row>
    <row r="2070" spans="6:6" x14ac:dyDescent="0.35">
      <c r="F2070" s="457"/>
    </row>
    <row r="2071" spans="6:6" x14ac:dyDescent="0.35">
      <c r="F2071" s="457"/>
    </row>
    <row r="2072" spans="6:6" x14ac:dyDescent="0.35">
      <c r="F2072" s="457"/>
    </row>
    <row r="2073" spans="6:6" x14ac:dyDescent="0.35">
      <c r="F2073" s="457"/>
    </row>
    <row r="2074" spans="6:6" x14ac:dyDescent="0.35">
      <c r="F2074" s="457"/>
    </row>
    <row r="2075" spans="6:6" x14ac:dyDescent="0.35">
      <c r="F2075" s="457"/>
    </row>
    <row r="2076" spans="6:6" x14ac:dyDescent="0.35">
      <c r="F2076" s="457"/>
    </row>
    <row r="2077" spans="6:6" x14ac:dyDescent="0.35">
      <c r="F2077" s="457"/>
    </row>
    <row r="2078" spans="6:6" x14ac:dyDescent="0.35">
      <c r="F2078" s="457"/>
    </row>
    <row r="2079" spans="6:6" x14ac:dyDescent="0.35">
      <c r="F2079" s="457"/>
    </row>
    <row r="2080" spans="6:6" x14ac:dyDescent="0.35">
      <c r="F2080" s="457"/>
    </row>
    <row r="2081" spans="6:6" x14ac:dyDescent="0.35">
      <c r="F2081" s="457"/>
    </row>
    <row r="2082" spans="6:6" x14ac:dyDescent="0.35">
      <c r="F2082" s="457"/>
    </row>
    <row r="2083" spans="6:6" x14ac:dyDescent="0.35">
      <c r="F2083" s="457"/>
    </row>
    <row r="2084" spans="6:6" x14ac:dyDescent="0.35">
      <c r="F2084" s="457"/>
    </row>
    <row r="2085" spans="6:6" x14ac:dyDescent="0.35">
      <c r="F2085" s="457"/>
    </row>
    <row r="2086" spans="6:6" x14ac:dyDescent="0.35">
      <c r="F2086" s="457"/>
    </row>
    <row r="2087" spans="6:6" x14ac:dyDescent="0.35">
      <c r="F2087" s="457"/>
    </row>
    <row r="2088" spans="6:6" x14ac:dyDescent="0.35">
      <c r="F2088" s="457"/>
    </row>
    <row r="2089" spans="6:6" x14ac:dyDescent="0.35">
      <c r="F2089" s="457"/>
    </row>
    <row r="2090" spans="6:6" x14ac:dyDescent="0.35">
      <c r="F2090" s="457"/>
    </row>
    <row r="2091" spans="6:6" x14ac:dyDescent="0.35">
      <c r="F2091" s="457"/>
    </row>
    <row r="2092" spans="6:6" x14ac:dyDescent="0.35">
      <c r="F2092" s="457"/>
    </row>
    <row r="2093" spans="6:6" x14ac:dyDescent="0.35">
      <c r="F2093" s="457"/>
    </row>
    <row r="2094" spans="6:6" x14ac:dyDescent="0.35">
      <c r="F2094" s="457"/>
    </row>
    <row r="2095" spans="6:6" x14ac:dyDescent="0.35">
      <c r="F2095" s="457"/>
    </row>
    <row r="2096" spans="6:6" x14ac:dyDescent="0.35">
      <c r="F2096" s="457"/>
    </row>
    <row r="2097" spans="6:6" x14ac:dyDescent="0.35">
      <c r="F2097" s="457"/>
    </row>
    <row r="2098" spans="6:6" x14ac:dyDescent="0.35">
      <c r="F2098" s="457"/>
    </row>
    <row r="2099" spans="6:6" x14ac:dyDescent="0.35">
      <c r="F2099" s="457"/>
    </row>
    <row r="2100" spans="6:6" x14ac:dyDescent="0.35">
      <c r="F2100" s="457"/>
    </row>
    <row r="2101" spans="6:6" x14ac:dyDescent="0.35">
      <c r="F2101" s="457"/>
    </row>
    <row r="2102" spans="6:6" x14ac:dyDescent="0.35">
      <c r="F2102" s="457"/>
    </row>
    <row r="2103" spans="6:6" x14ac:dyDescent="0.35">
      <c r="F2103" s="457"/>
    </row>
    <row r="2104" spans="6:6" x14ac:dyDescent="0.35">
      <c r="F2104" s="457"/>
    </row>
    <row r="2105" spans="6:6" x14ac:dyDescent="0.35">
      <c r="F2105" s="457"/>
    </row>
    <row r="2106" spans="6:6" x14ac:dyDescent="0.35">
      <c r="F2106" s="457"/>
    </row>
    <row r="2107" spans="6:6" x14ac:dyDescent="0.35">
      <c r="F2107" s="457"/>
    </row>
    <row r="2108" spans="6:6" x14ac:dyDescent="0.35">
      <c r="F2108" s="457"/>
    </row>
    <row r="2109" spans="6:6" x14ac:dyDescent="0.35">
      <c r="F2109" s="457"/>
    </row>
    <row r="2110" spans="6:6" x14ac:dyDescent="0.35">
      <c r="F2110" s="457"/>
    </row>
    <row r="2111" spans="6:6" x14ac:dyDescent="0.35">
      <c r="F2111" s="457"/>
    </row>
    <row r="2112" spans="6:6" x14ac:dyDescent="0.35">
      <c r="F2112" s="457"/>
    </row>
    <row r="2113" spans="6:6" x14ac:dyDescent="0.35">
      <c r="F2113" s="457"/>
    </row>
    <row r="2114" spans="6:6" x14ac:dyDescent="0.35">
      <c r="F2114" s="457"/>
    </row>
    <row r="2115" spans="6:6" x14ac:dyDescent="0.35">
      <c r="F2115" s="457"/>
    </row>
    <row r="2116" spans="6:6" x14ac:dyDescent="0.35">
      <c r="F2116" s="457"/>
    </row>
    <row r="2117" spans="6:6" x14ac:dyDescent="0.35">
      <c r="F2117" s="457"/>
    </row>
    <row r="2118" spans="6:6" x14ac:dyDescent="0.35">
      <c r="F2118" s="457"/>
    </row>
    <row r="2119" spans="6:6" x14ac:dyDescent="0.35">
      <c r="F2119" s="457"/>
    </row>
    <row r="2120" spans="6:6" x14ac:dyDescent="0.35">
      <c r="F2120" s="457"/>
    </row>
    <row r="2121" spans="6:6" x14ac:dyDescent="0.35">
      <c r="F2121" s="457"/>
    </row>
    <row r="2122" spans="6:6" x14ac:dyDescent="0.35">
      <c r="F2122" s="457"/>
    </row>
    <row r="2123" spans="6:6" x14ac:dyDescent="0.35">
      <c r="F2123" s="457"/>
    </row>
    <row r="2124" spans="6:6" x14ac:dyDescent="0.35">
      <c r="F2124" s="457"/>
    </row>
    <row r="2125" spans="6:6" x14ac:dyDescent="0.35">
      <c r="F2125" s="457"/>
    </row>
    <row r="2126" spans="6:6" x14ac:dyDescent="0.35">
      <c r="F2126" s="457"/>
    </row>
    <row r="2127" spans="6:6" x14ac:dyDescent="0.35">
      <c r="F2127" s="457"/>
    </row>
    <row r="2128" spans="6:6" x14ac:dyDescent="0.35">
      <c r="F2128" s="457"/>
    </row>
    <row r="2129" spans="6:6" x14ac:dyDescent="0.35">
      <c r="F2129" s="457"/>
    </row>
    <row r="2130" spans="6:6" x14ac:dyDescent="0.35">
      <c r="F2130" s="457"/>
    </row>
    <row r="2131" spans="6:6" x14ac:dyDescent="0.35">
      <c r="F2131" s="457"/>
    </row>
    <row r="2132" spans="6:6" x14ac:dyDescent="0.35">
      <c r="F2132" s="457"/>
    </row>
    <row r="2133" spans="6:6" x14ac:dyDescent="0.35">
      <c r="F2133" s="457"/>
    </row>
    <row r="2134" spans="6:6" x14ac:dyDescent="0.35">
      <c r="F2134" s="457"/>
    </row>
    <row r="2135" spans="6:6" x14ac:dyDescent="0.35">
      <c r="F2135" s="457"/>
    </row>
    <row r="2136" spans="6:6" x14ac:dyDescent="0.35">
      <c r="F2136" s="457"/>
    </row>
    <row r="2137" spans="6:6" x14ac:dyDescent="0.35">
      <c r="F2137" s="457"/>
    </row>
    <row r="2138" spans="6:6" x14ac:dyDescent="0.35">
      <c r="F2138" s="457"/>
    </row>
    <row r="2139" spans="6:6" x14ac:dyDescent="0.35">
      <c r="F2139" s="457"/>
    </row>
    <row r="2140" spans="6:6" x14ac:dyDescent="0.35">
      <c r="F2140" s="457"/>
    </row>
    <row r="2141" spans="6:6" x14ac:dyDescent="0.35">
      <c r="F2141" s="457"/>
    </row>
    <row r="2142" spans="6:6" x14ac:dyDescent="0.35">
      <c r="F2142" s="457"/>
    </row>
    <row r="2143" spans="6:6" x14ac:dyDescent="0.35">
      <c r="F2143" s="457"/>
    </row>
    <row r="2144" spans="6:6" x14ac:dyDescent="0.35">
      <c r="F2144" s="457"/>
    </row>
    <row r="2145" spans="6:6" x14ac:dyDescent="0.35">
      <c r="F2145" s="457"/>
    </row>
    <row r="2146" spans="6:6" x14ac:dyDescent="0.35">
      <c r="F2146" s="457"/>
    </row>
    <row r="2147" spans="6:6" x14ac:dyDescent="0.35">
      <c r="F2147" s="457"/>
    </row>
    <row r="2148" spans="6:6" x14ac:dyDescent="0.35">
      <c r="F2148" s="457"/>
    </row>
    <row r="2149" spans="6:6" x14ac:dyDescent="0.35">
      <c r="F2149" s="457"/>
    </row>
    <row r="2150" spans="6:6" x14ac:dyDescent="0.35">
      <c r="F2150" s="457"/>
    </row>
    <row r="2151" spans="6:6" x14ac:dyDescent="0.35">
      <c r="F2151" s="457"/>
    </row>
    <row r="2152" spans="6:6" x14ac:dyDescent="0.35">
      <c r="F2152" s="457"/>
    </row>
    <row r="2153" spans="6:6" x14ac:dyDescent="0.35">
      <c r="F2153" s="457"/>
    </row>
    <row r="2154" spans="6:6" x14ac:dyDescent="0.35">
      <c r="F2154" s="457"/>
    </row>
    <row r="2155" spans="6:6" x14ac:dyDescent="0.35">
      <c r="F2155" s="457"/>
    </row>
    <row r="2156" spans="6:6" x14ac:dyDescent="0.35">
      <c r="F2156" s="457"/>
    </row>
    <row r="2157" spans="6:6" x14ac:dyDescent="0.35">
      <c r="F2157" s="457"/>
    </row>
    <row r="2158" spans="6:6" x14ac:dyDescent="0.35">
      <c r="F2158" s="457"/>
    </row>
    <row r="2159" spans="6:6" x14ac:dyDescent="0.35">
      <c r="F2159" s="457"/>
    </row>
    <row r="2160" spans="6:6" x14ac:dyDescent="0.35">
      <c r="F2160" s="457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50" customWidth="1"/>
    <col min="2" max="2" width="14.54296875" style="450" customWidth="1"/>
    <col min="3" max="3" width="15.54296875" style="450" customWidth="1"/>
    <col min="4" max="4" width="21.1796875" style="450" customWidth="1"/>
    <col min="5" max="5" width="55.54296875" style="450" customWidth="1"/>
    <col min="6" max="6" width="15.453125" style="450" customWidth="1"/>
    <col min="7" max="7" width="16.54296875" style="450" customWidth="1"/>
    <col min="8" max="8" width="17.1796875" style="450" customWidth="1"/>
    <col min="9" max="9" width="10.81640625" style="450" bestFit="1" customWidth="1"/>
    <col min="10" max="10" width="24.7265625" style="450" customWidth="1"/>
    <col min="11" max="11" width="14.453125" style="450" customWidth="1"/>
    <col min="12" max="12" width="15.26953125" style="450" customWidth="1"/>
    <col min="13" max="14" width="14.81640625" style="450" customWidth="1"/>
    <col min="15" max="15" width="12.453125" style="450" customWidth="1"/>
    <col min="16" max="16" width="22.54296875" style="450" customWidth="1"/>
    <col min="17" max="17" width="31.7265625" style="450" customWidth="1"/>
    <col min="18" max="16384" width="10.81640625" style="450"/>
  </cols>
  <sheetData>
    <row r="1" spans="1:17" ht="43.5" x14ac:dyDescent="0.35">
      <c r="K1" s="120" t="s">
        <v>90</v>
      </c>
      <c r="L1" s="121" t="str">
        <f>$B$5*100&amp;" % MwSt."</f>
        <v>19 % MwSt.</v>
      </c>
      <c r="M1" s="120" t="s">
        <v>89</v>
      </c>
      <c r="N1" s="120" t="s">
        <v>88</v>
      </c>
      <c r="O1" s="46"/>
    </row>
    <row r="2" spans="1:17" ht="28.15" customHeight="1" x14ac:dyDescent="0.35">
      <c r="A2" s="495" t="s">
        <v>87</v>
      </c>
      <c r="B2" s="496"/>
      <c r="C2" s="496"/>
      <c r="D2" s="496"/>
      <c r="E2" s="496"/>
      <c r="F2" s="496"/>
      <c r="G2" s="496"/>
      <c r="H2" s="496"/>
      <c r="I2" s="497"/>
      <c r="J2" s="120" t="s">
        <v>86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85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84</v>
      </c>
      <c r="B4" s="126">
        <v>13</v>
      </c>
      <c r="D4" s="45"/>
      <c r="E4" s="296"/>
      <c r="G4" s="42"/>
      <c r="H4" s="42"/>
      <c r="I4" s="42"/>
      <c r="J4" s="120" t="s">
        <v>83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82</v>
      </c>
      <c r="B5" s="127">
        <v>0.19</v>
      </c>
      <c r="E5" s="297"/>
      <c r="F5" s="45"/>
      <c r="G5" s="43"/>
      <c r="H5" s="42"/>
      <c r="I5" s="42"/>
      <c r="J5" s="120" t="s">
        <v>81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4"/>
    </row>
    <row r="6" spans="1:17" ht="28.15" customHeight="1" thickBot="1" x14ac:dyDescent="0.4">
      <c r="G6" s="42"/>
      <c r="H6" s="42"/>
      <c r="I6" s="42"/>
      <c r="J6" s="41" t="s">
        <v>80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79</v>
      </c>
      <c r="B7" s="38" t="s">
        <v>78</v>
      </c>
      <c r="C7" s="38" t="s">
        <v>77</v>
      </c>
      <c r="D7" s="38" t="s">
        <v>76</v>
      </c>
      <c r="E7" s="37" t="s">
        <v>22</v>
      </c>
      <c r="F7" s="36" t="s">
        <v>75</v>
      </c>
      <c r="G7" s="35" t="str">
        <f>$B$5*100&amp;" % MwSt."</f>
        <v>19 % MwSt.</v>
      </c>
      <c r="H7" s="34" t="s">
        <v>74</v>
      </c>
      <c r="I7" s="33" t="s">
        <v>73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72</v>
      </c>
      <c r="N7" s="30" t="str">
        <f>"Stromkosten (Brutto) und Grundgebühr ( "&amp;$N$2&amp;" € ) "</f>
        <v xml:space="preserve">Stromkosten (Brutto) und Grundgebühr ( 15,84 € ) </v>
      </c>
      <c r="P7" s="298" t="s">
        <v>71</v>
      </c>
      <c r="Q7" s="299" t="s">
        <v>70</v>
      </c>
    </row>
    <row r="8" spans="1:17" ht="50.15" customHeight="1" thickTop="1" x14ac:dyDescent="0.35">
      <c r="A8" s="161" t="s">
        <v>291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300" t="s">
        <v>58</v>
      </c>
      <c r="Q8" s="301">
        <v>392</v>
      </c>
    </row>
    <row r="9" spans="1:17" ht="50.15" customHeight="1" x14ac:dyDescent="0.35">
      <c r="A9" s="130" t="s">
        <v>320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300" t="s">
        <v>57</v>
      </c>
      <c r="Q9" s="301">
        <v>392</v>
      </c>
    </row>
    <row r="10" spans="1:17" ht="50.15" customHeight="1" x14ac:dyDescent="0.35">
      <c r="A10" s="130" t="s">
        <v>292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300" t="s">
        <v>56</v>
      </c>
      <c r="Q10" s="301">
        <v>392</v>
      </c>
    </row>
    <row r="11" spans="1:17" ht="50.15" customHeight="1" x14ac:dyDescent="0.35">
      <c r="A11" s="130" t="s">
        <v>293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300" t="s">
        <v>55</v>
      </c>
      <c r="Q11" s="301">
        <v>392</v>
      </c>
    </row>
    <row r="12" spans="1:17" ht="50.15" customHeight="1" x14ac:dyDescent="0.35">
      <c r="A12" s="130" t="s">
        <v>294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300" t="s">
        <v>54</v>
      </c>
      <c r="Q12" s="301">
        <v>392</v>
      </c>
    </row>
    <row r="13" spans="1:17" ht="50.15" customHeight="1" x14ac:dyDescent="0.35">
      <c r="A13" s="130" t="s">
        <v>295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300" t="s">
        <v>53</v>
      </c>
      <c r="Q13" s="301">
        <v>392</v>
      </c>
    </row>
    <row r="14" spans="1:17" ht="50.15" customHeight="1" x14ac:dyDescent="0.35">
      <c r="A14" s="130" t="s">
        <v>296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300" t="s">
        <v>52</v>
      </c>
      <c r="Q14" s="301">
        <v>392</v>
      </c>
    </row>
    <row r="15" spans="1:17" ht="50.15" customHeight="1" x14ac:dyDescent="0.35">
      <c r="A15" s="130" t="s">
        <v>328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300" t="s">
        <v>51</v>
      </c>
      <c r="Q15" s="301">
        <v>392</v>
      </c>
    </row>
    <row r="16" spans="1:17" ht="50.15" customHeight="1" x14ac:dyDescent="0.35">
      <c r="A16" s="130" t="s">
        <v>297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300" t="s">
        <v>50</v>
      </c>
      <c r="Q16" s="301">
        <v>392</v>
      </c>
    </row>
    <row r="17" spans="1:17" ht="50.15" customHeight="1" x14ac:dyDescent="0.35">
      <c r="A17" s="130" t="s">
        <v>342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300" t="s">
        <v>49</v>
      </c>
      <c r="Q17" s="301">
        <v>392</v>
      </c>
    </row>
    <row r="18" spans="1:17" ht="50.15" customHeight="1" x14ac:dyDescent="0.35">
      <c r="A18" s="130" t="s">
        <v>298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300" t="s">
        <v>48</v>
      </c>
      <c r="Q18" s="301">
        <v>392</v>
      </c>
    </row>
    <row r="19" spans="1:17" ht="50.15" customHeight="1" thickBot="1" x14ac:dyDescent="0.4">
      <c r="A19" s="130" t="s">
        <v>332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302" t="s">
        <v>47</v>
      </c>
      <c r="Q19" s="303">
        <v>392</v>
      </c>
    </row>
    <row r="20" spans="1:17" ht="50.15" customHeight="1" x14ac:dyDescent="0.35">
      <c r="A20" s="130" t="s">
        <v>299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4" t="s">
        <v>69</v>
      </c>
      <c r="Q20" s="305">
        <f>SUM(Q8:Q19)</f>
        <v>4704</v>
      </c>
    </row>
    <row r="21" spans="1:17" ht="50.15" customHeight="1" thickBot="1" x14ac:dyDescent="0.4">
      <c r="A21" s="130" t="s">
        <v>43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302" t="s">
        <v>68</v>
      </c>
      <c r="Q21" s="303">
        <v>4844.75</v>
      </c>
    </row>
    <row r="22" spans="1:17" ht="50.15" customHeight="1" thickBot="1" x14ac:dyDescent="0.4">
      <c r="A22" s="170" t="s">
        <v>286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6" t="s">
        <v>65</v>
      </c>
      <c r="Q22" s="307">
        <v>140.75</v>
      </c>
    </row>
    <row r="23" spans="1:17" ht="50.15" customHeight="1" x14ac:dyDescent="0.35">
      <c r="A23" s="168" t="s">
        <v>285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51"/>
      <c r="K24" s="136"/>
      <c r="L24" s="136"/>
      <c r="M24" s="138"/>
      <c r="N24" s="136"/>
    </row>
    <row r="25" spans="1:17" ht="53.15" customHeight="1" x14ac:dyDescent="0.35">
      <c r="A25" s="502" t="s">
        <v>67</v>
      </c>
      <c r="B25" s="503"/>
      <c r="C25" s="504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51"/>
      <c r="K25" s="136"/>
      <c r="L25" s="136"/>
      <c r="M25" s="138"/>
      <c r="N25" s="136"/>
      <c r="P25" s="45"/>
    </row>
    <row r="26" spans="1:17" ht="50.15" customHeight="1" x14ac:dyDescent="0.35">
      <c r="A26" s="135" t="s">
        <v>66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51"/>
      <c r="K26" s="136"/>
      <c r="L26" s="136"/>
      <c r="M26" s="138"/>
      <c r="N26" s="136"/>
    </row>
    <row r="27" spans="1:17" ht="53.15" customHeight="1" x14ac:dyDescent="0.35">
      <c r="A27" s="135" t="s">
        <v>65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51"/>
      <c r="K27" s="136"/>
      <c r="L27" s="136"/>
      <c r="M27" s="138"/>
      <c r="N27" s="136"/>
    </row>
    <row r="28" spans="1:17" ht="53.15" customHeight="1" x14ac:dyDescent="0.35">
      <c r="A28" s="135" t="s">
        <v>64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51"/>
      <c r="K28" s="136"/>
      <c r="L28" s="136"/>
      <c r="M28" s="138"/>
      <c r="N28" s="136"/>
      <c r="P28" s="308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51"/>
      <c r="K29" s="136"/>
      <c r="L29" s="136"/>
      <c r="M29" s="138"/>
      <c r="N29" s="136"/>
    </row>
    <row r="30" spans="1:17" ht="25.5" customHeight="1" x14ac:dyDescent="0.35">
      <c r="A30" s="19"/>
      <c r="B30" s="309"/>
      <c r="C30" s="309"/>
      <c r="D30" s="309"/>
      <c r="E30" s="309"/>
      <c r="F30" s="309"/>
      <c r="G30" s="309"/>
      <c r="H30" s="309"/>
      <c r="I30" s="309"/>
      <c r="J30" s="309"/>
    </row>
    <row r="31" spans="1:17" ht="18.5" x14ac:dyDescent="0.35">
      <c r="A31" s="31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11"/>
      <c r="B32" s="311"/>
      <c r="C32" s="311"/>
      <c r="D32" s="311"/>
      <c r="K32" s="445"/>
    </row>
    <row r="33" spans="1:15" ht="18.5" x14ac:dyDescent="0.35">
      <c r="A33" s="312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498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499"/>
      <c r="C35" s="499"/>
      <c r="D35" s="500"/>
      <c r="E35" s="500"/>
      <c r="F35" s="500"/>
      <c r="G35" s="500"/>
      <c r="H35" s="500"/>
      <c r="I35" s="500"/>
      <c r="J35" s="500"/>
      <c r="K35" s="500"/>
      <c r="O35" s="45"/>
    </row>
    <row r="36" spans="1:15" ht="30" customHeight="1" x14ac:dyDescent="0.35">
      <c r="A36" s="18" t="s">
        <v>63</v>
      </c>
      <c r="B36" s="120">
        <f>COUNTIF(I8:I21,"WAHR")</f>
        <v>3</v>
      </c>
      <c r="C36" s="313"/>
      <c r="K36" s="45"/>
      <c r="L36" s="314"/>
      <c r="O36" s="45"/>
    </row>
    <row r="37" spans="1:15" x14ac:dyDescent="0.35">
      <c r="A37" s="501"/>
      <c r="B37" s="500"/>
      <c r="C37" s="500"/>
      <c r="D37" s="500"/>
      <c r="E37" s="500"/>
      <c r="F37" s="500"/>
      <c r="G37" s="500"/>
      <c r="K37" s="315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50" customWidth="1"/>
    <col min="2" max="2" width="20.453125" style="450" customWidth="1"/>
    <col min="3" max="3" width="23.26953125" style="450" customWidth="1"/>
    <col min="4" max="4" width="19.26953125" style="450" customWidth="1"/>
    <col min="5" max="5" width="43.81640625" style="450" customWidth="1"/>
    <col min="6" max="6" width="13.26953125" style="450" customWidth="1"/>
    <col min="7" max="7" width="18.54296875" style="450" customWidth="1"/>
    <col min="8" max="9" width="21.453125" style="450" customWidth="1"/>
    <col min="10" max="10" width="17.1796875" style="450" customWidth="1"/>
    <col min="11" max="11" width="27" style="450" customWidth="1"/>
    <col min="12" max="12" width="28.453125" style="450" customWidth="1"/>
    <col min="13" max="13" width="22.54296875" style="450" customWidth="1"/>
    <col min="14" max="14" width="17.453125" style="450" customWidth="1"/>
    <col min="15" max="15" width="12" style="450" bestFit="1" customWidth="1"/>
    <col min="16" max="16" width="15.26953125" style="450" customWidth="1"/>
    <col min="17" max="17" width="23.453125" style="450" bestFit="1" customWidth="1"/>
    <col min="18" max="16384" width="10.81640625" style="450"/>
  </cols>
  <sheetData>
    <row r="1" spans="1:27" ht="43.5" x14ac:dyDescent="0.35">
      <c r="A1" s="120" t="s">
        <v>175</v>
      </c>
      <c r="B1" s="120" t="s">
        <v>174</v>
      </c>
      <c r="C1" s="120" t="s">
        <v>173</v>
      </c>
      <c r="D1" s="120" t="s">
        <v>172</v>
      </c>
      <c r="E1" s="147" t="s">
        <v>171</v>
      </c>
      <c r="F1" s="120" t="s">
        <v>170</v>
      </c>
      <c r="G1" s="120" t="s">
        <v>169</v>
      </c>
      <c r="H1" s="120" t="s">
        <v>168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50" t="s">
        <v>153</v>
      </c>
      <c r="D4" s="450" t="s">
        <v>167</v>
      </c>
      <c r="E4" s="118" t="str">
        <f>"Grundgebühr inkl. " &amp; ($E$2*100) &amp; " % MwSt. (Brutto)"</f>
        <v>Grundgebühr inkl. 7 % MwSt. (Brutto)</v>
      </c>
      <c r="F4" s="316"/>
      <c r="G4" s="316"/>
    </row>
    <row r="5" spans="1:27" ht="27.75" customHeight="1" thickBot="1" x14ac:dyDescent="0.4">
      <c r="B5" s="117" t="s">
        <v>166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57"/>
      <c r="N6" s="457"/>
    </row>
    <row r="7" spans="1:27" ht="28" customHeight="1" x14ac:dyDescent="0.35">
      <c r="M7" s="457"/>
      <c r="N7" s="457"/>
    </row>
    <row r="8" spans="1:27" ht="50.15" customHeight="1" thickBot="1" x14ac:dyDescent="0.4">
      <c r="A8" s="14"/>
      <c r="B8" s="317" t="s">
        <v>165</v>
      </c>
      <c r="C8" s="318"/>
      <c r="D8" s="318"/>
      <c r="E8" s="14"/>
      <c r="F8" s="318"/>
      <c r="G8" s="318"/>
      <c r="H8" s="318"/>
      <c r="I8" s="318"/>
    </row>
    <row r="9" spans="1:27" ht="50.15" customHeight="1" thickBot="1" x14ac:dyDescent="0.4">
      <c r="A9" s="192" t="s">
        <v>19</v>
      </c>
      <c r="B9" s="193" t="s">
        <v>164</v>
      </c>
      <c r="C9" s="193" t="s">
        <v>163</v>
      </c>
      <c r="D9" s="194" t="s">
        <v>67</v>
      </c>
      <c r="E9" s="195" t="s">
        <v>22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162</v>
      </c>
      <c r="J9" s="197" t="s">
        <v>161</v>
      </c>
      <c r="K9" s="197" t="s">
        <v>160</v>
      </c>
      <c r="L9" s="197" t="s">
        <v>159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.15" customHeight="1" x14ac:dyDescent="0.35">
      <c r="A10" s="206" t="s">
        <v>308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50">
        <v>11</v>
      </c>
    </row>
    <row r="11" spans="1:27" ht="50.15" customHeight="1" x14ac:dyDescent="0.35">
      <c r="A11" s="207" t="s">
        <v>321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50">
        <v>61.32</v>
      </c>
      <c r="R11" s="457">
        <f>Q11*7/100</f>
        <v>4.2923999999999998</v>
      </c>
      <c r="S11" s="450">
        <f>SUM(Q11:R11)</f>
        <v>65.612399999999994</v>
      </c>
      <c r="T11" s="450">
        <v>1</v>
      </c>
    </row>
    <row r="12" spans="1:27" ht="50.15" customHeight="1" x14ac:dyDescent="0.35">
      <c r="A12" s="207" t="s">
        <v>300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50">
        <v>294</v>
      </c>
      <c r="R12" s="457">
        <f>Q12*7/100</f>
        <v>20.58</v>
      </c>
      <c r="T12" s="450">
        <v>10</v>
      </c>
    </row>
    <row r="13" spans="1:27" ht="50.15" customHeight="1" x14ac:dyDescent="0.35">
      <c r="A13" s="207" t="s">
        <v>301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57"/>
      <c r="T13" s="450">
        <v>7</v>
      </c>
    </row>
    <row r="14" spans="1:27" ht="50.15" customHeight="1" x14ac:dyDescent="0.35">
      <c r="A14" s="207" t="s">
        <v>302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50">
        <v>23</v>
      </c>
    </row>
    <row r="15" spans="1:27" ht="50.15" customHeight="1" x14ac:dyDescent="0.35">
      <c r="A15" s="207" t="s">
        <v>303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16" t="s">
        <v>158</v>
      </c>
      <c r="P15" s="517"/>
      <c r="Q15" s="319" t="s">
        <v>157</v>
      </c>
      <c r="R15" s="320"/>
      <c r="S15" s="321"/>
      <c r="T15" s="505">
        <v>6</v>
      </c>
      <c r="U15" s="506"/>
    </row>
    <row r="16" spans="1:27" ht="50.15" customHeight="1" x14ac:dyDescent="0.35">
      <c r="A16" s="207" t="s">
        <v>304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20" t="s">
        <v>156</v>
      </c>
      <c r="Q16" s="322">
        <v>500.82</v>
      </c>
      <c r="R16" s="323" t="s">
        <v>155</v>
      </c>
      <c r="S16" s="324"/>
      <c r="T16" s="453">
        <v>12</v>
      </c>
      <c r="U16" s="325" t="s">
        <v>150</v>
      </c>
      <c r="V16" s="326">
        <v>2021</v>
      </c>
    </row>
    <row r="17" spans="1:24" ht="50.15" customHeight="1" thickBot="1" x14ac:dyDescent="0.4">
      <c r="A17" s="207" t="s">
        <v>329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20" t="s">
        <v>154</v>
      </c>
      <c r="Q17" s="322">
        <v>59.72</v>
      </c>
      <c r="R17" s="323" t="s">
        <v>153</v>
      </c>
      <c r="S17" s="324"/>
      <c r="T17" s="327">
        <v>15</v>
      </c>
      <c r="U17" s="328" t="s">
        <v>150</v>
      </c>
      <c r="V17" s="450">
        <v>2020</v>
      </c>
    </row>
    <row r="18" spans="1:24" ht="50.15" customHeight="1" thickTop="1" x14ac:dyDescent="0.35">
      <c r="A18" s="207" t="s">
        <v>305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20" t="s">
        <v>152</v>
      </c>
      <c r="Q18" s="322">
        <v>5.21</v>
      </c>
      <c r="R18" s="323" t="s">
        <v>151</v>
      </c>
      <c r="S18" s="324"/>
      <c r="T18" s="329">
        <v>13</v>
      </c>
      <c r="U18" s="330" t="s">
        <v>150</v>
      </c>
    </row>
    <row r="19" spans="1:24" ht="50.15" customHeight="1" thickBot="1" x14ac:dyDescent="0.4">
      <c r="A19" s="207" t="s">
        <v>343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31">
        <v>1.47</v>
      </c>
      <c r="P19" s="332" t="s">
        <v>149</v>
      </c>
      <c r="Q19" s="322">
        <v>9.34</v>
      </c>
      <c r="R19" s="323" t="s">
        <v>148</v>
      </c>
      <c r="S19" s="324"/>
      <c r="T19" s="450">
        <v>3</v>
      </c>
    </row>
    <row r="20" spans="1:24" ht="50.15" customHeight="1" thickTop="1" thickBot="1" x14ac:dyDescent="0.4">
      <c r="A20" s="207" t="s">
        <v>306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3">
        <f>O16+O17+O18+O19</f>
        <v>112</v>
      </c>
      <c r="P20" s="334" t="s">
        <v>91</v>
      </c>
      <c r="Q20" s="335">
        <v>2.85</v>
      </c>
      <c r="R20" s="336" t="s">
        <v>147</v>
      </c>
      <c r="S20" s="337"/>
      <c r="T20" s="505">
        <v>14</v>
      </c>
      <c r="U20" s="507"/>
    </row>
    <row r="21" spans="1:24" ht="50.15" customHeight="1" x14ac:dyDescent="0.35">
      <c r="A21" s="207" t="s">
        <v>333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21"/>
      <c r="Q21" s="338">
        <f>Q16+Q17+Q18+Q19+Q20</f>
        <v>577.94000000000005</v>
      </c>
      <c r="R21" s="339" t="s">
        <v>91</v>
      </c>
      <c r="S21" s="340"/>
      <c r="T21" s="453">
        <v>25</v>
      </c>
      <c r="U21" s="453">
        <v>2021</v>
      </c>
      <c r="X21" s="450">
        <v>1015</v>
      </c>
    </row>
    <row r="22" spans="1:24" ht="50.15" customHeight="1" thickBot="1" x14ac:dyDescent="0.4">
      <c r="A22" s="207" t="s">
        <v>307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21"/>
      <c r="Q22" s="341">
        <v>320</v>
      </c>
      <c r="R22" s="342" t="s">
        <v>146</v>
      </c>
      <c r="S22" s="343"/>
      <c r="T22" s="332">
        <v>12</v>
      </c>
      <c r="U22" s="327">
        <v>2020</v>
      </c>
      <c r="X22" s="450">
        <v>900</v>
      </c>
    </row>
    <row r="23" spans="1:24" ht="50.15" customHeight="1" thickTop="1" x14ac:dyDescent="0.35">
      <c r="A23" s="207" t="s">
        <v>43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21"/>
      <c r="Q23" s="321"/>
      <c r="R23" s="321"/>
      <c r="S23" s="321"/>
      <c r="T23" s="329"/>
      <c r="U23" s="330" t="s">
        <v>145</v>
      </c>
      <c r="X23" s="450">
        <f>X22-X21</f>
        <v>-115</v>
      </c>
    </row>
    <row r="24" spans="1:24" ht="49.5" customHeight="1" thickBot="1" x14ac:dyDescent="0.4">
      <c r="A24" s="178" t="s">
        <v>144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21"/>
      <c r="Q24" s="344">
        <f>Q21-Q22</f>
        <v>257.94000000000005</v>
      </c>
      <c r="R24" s="345"/>
      <c r="S24" s="345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143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6" t="s">
        <v>142</v>
      </c>
      <c r="P26" s="347"/>
      <c r="Q26" s="348"/>
      <c r="R26" s="349"/>
      <c r="S26" s="350">
        <v>2.85</v>
      </c>
    </row>
    <row r="27" spans="1:24" ht="35.25" customHeight="1" thickTop="1" thickBot="1" x14ac:dyDescent="0.4">
      <c r="A27" s="218" t="s">
        <v>141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6" t="s">
        <v>140</v>
      </c>
      <c r="P27" s="351"/>
      <c r="Q27" s="351"/>
      <c r="R27" s="351"/>
      <c r="S27" s="352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57"/>
    </row>
    <row r="29" spans="1:24" ht="50.15" customHeight="1" thickBot="1" x14ac:dyDescent="0.4">
      <c r="A29" s="220" t="s">
        <v>139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56"/>
      <c r="N29" s="65"/>
      <c r="O29" s="353">
        <v>3.19</v>
      </c>
      <c r="P29" s="354" t="s">
        <v>138</v>
      </c>
      <c r="R29" s="45"/>
      <c r="T29" s="450">
        <v>161</v>
      </c>
    </row>
    <row r="30" spans="1:24" ht="27" customHeight="1" thickBot="1" x14ac:dyDescent="0.4">
      <c r="A30" s="211" t="s">
        <v>287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56"/>
      <c r="N30" s="65"/>
      <c r="O30" s="355">
        <v>0</v>
      </c>
      <c r="P30" s="356" t="s">
        <v>137</v>
      </c>
    </row>
    <row r="31" spans="1:24" ht="27" customHeight="1" thickBot="1" x14ac:dyDescent="0.4">
      <c r="A31" s="211" t="s">
        <v>136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56"/>
      <c r="N31" s="65"/>
      <c r="O31" s="357">
        <f>O29+O30</f>
        <v>3.19</v>
      </c>
      <c r="P31" s="358"/>
      <c r="S31" s="359"/>
    </row>
    <row r="32" spans="1:24" ht="25.5" customHeight="1" thickBot="1" x14ac:dyDescent="0.4">
      <c r="A32" s="220" t="s">
        <v>135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134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56"/>
      <c r="M35" s="456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133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69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132</v>
      </c>
      <c r="J41" s="65" t="s">
        <v>131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56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13" t="s">
        <v>130</v>
      </c>
      <c r="E44" s="513"/>
      <c r="F44" s="513"/>
      <c r="G44" s="70">
        <v>2025</v>
      </c>
      <c r="H44" s="71">
        <v>773.5</v>
      </c>
      <c r="I44" s="455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14" t="s">
        <v>101</v>
      </c>
      <c r="E45" s="514"/>
      <c r="F45" s="515"/>
      <c r="G45" s="70">
        <v>2025</v>
      </c>
      <c r="H45" s="80">
        <v>42.83</v>
      </c>
      <c r="I45" s="65" t="s">
        <v>129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14" t="s">
        <v>128</v>
      </c>
      <c r="E46" s="514"/>
      <c r="F46" s="515"/>
      <c r="G46" s="457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127</v>
      </c>
      <c r="J47" s="65" t="s">
        <v>126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125</v>
      </c>
      <c r="J48" s="65" t="s">
        <v>124</v>
      </c>
      <c r="K48" s="454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5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4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4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08"/>
      <c r="D55" s="500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54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123</v>
      </c>
      <c r="B58" s="71">
        <f>B55+B56+B57</f>
        <v>61.31</v>
      </c>
      <c r="C58" s="70" t="s">
        <v>122</v>
      </c>
      <c r="D58" s="69">
        <v>4.71</v>
      </c>
      <c r="E58" s="69"/>
      <c r="F58" s="73" t="s">
        <v>121</v>
      </c>
      <c r="G58" s="72"/>
      <c r="H58" s="454"/>
      <c r="M58" s="65"/>
      <c r="N58" s="65"/>
      <c r="O58" s="65"/>
    </row>
    <row r="59" spans="1:15" ht="15.5" x14ac:dyDescent="0.35">
      <c r="A59" s="65" t="s">
        <v>120</v>
      </c>
      <c r="B59" s="71">
        <v>65.601700000000008</v>
      </c>
      <c r="C59" s="70" t="s">
        <v>119</v>
      </c>
      <c r="D59" s="69">
        <f>B59/13</f>
        <v>5.0462846153846161</v>
      </c>
      <c r="E59" s="69"/>
      <c r="F59" s="68" t="s">
        <v>118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117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107</v>
      </c>
      <c r="B63" s="66" t="s">
        <v>116</v>
      </c>
      <c r="C63" s="66" t="s">
        <v>115</v>
      </c>
      <c r="D63" s="66" t="s">
        <v>114</v>
      </c>
      <c r="E63" s="66"/>
      <c r="F63" s="64" t="s">
        <v>113</v>
      </c>
      <c r="G63" s="66" t="s">
        <v>112</v>
      </c>
      <c r="H63" s="64" t="s">
        <v>90</v>
      </c>
      <c r="I63" s="64" t="s">
        <v>111</v>
      </c>
      <c r="J63" s="66" t="s">
        <v>110</v>
      </c>
      <c r="K63" s="64" t="s">
        <v>109</v>
      </c>
      <c r="L63" s="65"/>
      <c r="M63" s="65"/>
      <c r="N63" s="65"/>
      <c r="O63" s="65"/>
    </row>
    <row r="64" spans="1:15" ht="23.5" customHeight="1" thickTop="1" thickBot="1" x14ac:dyDescent="0.4">
      <c r="A64" s="360">
        <v>1</v>
      </c>
      <c r="B64" s="361" t="s">
        <v>108</v>
      </c>
      <c r="C64" s="362">
        <v>1.54</v>
      </c>
      <c r="D64" s="362">
        <v>199.5</v>
      </c>
      <c r="E64" s="362"/>
      <c r="F64" s="360">
        <v>366</v>
      </c>
      <c r="G64" s="362">
        <v>61.32</v>
      </c>
      <c r="H64" s="362">
        <v>260.82</v>
      </c>
      <c r="I64" s="363">
        <v>0.05</v>
      </c>
      <c r="J64" s="362">
        <v>13.04</v>
      </c>
      <c r="K64" s="362">
        <v>273.86</v>
      </c>
      <c r="L64" s="65"/>
      <c r="M64" s="65"/>
    </row>
    <row r="65" spans="1:11" ht="23.5" customHeight="1" thickTop="1" thickBot="1" x14ac:dyDescent="0.4">
      <c r="A65" s="360">
        <v>2</v>
      </c>
      <c r="B65" s="361" t="s">
        <v>108</v>
      </c>
      <c r="C65" s="362">
        <v>2.19</v>
      </c>
      <c r="D65" s="362">
        <v>316.54000000000002</v>
      </c>
      <c r="E65" s="362"/>
      <c r="F65" s="360">
        <v>366</v>
      </c>
      <c r="G65" s="362"/>
      <c r="H65" s="362">
        <v>316.54000000000002</v>
      </c>
      <c r="I65" s="364"/>
      <c r="J65" s="362"/>
      <c r="K65" s="362">
        <v>316.54000000000002</v>
      </c>
    </row>
    <row r="66" spans="1:11" ht="23.5" customHeight="1" thickTop="1" thickBot="1" x14ac:dyDescent="0.4">
      <c r="A66" s="365"/>
      <c r="B66" s="366"/>
      <c r="C66" s="367"/>
      <c r="D66" s="367"/>
      <c r="E66" s="367"/>
      <c r="F66" s="365"/>
      <c r="G66" s="367"/>
      <c r="H66" s="367"/>
      <c r="I66" s="368"/>
      <c r="J66" s="367"/>
      <c r="K66" s="369">
        <f>SUM(K64:K65)</f>
        <v>590.40000000000009</v>
      </c>
    </row>
    <row r="67" spans="1:11" ht="23.5" customHeight="1" thickTop="1" thickBot="1" x14ac:dyDescent="0.4">
      <c r="A67" s="64" t="s">
        <v>107</v>
      </c>
      <c r="B67" s="63" t="s">
        <v>106</v>
      </c>
      <c r="C67" s="370"/>
      <c r="D67" s="371"/>
      <c r="E67" s="371"/>
      <c r="F67" s="452"/>
      <c r="G67" s="371"/>
      <c r="H67" s="371"/>
      <c r="I67" s="452"/>
      <c r="J67" s="371"/>
      <c r="K67" s="371"/>
    </row>
    <row r="68" spans="1:11" ht="23.5" customHeight="1" thickTop="1" x14ac:dyDescent="0.35">
      <c r="A68" s="452">
        <v>1</v>
      </c>
      <c r="B68" s="372">
        <v>1711509</v>
      </c>
      <c r="C68" s="371"/>
      <c r="D68" s="371"/>
      <c r="E68" s="371"/>
      <c r="F68" s="452"/>
      <c r="G68" s="371"/>
      <c r="H68" s="371"/>
      <c r="I68" s="452"/>
      <c r="J68" s="371"/>
      <c r="K68" s="371"/>
    </row>
    <row r="69" spans="1:11" ht="23.5" customHeight="1" thickBot="1" x14ac:dyDescent="0.4">
      <c r="A69" s="373">
        <v>2</v>
      </c>
      <c r="B69" s="372" t="s">
        <v>105</v>
      </c>
      <c r="C69" s="374"/>
      <c r="D69" s="374"/>
      <c r="E69" s="374"/>
      <c r="F69" s="373"/>
      <c r="G69" s="374"/>
      <c r="H69" s="374"/>
      <c r="I69" s="373"/>
      <c r="J69" s="374"/>
      <c r="K69" s="374"/>
    </row>
    <row r="70" spans="1:11" ht="23.5" customHeight="1" thickTop="1" thickBot="1" x14ac:dyDescent="0.4">
      <c r="A70" s="360"/>
      <c r="B70" s="360"/>
      <c r="C70" s="362"/>
      <c r="D70" s="360"/>
      <c r="E70" s="360"/>
      <c r="F70" s="360"/>
      <c r="G70" s="375" t="s">
        <v>91</v>
      </c>
      <c r="H70" s="362">
        <v>577.36</v>
      </c>
      <c r="I70" s="360"/>
      <c r="J70" s="362">
        <v>13.04</v>
      </c>
      <c r="K70" s="362">
        <v>590.4</v>
      </c>
    </row>
    <row r="71" spans="1:11" ht="23.5" customHeight="1" thickTop="1" x14ac:dyDescent="0.35">
      <c r="A71" s="365"/>
      <c r="B71" s="365"/>
      <c r="C71" s="365"/>
      <c r="D71" s="365"/>
      <c r="E71" s="365"/>
      <c r="F71" s="365"/>
      <c r="G71" s="365"/>
      <c r="H71" s="365"/>
      <c r="I71" s="365"/>
      <c r="J71" s="365"/>
      <c r="K71" s="365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09"/>
      <c r="C83" s="509"/>
      <c r="D83" s="509"/>
      <c r="E83" s="509"/>
      <c r="F83" s="509"/>
      <c r="G83" s="509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104</v>
      </c>
      <c r="B92" s="53">
        <v>1396.68</v>
      </c>
      <c r="C92" s="55" t="s">
        <v>93</v>
      </c>
      <c r="D92" s="54">
        <v>13</v>
      </c>
      <c r="E92" s="54"/>
      <c r="F92" s="54" t="s">
        <v>92</v>
      </c>
      <c r="G92" s="53">
        <v>107.44</v>
      </c>
    </row>
    <row r="93" spans="1:7" ht="22.5" customHeight="1" thickBot="1" x14ac:dyDescent="0.4">
      <c r="A93" s="51" t="s">
        <v>103</v>
      </c>
      <c r="B93" s="48">
        <v>214.08</v>
      </c>
      <c r="C93" s="50" t="s">
        <v>93</v>
      </c>
      <c r="D93" s="49">
        <v>13</v>
      </c>
      <c r="E93" s="49"/>
      <c r="F93" s="49" t="s">
        <v>102</v>
      </c>
      <c r="G93" s="48">
        <v>15.34</v>
      </c>
    </row>
    <row r="94" spans="1:7" ht="22.5" customHeight="1" thickBot="1" x14ac:dyDescent="0.4">
      <c r="A94" s="51" t="s">
        <v>101</v>
      </c>
      <c r="B94" s="48">
        <v>206.57</v>
      </c>
      <c r="C94" s="50" t="s">
        <v>93</v>
      </c>
      <c r="D94" s="49">
        <v>13</v>
      </c>
      <c r="E94" s="49"/>
      <c r="F94" s="52" t="s">
        <v>92</v>
      </c>
      <c r="G94" s="48">
        <v>15.67</v>
      </c>
    </row>
    <row r="95" spans="1:7" ht="15" thickBot="1" x14ac:dyDescent="0.4">
      <c r="A95" s="51" t="s">
        <v>100</v>
      </c>
      <c r="B95" s="48">
        <v>73.290000000000006</v>
      </c>
      <c r="C95" s="50" t="s">
        <v>93</v>
      </c>
      <c r="D95" s="49">
        <v>13</v>
      </c>
      <c r="E95" s="49"/>
      <c r="F95" s="49" t="s">
        <v>92</v>
      </c>
      <c r="G95" s="48">
        <v>5.63</v>
      </c>
    </row>
    <row r="96" spans="1:7" ht="15" thickBot="1" x14ac:dyDescent="0.4">
      <c r="A96" s="51" t="s">
        <v>99</v>
      </c>
      <c r="B96" s="48">
        <v>465.72</v>
      </c>
      <c r="C96" s="50" t="s">
        <v>93</v>
      </c>
      <c r="D96" s="49">
        <v>13</v>
      </c>
      <c r="E96" s="49"/>
      <c r="F96" s="49" t="s">
        <v>92</v>
      </c>
      <c r="G96" s="48">
        <v>35.82</v>
      </c>
    </row>
    <row r="97" spans="1:11" ht="15" thickBot="1" x14ac:dyDescent="0.4">
      <c r="A97" s="51" t="s">
        <v>98</v>
      </c>
      <c r="B97" s="48">
        <v>51.73</v>
      </c>
      <c r="C97" s="50" t="s">
        <v>93</v>
      </c>
      <c r="D97" s="49">
        <v>13</v>
      </c>
      <c r="E97" s="49"/>
      <c r="F97" s="49" t="s">
        <v>92</v>
      </c>
      <c r="G97" s="48">
        <v>3.98</v>
      </c>
    </row>
    <row r="98" spans="1:11" ht="15" thickBot="1" x14ac:dyDescent="0.4">
      <c r="A98" s="51" t="s">
        <v>97</v>
      </c>
      <c r="B98" s="48">
        <v>201.4</v>
      </c>
      <c r="C98" s="50" t="s">
        <v>93</v>
      </c>
      <c r="D98" s="49">
        <v>13</v>
      </c>
      <c r="E98" s="49"/>
      <c r="F98" s="49" t="s">
        <v>92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96</v>
      </c>
      <c r="B99" s="48">
        <v>56.2</v>
      </c>
      <c r="C99" s="50" t="s">
        <v>93</v>
      </c>
      <c r="D99" s="49">
        <v>13</v>
      </c>
      <c r="E99" s="49"/>
      <c r="F99" s="49" t="s">
        <v>92</v>
      </c>
      <c r="G99" s="48">
        <v>4.32</v>
      </c>
      <c r="I99" s="45"/>
      <c r="J99" s="45"/>
      <c r="K99" s="45"/>
    </row>
    <row r="100" spans="1:11" ht="15" thickBot="1" x14ac:dyDescent="0.4">
      <c r="A100" s="51" t="s">
        <v>95</v>
      </c>
      <c r="B100" s="48">
        <v>308.92</v>
      </c>
      <c r="C100" s="50" t="s">
        <v>93</v>
      </c>
      <c r="D100" s="49">
        <v>13</v>
      </c>
      <c r="E100" s="49"/>
      <c r="F100" s="49" t="s">
        <v>92</v>
      </c>
      <c r="G100" s="48">
        <v>23.76</v>
      </c>
    </row>
    <row r="101" spans="1:11" ht="15" thickBot="1" x14ac:dyDescent="0.4">
      <c r="A101" s="51" t="s">
        <v>94</v>
      </c>
      <c r="B101" s="48">
        <v>48.96</v>
      </c>
      <c r="C101" s="50" t="s">
        <v>93</v>
      </c>
      <c r="D101" s="49">
        <v>13</v>
      </c>
      <c r="E101" s="49"/>
      <c r="F101" s="49" t="s">
        <v>92</v>
      </c>
      <c r="G101" s="48">
        <v>3.76</v>
      </c>
    </row>
    <row r="102" spans="1:11" ht="15" thickBot="1" x14ac:dyDescent="0.4">
      <c r="A102" s="47" t="s">
        <v>91</v>
      </c>
      <c r="B102" s="510">
        <f>SUM(G92:G101)</f>
        <v>231.20999999999995</v>
      </c>
      <c r="C102" s="511"/>
      <c r="D102" s="511"/>
      <c r="E102" s="511"/>
      <c r="F102" s="511"/>
      <c r="G102" s="512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50"/>
  </cols>
  <sheetData>
    <row r="1" spans="1:17" ht="9" customHeight="1" x14ac:dyDescent="0.35">
      <c r="A1" s="445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</row>
    <row r="2" spans="1:17" x14ac:dyDescent="0.35">
      <c r="A2" s="445"/>
      <c r="B2" s="243" t="s">
        <v>272</v>
      </c>
      <c r="C2" s="450"/>
      <c r="D2" s="244">
        <v>46052.984398148146</v>
      </c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</row>
    <row r="3" spans="1:17" ht="8.25" customHeight="1" x14ac:dyDescent="0.35">
      <c r="A3" s="445"/>
      <c r="B3" s="450"/>
      <c r="C3" s="450"/>
      <c r="D3" s="450"/>
      <c r="E3" s="450"/>
      <c r="F3" s="450"/>
      <c r="G3" s="450"/>
      <c r="H3" s="450"/>
      <c r="I3" s="450"/>
      <c r="J3" s="450"/>
      <c r="K3" s="450"/>
      <c r="L3" s="450"/>
      <c r="M3" s="450"/>
      <c r="N3" s="450"/>
      <c r="O3" s="450"/>
      <c r="P3" s="450"/>
      <c r="Q3" s="450"/>
    </row>
    <row r="4" spans="1:17" ht="18.5" x14ac:dyDescent="0.35">
      <c r="A4" s="445"/>
      <c r="B4" s="450"/>
      <c r="C4" s="450"/>
      <c r="D4" s="518" t="s">
        <v>19</v>
      </c>
      <c r="E4" s="459"/>
      <c r="F4" s="460"/>
      <c r="G4" s="518" t="s">
        <v>271</v>
      </c>
      <c r="H4" s="459"/>
      <c r="I4" s="459"/>
      <c r="J4" s="460"/>
      <c r="K4" s="518" t="s">
        <v>270</v>
      </c>
      <c r="L4" s="460"/>
      <c r="M4" s="450"/>
      <c r="N4" s="450"/>
      <c r="O4" s="450"/>
      <c r="P4" s="450"/>
      <c r="Q4" s="450"/>
    </row>
    <row r="5" spans="1:17" ht="36" customHeight="1" x14ac:dyDescent="0.35">
      <c r="A5" s="245" t="s">
        <v>451</v>
      </c>
      <c r="B5" s="246" t="s">
        <v>269</v>
      </c>
      <c r="C5" s="246" t="s">
        <v>268</v>
      </c>
      <c r="D5" s="246" t="s">
        <v>267</v>
      </c>
      <c r="E5" s="246" t="s">
        <v>266</v>
      </c>
      <c r="F5" s="246" t="s">
        <v>265</v>
      </c>
      <c r="G5" s="247" t="s">
        <v>264</v>
      </c>
      <c r="H5" s="246" t="s">
        <v>263</v>
      </c>
      <c r="I5" s="246" t="s">
        <v>262</v>
      </c>
      <c r="J5" s="246" t="s">
        <v>261</v>
      </c>
      <c r="K5" s="246" t="s">
        <v>260</v>
      </c>
      <c r="L5" s="246" t="s">
        <v>259</v>
      </c>
      <c r="M5" s="246" t="s">
        <v>258</v>
      </c>
      <c r="N5" s="246" t="s">
        <v>257</v>
      </c>
      <c r="O5" s="248" t="s">
        <v>256</v>
      </c>
      <c r="P5" s="248" t="s">
        <v>485</v>
      </c>
      <c r="Q5" s="248" t="s">
        <v>449</v>
      </c>
    </row>
    <row r="6" spans="1:17" x14ac:dyDescent="0.35">
      <c r="A6" s="249" t="s">
        <v>452</v>
      </c>
      <c r="B6" s="250">
        <v>1</v>
      </c>
      <c r="C6" s="242" t="s">
        <v>206</v>
      </c>
      <c r="D6" s="251" t="s">
        <v>188</v>
      </c>
      <c r="E6" s="251" t="s">
        <v>255</v>
      </c>
      <c r="F6" s="251" t="s">
        <v>254</v>
      </c>
      <c r="G6" s="251" t="s">
        <v>253</v>
      </c>
      <c r="H6" s="250" t="s">
        <v>252</v>
      </c>
      <c r="I6" s="250">
        <v>14797</v>
      </c>
      <c r="J6" s="251" t="s">
        <v>251</v>
      </c>
      <c r="K6" s="251"/>
      <c r="L6" s="251" t="s">
        <v>250</v>
      </c>
      <c r="M6" s="252"/>
      <c r="N6" s="251"/>
      <c r="O6" s="251" t="s">
        <v>473</v>
      </c>
      <c r="P6" s="252"/>
      <c r="Q6" s="252"/>
    </row>
    <row r="7" spans="1:17" x14ac:dyDescent="0.35">
      <c r="A7" s="259" t="s">
        <v>453</v>
      </c>
      <c r="B7" s="257">
        <v>2</v>
      </c>
      <c r="C7" s="253" t="s">
        <v>206</v>
      </c>
      <c r="D7" s="260" t="s">
        <v>192</v>
      </c>
      <c r="E7" s="260" t="s">
        <v>319</v>
      </c>
      <c r="F7" s="260" t="s">
        <v>249</v>
      </c>
      <c r="G7" s="260" t="s">
        <v>246</v>
      </c>
      <c r="H7" s="257">
        <v>29</v>
      </c>
      <c r="I7" s="257">
        <v>14478</v>
      </c>
      <c r="J7" s="260" t="s">
        <v>193</v>
      </c>
      <c r="K7" s="260"/>
      <c r="L7" s="260"/>
      <c r="M7" s="261"/>
      <c r="N7" s="260"/>
      <c r="O7" s="260" t="s">
        <v>473</v>
      </c>
      <c r="P7" s="261"/>
      <c r="Q7" s="261"/>
    </row>
    <row r="8" spans="1:17" x14ac:dyDescent="0.35">
      <c r="A8" s="249" t="s">
        <v>454</v>
      </c>
      <c r="B8" s="250">
        <v>2</v>
      </c>
      <c r="C8" s="242" t="s">
        <v>206</v>
      </c>
      <c r="D8" s="251" t="s">
        <v>188</v>
      </c>
      <c r="E8" s="251" t="s">
        <v>248</v>
      </c>
      <c r="F8" s="251" t="s">
        <v>247</v>
      </c>
      <c r="G8" s="251" t="s">
        <v>246</v>
      </c>
      <c r="H8" s="250">
        <v>29</v>
      </c>
      <c r="I8" s="250">
        <v>14478</v>
      </c>
      <c r="J8" s="251" t="s">
        <v>193</v>
      </c>
      <c r="K8" s="251" t="str">
        <f>IF(K7=0,"",K7)</f>
        <v/>
      </c>
      <c r="L8" s="251" t="s">
        <v>245</v>
      </c>
      <c r="M8" s="252"/>
      <c r="N8" s="251"/>
      <c r="O8" s="251" t="s">
        <v>473</v>
      </c>
      <c r="P8" s="252"/>
      <c r="Q8" s="252"/>
    </row>
    <row r="9" spans="1:17" x14ac:dyDescent="0.35">
      <c r="A9" s="259" t="s">
        <v>455</v>
      </c>
      <c r="B9" s="257">
        <v>3</v>
      </c>
      <c r="C9" s="253" t="s">
        <v>206</v>
      </c>
      <c r="D9" s="260" t="s">
        <v>192</v>
      </c>
      <c r="E9" s="260" t="s">
        <v>240</v>
      </c>
      <c r="F9" s="260" t="s">
        <v>244</v>
      </c>
      <c r="G9" s="260" t="s">
        <v>243</v>
      </c>
      <c r="H9" s="257">
        <v>62</v>
      </c>
      <c r="I9" s="257">
        <v>13409</v>
      </c>
      <c r="J9" s="260" t="s">
        <v>201</v>
      </c>
      <c r="K9" s="267" t="s">
        <v>242</v>
      </c>
      <c r="L9" s="267" t="s">
        <v>242</v>
      </c>
      <c r="M9" s="261"/>
      <c r="N9" s="276" t="s">
        <v>241</v>
      </c>
      <c r="O9" s="267" t="s">
        <v>281</v>
      </c>
      <c r="P9" s="261"/>
      <c r="Q9" s="264"/>
    </row>
    <row r="10" spans="1:17" x14ac:dyDescent="0.35">
      <c r="A10" s="249" t="s">
        <v>456</v>
      </c>
      <c r="B10" s="250">
        <v>4</v>
      </c>
      <c r="C10" s="242" t="s">
        <v>206</v>
      </c>
      <c r="D10" s="251" t="s">
        <v>192</v>
      </c>
      <c r="E10" s="251" t="s">
        <v>240</v>
      </c>
      <c r="F10" s="251" t="s">
        <v>239</v>
      </c>
      <c r="G10" s="251" t="s">
        <v>218</v>
      </c>
      <c r="H10" s="250">
        <v>11</v>
      </c>
      <c r="I10" s="250">
        <v>12057</v>
      </c>
      <c r="J10" s="251" t="s">
        <v>201</v>
      </c>
      <c r="K10" s="251" t="s">
        <v>238</v>
      </c>
      <c r="L10" s="251" t="s">
        <v>237</v>
      </c>
      <c r="M10" s="252" t="s">
        <v>236</v>
      </c>
      <c r="N10" s="251" t="s">
        <v>235</v>
      </c>
      <c r="O10" s="251" t="s">
        <v>234</v>
      </c>
      <c r="P10" s="252"/>
      <c r="Q10" s="252"/>
    </row>
    <row r="11" spans="1:17" x14ac:dyDescent="0.35">
      <c r="A11" s="259" t="s">
        <v>457</v>
      </c>
      <c r="B11" s="257">
        <v>5</v>
      </c>
      <c r="C11" s="253" t="s">
        <v>206</v>
      </c>
      <c r="D11" s="260" t="s">
        <v>192</v>
      </c>
      <c r="E11" s="260" t="s">
        <v>227</v>
      </c>
      <c r="F11" s="260" t="s">
        <v>233</v>
      </c>
      <c r="G11" s="260" t="s">
        <v>225</v>
      </c>
      <c r="H11" s="257">
        <v>79</v>
      </c>
      <c r="I11" s="257">
        <v>12057</v>
      </c>
      <c r="J11" s="260" t="s">
        <v>201</v>
      </c>
      <c r="K11" s="260" t="s">
        <v>232</v>
      </c>
      <c r="L11" s="260" t="s">
        <v>231</v>
      </c>
      <c r="M11" s="261" t="s">
        <v>230</v>
      </c>
      <c r="N11" s="260" t="s">
        <v>229</v>
      </c>
      <c r="O11" s="260" t="s">
        <v>228</v>
      </c>
      <c r="P11" s="261"/>
      <c r="Q11" s="261"/>
    </row>
    <row r="12" spans="1:17" x14ac:dyDescent="0.35">
      <c r="A12" s="249" t="s">
        <v>458</v>
      </c>
      <c r="B12" s="250">
        <v>5</v>
      </c>
      <c r="C12" s="242" t="s">
        <v>206</v>
      </c>
      <c r="D12" s="251" t="s">
        <v>188</v>
      </c>
      <c r="E12" s="251" t="s">
        <v>227</v>
      </c>
      <c r="F12" s="251" t="s">
        <v>226</v>
      </c>
      <c r="G12" s="251" t="s">
        <v>225</v>
      </c>
      <c r="H12" s="250">
        <v>79</v>
      </c>
      <c r="I12" s="250">
        <v>12057</v>
      </c>
      <c r="J12" s="251" t="s">
        <v>201</v>
      </c>
      <c r="K12" s="251" t="s">
        <v>224</v>
      </c>
      <c r="L12" s="251" t="s">
        <v>223</v>
      </c>
      <c r="M12" s="252" t="s">
        <v>222</v>
      </c>
      <c r="N12" s="251" t="s">
        <v>221</v>
      </c>
      <c r="O12" s="251" t="s">
        <v>474</v>
      </c>
      <c r="P12" s="252"/>
      <c r="Q12" s="252"/>
    </row>
    <row r="13" spans="1:17" x14ac:dyDescent="0.35">
      <c r="A13" s="259" t="s">
        <v>459</v>
      </c>
      <c r="B13" s="257">
        <v>6</v>
      </c>
      <c r="C13" s="253" t="s">
        <v>206</v>
      </c>
      <c r="D13" s="260" t="s">
        <v>192</v>
      </c>
      <c r="E13" s="260" t="s">
        <v>220</v>
      </c>
      <c r="F13" s="260" t="s">
        <v>219</v>
      </c>
      <c r="G13" s="260" t="s">
        <v>218</v>
      </c>
      <c r="H13" s="257">
        <v>11</v>
      </c>
      <c r="I13" s="257">
        <v>12057</v>
      </c>
      <c r="J13" s="260" t="s">
        <v>201</v>
      </c>
      <c r="K13" s="260" t="s">
        <v>217</v>
      </c>
      <c r="L13" s="260" t="s">
        <v>216</v>
      </c>
      <c r="M13" s="261" t="s">
        <v>215</v>
      </c>
      <c r="N13" s="260" t="s">
        <v>214</v>
      </c>
      <c r="O13" s="260" t="s">
        <v>277</v>
      </c>
      <c r="P13" s="261"/>
      <c r="Q13" s="261"/>
    </row>
    <row r="14" spans="1:17" x14ac:dyDescent="0.35">
      <c r="A14" s="249" t="s">
        <v>460</v>
      </c>
      <c r="B14" s="250">
        <v>7</v>
      </c>
      <c r="C14" s="242" t="s">
        <v>206</v>
      </c>
      <c r="D14" s="251" t="s">
        <v>192</v>
      </c>
      <c r="E14" s="251" t="s">
        <v>213</v>
      </c>
      <c r="F14" s="251" t="s">
        <v>212</v>
      </c>
      <c r="G14" s="251" t="s">
        <v>211</v>
      </c>
      <c r="H14" s="250">
        <v>64</v>
      </c>
      <c r="I14" s="250">
        <v>13409</v>
      </c>
      <c r="J14" s="251" t="s">
        <v>201</v>
      </c>
      <c r="K14" s="251" t="s">
        <v>210</v>
      </c>
      <c r="L14" s="251" t="s">
        <v>209</v>
      </c>
      <c r="M14" s="252"/>
      <c r="N14" s="251"/>
      <c r="O14" s="251" t="s">
        <v>473</v>
      </c>
      <c r="P14" s="252"/>
      <c r="Q14" s="252"/>
    </row>
    <row r="15" spans="1:17" x14ac:dyDescent="0.35">
      <c r="A15" s="259" t="s">
        <v>461</v>
      </c>
      <c r="B15" s="257">
        <v>7</v>
      </c>
      <c r="C15" s="253" t="s">
        <v>206</v>
      </c>
      <c r="D15" s="260" t="s">
        <v>188</v>
      </c>
      <c r="E15" s="260" t="s">
        <v>213</v>
      </c>
      <c r="F15" s="260" t="s">
        <v>208</v>
      </c>
      <c r="G15" s="260" t="s">
        <v>211</v>
      </c>
      <c r="H15" s="257">
        <v>64</v>
      </c>
      <c r="I15" s="257">
        <v>13409</v>
      </c>
      <c r="J15" s="260" t="s">
        <v>201</v>
      </c>
      <c r="K15" s="260" t="str">
        <f>IF(K14=0,"",K14)</f>
        <v>+49-30-252035990</v>
      </c>
      <c r="L15" s="260" t="s">
        <v>207</v>
      </c>
      <c r="M15" s="261"/>
      <c r="N15" s="260"/>
      <c r="O15" s="260" t="s">
        <v>473</v>
      </c>
      <c r="P15" s="261"/>
      <c r="Q15" s="261"/>
    </row>
    <row r="16" spans="1:17" x14ac:dyDescent="0.35">
      <c r="A16" s="249" t="s">
        <v>462</v>
      </c>
      <c r="B16" s="250">
        <v>8</v>
      </c>
      <c r="C16" s="242" t="s">
        <v>206</v>
      </c>
      <c r="D16" s="251" t="s">
        <v>192</v>
      </c>
      <c r="E16" s="251" t="s">
        <v>322</v>
      </c>
      <c r="F16" s="251" t="s">
        <v>323</v>
      </c>
      <c r="G16" s="251" t="s">
        <v>341</v>
      </c>
      <c r="H16" s="250">
        <v>1</v>
      </c>
      <c r="I16" s="250">
        <v>10717</v>
      </c>
      <c r="J16" s="251" t="s">
        <v>201</v>
      </c>
      <c r="K16" s="251"/>
      <c r="L16" s="251"/>
      <c r="M16" s="252"/>
      <c r="N16" s="251"/>
      <c r="O16" s="251" t="s">
        <v>473</v>
      </c>
      <c r="P16" s="252"/>
      <c r="Q16" s="252"/>
    </row>
    <row r="17" spans="1:17" x14ac:dyDescent="0.35">
      <c r="A17" s="259" t="s">
        <v>463</v>
      </c>
      <c r="B17" s="257">
        <v>8</v>
      </c>
      <c r="C17" s="253" t="s">
        <v>206</v>
      </c>
      <c r="D17" s="260" t="s">
        <v>188</v>
      </c>
      <c r="E17" s="260" t="s">
        <v>322</v>
      </c>
      <c r="F17" s="260" t="s">
        <v>327</v>
      </c>
      <c r="G17" s="260" t="s">
        <v>341</v>
      </c>
      <c r="H17" s="257">
        <v>1</v>
      </c>
      <c r="I17" s="257">
        <v>10717</v>
      </c>
      <c r="J17" s="260" t="s">
        <v>201</v>
      </c>
      <c r="K17" s="260"/>
      <c r="L17" s="260"/>
      <c r="M17" s="261"/>
      <c r="N17" s="260"/>
      <c r="O17" s="260" t="s">
        <v>473</v>
      </c>
      <c r="P17" s="261"/>
      <c r="Q17" s="261"/>
    </row>
    <row r="18" spans="1:17" x14ac:dyDescent="0.35">
      <c r="A18" s="249" t="s">
        <v>464</v>
      </c>
      <c r="B18" s="250">
        <v>9</v>
      </c>
      <c r="C18" s="242" t="s">
        <v>206</v>
      </c>
      <c r="D18" s="251" t="s">
        <v>192</v>
      </c>
      <c r="E18" s="251" t="s">
        <v>205</v>
      </c>
      <c r="F18" s="251" t="s">
        <v>204</v>
      </c>
      <c r="G18" s="251" t="s">
        <v>203</v>
      </c>
      <c r="H18" s="250">
        <v>42</v>
      </c>
      <c r="I18" s="250">
        <v>13409</v>
      </c>
      <c r="J18" s="251" t="s">
        <v>201</v>
      </c>
      <c r="K18" s="251"/>
      <c r="L18" s="251" t="s">
        <v>202</v>
      </c>
      <c r="M18" s="252"/>
      <c r="N18" s="251"/>
      <c r="O18" s="251" t="s">
        <v>473</v>
      </c>
      <c r="P18" s="252"/>
      <c r="Q18" s="252"/>
    </row>
    <row r="19" spans="1:17" x14ac:dyDescent="0.35">
      <c r="A19" s="259" t="s">
        <v>503</v>
      </c>
      <c r="B19" s="257">
        <v>9</v>
      </c>
      <c r="C19" s="253" t="s">
        <v>206</v>
      </c>
      <c r="D19" s="260" t="s">
        <v>188</v>
      </c>
      <c r="E19" s="260" t="s">
        <v>497</v>
      </c>
      <c r="F19" s="260" t="s">
        <v>498</v>
      </c>
      <c r="G19" s="260" t="s">
        <v>504</v>
      </c>
      <c r="H19" s="257">
        <v>88</v>
      </c>
      <c r="I19" s="257">
        <v>32445</v>
      </c>
      <c r="J19" s="260" t="s">
        <v>505</v>
      </c>
      <c r="K19" s="260"/>
      <c r="L19" s="260"/>
      <c r="M19" s="261"/>
      <c r="N19" s="260"/>
      <c r="O19" s="260" t="s">
        <v>474</v>
      </c>
      <c r="P19" s="261">
        <v>46050</v>
      </c>
      <c r="Q19" s="261"/>
    </row>
    <row r="20" spans="1:17" x14ac:dyDescent="0.35">
      <c r="A20" s="249" t="s">
        <v>465</v>
      </c>
      <c r="B20" s="250">
        <v>10</v>
      </c>
      <c r="C20" s="242" t="s">
        <v>189</v>
      </c>
      <c r="D20" s="251" t="s">
        <v>192</v>
      </c>
      <c r="E20" s="251" t="s">
        <v>335</v>
      </c>
      <c r="F20" s="251" t="s">
        <v>334</v>
      </c>
      <c r="G20" s="251" t="s">
        <v>338</v>
      </c>
      <c r="H20" s="250">
        <v>6</v>
      </c>
      <c r="I20" s="250">
        <v>14974</v>
      </c>
      <c r="J20" s="251" t="s">
        <v>339</v>
      </c>
      <c r="K20" s="251"/>
      <c r="L20" s="251"/>
      <c r="M20" s="252"/>
      <c r="N20" s="251"/>
      <c r="O20" s="251" t="s">
        <v>473</v>
      </c>
      <c r="P20" s="252"/>
      <c r="Q20" s="252"/>
    </row>
    <row r="21" spans="1:17" x14ac:dyDescent="0.35">
      <c r="A21" s="259" t="s">
        <v>466</v>
      </c>
      <c r="B21" s="257">
        <v>10</v>
      </c>
      <c r="C21" s="253" t="s">
        <v>189</v>
      </c>
      <c r="D21" s="260" t="s">
        <v>188</v>
      </c>
      <c r="E21" s="260" t="s">
        <v>337</v>
      </c>
      <c r="F21" s="260" t="s">
        <v>336</v>
      </c>
      <c r="G21" s="260" t="s">
        <v>338</v>
      </c>
      <c r="H21" s="257">
        <v>6</v>
      </c>
      <c r="I21" s="257">
        <v>14974</v>
      </c>
      <c r="J21" s="260" t="s">
        <v>339</v>
      </c>
      <c r="K21" s="260"/>
      <c r="L21" s="260"/>
      <c r="M21" s="261"/>
      <c r="N21" s="260"/>
      <c r="O21" s="260" t="s">
        <v>473</v>
      </c>
      <c r="P21" s="261"/>
      <c r="Q21" s="261"/>
    </row>
    <row r="22" spans="1:17" x14ac:dyDescent="0.35">
      <c r="A22" s="249" t="s">
        <v>467</v>
      </c>
      <c r="B22" s="250">
        <v>11</v>
      </c>
      <c r="C22" s="242" t="s">
        <v>189</v>
      </c>
      <c r="D22" s="251" t="s">
        <v>192</v>
      </c>
      <c r="E22" s="251" t="s">
        <v>200</v>
      </c>
      <c r="F22" s="251" t="s">
        <v>199</v>
      </c>
      <c r="G22" s="251" t="s">
        <v>198</v>
      </c>
      <c r="H22" s="250">
        <v>2</v>
      </c>
      <c r="I22" s="250">
        <v>12529</v>
      </c>
      <c r="J22" s="251" t="s">
        <v>197</v>
      </c>
      <c r="K22" s="251" t="s">
        <v>196</v>
      </c>
      <c r="L22" s="251" t="s">
        <v>195</v>
      </c>
      <c r="M22" s="252"/>
      <c r="N22" s="251"/>
      <c r="O22" s="251" t="s">
        <v>473</v>
      </c>
      <c r="P22" s="252"/>
      <c r="Q22" s="252"/>
    </row>
    <row r="23" spans="1:17" x14ac:dyDescent="0.35">
      <c r="A23" s="259" t="s">
        <v>468</v>
      </c>
      <c r="B23" s="257">
        <v>11</v>
      </c>
      <c r="C23" s="253" t="s">
        <v>189</v>
      </c>
      <c r="D23" s="260" t="s">
        <v>188</v>
      </c>
      <c r="E23" s="260" t="s">
        <v>200</v>
      </c>
      <c r="F23" s="260" t="s">
        <v>186</v>
      </c>
      <c r="G23" s="260" t="s">
        <v>198</v>
      </c>
      <c r="H23" s="257">
        <v>2</v>
      </c>
      <c r="I23" s="257">
        <v>12529</v>
      </c>
      <c r="J23" s="260" t="s">
        <v>197</v>
      </c>
      <c r="K23" s="260" t="str">
        <f>IF(K22=0,"",K22)</f>
        <v>+49-3327-7255023</v>
      </c>
      <c r="L23" s="260" t="s">
        <v>194</v>
      </c>
      <c r="M23" s="261"/>
      <c r="N23" s="260"/>
      <c r="O23" s="260" t="s">
        <v>473</v>
      </c>
      <c r="P23" s="261"/>
      <c r="Q23" s="261"/>
    </row>
    <row r="24" spans="1:17" x14ac:dyDescent="0.35">
      <c r="A24" s="249" t="s">
        <v>469</v>
      </c>
      <c r="B24" s="250">
        <v>12</v>
      </c>
      <c r="C24" s="242" t="s">
        <v>189</v>
      </c>
      <c r="D24" s="251" t="s">
        <v>192</v>
      </c>
      <c r="E24" s="251" t="s">
        <v>330</v>
      </c>
      <c r="F24" s="251" t="s">
        <v>331</v>
      </c>
      <c r="G24" s="251" t="s">
        <v>340</v>
      </c>
      <c r="H24" s="250">
        <v>18</v>
      </c>
      <c r="I24" s="250">
        <v>14480</v>
      </c>
      <c r="J24" s="251" t="s">
        <v>193</v>
      </c>
      <c r="K24" s="251"/>
      <c r="L24" s="251"/>
      <c r="M24" s="252"/>
      <c r="N24" s="251"/>
      <c r="O24" s="251" t="s">
        <v>473</v>
      </c>
      <c r="P24" s="252"/>
      <c r="Q24" s="252"/>
    </row>
    <row r="25" spans="1:17" x14ac:dyDescent="0.35">
      <c r="A25" s="259" t="s">
        <v>470</v>
      </c>
      <c r="B25" s="257">
        <v>12</v>
      </c>
      <c r="C25" s="253" t="s">
        <v>189</v>
      </c>
      <c r="D25" s="260" t="s">
        <v>188</v>
      </c>
      <c r="E25" s="260" t="s">
        <v>324</v>
      </c>
      <c r="F25" s="260" t="s">
        <v>325</v>
      </c>
      <c r="G25" s="260" t="s">
        <v>340</v>
      </c>
      <c r="H25" s="257">
        <v>18</v>
      </c>
      <c r="I25" s="257">
        <v>14480</v>
      </c>
      <c r="J25" s="260" t="s">
        <v>193</v>
      </c>
      <c r="K25" s="260"/>
      <c r="L25" s="260"/>
      <c r="M25" s="261"/>
      <c r="N25" s="260"/>
      <c r="O25" s="260" t="s">
        <v>473</v>
      </c>
      <c r="P25" s="261"/>
      <c r="Q25" s="261"/>
    </row>
    <row r="26" spans="1:17" x14ac:dyDescent="0.35">
      <c r="A26" s="249" t="s">
        <v>511</v>
      </c>
      <c r="B26" s="250">
        <v>13</v>
      </c>
      <c r="C26" s="242" t="s">
        <v>189</v>
      </c>
      <c r="D26" s="251" t="s">
        <v>192</v>
      </c>
      <c r="E26" s="251" t="s">
        <v>187</v>
      </c>
      <c r="F26" s="251" t="s">
        <v>191</v>
      </c>
      <c r="G26" s="251" t="s">
        <v>185</v>
      </c>
      <c r="H26" s="250">
        <v>18</v>
      </c>
      <c r="I26" s="250">
        <v>14542</v>
      </c>
      <c r="J26" s="251" t="s">
        <v>176</v>
      </c>
      <c r="K26" s="251"/>
      <c r="L26" s="251"/>
      <c r="M26" s="252"/>
      <c r="N26" s="251"/>
      <c r="O26" s="251" t="s">
        <v>190</v>
      </c>
      <c r="P26" s="252">
        <v>46052</v>
      </c>
      <c r="Q26" s="252"/>
    </row>
    <row r="27" spans="1:17" x14ac:dyDescent="0.35">
      <c r="A27" s="259" t="s">
        <v>471</v>
      </c>
      <c r="B27" s="257">
        <v>13</v>
      </c>
      <c r="C27" s="253" t="s">
        <v>189</v>
      </c>
      <c r="D27" s="260" t="s">
        <v>188</v>
      </c>
      <c r="E27" s="260" t="s">
        <v>187</v>
      </c>
      <c r="F27" s="260" t="s">
        <v>186</v>
      </c>
      <c r="G27" s="260" t="s">
        <v>185</v>
      </c>
      <c r="H27" s="257">
        <v>18</v>
      </c>
      <c r="I27" s="257">
        <v>14542</v>
      </c>
      <c r="J27" s="260" t="s">
        <v>176</v>
      </c>
      <c r="K27" s="260" t="s">
        <v>184</v>
      </c>
      <c r="L27" s="260" t="s">
        <v>183</v>
      </c>
      <c r="M27" s="261"/>
      <c r="N27" s="260"/>
      <c r="O27" s="260" t="s">
        <v>473</v>
      </c>
      <c r="P27" s="261">
        <v>45950</v>
      </c>
      <c r="Q27" s="261"/>
    </row>
    <row r="28" spans="1:17" x14ac:dyDescent="0.35">
      <c r="A28" s="249" t="s">
        <v>511</v>
      </c>
      <c r="B28" s="250">
        <v>14</v>
      </c>
      <c r="C28" s="242" t="s">
        <v>189</v>
      </c>
      <c r="D28" s="251" t="s">
        <v>192</v>
      </c>
      <c r="E28" s="251" t="s">
        <v>187</v>
      </c>
      <c r="F28" s="251" t="s">
        <v>191</v>
      </c>
      <c r="G28" s="251" t="s">
        <v>185</v>
      </c>
      <c r="H28" s="250">
        <v>18</v>
      </c>
      <c r="I28" s="250">
        <v>14542</v>
      </c>
      <c r="J28" s="251" t="s">
        <v>176</v>
      </c>
      <c r="K28" s="251"/>
      <c r="L28" s="251"/>
      <c r="M28" s="252"/>
      <c r="N28" s="251"/>
      <c r="O28" s="251" t="s">
        <v>190</v>
      </c>
      <c r="P28" s="252">
        <v>46052</v>
      </c>
      <c r="Q28" s="252"/>
    </row>
    <row r="29" spans="1:17" x14ac:dyDescent="0.35">
      <c r="A29" s="259" t="s">
        <v>471</v>
      </c>
      <c r="B29" s="257">
        <v>14</v>
      </c>
      <c r="C29" s="253" t="s">
        <v>189</v>
      </c>
      <c r="D29" s="260" t="s">
        <v>188</v>
      </c>
      <c r="E29" s="260" t="s">
        <v>187</v>
      </c>
      <c r="F29" s="260" t="s">
        <v>186</v>
      </c>
      <c r="G29" s="260" t="s">
        <v>185</v>
      </c>
      <c r="H29" s="257">
        <v>18</v>
      </c>
      <c r="I29" s="257">
        <v>14542</v>
      </c>
      <c r="J29" s="260" t="s">
        <v>176</v>
      </c>
      <c r="K29" s="260" t="s">
        <v>184</v>
      </c>
      <c r="L29" s="260" t="s">
        <v>183</v>
      </c>
      <c r="M29" s="261"/>
      <c r="N29" s="260"/>
      <c r="O29" s="260" t="s">
        <v>473</v>
      </c>
      <c r="P29" s="261"/>
      <c r="Q29" s="261"/>
    </row>
    <row r="30" spans="1:17" x14ac:dyDescent="0.35">
      <c r="A30" s="249" t="s">
        <v>472</v>
      </c>
      <c r="B30" s="250" t="s">
        <v>182</v>
      </c>
      <c r="C30" s="242" t="s">
        <v>181</v>
      </c>
      <c r="D30" s="251" t="s">
        <v>179</v>
      </c>
      <c r="E30" s="251" t="s">
        <v>180</v>
      </c>
      <c r="F30" s="251" t="s">
        <v>179</v>
      </c>
      <c r="G30" s="251" t="s">
        <v>178</v>
      </c>
      <c r="H30" s="250" t="s">
        <v>177</v>
      </c>
      <c r="I30" s="250">
        <v>14543</v>
      </c>
      <c r="J30" s="251" t="s">
        <v>176</v>
      </c>
      <c r="K30" s="268"/>
      <c r="L30" s="268"/>
      <c r="M30" s="252"/>
      <c r="N30" s="268"/>
      <c r="O30" s="268" t="s">
        <v>182</v>
      </c>
      <c r="P30" s="252"/>
      <c r="Q30" s="263"/>
    </row>
    <row r="31" spans="1:17" x14ac:dyDescent="0.35">
      <c r="A31" s="277"/>
      <c r="B31" s="262"/>
      <c r="D31" s="262"/>
      <c r="O31" s="262"/>
    </row>
    <row r="32" spans="1:17" x14ac:dyDescent="0.35">
      <c r="A32" s="277"/>
      <c r="B32" s="262"/>
      <c r="D32" s="262"/>
      <c r="O32" s="262"/>
    </row>
    <row r="33" spans="1:15" x14ac:dyDescent="0.35">
      <c r="A33" s="277"/>
      <c r="B33" s="262"/>
      <c r="D33" s="262"/>
      <c r="O33" s="262"/>
    </row>
    <row r="34" spans="1:15" x14ac:dyDescent="0.35">
      <c r="A34" s="277"/>
      <c r="B34" s="262"/>
      <c r="D34" s="262"/>
      <c r="O34" s="262"/>
    </row>
    <row r="35" spans="1:15" x14ac:dyDescent="0.35">
      <c r="A35" s="277"/>
      <c r="B35" s="262"/>
      <c r="D35" s="262"/>
      <c r="O35" s="262"/>
    </row>
    <row r="36" spans="1:15" x14ac:dyDescent="0.35">
      <c r="A36" s="277"/>
      <c r="B36" s="262"/>
      <c r="D36" s="262"/>
      <c r="O36" s="262"/>
    </row>
    <row r="37" spans="1:15" x14ac:dyDescent="0.35">
      <c r="A37" s="277"/>
      <c r="B37" s="262"/>
      <c r="D37" s="262"/>
      <c r="O37" s="262"/>
    </row>
    <row r="38" spans="1:15" x14ac:dyDescent="0.35">
      <c r="A38" s="277"/>
      <c r="B38" s="262"/>
      <c r="D38" s="262"/>
      <c r="O38" s="262"/>
    </row>
    <row r="39" spans="1:15" x14ac:dyDescent="0.35">
      <c r="A39" s="277"/>
      <c r="B39" s="262"/>
      <c r="D39" s="262"/>
      <c r="O39" s="262"/>
    </row>
    <row r="40" spans="1:15" x14ac:dyDescent="0.35">
      <c r="A40" s="277"/>
      <c r="B40" s="262"/>
      <c r="D40" s="262"/>
      <c r="O40" s="262"/>
    </row>
    <row r="41" spans="1:15" x14ac:dyDescent="0.35">
      <c r="A41" s="277"/>
      <c r="B41" s="262"/>
      <c r="D41" s="262"/>
      <c r="O41" s="262"/>
    </row>
    <row r="42" spans="1:15" x14ac:dyDescent="0.35">
      <c r="A42" s="277"/>
      <c r="B42" s="262"/>
      <c r="D42" s="262"/>
      <c r="O42" s="262"/>
    </row>
    <row r="43" spans="1:15" x14ac:dyDescent="0.35">
      <c r="A43" s="277"/>
      <c r="B43" s="262"/>
      <c r="D43" s="262"/>
      <c r="O43" s="262"/>
    </row>
    <row r="44" spans="1:15" x14ac:dyDescent="0.35">
      <c r="A44" s="277"/>
      <c r="B44" s="262"/>
      <c r="D44" s="262"/>
      <c r="O44" s="262"/>
    </row>
    <row r="45" spans="1:15" x14ac:dyDescent="0.35">
      <c r="A45" s="277"/>
      <c r="B45" s="262"/>
      <c r="D45" s="262"/>
      <c r="O45" s="262"/>
    </row>
    <row r="46" spans="1:15" x14ac:dyDescent="0.35">
      <c r="A46" s="277"/>
      <c r="B46" s="262"/>
      <c r="D46" s="262"/>
      <c r="O46" s="262"/>
    </row>
    <row r="47" spans="1:15" x14ac:dyDescent="0.35">
      <c r="A47" s="277"/>
      <c r="B47" s="262"/>
      <c r="D47" s="262"/>
      <c r="O47" s="262"/>
    </row>
    <row r="48" spans="1:15" x14ac:dyDescent="0.35">
      <c r="A48" s="277"/>
      <c r="B48" s="262"/>
      <c r="D48" s="262"/>
      <c r="O48" s="262"/>
    </row>
    <row r="49" spans="1:15" x14ac:dyDescent="0.35">
      <c r="A49" s="277"/>
      <c r="B49" s="262"/>
      <c r="D49" s="262"/>
      <c r="O49" s="262"/>
    </row>
    <row r="50" spans="1:15" x14ac:dyDescent="0.35">
      <c r="A50" s="277"/>
      <c r="B50" s="262"/>
      <c r="D50" s="262"/>
      <c r="O50" s="262"/>
    </row>
    <row r="51" spans="1:15" x14ac:dyDescent="0.35">
      <c r="A51" s="277"/>
      <c r="B51" s="262"/>
      <c r="D51" s="262"/>
      <c r="O51" s="262"/>
    </row>
    <row r="52" spans="1:15" x14ac:dyDescent="0.35">
      <c r="A52" s="277"/>
      <c r="B52" s="262"/>
      <c r="D52" s="262"/>
      <c r="O52" s="262"/>
    </row>
    <row r="53" spans="1:15" x14ac:dyDescent="0.35">
      <c r="A53" s="277"/>
      <c r="B53" s="262"/>
      <c r="D53" s="262"/>
      <c r="O53" s="262"/>
    </row>
    <row r="54" spans="1:15" x14ac:dyDescent="0.35">
      <c r="A54" s="277"/>
      <c r="B54" s="262"/>
      <c r="D54" s="262"/>
      <c r="O54" s="262"/>
    </row>
    <row r="55" spans="1:15" x14ac:dyDescent="0.35">
      <c r="A55" s="277"/>
      <c r="B55" s="262"/>
      <c r="D55" s="262"/>
      <c r="O55" s="262"/>
    </row>
    <row r="56" spans="1:15" x14ac:dyDescent="0.35">
      <c r="A56" s="277"/>
      <c r="B56" s="262"/>
      <c r="D56" s="262"/>
      <c r="O56" s="262"/>
    </row>
    <row r="57" spans="1:15" x14ac:dyDescent="0.35">
      <c r="A57" s="277"/>
      <c r="B57" s="262"/>
      <c r="D57" s="262"/>
      <c r="O57" s="262"/>
    </row>
    <row r="58" spans="1:15" x14ac:dyDescent="0.35">
      <c r="A58" s="277"/>
      <c r="B58" s="262"/>
      <c r="D58" s="262"/>
      <c r="O58" s="262"/>
    </row>
    <row r="59" spans="1:15" x14ac:dyDescent="0.35">
      <c r="A59" s="277"/>
      <c r="B59" s="262"/>
      <c r="D59" s="262"/>
      <c r="O59" s="262"/>
    </row>
    <row r="60" spans="1:15" x14ac:dyDescent="0.35">
      <c r="A60" s="277"/>
      <c r="B60" s="262"/>
      <c r="D60" s="262"/>
      <c r="O60" s="262"/>
    </row>
    <row r="61" spans="1:15" x14ac:dyDescent="0.35">
      <c r="A61" s="277"/>
      <c r="B61" s="262"/>
      <c r="D61" s="262"/>
      <c r="O61" s="262"/>
    </row>
    <row r="62" spans="1:15" x14ac:dyDescent="0.35">
      <c r="A62" s="277"/>
      <c r="B62" s="262"/>
      <c r="D62" s="262"/>
      <c r="O62" s="262"/>
    </row>
    <row r="63" spans="1:15" x14ac:dyDescent="0.35">
      <c r="A63" s="277"/>
      <c r="B63" s="262"/>
      <c r="D63" s="262"/>
      <c r="O63" s="262"/>
    </row>
    <row r="64" spans="1:15" x14ac:dyDescent="0.35">
      <c r="A64" s="277"/>
      <c r="B64" s="262"/>
      <c r="D64" s="262"/>
      <c r="O64" s="262"/>
    </row>
    <row r="65" spans="1:15" x14ac:dyDescent="0.35">
      <c r="A65" s="277"/>
      <c r="B65" s="262"/>
      <c r="D65" s="262"/>
      <c r="O65" s="262"/>
    </row>
    <row r="66" spans="1:15" x14ac:dyDescent="0.35">
      <c r="A66" s="277"/>
      <c r="B66" s="262"/>
      <c r="D66" s="262"/>
      <c r="O66" s="262"/>
    </row>
    <row r="67" spans="1:15" x14ac:dyDescent="0.35">
      <c r="A67" s="277"/>
      <c r="B67" s="262"/>
      <c r="D67" s="262"/>
      <c r="O67" s="262"/>
    </row>
    <row r="68" spans="1:15" x14ac:dyDescent="0.35">
      <c r="A68" s="277"/>
      <c r="B68" s="262"/>
      <c r="D68" s="262"/>
      <c r="O68" s="262"/>
    </row>
    <row r="69" spans="1:15" x14ac:dyDescent="0.35">
      <c r="A69" s="277"/>
      <c r="B69" s="262"/>
      <c r="D69" s="262"/>
      <c r="O69" s="262"/>
    </row>
    <row r="70" spans="1:15" x14ac:dyDescent="0.35">
      <c r="A70" s="277"/>
      <c r="B70" s="262"/>
      <c r="D70" s="262"/>
      <c r="O70" s="262"/>
    </row>
    <row r="71" spans="1:15" x14ac:dyDescent="0.35">
      <c r="A71" s="277"/>
      <c r="B71" s="262"/>
      <c r="D71" s="262"/>
      <c r="O71" s="262"/>
    </row>
    <row r="72" spans="1:15" x14ac:dyDescent="0.35">
      <c r="A72" s="277"/>
      <c r="B72" s="262"/>
      <c r="D72" s="262"/>
      <c r="O72" s="262"/>
    </row>
    <row r="73" spans="1:15" x14ac:dyDescent="0.35">
      <c r="A73" s="277"/>
      <c r="B73" s="262"/>
      <c r="D73" s="262"/>
      <c r="O73" s="262"/>
    </row>
    <row r="74" spans="1:15" x14ac:dyDescent="0.35">
      <c r="A74" s="277"/>
      <c r="B74" s="262"/>
      <c r="D74" s="262"/>
      <c r="O74" s="262"/>
    </row>
    <row r="75" spans="1:15" x14ac:dyDescent="0.35">
      <c r="A75" s="277"/>
      <c r="B75" s="262"/>
      <c r="D75" s="262"/>
      <c r="O75" s="262"/>
    </row>
    <row r="76" spans="1:15" x14ac:dyDescent="0.35">
      <c r="A76" s="277"/>
      <c r="B76" s="262"/>
      <c r="D76" s="262"/>
      <c r="O76" s="262"/>
    </row>
    <row r="77" spans="1:15" x14ac:dyDescent="0.35">
      <c r="A77" s="277"/>
      <c r="B77" s="262"/>
      <c r="D77" s="262"/>
      <c r="O77" s="262"/>
    </row>
    <row r="78" spans="1:15" x14ac:dyDescent="0.35">
      <c r="A78" s="277"/>
      <c r="B78" s="262"/>
      <c r="D78" s="262"/>
      <c r="O78" s="262"/>
    </row>
    <row r="79" spans="1:15" x14ac:dyDescent="0.35">
      <c r="A79" s="277"/>
      <c r="B79" s="262"/>
      <c r="D79" s="262"/>
      <c r="O79" s="262"/>
    </row>
    <row r="80" spans="1:15" x14ac:dyDescent="0.35">
      <c r="A80" s="277"/>
      <c r="B80" s="262"/>
      <c r="D80" s="262"/>
      <c r="O80" s="262"/>
    </row>
    <row r="81" spans="1:15" x14ac:dyDescent="0.35">
      <c r="A81" s="277"/>
      <c r="B81" s="262"/>
      <c r="D81" s="262"/>
      <c r="O81" s="262"/>
    </row>
    <row r="82" spans="1:15" x14ac:dyDescent="0.35">
      <c r="A82" s="277"/>
      <c r="B82" s="262"/>
      <c r="D82" s="262"/>
      <c r="O82" s="262"/>
    </row>
    <row r="83" spans="1:15" x14ac:dyDescent="0.35">
      <c r="A83" s="277"/>
      <c r="B83" s="262"/>
      <c r="D83" s="262"/>
      <c r="O83" s="262"/>
    </row>
    <row r="84" spans="1:15" x14ac:dyDescent="0.35">
      <c r="A84" s="277"/>
      <c r="B84" s="262"/>
      <c r="D84" s="262"/>
      <c r="O84" s="262"/>
    </row>
    <row r="85" spans="1:15" x14ac:dyDescent="0.35">
      <c r="A85" s="277"/>
      <c r="B85" s="262"/>
      <c r="D85" s="262"/>
      <c r="O85" s="262"/>
    </row>
    <row r="86" spans="1:15" x14ac:dyDescent="0.35">
      <c r="A86" s="277"/>
      <c r="B86" s="262"/>
      <c r="D86" s="262"/>
      <c r="O86" s="262"/>
    </row>
    <row r="87" spans="1:15" x14ac:dyDescent="0.35">
      <c r="A87" s="277"/>
      <c r="B87" s="262"/>
      <c r="D87" s="262"/>
      <c r="O87" s="262"/>
    </row>
    <row r="88" spans="1:15" x14ac:dyDescent="0.35">
      <c r="A88" s="277"/>
      <c r="B88" s="262"/>
      <c r="D88" s="262"/>
      <c r="O88" s="262"/>
    </row>
    <row r="89" spans="1:15" x14ac:dyDescent="0.35">
      <c r="A89" s="277"/>
      <c r="B89" s="262"/>
      <c r="D89" s="262"/>
      <c r="O89" s="262"/>
    </row>
    <row r="90" spans="1:15" x14ac:dyDescent="0.35">
      <c r="A90" s="277"/>
      <c r="B90" s="262"/>
      <c r="D90" s="262"/>
      <c r="O90" s="262"/>
    </row>
    <row r="91" spans="1:15" x14ac:dyDescent="0.35">
      <c r="A91" s="277"/>
      <c r="B91" s="262"/>
      <c r="D91" s="262"/>
      <c r="O91" s="262"/>
    </row>
    <row r="92" spans="1:15" x14ac:dyDescent="0.35">
      <c r="A92" s="277"/>
      <c r="B92" s="262"/>
      <c r="D92" s="262"/>
      <c r="O92" s="262"/>
    </row>
    <row r="93" spans="1:15" x14ac:dyDescent="0.35">
      <c r="A93" s="277"/>
      <c r="B93" s="262"/>
      <c r="D93" s="262"/>
      <c r="O93" s="262"/>
    </row>
    <row r="94" spans="1:15" x14ac:dyDescent="0.35">
      <c r="A94" s="277"/>
      <c r="B94" s="262"/>
      <c r="D94" s="262"/>
      <c r="O94" s="262"/>
    </row>
    <row r="95" spans="1:15" x14ac:dyDescent="0.35">
      <c r="A95" s="277"/>
      <c r="B95" s="262"/>
      <c r="D95" s="262"/>
      <c r="O95" s="262"/>
    </row>
    <row r="96" spans="1:15" x14ac:dyDescent="0.35">
      <c r="A96" s="277"/>
      <c r="B96" s="262"/>
      <c r="D96" s="262"/>
      <c r="O96" s="262"/>
    </row>
    <row r="97" spans="1:15" x14ac:dyDescent="0.35">
      <c r="A97" s="277"/>
      <c r="B97" s="262"/>
      <c r="D97" s="262"/>
      <c r="O97" s="262"/>
    </row>
    <row r="98" spans="1:15" x14ac:dyDescent="0.35">
      <c r="A98" s="277"/>
      <c r="B98" s="262"/>
      <c r="D98" s="262"/>
      <c r="O98" s="262"/>
    </row>
    <row r="99" spans="1:15" x14ac:dyDescent="0.35">
      <c r="A99" s="277"/>
      <c r="B99" s="262"/>
      <c r="D99" s="262"/>
      <c r="O99" s="262"/>
    </row>
    <row r="100" spans="1:15" x14ac:dyDescent="0.35">
      <c r="A100" s="277"/>
      <c r="B100" s="262"/>
      <c r="D100" s="262"/>
      <c r="O100" s="262"/>
    </row>
    <row r="101" spans="1:15" x14ac:dyDescent="0.35">
      <c r="A101" s="277"/>
      <c r="B101" s="262"/>
      <c r="D101" s="262"/>
      <c r="O101" s="262"/>
    </row>
    <row r="102" spans="1:15" x14ac:dyDescent="0.35">
      <c r="A102" s="277"/>
      <c r="B102" s="262"/>
      <c r="D102" s="262"/>
      <c r="O102" s="262"/>
    </row>
    <row r="103" spans="1:15" x14ac:dyDescent="0.35">
      <c r="A103" s="277"/>
      <c r="B103" s="262"/>
      <c r="D103" s="262"/>
      <c r="O103" s="262"/>
    </row>
    <row r="104" spans="1:15" x14ac:dyDescent="0.35">
      <c r="A104" s="277"/>
      <c r="B104" s="262"/>
      <c r="D104" s="262"/>
      <c r="O104" s="262"/>
    </row>
    <row r="105" spans="1:15" x14ac:dyDescent="0.35">
      <c r="A105" s="277"/>
      <c r="B105" s="262"/>
      <c r="D105" s="262"/>
      <c r="O105" s="262"/>
    </row>
    <row r="106" spans="1:15" x14ac:dyDescent="0.35">
      <c r="A106" s="277"/>
      <c r="B106" s="262"/>
      <c r="D106" s="262"/>
      <c r="O106" s="262"/>
    </row>
    <row r="107" spans="1:15" x14ac:dyDescent="0.35">
      <c r="A107" s="277"/>
      <c r="B107" s="262"/>
      <c r="D107" s="262"/>
      <c r="O107" s="262"/>
    </row>
    <row r="108" spans="1:15" x14ac:dyDescent="0.35">
      <c r="A108" s="277"/>
      <c r="B108" s="262"/>
      <c r="D108" s="262"/>
      <c r="O108" s="262"/>
    </row>
    <row r="109" spans="1:15" x14ac:dyDescent="0.35">
      <c r="A109" s="277"/>
      <c r="B109" s="262"/>
      <c r="D109" s="262"/>
      <c r="O109" s="262"/>
    </row>
    <row r="110" spans="1:15" x14ac:dyDescent="0.35">
      <c r="A110" s="277"/>
      <c r="B110" s="262"/>
      <c r="D110" s="262"/>
      <c r="O110" s="262"/>
    </row>
    <row r="111" spans="1:15" x14ac:dyDescent="0.35">
      <c r="A111" s="277"/>
      <c r="B111" s="262"/>
      <c r="D111" s="262"/>
      <c r="O111" s="262"/>
    </row>
    <row r="112" spans="1:15" x14ac:dyDescent="0.35">
      <c r="A112" s="277"/>
      <c r="B112" s="262"/>
      <c r="D112" s="262"/>
      <c r="O112" s="262"/>
    </row>
    <row r="113" spans="1:15" x14ac:dyDescent="0.35">
      <c r="A113" s="277"/>
      <c r="B113" s="262"/>
      <c r="D113" s="262"/>
      <c r="O113" s="262"/>
    </row>
    <row r="114" spans="1:15" x14ac:dyDescent="0.35">
      <c r="A114" s="277"/>
      <c r="B114" s="262"/>
      <c r="D114" s="262"/>
      <c r="O114" s="262"/>
    </row>
    <row r="115" spans="1:15" x14ac:dyDescent="0.35">
      <c r="A115" s="277"/>
      <c r="B115" s="262"/>
      <c r="D115" s="262"/>
      <c r="O115" s="262"/>
    </row>
    <row r="116" spans="1:15" x14ac:dyDescent="0.35">
      <c r="A116" s="277"/>
      <c r="B116" s="262"/>
      <c r="D116" s="262"/>
      <c r="O116" s="262"/>
    </row>
    <row r="117" spans="1:15" x14ac:dyDescent="0.35">
      <c r="A117" s="277"/>
      <c r="B117" s="262"/>
      <c r="D117" s="262"/>
      <c r="O117" s="262"/>
    </row>
    <row r="118" spans="1:15" x14ac:dyDescent="0.35">
      <c r="A118" s="277"/>
      <c r="B118" s="262"/>
      <c r="D118" s="262"/>
      <c r="O118" s="262"/>
    </row>
    <row r="119" spans="1:15" x14ac:dyDescent="0.35">
      <c r="A119" s="277"/>
      <c r="B119" s="262"/>
      <c r="D119" s="262"/>
      <c r="O119" s="262"/>
    </row>
    <row r="120" spans="1:15" x14ac:dyDescent="0.35">
      <c r="A120" s="277"/>
      <c r="B120" s="262"/>
      <c r="D120" s="262"/>
      <c r="O120" s="262"/>
    </row>
    <row r="121" spans="1:15" x14ac:dyDescent="0.35">
      <c r="A121" s="277"/>
      <c r="B121" s="262"/>
      <c r="D121" s="262"/>
      <c r="O121" s="262"/>
    </row>
    <row r="122" spans="1:15" x14ac:dyDescent="0.35">
      <c r="A122" s="277"/>
      <c r="B122" s="262"/>
      <c r="D122" s="262"/>
      <c r="O122" s="262"/>
    </row>
    <row r="123" spans="1:15" x14ac:dyDescent="0.35">
      <c r="A123" s="277"/>
      <c r="B123" s="262"/>
      <c r="D123" s="262"/>
      <c r="O123" s="262"/>
    </row>
    <row r="124" spans="1:15" x14ac:dyDescent="0.35">
      <c r="A124" s="277"/>
      <c r="B124" s="262"/>
      <c r="D124" s="262"/>
      <c r="O124" s="262"/>
    </row>
    <row r="125" spans="1:15" x14ac:dyDescent="0.35">
      <c r="A125" s="277"/>
      <c r="B125" s="262"/>
      <c r="D125" s="262"/>
      <c r="O125" s="262"/>
    </row>
    <row r="126" spans="1:15" x14ac:dyDescent="0.35">
      <c r="A126" s="277"/>
      <c r="B126" s="262"/>
      <c r="D126" s="262"/>
      <c r="O126" s="262"/>
    </row>
    <row r="127" spans="1:15" x14ac:dyDescent="0.35">
      <c r="A127" s="277"/>
      <c r="B127" s="262"/>
      <c r="D127" s="262"/>
      <c r="O127" s="262"/>
    </row>
    <row r="128" spans="1:15" x14ac:dyDescent="0.35">
      <c r="A128" s="277"/>
      <c r="B128" s="262"/>
      <c r="D128" s="262"/>
      <c r="O128" s="262"/>
    </row>
    <row r="129" spans="1:15" x14ac:dyDescent="0.35">
      <c r="A129" s="277"/>
      <c r="B129" s="262"/>
      <c r="D129" s="262"/>
      <c r="O129" s="262"/>
    </row>
    <row r="130" spans="1:15" x14ac:dyDescent="0.35">
      <c r="A130" s="277"/>
      <c r="B130" s="262"/>
      <c r="D130" s="262"/>
      <c r="O130" s="262"/>
    </row>
    <row r="131" spans="1:15" x14ac:dyDescent="0.35">
      <c r="A131" s="277"/>
      <c r="B131" s="262"/>
      <c r="D131" s="262"/>
      <c r="O131" s="262"/>
    </row>
    <row r="132" spans="1:15" x14ac:dyDescent="0.35">
      <c r="A132" s="277"/>
      <c r="B132" s="262"/>
      <c r="D132" s="262"/>
      <c r="O132" s="262"/>
    </row>
    <row r="133" spans="1:15" x14ac:dyDescent="0.35">
      <c r="A133" s="277"/>
      <c r="B133" s="262"/>
      <c r="D133" s="262"/>
      <c r="O133" s="262"/>
    </row>
    <row r="134" spans="1:15" x14ac:dyDescent="0.35">
      <c r="A134" s="277"/>
      <c r="B134" s="262"/>
      <c r="D134" s="262"/>
      <c r="O134" s="262"/>
    </row>
    <row r="135" spans="1:15" x14ac:dyDescent="0.35">
      <c r="A135" s="277"/>
      <c r="B135" s="262"/>
      <c r="D135" s="262"/>
      <c r="O135" s="262"/>
    </row>
    <row r="136" spans="1:15" x14ac:dyDescent="0.35">
      <c r="A136" s="277"/>
      <c r="B136" s="262"/>
      <c r="D136" s="262"/>
      <c r="O136" s="262"/>
    </row>
    <row r="137" spans="1:15" x14ac:dyDescent="0.35">
      <c r="A137" s="277"/>
      <c r="B137" s="262"/>
      <c r="D137" s="262"/>
      <c r="O137" s="262"/>
    </row>
    <row r="138" spans="1:15" x14ac:dyDescent="0.35">
      <c r="A138" s="277"/>
      <c r="B138" s="262"/>
      <c r="D138" s="262"/>
      <c r="O138" s="262"/>
    </row>
    <row r="139" spans="1:15" x14ac:dyDescent="0.35">
      <c r="A139" s="277"/>
      <c r="B139" s="262"/>
      <c r="D139" s="262"/>
      <c r="O139" s="262"/>
    </row>
    <row r="140" spans="1:15" x14ac:dyDescent="0.35">
      <c r="A140" s="277"/>
      <c r="B140" s="262"/>
      <c r="D140" s="262"/>
      <c r="O140" s="262"/>
    </row>
    <row r="141" spans="1:15" x14ac:dyDescent="0.35">
      <c r="A141" s="277"/>
      <c r="B141" s="262"/>
      <c r="D141" s="262"/>
      <c r="O141" s="262"/>
    </row>
    <row r="142" spans="1:15" x14ac:dyDescent="0.35">
      <c r="A142" s="277"/>
      <c r="B142" s="262"/>
      <c r="D142" s="262"/>
      <c r="O142" s="262"/>
    </row>
    <row r="143" spans="1:15" x14ac:dyDescent="0.35">
      <c r="A143" s="277"/>
      <c r="B143" s="262"/>
      <c r="D143" s="262"/>
      <c r="O143" s="262"/>
    </row>
    <row r="144" spans="1:15" x14ac:dyDescent="0.35">
      <c r="A144" s="277"/>
      <c r="B144" s="262"/>
      <c r="D144" s="262"/>
      <c r="O144" s="262"/>
    </row>
    <row r="145" spans="1:15" x14ac:dyDescent="0.35">
      <c r="A145" s="277"/>
      <c r="B145" s="262"/>
      <c r="D145" s="262"/>
      <c r="O145" s="262"/>
    </row>
    <row r="146" spans="1:15" x14ac:dyDescent="0.35">
      <c r="A146" s="277"/>
      <c r="B146" s="262"/>
      <c r="D146" s="262"/>
      <c r="O146" s="262"/>
    </row>
    <row r="147" spans="1:15" x14ac:dyDescent="0.35">
      <c r="A147" s="277"/>
      <c r="B147" s="262"/>
      <c r="D147" s="262"/>
      <c r="O147" s="262"/>
    </row>
    <row r="148" spans="1:15" x14ac:dyDescent="0.35">
      <c r="A148" s="277"/>
      <c r="B148" s="262"/>
      <c r="D148" s="262"/>
      <c r="O148" s="262"/>
    </row>
    <row r="149" spans="1:15" x14ac:dyDescent="0.35">
      <c r="A149" s="277"/>
      <c r="B149" s="262"/>
      <c r="D149" s="262"/>
      <c r="O149" s="262"/>
    </row>
    <row r="150" spans="1:15" x14ac:dyDescent="0.35">
      <c r="A150" s="277"/>
      <c r="B150" s="262"/>
      <c r="D150" s="262"/>
      <c r="O150" s="262"/>
    </row>
    <row r="151" spans="1:15" x14ac:dyDescent="0.35">
      <c r="A151" s="277"/>
      <c r="B151" s="262"/>
      <c r="D151" s="262"/>
      <c r="O151" s="262"/>
    </row>
    <row r="152" spans="1:15" x14ac:dyDescent="0.35">
      <c r="A152" s="277"/>
      <c r="B152" s="262"/>
      <c r="D152" s="262"/>
      <c r="O152" s="262"/>
    </row>
    <row r="153" spans="1:15" x14ac:dyDescent="0.35">
      <c r="A153" s="277"/>
      <c r="B153" s="262"/>
      <c r="D153" s="262"/>
      <c r="O153" s="262"/>
    </row>
    <row r="154" spans="1:15" x14ac:dyDescent="0.35">
      <c r="A154" s="277"/>
      <c r="B154" s="262"/>
      <c r="D154" s="262"/>
      <c r="O154" s="262"/>
    </row>
    <row r="155" spans="1:15" x14ac:dyDescent="0.35">
      <c r="A155" s="277"/>
      <c r="B155" s="262"/>
      <c r="D155" s="262"/>
      <c r="O155" s="262"/>
    </row>
    <row r="156" spans="1:15" x14ac:dyDescent="0.35">
      <c r="A156" s="277"/>
      <c r="B156" s="262"/>
      <c r="D156" s="262"/>
      <c r="O156" s="262"/>
    </row>
    <row r="157" spans="1:15" x14ac:dyDescent="0.35">
      <c r="A157" s="277"/>
      <c r="B157" s="262"/>
      <c r="D157" s="262"/>
      <c r="O157" s="262"/>
    </row>
    <row r="158" spans="1:15" x14ac:dyDescent="0.35">
      <c r="A158" s="277"/>
      <c r="B158" s="262"/>
      <c r="D158" s="262"/>
      <c r="O158" s="262"/>
    </row>
    <row r="159" spans="1:15" x14ac:dyDescent="0.35">
      <c r="A159" s="277"/>
      <c r="B159" s="262"/>
      <c r="D159" s="262"/>
      <c r="O159" s="262"/>
    </row>
    <row r="160" spans="1:15" x14ac:dyDescent="0.35">
      <c r="A160" s="277"/>
      <c r="B160" s="262"/>
      <c r="D160" s="262"/>
      <c r="O160" s="262"/>
    </row>
    <row r="161" spans="1:15" x14ac:dyDescent="0.35">
      <c r="A161" s="277"/>
      <c r="B161" s="262"/>
      <c r="D161" s="262"/>
      <c r="O161" s="262"/>
    </row>
    <row r="162" spans="1:15" x14ac:dyDescent="0.35">
      <c r="A162" s="277"/>
      <c r="B162" s="262"/>
      <c r="D162" s="262"/>
      <c r="O162" s="262"/>
    </row>
    <row r="163" spans="1:15" x14ac:dyDescent="0.35">
      <c r="A163" s="277"/>
      <c r="B163" s="262"/>
      <c r="D163" s="262"/>
      <c r="O163" s="262"/>
    </row>
    <row r="164" spans="1:15" x14ac:dyDescent="0.35">
      <c r="A164" s="277"/>
      <c r="B164" s="262"/>
      <c r="D164" s="262"/>
      <c r="O164" s="262"/>
    </row>
    <row r="165" spans="1:15" x14ac:dyDescent="0.35">
      <c r="A165" s="277"/>
      <c r="B165" s="262"/>
      <c r="D165" s="262"/>
      <c r="O165" s="262"/>
    </row>
    <row r="166" spans="1:15" x14ac:dyDescent="0.35">
      <c r="A166" s="277"/>
      <c r="B166" s="262"/>
      <c r="D166" s="262"/>
      <c r="O166" s="262"/>
    </row>
    <row r="167" spans="1:15" x14ac:dyDescent="0.35">
      <c r="A167" s="277"/>
      <c r="B167" s="262"/>
      <c r="D167" s="262"/>
      <c r="O167" s="262"/>
    </row>
    <row r="168" spans="1:15" x14ac:dyDescent="0.35">
      <c r="A168" s="277"/>
      <c r="B168" s="262"/>
      <c r="D168" s="262"/>
      <c r="O168" s="262"/>
    </row>
    <row r="169" spans="1:15" x14ac:dyDescent="0.35">
      <c r="A169" s="277"/>
      <c r="B169" s="262"/>
      <c r="D169" s="262"/>
      <c r="O169" s="262"/>
    </row>
    <row r="170" spans="1:15" x14ac:dyDescent="0.35">
      <c r="A170" s="277"/>
      <c r="B170" s="262"/>
      <c r="D170" s="262"/>
      <c r="O170" s="262"/>
    </row>
    <row r="171" spans="1:15" x14ac:dyDescent="0.35">
      <c r="A171" s="277"/>
      <c r="B171" s="262"/>
      <c r="D171" s="262"/>
      <c r="O171" s="262"/>
    </row>
    <row r="172" spans="1:15" x14ac:dyDescent="0.35">
      <c r="A172" s="277"/>
      <c r="B172" s="262"/>
      <c r="D172" s="262"/>
      <c r="O172" s="262"/>
    </row>
    <row r="173" spans="1:15" x14ac:dyDescent="0.35">
      <c r="A173" s="277"/>
      <c r="B173" s="262"/>
      <c r="D173" s="262"/>
      <c r="O173" s="262"/>
    </row>
    <row r="174" spans="1:15" x14ac:dyDescent="0.35">
      <c r="A174" s="277"/>
      <c r="B174" s="262"/>
      <c r="D174" s="262"/>
      <c r="O174" s="262"/>
    </row>
    <row r="175" spans="1:15" x14ac:dyDescent="0.35">
      <c r="A175" s="277"/>
      <c r="B175" s="262"/>
      <c r="D175" s="262"/>
      <c r="O175" s="262"/>
    </row>
    <row r="176" spans="1:15" x14ac:dyDescent="0.35">
      <c r="A176" s="277"/>
      <c r="B176" s="262"/>
      <c r="D176" s="262"/>
      <c r="O176" s="262"/>
    </row>
    <row r="177" spans="1:15" x14ac:dyDescent="0.35">
      <c r="A177" s="277"/>
      <c r="B177" s="262"/>
      <c r="D177" s="262"/>
      <c r="O177" s="262"/>
    </row>
    <row r="178" spans="1:15" x14ac:dyDescent="0.35">
      <c r="A178" s="277"/>
      <c r="B178" s="262"/>
      <c r="D178" s="262"/>
      <c r="O178" s="262"/>
    </row>
    <row r="179" spans="1:15" x14ac:dyDescent="0.35">
      <c r="A179" s="277"/>
      <c r="B179" s="262"/>
      <c r="D179" s="262"/>
      <c r="O179" s="262"/>
    </row>
    <row r="180" spans="1:15" x14ac:dyDescent="0.35">
      <c r="A180" s="277"/>
      <c r="B180" s="262"/>
      <c r="D180" s="262"/>
      <c r="O180" s="262"/>
    </row>
    <row r="181" spans="1:15" x14ac:dyDescent="0.35">
      <c r="A181" s="277"/>
      <c r="B181" s="262"/>
      <c r="D181" s="262"/>
      <c r="O181" s="262"/>
    </row>
    <row r="182" spans="1:15" x14ac:dyDescent="0.35">
      <c r="A182" s="277"/>
      <c r="B182" s="262"/>
      <c r="D182" s="262"/>
      <c r="O182" s="262"/>
    </row>
    <row r="183" spans="1:15" x14ac:dyDescent="0.35">
      <c r="A183" s="277"/>
      <c r="B183" s="262"/>
      <c r="D183" s="262"/>
      <c r="O183" s="262"/>
    </row>
    <row r="184" spans="1:15" x14ac:dyDescent="0.35">
      <c r="A184" s="277"/>
      <c r="B184" s="262"/>
      <c r="D184" s="262"/>
      <c r="O184" s="262"/>
    </row>
    <row r="185" spans="1:15" x14ac:dyDescent="0.35">
      <c r="A185" s="277"/>
      <c r="B185" s="262"/>
      <c r="D185" s="262"/>
      <c r="O185" s="262"/>
    </row>
    <row r="186" spans="1:15" x14ac:dyDescent="0.35">
      <c r="A186" s="277"/>
      <c r="B186" s="262"/>
      <c r="D186" s="262"/>
      <c r="O186" s="262"/>
    </row>
    <row r="187" spans="1:15" x14ac:dyDescent="0.35">
      <c r="A187" s="277"/>
      <c r="B187" s="262"/>
      <c r="D187" s="262"/>
      <c r="O187" s="262"/>
    </row>
    <row r="188" spans="1:15" x14ac:dyDescent="0.35">
      <c r="A188" s="277"/>
      <c r="B188" s="262"/>
      <c r="D188" s="262"/>
      <c r="O188" s="262"/>
    </row>
    <row r="189" spans="1:15" x14ac:dyDescent="0.35">
      <c r="A189" s="277"/>
      <c r="B189" s="262"/>
      <c r="D189" s="262"/>
      <c r="O189" s="262"/>
    </row>
    <row r="190" spans="1:15" x14ac:dyDescent="0.35">
      <c r="A190" s="277"/>
      <c r="B190" s="262"/>
      <c r="D190" s="262"/>
      <c r="O190" s="262"/>
    </row>
    <row r="191" spans="1:15" x14ac:dyDescent="0.35">
      <c r="A191" s="277"/>
      <c r="B191" s="262"/>
      <c r="D191" s="262"/>
      <c r="O191" s="262"/>
    </row>
    <row r="192" spans="1:15" x14ac:dyDescent="0.35">
      <c r="A192" s="277"/>
      <c r="B192" s="262"/>
      <c r="D192" s="262"/>
      <c r="O192" s="262"/>
    </row>
    <row r="193" spans="1:15" x14ac:dyDescent="0.35">
      <c r="A193" s="277"/>
      <c r="B193" s="262"/>
      <c r="D193" s="262"/>
      <c r="O193" s="262"/>
    </row>
    <row r="194" spans="1:15" x14ac:dyDescent="0.35">
      <c r="A194" s="277"/>
      <c r="B194" s="262"/>
      <c r="D194" s="262"/>
      <c r="O194" s="262"/>
    </row>
    <row r="195" spans="1:15" x14ac:dyDescent="0.35">
      <c r="A195" s="277"/>
      <c r="B195" s="262"/>
      <c r="D195" s="262"/>
      <c r="O195" s="262"/>
    </row>
    <row r="196" spans="1:15" x14ac:dyDescent="0.35">
      <c r="A196" s="277"/>
      <c r="B196" s="262"/>
      <c r="D196" s="262"/>
      <c r="O196" s="262"/>
    </row>
    <row r="197" spans="1:15" x14ac:dyDescent="0.35">
      <c r="A197" s="277"/>
      <c r="B197" s="262"/>
      <c r="D197" s="262"/>
      <c r="O197" s="262"/>
    </row>
    <row r="198" spans="1:15" x14ac:dyDescent="0.35">
      <c r="A198" s="277"/>
      <c r="B198" s="262"/>
      <c r="D198" s="262"/>
      <c r="O198" s="262"/>
    </row>
    <row r="199" spans="1:15" x14ac:dyDescent="0.35">
      <c r="A199" s="277"/>
      <c r="B199" s="262"/>
      <c r="D199" s="262"/>
      <c r="O199" s="262"/>
    </row>
    <row r="200" spans="1:15" x14ac:dyDescent="0.35">
      <c r="A200" s="277"/>
      <c r="B200" s="262"/>
      <c r="D200" s="262"/>
      <c r="O200" s="262"/>
    </row>
    <row r="201" spans="1:15" x14ac:dyDescent="0.35">
      <c r="A201" s="277"/>
      <c r="B201" s="262"/>
      <c r="D201" s="262"/>
      <c r="O201" s="262"/>
    </row>
    <row r="202" spans="1:15" x14ac:dyDescent="0.35">
      <c r="A202" s="277"/>
      <c r="B202" s="262"/>
      <c r="D202" s="262"/>
      <c r="O202" s="262"/>
    </row>
    <row r="203" spans="1:15" x14ac:dyDescent="0.35">
      <c r="A203" s="277"/>
      <c r="B203" s="262"/>
      <c r="D203" s="262"/>
      <c r="O203" s="262"/>
    </row>
    <row r="204" spans="1:15" x14ac:dyDescent="0.35">
      <c r="A204" s="277"/>
      <c r="B204" s="262"/>
      <c r="D204" s="262"/>
      <c r="O204" s="262"/>
    </row>
    <row r="205" spans="1:15" x14ac:dyDescent="0.35">
      <c r="A205" s="277"/>
      <c r="B205" s="262"/>
      <c r="D205" s="262"/>
      <c r="O205" s="262"/>
    </row>
    <row r="206" spans="1:15" x14ac:dyDescent="0.35">
      <c r="A206" s="277"/>
      <c r="B206" s="262"/>
      <c r="D206" s="262"/>
      <c r="O206" s="262"/>
    </row>
    <row r="207" spans="1:15" x14ac:dyDescent="0.35">
      <c r="A207" s="277"/>
      <c r="B207" s="262"/>
      <c r="D207" s="262"/>
      <c r="O207" s="262"/>
    </row>
    <row r="208" spans="1:15" x14ac:dyDescent="0.35">
      <c r="A208" s="277"/>
      <c r="B208" s="262"/>
      <c r="D208" s="262"/>
      <c r="O208" s="262"/>
    </row>
    <row r="209" spans="1:15" x14ac:dyDescent="0.35">
      <c r="A209" s="277"/>
      <c r="B209" s="262"/>
      <c r="D209" s="262"/>
      <c r="O209" s="262"/>
    </row>
    <row r="210" spans="1:15" x14ac:dyDescent="0.35">
      <c r="A210" s="277"/>
      <c r="B210" s="262"/>
      <c r="D210" s="262"/>
      <c r="O210" s="262"/>
    </row>
    <row r="211" spans="1:15" x14ac:dyDescent="0.35">
      <c r="A211" s="277"/>
      <c r="B211" s="262"/>
      <c r="D211" s="262"/>
      <c r="O211" s="262"/>
    </row>
    <row r="212" spans="1:15" x14ac:dyDescent="0.35">
      <c r="A212" s="277"/>
      <c r="B212" s="262"/>
      <c r="D212" s="262"/>
      <c r="O212" s="262"/>
    </row>
    <row r="213" spans="1:15" x14ac:dyDescent="0.35">
      <c r="A213" s="277"/>
      <c r="B213" s="262"/>
      <c r="D213" s="262"/>
      <c r="O213" s="262"/>
    </row>
    <row r="214" spans="1:15" x14ac:dyDescent="0.35">
      <c r="A214" s="277"/>
      <c r="B214" s="262"/>
      <c r="D214" s="262"/>
      <c r="O214" s="262"/>
    </row>
    <row r="215" spans="1:15" x14ac:dyDescent="0.35">
      <c r="A215" s="277"/>
      <c r="B215" s="262"/>
      <c r="D215" s="262"/>
      <c r="O215" s="262"/>
    </row>
    <row r="216" spans="1:15" x14ac:dyDescent="0.35">
      <c r="A216" s="277"/>
      <c r="B216" s="262"/>
      <c r="D216" s="262"/>
      <c r="O216" s="262"/>
    </row>
    <row r="217" spans="1:15" x14ac:dyDescent="0.35">
      <c r="A217" s="277"/>
      <c r="B217" s="262"/>
      <c r="D217" s="262"/>
      <c r="O217" s="262"/>
    </row>
    <row r="218" spans="1:15" x14ac:dyDescent="0.35">
      <c r="A218" s="277"/>
      <c r="B218" s="262"/>
      <c r="D218" s="262"/>
      <c r="O218" s="262"/>
    </row>
    <row r="219" spans="1:15" x14ac:dyDescent="0.35">
      <c r="A219" s="277"/>
      <c r="B219" s="262"/>
      <c r="D219" s="262"/>
      <c r="O219" s="262"/>
    </row>
    <row r="220" spans="1:15" x14ac:dyDescent="0.35">
      <c r="A220" s="277"/>
      <c r="B220" s="262"/>
      <c r="D220" s="262"/>
      <c r="O220" s="262"/>
    </row>
    <row r="221" spans="1:15" x14ac:dyDescent="0.35">
      <c r="A221" s="277"/>
      <c r="B221" s="262"/>
      <c r="D221" s="262"/>
      <c r="O221" s="262"/>
    </row>
    <row r="222" spans="1:15" x14ac:dyDescent="0.35">
      <c r="A222" s="277"/>
      <c r="B222" s="262"/>
      <c r="D222" s="262"/>
      <c r="O222" s="262"/>
    </row>
    <row r="223" spans="1:15" x14ac:dyDescent="0.35">
      <c r="A223" s="277"/>
      <c r="B223" s="262"/>
      <c r="D223" s="262"/>
      <c r="O223" s="262"/>
    </row>
    <row r="224" spans="1:15" x14ac:dyDescent="0.35">
      <c r="A224" s="277"/>
      <c r="B224" s="262"/>
      <c r="D224" s="262"/>
      <c r="O224" s="262"/>
    </row>
    <row r="225" spans="1:15" x14ac:dyDescent="0.35">
      <c r="A225" s="277"/>
      <c r="B225" s="262"/>
      <c r="D225" s="262"/>
      <c r="O225" s="262"/>
    </row>
    <row r="226" spans="1:15" x14ac:dyDescent="0.35">
      <c r="A226" s="277"/>
      <c r="B226" s="262"/>
      <c r="D226" s="262"/>
      <c r="O226" s="262"/>
    </row>
    <row r="227" spans="1:15" x14ac:dyDescent="0.35">
      <c r="A227" s="277"/>
      <c r="B227" s="262"/>
      <c r="D227" s="262"/>
      <c r="O227" s="262"/>
    </row>
    <row r="228" spans="1:15" x14ac:dyDescent="0.35">
      <c r="A228" s="277"/>
      <c r="B228" s="262"/>
      <c r="D228" s="262"/>
      <c r="O228" s="262"/>
    </row>
    <row r="229" spans="1:15" x14ac:dyDescent="0.35">
      <c r="A229" s="277"/>
      <c r="B229" s="262"/>
      <c r="D229" s="262"/>
      <c r="O229" s="262"/>
    </row>
    <row r="230" spans="1:15" x14ac:dyDescent="0.35">
      <c r="A230" s="277"/>
      <c r="B230" s="262"/>
      <c r="D230" s="262"/>
      <c r="O230" s="262"/>
    </row>
    <row r="231" spans="1:15" x14ac:dyDescent="0.35">
      <c r="A231" s="277"/>
      <c r="B231" s="262"/>
      <c r="D231" s="262"/>
      <c r="O231" s="262"/>
    </row>
    <row r="232" spans="1:15" x14ac:dyDescent="0.35">
      <c r="A232" s="277"/>
      <c r="B232" s="262"/>
      <c r="D232" s="262"/>
      <c r="O232" s="262"/>
    </row>
    <row r="233" spans="1:15" x14ac:dyDescent="0.35">
      <c r="A233" s="277"/>
      <c r="B233" s="262"/>
      <c r="D233" s="262"/>
      <c r="O233" s="262"/>
    </row>
    <row r="234" spans="1:15" x14ac:dyDescent="0.35">
      <c r="A234" s="277"/>
      <c r="B234" s="262"/>
      <c r="D234" s="262"/>
      <c r="O234" s="262"/>
    </row>
    <row r="235" spans="1:15" x14ac:dyDescent="0.35">
      <c r="A235" s="277"/>
      <c r="B235" s="262"/>
      <c r="D235" s="262"/>
      <c r="O235" s="262"/>
    </row>
    <row r="236" spans="1:15" x14ac:dyDescent="0.35">
      <c r="A236" s="277"/>
      <c r="B236" s="262"/>
      <c r="D236" s="262"/>
      <c r="O236" s="262"/>
    </row>
    <row r="237" spans="1:15" x14ac:dyDescent="0.35">
      <c r="A237" s="277"/>
      <c r="B237" s="262"/>
      <c r="D237" s="262"/>
      <c r="O237" s="262"/>
    </row>
    <row r="238" spans="1:15" x14ac:dyDescent="0.35">
      <c r="A238" s="277"/>
      <c r="B238" s="262"/>
      <c r="D238" s="262"/>
      <c r="O238" s="262"/>
    </row>
    <row r="239" spans="1:15" x14ac:dyDescent="0.35">
      <c r="A239" s="277"/>
      <c r="B239" s="262"/>
      <c r="D239" s="262"/>
      <c r="O239" s="262"/>
    </row>
    <row r="240" spans="1:15" x14ac:dyDescent="0.35">
      <c r="A240" s="277"/>
      <c r="B240" s="262"/>
      <c r="D240" s="262"/>
      <c r="O240" s="262"/>
    </row>
    <row r="241" spans="1:15" x14ac:dyDescent="0.35">
      <c r="A241" s="277"/>
      <c r="B241" s="262"/>
      <c r="D241" s="262"/>
      <c r="O241" s="262"/>
    </row>
    <row r="242" spans="1:15" x14ac:dyDescent="0.35">
      <c r="A242" s="277"/>
      <c r="B242" s="262"/>
      <c r="D242" s="262"/>
      <c r="O242" s="262"/>
    </row>
    <row r="243" spans="1:15" x14ac:dyDescent="0.35">
      <c r="A243" s="277"/>
      <c r="B243" s="262"/>
      <c r="D243" s="262"/>
      <c r="O243" s="262"/>
    </row>
    <row r="244" spans="1:15" x14ac:dyDescent="0.35">
      <c r="A244" s="277"/>
      <c r="B244" s="262"/>
      <c r="D244" s="262"/>
      <c r="O244" s="262"/>
    </row>
    <row r="245" spans="1:15" x14ac:dyDescent="0.35">
      <c r="A245" s="277"/>
      <c r="B245" s="262"/>
      <c r="D245" s="262"/>
      <c r="O245" s="262"/>
    </row>
    <row r="246" spans="1:15" x14ac:dyDescent="0.35">
      <c r="A246" s="277"/>
      <c r="B246" s="262"/>
      <c r="D246" s="262"/>
      <c r="O246" s="262"/>
    </row>
    <row r="247" spans="1:15" x14ac:dyDescent="0.35">
      <c r="A247" s="277"/>
      <c r="B247" s="262"/>
      <c r="D247" s="262"/>
      <c r="O247" s="262"/>
    </row>
    <row r="248" spans="1:15" x14ac:dyDescent="0.35">
      <c r="A248" s="277"/>
      <c r="B248" s="262"/>
      <c r="D248" s="262"/>
      <c r="O248" s="262"/>
    </row>
    <row r="249" spans="1:15" x14ac:dyDescent="0.35">
      <c r="A249" s="277"/>
      <c r="B249" s="262"/>
      <c r="D249" s="262"/>
      <c r="O249" s="262"/>
    </row>
    <row r="250" spans="1:15" x14ac:dyDescent="0.35">
      <c r="A250" s="277"/>
      <c r="B250" s="262"/>
      <c r="D250" s="262"/>
      <c r="O250" s="262"/>
    </row>
    <row r="251" spans="1:15" x14ac:dyDescent="0.35">
      <c r="A251" s="277"/>
      <c r="B251" s="262"/>
      <c r="D251" s="262"/>
      <c r="O251" s="262"/>
    </row>
    <row r="252" spans="1:15" x14ac:dyDescent="0.35">
      <c r="A252" s="277"/>
      <c r="B252" s="262"/>
      <c r="D252" s="262"/>
      <c r="O252" s="262"/>
    </row>
    <row r="253" spans="1:15" x14ac:dyDescent="0.35">
      <c r="A253" s="277"/>
      <c r="B253" s="262"/>
      <c r="D253" s="262"/>
      <c r="O253" s="262"/>
    </row>
    <row r="254" spans="1:15" x14ac:dyDescent="0.35">
      <c r="A254" s="277"/>
      <c r="B254" s="262"/>
      <c r="D254" s="262"/>
      <c r="O254" s="262"/>
    </row>
    <row r="255" spans="1:15" x14ac:dyDescent="0.35">
      <c r="A255" s="277"/>
      <c r="B255" s="262"/>
      <c r="D255" s="262"/>
      <c r="O255" s="262"/>
    </row>
    <row r="256" spans="1:15" x14ac:dyDescent="0.35">
      <c r="A256" s="277"/>
      <c r="B256" s="262"/>
      <c r="D256" s="262"/>
      <c r="O256" s="262"/>
    </row>
    <row r="257" spans="1:15" x14ac:dyDescent="0.35">
      <c r="A257" s="277"/>
      <c r="B257" s="262"/>
      <c r="D257" s="262"/>
      <c r="O257" s="262"/>
    </row>
    <row r="258" spans="1:15" x14ac:dyDescent="0.35">
      <c r="A258" s="277"/>
      <c r="B258" s="262"/>
      <c r="D258" s="262"/>
      <c r="O258" s="262"/>
    </row>
    <row r="259" spans="1:15" x14ac:dyDescent="0.35">
      <c r="A259" s="277"/>
      <c r="B259" s="262"/>
      <c r="D259" s="262"/>
      <c r="O259" s="262"/>
    </row>
    <row r="260" spans="1:15" x14ac:dyDescent="0.35">
      <c r="A260" s="277"/>
      <c r="B260" s="262"/>
      <c r="D260" s="262"/>
      <c r="O260" s="262"/>
    </row>
    <row r="261" spans="1:15" x14ac:dyDescent="0.35">
      <c r="A261" s="277"/>
      <c r="B261" s="262"/>
      <c r="D261" s="262"/>
      <c r="O261" s="262"/>
    </row>
    <row r="262" spans="1:15" x14ac:dyDescent="0.35">
      <c r="A262" s="277"/>
      <c r="B262" s="262"/>
      <c r="D262" s="262"/>
      <c r="O262" s="262"/>
    </row>
    <row r="263" spans="1:15" x14ac:dyDescent="0.35">
      <c r="A263" s="277"/>
      <c r="B263" s="262"/>
      <c r="D263" s="262"/>
      <c r="O263" s="262"/>
    </row>
    <row r="264" spans="1:15" x14ac:dyDescent="0.35">
      <c r="A264" s="277"/>
      <c r="B264" s="262"/>
      <c r="D264" s="262"/>
      <c r="O264" s="262"/>
    </row>
    <row r="265" spans="1:15" x14ac:dyDescent="0.35">
      <c r="A265" s="277"/>
      <c r="B265" s="262"/>
      <c r="D265" s="262"/>
      <c r="O265" s="262"/>
    </row>
    <row r="266" spans="1:15" x14ac:dyDescent="0.35">
      <c r="A266" s="277"/>
      <c r="B266" s="262"/>
      <c r="D266" s="262"/>
      <c r="O266" s="262"/>
    </row>
    <row r="267" spans="1:15" x14ac:dyDescent="0.35">
      <c r="A267" s="277"/>
      <c r="B267" s="262"/>
      <c r="D267" s="262"/>
      <c r="O267" s="262"/>
    </row>
    <row r="268" spans="1:15" x14ac:dyDescent="0.35">
      <c r="A268" s="277"/>
      <c r="B268" s="262"/>
      <c r="D268" s="262"/>
      <c r="O268" s="262"/>
    </row>
    <row r="269" spans="1:15" x14ac:dyDescent="0.35">
      <c r="A269" s="277"/>
      <c r="B269" s="262"/>
      <c r="D269" s="262"/>
      <c r="O269" s="262"/>
    </row>
    <row r="270" spans="1:15" x14ac:dyDescent="0.35">
      <c r="A270" s="277"/>
      <c r="B270" s="262"/>
      <c r="D270" s="262"/>
      <c r="O270" s="262"/>
    </row>
    <row r="271" spans="1:15" x14ac:dyDescent="0.35">
      <c r="A271" s="277"/>
      <c r="B271" s="262"/>
      <c r="D271" s="262"/>
      <c r="O271" s="262"/>
    </row>
    <row r="272" spans="1:15" x14ac:dyDescent="0.35">
      <c r="A272" s="277"/>
      <c r="B272" s="262"/>
      <c r="D272" s="262"/>
      <c r="O272" s="262"/>
    </row>
    <row r="273" spans="1:15" x14ac:dyDescent="0.35">
      <c r="A273" s="277"/>
      <c r="B273" s="262"/>
      <c r="D273" s="262"/>
      <c r="O273" s="262"/>
    </row>
    <row r="274" spans="1:15" x14ac:dyDescent="0.35">
      <c r="A274" s="277"/>
      <c r="B274" s="262"/>
      <c r="D274" s="262"/>
      <c r="O274" s="262"/>
    </row>
    <row r="275" spans="1:15" x14ac:dyDescent="0.35">
      <c r="A275" s="277"/>
      <c r="B275" s="262"/>
      <c r="D275" s="262"/>
      <c r="O275" s="262"/>
    </row>
    <row r="276" spans="1:15" x14ac:dyDescent="0.35">
      <c r="A276" s="277"/>
      <c r="B276" s="262"/>
      <c r="D276" s="262"/>
      <c r="O276" s="262"/>
    </row>
    <row r="277" spans="1:15" x14ac:dyDescent="0.35">
      <c r="A277" s="277"/>
      <c r="B277" s="262"/>
      <c r="D277" s="262"/>
      <c r="O277" s="262"/>
    </row>
    <row r="278" spans="1:15" x14ac:dyDescent="0.35">
      <c r="A278" s="277"/>
      <c r="B278" s="262"/>
      <c r="D278" s="262"/>
      <c r="O278" s="262"/>
    </row>
    <row r="279" spans="1:15" x14ac:dyDescent="0.35">
      <c r="A279" s="277"/>
      <c r="B279" s="262"/>
      <c r="D279" s="262"/>
      <c r="O279" s="262"/>
    </row>
    <row r="280" spans="1:15" x14ac:dyDescent="0.35">
      <c r="A280" s="277"/>
      <c r="B280" s="262"/>
      <c r="D280" s="262"/>
      <c r="O280" s="262"/>
    </row>
    <row r="281" spans="1:15" x14ac:dyDescent="0.35">
      <c r="A281" s="277"/>
      <c r="B281" s="262"/>
      <c r="D281" s="262"/>
      <c r="O281" s="262"/>
    </row>
    <row r="282" spans="1:15" x14ac:dyDescent="0.35">
      <c r="A282" s="277"/>
      <c r="B282" s="262"/>
      <c r="D282" s="262"/>
      <c r="O282" s="262"/>
    </row>
    <row r="283" spans="1:15" x14ac:dyDescent="0.35">
      <c r="A283" s="277"/>
      <c r="B283" s="262"/>
      <c r="D283" s="262"/>
      <c r="O283" s="262"/>
    </row>
    <row r="284" spans="1:15" x14ac:dyDescent="0.35">
      <c r="A284" s="277"/>
      <c r="B284" s="262"/>
      <c r="D284" s="262"/>
      <c r="O284" s="262"/>
    </row>
    <row r="285" spans="1:15" x14ac:dyDescent="0.35">
      <c r="A285" s="277"/>
      <c r="B285" s="262"/>
      <c r="D285" s="262"/>
      <c r="O285" s="262"/>
    </row>
    <row r="286" spans="1:15" x14ac:dyDescent="0.35">
      <c r="A286" s="277"/>
      <c r="B286" s="262"/>
      <c r="D286" s="262"/>
      <c r="O286" s="262"/>
    </row>
    <row r="287" spans="1:15" x14ac:dyDescent="0.35">
      <c r="A287" s="277"/>
      <c r="B287" s="262"/>
      <c r="D287" s="262"/>
      <c r="O287" s="262"/>
    </row>
    <row r="288" spans="1:15" x14ac:dyDescent="0.35">
      <c r="A288" s="277"/>
      <c r="B288" s="262"/>
      <c r="D288" s="262"/>
      <c r="O288" s="262"/>
    </row>
    <row r="289" spans="1:15" x14ac:dyDescent="0.35">
      <c r="A289" s="277"/>
      <c r="B289" s="262"/>
      <c r="D289" s="262"/>
      <c r="O289" s="262"/>
    </row>
    <row r="290" spans="1:15" x14ac:dyDescent="0.35">
      <c r="A290" s="277"/>
      <c r="B290" s="262"/>
      <c r="D290" s="262"/>
      <c r="O290" s="262"/>
    </row>
    <row r="291" spans="1:15" x14ac:dyDescent="0.35">
      <c r="A291" s="277"/>
      <c r="B291" s="262"/>
      <c r="D291" s="262"/>
      <c r="O291" s="262"/>
    </row>
    <row r="292" spans="1:15" x14ac:dyDescent="0.35">
      <c r="A292" s="277"/>
      <c r="B292" s="262"/>
      <c r="D292" s="262"/>
      <c r="O292" s="262"/>
    </row>
    <row r="293" spans="1:15" x14ac:dyDescent="0.35">
      <c r="A293" s="277"/>
      <c r="B293" s="262"/>
      <c r="D293" s="262"/>
      <c r="O293" s="262"/>
    </row>
    <row r="294" spans="1:15" x14ac:dyDescent="0.35">
      <c r="A294" s="277"/>
      <c r="B294" s="262"/>
      <c r="D294" s="262"/>
      <c r="O294" s="262"/>
    </row>
    <row r="295" spans="1:15" x14ac:dyDescent="0.35">
      <c r="A295" s="277"/>
      <c r="B295" s="262"/>
      <c r="D295" s="262"/>
      <c r="O295" s="262"/>
    </row>
    <row r="296" spans="1:15" x14ac:dyDescent="0.35">
      <c r="A296" s="277"/>
      <c r="B296" s="262"/>
      <c r="D296" s="262"/>
      <c r="O296" s="262"/>
    </row>
    <row r="297" spans="1:15" x14ac:dyDescent="0.35">
      <c r="A297" s="277"/>
      <c r="B297" s="262"/>
      <c r="D297" s="262"/>
      <c r="O297" s="262"/>
    </row>
    <row r="298" spans="1:15" x14ac:dyDescent="0.35">
      <c r="A298" s="277"/>
      <c r="B298" s="262"/>
      <c r="D298" s="262"/>
      <c r="O298" s="262"/>
    </row>
    <row r="299" spans="1:15" x14ac:dyDescent="0.35">
      <c r="A299" s="277"/>
      <c r="B299" s="262"/>
      <c r="D299" s="262"/>
      <c r="O299" s="262"/>
    </row>
    <row r="300" spans="1:15" x14ac:dyDescent="0.35">
      <c r="A300" s="277"/>
      <c r="B300" s="262"/>
      <c r="D300" s="262"/>
      <c r="O300" s="262"/>
    </row>
    <row r="301" spans="1:15" x14ac:dyDescent="0.35">
      <c r="A301" s="277"/>
      <c r="B301" s="262"/>
      <c r="D301" s="262"/>
      <c r="O301" s="262"/>
    </row>
    <row r="302" spans="1:15" x14ac:dyDescent="0.35">
      <c r="A302" s="277"/>
      <c r="B302" s="262"/>
      <c r="D302" s="262"/>
      <c r="O302" s="262"/>
    </row>
    <row r="303" spans="1:15" x14ac:dyDescent="0.35">
      <c r="A303" s="277"/>
      <c r="B303" s="262"/>
      <c r="D303" s="262"/>
      <c r="O303" s="262"/>
    </row>
    <row r="304" spans="1:15" x14ac:dyDescent="0.35">
      <c r="A304" s="277"/>
      <c r="B304" s="262"/>
      <c r="D304" s="262"/>
      <c r="O304" s="262"/>
    </row>
    <row r="305" spans="1:15" x14ac:dyDescent="0.35">
      <c r="A305" s="277"/>
      <c r="B305" s="262"/>
      <c r="D305" s="262"/>
      <c r="O305" s="262"/>
    </row>
    <row r="306" spans="1:15" x14ac:dyDescent="0.35">
      <c r="A306" s="277"/>
      <c r="B306" s="262"/>
      <c r="D306" s="262"/>
      <c r="O306" s="262"/>
    </row>
    <row r="307" spans="1:15" x14ac:dyDescent="0.35">
      <c r="A307" s="277"/>
      <c r="B307" s="262"/>
      <c r="D307" s="262"/>
      <c r="O307" s="262"/>
    </row>
    <row r="308" spans="1:15" x14ac:dyDescent="0.35">
      <c r="A308" s="277"/>
      <c r="B308" s="262"/>
      <c r="D308" s="262"/>
      <c r="O308" s="262"/>
    </row>
    <row r="309" spans="1:15" x14ac:dyDescent="0.35">
      <c r="A309" s="277"/>
      <c r="B309" s="262"/>
      <c r="D309" s="262"/>
      <c r="O309" s="262"/>
    </row>
    <row r="310" spans="1:15" x14ac:dyDescent="0.35">
      <c r="A310" s="277"/>
      <c r="B310" s="262"/>
      <c r="D310" s="262"/>
      <c r="O310" s="262"/>
    </row>
    <row r="311" spans="1:15" x14ac:dyDescent="0.35">
      <c r="A311" s="277"/>
      <c r="B311" s="262"/>
      <c r="D311" s="262"/>
      <c r="O311" s="262"/>
    </row>
    <row r="312" spans="1:15" x14ac:dyDescent="0.35">
      <c r="A312" s="277"/>
      <c r="B312" s="262"/>
      <c r="D312" s="262"/>
      <c r="O312" s="262"/>
    </row>
    <row r="313" spans="1:15" x14ac:dyDescent="0.35">
      <c r="A313" s="277"/>
      <c r="B313" s="262"/>
      <c r="D313" s="262"/>
      <c r="O313" s="262"/>
    </row>
    <row r="314" spans="1:15" x14ac:dyDescent="0.35">
      <c r="A314" s="277"/>
      <c r="B314" s="262"/>
      <c r="D314" s="262"/>
      <c r="O314" s="262"/>
    </row>
    <row r="315" spans="1:15" x14ac:dyDescent="0.35">
      <c r="A315" s="277"/>
      <c r="B315" s="262"/>
      <c r="D315" s="262"/>
      <c r="O315" s="262"/>
    </row>
    <row r="316" spans="1:15" x14ac:dyDescent="0.35">
      <c r="A316" s="277"/>
      <c r="B316" s="262"/>
      <c r="D316" s="262"/>
      <c r="O316" s="262"/>
    </row>
    <row r="317" spans="1:15" x14ac:dyDescent="0.35">
      <c r="A317" s="277"/>
      <c r="B317" s="262"/>
      <c r="D317" s="262"/>
      <c r="O317" s="262"/>
    </row>
    <row r="318" spans="1:15" x14ac:dyDescent="0.35">
      <c r="A318" s="277"/>
      <c r="B318" s="262"/>
      <c r="D318" s="262"/>
      <c r="O318" s="262"/>
    </row>
    <row r="319" spans="1:15" x14ac:dyDescent="0.35">
      <c r="A319" s="277"/>
      <c r="B319" s="262"/>
      <c r="D319" s="262"/>
      <c r="O319" s="262"/>
    </row>
    <row r="320" spans="1:15" x14ac:dyDescent="0.35">
      <c r="A320" s="277"/>
      <c r="B320" s="262"/>
      <c r="D320" s="262"/>
      <c r="O320" s="262"/>
    </row>
    <row r="321" spans="1:15" x14ac:dyDescent="0.35">
      <c r="A321" s="277"/>
      <c r="B321" s="262"/>
      <c r="D321" s="262"/>
      <c r="O321" s="262"/>
    </row>
    <row r="322" spans="1:15" x14ac:dyDescent="0.35">
      <c r="A322" s="277"/>
      <c r="B322" s="262"/>
      <c r="D322" s="262"/>
      <c r="O322" s="262"/>
    </row>
    <row r="323" spans="1:15" x14ac:dyDescent="0.35">
      <c r="A323" s="277"/>
      <c r="B323" s="262"/>
      <c r="D323" s="262"/>
      <c r="O323" s="262"/>
    </row>
    <row r="324" spans="1:15" x14ac:dyDescent="0.35">
      <c r="A324" s="277"/>
      <c r="B324" s="262"/>
      <c r="D324" s="262"/>
      <c r="O324" s="262"/>
    </row>
    <row r="325" spans="1:15" x14ac:dyDescent="0.35">
      <c r="A325" s="277"/>
      <c r="B325" s="262"/>
      <c r="D325" s="262"/>
      <c r="O325" s="262"/>
    </row>
    <row r="326" spans="1:15" x14ac:dyDescent="0.35">
      <c r="A326" s="277"/>
      <c r="B326" s="262"/>
      <c r="D326" s="262"/>
      <c r="O326" s="262"/>
    </row>
    <row r="327" spans="1:15" x14ac:dyDescent="0.35">
      <c r="A327" s="277"/>
      <c r="B327" s="262"/>
      <c r="D327" s="262"/>
      <c r="O327" s="262"/>
    </row>
    <row r="328" spans="1:15" x14ac:dyDescent="0.35">
      <c r="A328" s="277"/>
      <c r="B328" s="262"/>
      <c r="D328" s="262"/>
      <c r="O328" s="262"/>
    </row>
    <row r="329" spans="1:15" x14ac:dyDescent="0.35">
      <c r="A329" s="277"/>
      <c r="B329" s="262"/>
      <c r="D329" s="262"/>
      <c r="O329" s="262"/>
    </row>
    <row r="330" spans="1:15" x14ac:dyDescent="0.35">
      <c r="A330" s="277"/>
      <c r="B330" s="262"/>
      <c r="D330" s="262"/>
      <c r="O330" s="262"/>
    </row>
    <row r="331" spans="1:15" x14ac:dyDescent="0.35">
      <c r="A331" s="277"/>
      <c r="B331" s="262"/>
      <c r="D331" s="262"/>
      <c r="O331" s="262"/>
    </row>
    <row r="332" spans="1:15" x14ac:dyDescent="0.35">
      <c r="A332" s="277"/>
      <c r="B332" s="262"/>
      <c r="D332" s="262"/>
      <c r="O332" s="262"/>
    </row>
    <row r="333" spans="1:15" x14ac:dyDescent="0.35">
      <c r="A333" s="277"/>
      <c r="B333" s="262"/>
      <c r="D333" s="262"/>
      <c r="O333" s="262"/>
    </row>
    <row r="334" spans="1:15" x14ac:dyDescent="0.35">
      <c r="A334" s="277"/>
      <c r="B334" s="262"/>
      <c r="D334" s="262"/>
      <c r="O334" s="262"/>
    </row>
    <row r="335" spans="1:15" x14ac:dyDescent="0.35">
      <c r="A335" s="277"/>
      <c r="B335" s="262"/>
      <c r="D335" s="262"/>
      <c r="O335" s="262"/>
    </row>
    <row r="336" spans="1:15" x14ac:dyDescent="0.35">
      <c r="A336" s="277"/>
      <c r="B336" s="262"/>
      <c r="D336" s="262"/>
      <c r="O336" s="262"/>
    </row>
    <row r="337" spans="1:15" x14ac:dyDescent="0.35">
      <c r="A337" s="277"/>
      <c r="B337" s="262"/>
      <c r="D337" s="262"/>
      <c r="O337" s="262"/>
    </row>
    <row r="338" spans="1:15" x14ac:dyDescent="0.35">
      <c r="A338" s="277"/>
      <c r="B338" s="262"/>
      <c r="D338" s="262"/>
      <c r="O338" s="262"/>
    </row>
    <row r="339" spans="1:15" x14ac:dyDescent="0.35">
      <c r="A339" s="277"/>
      <c r="B339" s="262"/>
      <c r="D339" s="262"/>
      <c r="O339" s="262"/>
    </row>
    <row r="340" spans="1:15" x14ac:dyDescent="0.35">
      <c r="A340" s="277"/>
      <c r="B340" s="262"/>
      <c r="D340" s="262"/>
      <c r="O340" s="262"/>
    </row>
    <row r="341" spans="1:15" x14ac:dyDescent="0.35">
      <c r="A341" s="277"/>
      <c r="B341" s="262"/>
      <c r="D341" s="262"/>
      <c r="O341" s="262"/>
    </row>
    <row r="342" spans="1:15" x14ac:dyDescent="0.35">
      <c r="A342" s="277"/>
      <c r="B342" s="262"/>
      <c r="D342" s="262"/>
      <c r="O342" s="262"/>
    </row>
    <row r="343" spans="1:15" x14ac:dyDescent="0.35">
      <c r="A343" s="277"/>
      <c r="B343" s="262"/>
      <c r="D343" s="262"/>
      <c r="O343" s="262"/>
    </row>
    <row r="344" spans="1:15" x14ac:dyDescent="0.35">
      <c r="A344" s="277"/>
      <c r="B344" s="262"/>
      <c r="D344" s="262"/>
      <c r="O344" s="262"/>
    </row>
    <row r="345" spans="1:15" x14ac:dyDescent="0.35">
      <c r="A345" s="277"/>
      <c r="B345" s="262"/>
      <c r="D345" s="262"/>
      <c r="O345" s="262"/>
    </row>
    <row r="346" spans="1:15" x14ac:dyDescent="0.35">
      <c r="A346" s="277"/>
      <c r="B346" s="262"/>
      <c r="D346" s="262"/>
      <c r="O346" s="262"/>
    </row>
    <row r="347" spans="1:15" x14ac:dyDescent="0.35">
      <c r="A347" s="277"/>
      <c r="B347" s="262"/>
      <c r="D347" s="262"/>
      <c r="O347" s="262"/>
    </row>
    <row r="348" spans="1:15" x14ac:dyDescent="0.35">
      <c r="A348" s="277"/>
      <c r="B348" s="262"/>
      <c r="D348" s="262"/>
      <c r="O348" s="262"/>
    </row>
    <row r="349" spans="1:15" x14ac:dyDescent="0.35">
      <c r="A349" s="277"/>
      <c r="B349" s="262"/>
      <c r="D349" s="262"/>
      <c r="O349" s="262"/>
    </row>
    <row r="350" spans="1:15" x14ac:dyDescent="0.35">
      <c r="A350" s="277"/>
      <c r="B350" s="262"/>
      <c r="D350" s="262"/>
      <c r="O350" s="262"/>
    </row>
    <row r="351" spans="1:15" x14ac:dyDescent="0.35">
      <c r="A351" s="277"/>
      <c r="B351" s="262"/>
      <c r="D351" s="262"/>
      <c r="O351" s="262"/>
    </row>
    <row r="352" spans="1:15" x14ac:dyDescent="0.35">
      <c r="A352" s="277"/>
      <c r="B352" s="262"/>
      <c r="D352" s="262"/>
      <c r="O352" s="262"/>
    </row>
    <row r="353" spans="1:15" x14ac:dyDescent="0.35">
      <c r="A353" s="277"/>
      <c r="B353" s="262"/>
      <c r="D353" s="262"/>
      <c r="O353" s="262"/>
    </row>
    <row r="354" spans="1:15" x14ac:dyDescent="0.35">
      <c r="A354" s="277"/>
      <c r="B354" s="262"/>
      <c r="D354" s="262"/>
      <c r="O354" s="262"/>
    </row>
    <row r="355" spans="1:15" x14ac:dyDescent="0.35">
      <c r="A355" s="277"/>
      <c r="B355" s="262"/>
      <c r="D355" s="262"/>
      <c r="O355" s="262"/>
    </row>
    <row r="356" spans="1:15" x14ac:dyDescent="0.35">
      <c r="A356" s="277"/>
      <c r="B356" s="262"/>
      <c r="D356" s="262"/>
      <c r="O356" s="262"/>
    </row>
    <row r="357" spans="1:15" x14ac:dyDescent="0.35">
      <c r="A357" s="277"/>
      <c r="B357" s="262"/>
      <c r="D357" s="262"/>
      <c r="O357" s="262"/>
    </row>
    <row r="358" spans="1:15" x14ac:dyDescent="0.35">
      <c r="A358" s="277"/>
      <c r="B358" s="262"/>
      <c r="D358" s="262"/>
      <c r="O358" s="262"/>
    </row>
    <row r="359" spans="1:15" x14ac:dyDescent="0.35">
      <c r="A359" s="277"/>
      <c r="B359" s="262"/>
      <c r="D359" s="262"/>
      <c r="O359" s="262"/>
    </row>
    <row r="360" spans="1:15" x14ac:dyDescent="0.35">
      <c r="A360" s="277"/>
      <c r="B360" s="262"/>
      <c r="D360" s="262"/>
      <c r="O360" s="262"/>
    </row>
    <row r="361" spans="1:15" x14ac:dyDescent="0.35">
      <c r="A361" s="277"/>
      <c r="B361" s="262"/>
      <c r="D361" s="262"/>
      <c r="O361" s="262"/>
    </row>
    <row r="362" spans="1:15" x14ac:dyDescent="0.35">
      <c r="A362" s="277"/>
      <c r="B362" s="262"/>
      <c r="D362" s="262"/>
      <c r="O362" s="262"/>
    </row>
    <row r="363" spans="1:15" x14ac:dyDescent="0.35">
      <c r="A363" s="277"/>
      <c r="B363" s="262"/>
      <c r="D363" s="262"/>
      <c r="O363" s="262"/>
    </row>
    <row r="364" spans="1:15" x14ac:dyDescent="0.35">
      <c r="A364" s="277"/>
      <c r="B364" s="262"/>
      <c r="D364" s="262"/>
      <c r="O364" s="262"/>
    </row>
    <row r="365" spans="1:15" x14ac:dyDescent="0.35">
      <c r="A365" s="277"/>
      <c r="B365" s="262"/>
      <c r="D365" s="262"/>
      <c r="O365" s="262"/>
    </row>
    <row r="366" spans="1:15" x14ac:dyDescent="0.35">
      <c r="A366" s="277"/>
      <c r="B366" s="262"/>
      <c r="D366" s="262"/>
      <c r="O366" s="262"/>
    </row>
    <row r="367" spans="1:15" x14ac:dyDescent="0.35">
      <c r="A367" s="277"/>
      <c r="B367" s="262"/>
      <c r="D367" s="262"/>
      <c r="O367" s="262"/>
    </row>
    <row r="368" spans="1:15" x14ac:dyDescent="0.35">
      <c r="A368" s="277"/>
      <c r="B368" s="262"/>
      <c r="D368" s="262"/>
      <c r="O368" s="262"/>
    </row>
    <row r="369" spans="1:15" x14ac:dyDescent="0.35">
      <c r="A369" s="277"/>
      <c r="B369" s="262"/>
      <c r="D369" s="262"/>
      <c r="O369" s="262"/>
    </row>
    <row r="370" spans="1:15" x14ac:dyDescent="0.35">
      <c r="A370" s="277"/>
      <c r="B370" s="262"/>
      <c r="D370" s="262"/>
      <c r="O370" s="262"/>
    </row>
    <row r="371" spans="1:15" x14ac:dyDescent="0.35">
      <c r="A371" s="277"/>
      <c r="B371" s="262"/>
      <c r="D371" s="262"/>
      <c r="O371" s="262"/>
    </row>
    <row r="372" spans="1:15" x14ac:dyDescent="0.35">
      <c r="A372" s="277"/>
      <c r="B372" s="262"/>
      <c r="D372" s="262"/>
      <c r="O372" s="262"/>
    </row>
    <row r="373" spans="1:15" x14ac:dyDescent="0.35">
      <c r="A373" s="277"/>
      <c r="B373" s="262"/>
      <c r="D373" s="262"/>
      <c r="O373" s="262"/>
    </row>
    <row r="374" spans="1:15" x14ac:dyDescent="0.35">
      <c r="A374" s="277"/>
      <c r="B374" s="262"/>
      <c r="D374" s="262"/>
      <c r="O374" s="262"/>
    </row>
    <row r="375" spans="1:15" x14ac:dyDescent="0.35">
      <c r="A375" s="277"/>
      <c r="B375" s="262"/>
      <c r="D375" s="262"/>
      <c r="O375" s="262"/>
    </row>
    <row r="376" spans="1:15" x14ac:dyDescent="0.35">
      <c r="A376" s="277"/>
      <c r="B376" s="262"/>
      <c r="D376" s="262"/>
      <c r="O376" s="262"/>
    </row>
    <row r="377" spans="1:15" x14ac:dyDescent="0.35">
      <c r="A377" s="277"/>
      <c r="B377" s="262"/>
      <c r="D377" s="262"/>
      <c r="O377" s="262"/>
    </row>
    <row r="378" spans="1:15" x14ac:dyDescent="0.35">
      <c r="A378" s="277"/>
      <c r="B378" s="262"/>
      <c r="D378" s="262"/>
      <c r="O378" s="262"/>
    </row>
    <row r="379" spans="1:15" x14ac:dyDescent="0.35">
      <c r="A379" s="277"/>
      <c r="B379" s="262"/>
      <c r="D379" s="262"/>
      <c r="O379" s="262"/>
    </row>
    <row r="380" spans="1:15" x14ac:dyDescent="0.35">
      <c r="A380" s="277"/>
      <c r="B380" s="262"/>
      <c r="D380" s="262"/>
      <c r="O380" s="262"/>
    </row>
    <row r="381" spans="1:15" x14ac:dyDescent="0.35">
      <c r="A381" s="277"/>
      <c r="B381" s="262"/>
      <c r="D381" s="262"/>
      <c r="O381" s="262"/>
    </row>
    <row r="382" spans="1:15" x14ac:dyDescent="0.35">
      <c r="A382" s="277"/>
      <c r="B382" s="262"/>
      <c r="D382" s="262"/>
      <c r="O382" s="262"/>
    </row>
    <row r="383" spans="1:15" x14ac:dyDescent="0.35">
      <c r="A383" s="277"/>
      <c r="B383" s="262"/>
      <c r="D383" s="262"/>
      <c r="O383" s="262"/>
    </row>
    <row r="384" spans="1:15" x14ac:dyDescent="0.35">
      <c r="A384" s="277"/>
      <c r="B384" s="262"/>
      <c r="D384" s="262"/>
      <c r="O384" s="262"/>
    </row>
    <row r="385" spans="1:15" x14ac:dyDescent="0.35">
      <c r="A385" s="277"/>
      <c r="B385" s="262"/>
      <c r="D385" s="262"/>
      <c r="O385" s="262"/>
    </row>
    <row r="386" spans="1:15" x14ac:dyDescent="0.35">
      <c r="A386" s="277"/>
      <c r="B386" s="262"/>
      <c r="D386" s="262"/>
      <c r="O386" s="262"/>
    </row>
    <row r="387" spans="1:15" x14ac:dyDescent="0.35">
      <c r="A387" s="277"/>
      <c r="B387" s="262"/>
      <c r="D387" s="262"/>
      <c r="O387" s="262"/>
    </row>
    <row r="388" spans="1:15" x14ac:dyDescent="0.35">
      <c r="A388" s="277"/>
      <c r="B388" s="262"/>
      <c r="D388" s="262"/>
      <c r="O388" s="262"/>
    </row>
    <row r="389" spans="1:15" x14ac:dyDescent="0.35">
      <c r="A389" s="277"/>
      <c r="B389" s="262"/>
      <c r="D389" s="262"/>
      <c r="O389" s="262"/>
    </row>
    <row r="390" spans="1:15" x14ac:dyDescent="0.35">
      <c r="A390" s="277"/>
      <c r="B390" s="262"/>
      <c r="D390" s="262"/>
      <c r="O390" s="262"/>
    </row>
    <row r="391" spans="1:15" x14ac:dyDescent="0.35">
      <c r="A391" s="277"/>
      <c r="B391" s="262"/>
      <c r="D391" s="262"/>
      <c r="O391" s="262"/>
    </row>
    <row r="392" spans="1:15" x14ac:dyDescent="0.35">
      <c r="A392" s="277"/>
      <c r="B392" s="262"/>
      <c r="D392" s="262"/>
      <c r="O392" s="262"/>
    </row>
    <row r="393" spans="1:15" x14ac:dyDescent="0.35">
      <c r="A393" s="277"/>
      <c r="B393" s="262"/>
      <c r="D393" s="262"/>
      <c r="O393" s="262"/>
    </row>
    <row r="394" spans="1:15" x14ac:dyDescent="0.35">
      <c r="A394" s="277"/>
      <c r="B394" s="262"/>
      <c r="D394" s="262"/>
      <c r="O394" s="262"/>
    </row>
    <row r="395" spans="1:15" x14ac:dyDescent="0.35">
      <c r="A395" s="277"/>
      <c r="B395" s="262"/>
      <c r="D395" s="262"/>
      <c r="O395" s="262"/>
    </row>
    <row r="396" spans="1:15" x14ac:dyDescent="0.35">
      <c r="A396" s="277"/>
      <c r="B396" s="262"/>
      <c r="D396" s="262"/>
      <c r="O396" s="262"/>
    </row>
    <row r="397" spans="1:15" x14ac:dyDescent="0.35">
      <c r="A397" s="277"/>
      <c r="B397" s="262"/>
      <c r="D397" s="262"/>
      <c r="O397" s="262"/>
    </row>
    <row r="398" spans="1:15" x14ac:dyDescent="0.35">
      <c r="A398" s="277"/>
      <c r="B398" s="262"/>
      <c r="D398" s="262"/>
      <c r="O398" s="262"/>
    </row>
    <row r="399" spans="1:15" x14ac:dyDescent="0.35">
      <c r="A399" s="277"/>
      <c r="B399" s="262"/>
      <c r="D399" s="262"/>
      <c r="O399" s="262"/>
    </row>
    <row r="400" spans="1:15" x14ac:dyDescent="0.35">
      <c r="A400" s="277"/>
      <c r="B400" s="262"/>
      <c r="D400" s="262"/>
      <c r="O400" s="262"/>
    </row>
    <row r="401" spans="1:15" x14ac:dyDescent="0.35">
      <c r="A401" s="277"/>
      <c r="B401" s="262"/>
      <c r="D401" s="262"/>
      <c r="O401" s="262"/>
    </row>
    <row r="402" spans="1:15" x14ac:dyDescent="0.35">
      <c r="A402" s="277"/>
      <c r="B402" s="262"/>
      <c r="D402" s="262"/>
      <c r="O402" s="262"/>
    </row>
    <row r="403" spans="1:15" x14ac:dyDescent="0.35">
      <c r="A403" s="277"/>
      <c r="B403" s="262"/>
      <c r="D403" s="262"/>
      <c r="O403" s="262"/>
    </row>
    <row r="404" spans="1:15" x14ac:dyDescent="0.35">
      <c r="A404" s="277"/>
      <c r="B404" s="262"/>
      <c r="D404" s="262"/>
      <c r="O404" s="262"/>
    </row>
    <row r="405" spans="1:15" x14ac:dyDescent="0.35">
      <c r="A405" s="277"/>
      <c r="B405" s="262"/>
      <c r="D405" s="262"/>
      <c r="O405" s="262"/>
    </row>
    <row r="406" spans="1:15" x14ac:dyDescent="0.35">
      <c r="A406" s="277"/>
      <c r="B406" s="262"/>
      <c r="D406" s="262"/>
      <c r="O406" s="262"/>
    </row>
    <row r="407" spans="1:15" x14ac:dyDescent="0.35">
      <c r="A407" s="277"/>
      <c r="B407" s="262"/>
      <c r="D407" s="262"/>
      <c r="O407" s="262"/>
    </row>
    <row r="408" spans="1:15" x14ac:dyDescent="0.35">
      <c r="A408" s="277"/>
      <c r="B408" s="262"/>
      <c r="D408" s="262"/>
      <c r="O408" s="262"/>
    </row>
    <row r="409" spans="1:15" x14ac:dyDescent="0.35">
      <c r="A409" s="277"/>
      <c r="B409" s="262"/>
      <c r="D409" s="262"/>
      <c r="O409" s="262"/>
    </row>
    <row r="410" spans="1:15" x14ac:dyDescent="0.35">
      <c r="A410" s="277"/>
      <c r="B410" s="262"/>
      <c r="D410" s="262"/>
      <c r="O410" s="262"/>
    </row>
    <row r="411" spans="1:15" x14ac:dyDescent="0.35">
      <c r="A411" s="277"/>
      <c r="B411" s="262"/>
      <c r="D411" s="262"/>
      <c r="O411" s="262"/>
    </row>
    <row r="412" spans="1:15" x14ac:dyDescent="0.35">
      <c r="A412" s="277"/>
      <c r="B412" s="262"/>
      <c r="D412" s="262"/>
      <c r="O412" s="262"/>
    </row>
    <row r="413" spans="1:15" x14ac:dyDescent="0.35">
      <c r="A413" s="277"/>
      <c r="B413" s="262"/>
      <c r="D413" s="262"/>
      <c r="O413" s="262"/>
    </row>
    <row r="414" spans="1:15" x14ac:dyDescent="0.35">
      <c r="A414" s="277"/>
      <c r="B414" s="262"/>
      <c r="D414" s="262"/>
      <c r="O414" s="262"/>
    </row>
    <row r="415" spans="1:15" x14ac:dyDescent="0.35">
      <c r="A415" s="277"/>
      <c r="B415" s="262"/>
      <c r="D415" s="262"/>
      <c r="O415" s="262"/>
    </row>
    <row r="416" spans="1:15" x14ac:dyDescent="0.35">
      <c r="A416" s="277"/>
      <c r="B416" s="262"/>
      <c r="D416" s="262"/>
      <c r="O416" s="262"/>
    </row>
    <row r="417" spans="1:15" x14ac:dyDescent="0.35">
      <c r="A417" s="277"/>
      <c r="B417" s="262"/>
      <c r="D417" s="262"/>
      <c r="O417" s="262"/>
    </row>
    <row r="418" spans="1:15" x14ac:dyDescent="0.35">
      <c r="A418" s="277"/>
      <c r="B418" s="262"/>
      <c r="D418" s="262"/>
      <c r="O418" s="262"/>
    </row>
    <row r="419" spans="1:15" x14ac:dyDescent="0.35">
      <c r="A419" s="277"/>
      <c r="B419" s="262"/>
      <c r="D419" s="262"/>
      <c r="O419" s="262"/>
    </row>
    <row r="420" spans="1:15" x14ac:dyDescent="0.35">
      <c r="A420" s="277"/>
      <c r="B420" s="262"/>
      <c r="D420" s="262"/>
      <c r="O420" s="262"/>
    </row>
    <row r="421" spans="1:15" x14ac:dyDescent="0.35">
      <c r="A421" s="277"/>
      <c r="B421" s="262"/>
      <c r="D421" s="262"/>
      <c r="O421" s="262"/>
    </row>
    <row r="422" spans="1:15" x14ac:dyDescent="0.35">
      <c r="A422" s="277"/>
      <c r="B422" s="262"/>
      <c r="D422" s="262"/>
      <c r="O422" s="262"/>
    </row>
    <row r="423" spans="1:15" x14ac:dyDescent="0.35">
      <c r="A423" s="277"/>
      <c r="B423" s="262"/>
      <c r="D423" s="262"/>
      <c r="O423" s="262"/>
    </row>
    <row r="424" spans="1:15" x14ac:dyDescent="0.35">
      <c r="A424" s="277"/>
      <c r="B424" s="262"/>
      <c r="D424" s="262"/>
      <c r="O424" s="262"/>
    </row>
    <row r="425" spans="1:15" x14ac:dyDescent="0.35">
      <c r="A425" s="277"/>
      <c r="B425" s="262"/>
      <c r="D425" s="262"/>
      <c r="O425" s="262"/>
    </row>
    <row r="426" spans="1:15" x14ac:dyDescent="0.35">
      <c r="A426" s="277"/>
      <c r="B426" s="262"/>
      <c r="D426" s="262"/>
      <c r="O426" s="262"/>
    </row>
    <row r="427" spans="1:15" x14ac:dyDescent="0.35">
      <c r="A427" s="277"/>
      <c r="B427" s="262"/>
      <c r="D427" s="262"/>
      <c r="O427" s="262"/>
    </row>
    <row r="428" spans="1:15" x14ac:dyDescent="0.35">
      <c r="A428" s="277"/>
      <c r="B428" s="262"/>
      <c r="D428" s="262"/>
      <c r="O428" s="262"/>
    </row>
    <row r="429" spans="1:15" x14ac:dyDescent="0.35">
      <c r="A429" s="277"/>
      <c r="B429" s="262"/>
      <c r="D429" s="262"/>
      <c r="O429" s="262"/>
    </row>
    <row r="430" spans="1:15" x14ac:dyDescent="0.35">
      <c r="A430" s="277"/>
      <c r="B430" s="262"/>
      <c r="D430" s="262"/>
      <c r="O430" s="262"/>
    </row>
    <row r="431" spans="1:15" x14ac:dyDescent="0.35">
      <c r="A431" s="277"/>
      <c r="B431" s="262"/>
      <c r="D431" s="262"/>
      <c r="O431" s="262"/>
    </row>
    <row r="432" spans="1:15" x14ac:dyDescent="0.35">
      <c r="A432" s="277"/>
      <c r="B432" s="262"/>
      <c r="D432" s="262"/>
      <c r="O432" s="262"/>
    </row>
    <row r="433" spans="1:15" x14ac:dyDescent="0.35">
      <c r="A433" s="277"/>
      <c r="B433" s="262"/>
      <c r="D433" s="262"/>
      <c r="O433" s="262"/>
    </row>
    <row r="434" spans="1:15" x14ac:dyDescent="0.35">
      <c r="A434" s="277"/>
      <c r="B434" s="262"/>
      <c r="D434" s="262"/>
      <c r="O434" s="262"/>
    </row>
    <row r="435" spans="1:15" x14ac:dyDescent="0.35">
      <c r="A435" s="277"/>
      <c r="B435" s="262"/>
      <c r="D435" s="262"/>
      <c r="O435" s="262"/>
    </row>
    <row r="436" spans="1:15" x14ac:dyDescent="0.35">
      <c r="A436" s="277"/>
      <c r="B436" s="262"/>
      <c r="D436" s="262"/>
      <c r="O436" s="262"/>
    </row>
    <row r="437" spans="1:15" x14ac:dyDescent="0.35">
      <c r="A437" s="277"/>
      <c r="B437" s="262"/>
      <c r="D437" s="262"/>
      <c r="O437" s="262"/>
    </row>
    <row r="438" spans="1:15" x14ac:dyDescent="0.35">
      <c r="A438" s="277"/>
      <c r="B438" s="262"/>
      <c r="D438" s="262"/>
      <c r="O438" s="262"/>
    </row>
    <row r="439" spans="1:15" x14ac:dyDescent="0.35">
      <c r="A439" s="277"/>
      <c r="B439" s="262"/>
      <c r="D439" s="262"/>
      <c r="O439" s="262"/>
    </row>
    <row r="440" spans="1:15" x14ac:dyDescent="0.35">
      <c r="A440" s="277"/>
      <c r="B440" s="262"/>
      <c r="D440" s="262"/>
      <c r="O440" s="262"/>
    </row>
    <row r="441" spans="1:15" x14ac:dyDescent="0.35">
      <c r="A441" s="277"/>
      <c r="B441" s="262"/>
      <c r="D441" s="262"/>
      <c r="O441" s="262"/>
    </row>
    <row r="442" spans="1:15" x14ac:dyDescent="0.35">
      <c r="A442" s="277"/>
      <c r="B442" s="262"/>
      <c r="D442" s="262"/>
      <c r="O442" s="262"/>
    </row>
    <row r="443" spans="1:15" x14ac:dyDescent="0.35">
      <c r="A443" s="277"/>
      <c r="B443" s="262"/>
      <c r="D443" s="262"/>
      <c r="O443" s="262"/>
    </row>
    <row r="444" spans="1:15" x14ac:dyDescent="0.35">
      <c r="A444" s="277"/>
      <c r="B444" s="262"/>
      <c r="D444" s="262"/>
      <c r="O444" s="262"/>
    </row>
    <row r="445" spans="1:15" x14ac:dyDescent="0.35">
      <c r="A445" s="277"/>
      <c r="B445" s="262"/>
      <c r="D445" s="262"/>
      <c r="O445" s="262"/>
    </row>
    <row r="446" spans="1:15" x14ac:dyDescent="0.35">
      <c r="A446" s="277"/>
      <c r="B446" s="262"/>
      <c r="D446" s="262"/>
      <c r="O446" s="262"/>
    </row>
    <row r="447" spans="1:15" x14ac:dyDescent="0.35">
      <c r="A447" s="277"/>
      <c r="B447" s="262"/>
      <c r="D447" s="262"/>
      <c r="O447" s="262"/>
    </row>
    <row r="448" spans="1:15" x14ac:dyDescent="0.35">
      <c r="A448" s="277"/>
      <c r="B448" s="262"/>
      <c r="D448" s="262"/>
      <c r="O448" s="262"/>
    </row>
    <row r="449" spans="1:15" x14ac:dyDescent="0.35">
      <c r="A449" s="277"/>
      <c r="B449" s="262"/>
      <c r="D449" s="262"/>
      <c r="O449" s="262"/>
    </row>
    <row r="450" spans="1:15" x14ac:dyDescent="0.35">
      <c r="A450" s="277"/>
      <c r="B450" s="262"/>
      <c r="D450" s="262"/>
      <c r="O450" s="262"/>
    </row>
    <row r="451" spans="1:15" x14ac:dyDescent="0.35">
      <c r="A451" s="277"/>
      <c r="B451" s="262"/>
      <c r="D451" s="262"/>
      <c r="O451" s="262"/>
    </row>
    <row r="452" spans="1:15" x14ac:dyDescent="0.35">
      <c r="A452" s="277"/>
      <c r="B452" s="262"/>
      <c r="D452" s="262"/>
      <c r="O452" s="262"/>
    </row>
    <row r="453" spans="1:15" x14ac:dyDescent="0.35">
      <c r="A453" s="277"/>
      <c r="B453" s="262"/>
      <c r="D453" s="262"/>
      <c r="O453" s="262"/>
    </row>
    <row r="454" spans="1:15" x14ac:dyDescent="0.35">
      <c r="A454" s="277"/>
      <c r="B454" s="262"/>
      <c r="D454" s="262"/>
      <c r="O454" s="262"/>
    </row>
    <row r="455" spans="1:15" x14ac:dyDescent="0.35">
      <c r="A455" s="277"/>
      <c r="B455" s="262"/>
      <c r="D455" s="262"/>
      <c r="O455" s="262"/>
    </row>
    <row r="456" spans="1:15" x14ac:dyDescent="0.35">
      <c r="A456" s="277"/>
      <c r="B456" s="262"/>
      <c r="D456" s="262"/>
      <c r="O456" s="262"/>
    </row>
    <row r="457" spans="1:15" x14ac:dyDescent="0.35">
      <c r="A457" s="277"/>
      <c r="B457" s="262"/>
      <c r="D457" s="262"/>
      <c r="O457" s="262"/>
    </row>
    <row r="458" spans="1:15" x14ac:dyDescent="0.35">
      <c r="A458" s="277"/>
      <c r="B458" s="262"/>
      <c r="D458" s="262"/>
      <c r="O458" s="262"/>
    </row>
    <row r="459" spans="1:15" x14ac:dyDescent="0.35">
      <c r="A459" s="277"/>
      <c r="B459" s="262"/>
      <c r="D459" s="262"/>
      <c r="O459" s="262"/>
    </row>
    <row r="460" spans="1:15" x14ac:dyDescent="0.35">
      <c r="A460" s="277"/>
      <c r="B460" s="262"/>
      <c r="D460" s="262"/>
      <c r="O460" s="262"/>
    </row>
    <row r="461" spans="1:15" x14ac:dyDescent="0.35">
      <c r="A461" s="277"/>
      <c r="B461" s="262"/>
      <c r="D461" s="262"/>
      <c r="O461" s="262"/>
    </row>
    <row r="462" spans="1:15" x14ac:dyDescent="0.35">
      <c r="A462" s="277"/>
      <c r="B462" s="262"/>
      <c r="D462" s="262"/>
      <c r="O462" s="262"/>
    </row>
    <row r="463" spans="1:15" x14ac:dyDescent="0.35">
      <c r="A463" s="277"/>
      <c r="B463" s="262"/>
      <c r="D463" s="262"/>
      <c r="O463" s="262"/>
    </row>
    <row r="464" spans="1:15" x14ac:dyDescent="0.35">
      <c r="A464" s="277"/>
      <c r="B464" s="262"/>
      <c r="D464" s="262"/>
      <c r="O464" s="262"/>
    </row>
    <row r="465" spans="1:15" x14ac:dyDescent="0.35">
      <c r="A465" s="277"/>
      <c r="B465" s="262"/>
      <c r="D465" s="262"/>
      <c r="O465" s="262"/>
    </row>
    <row r="466" spans="1:15" x14ac:dyDescent="0.35">
      <c r="A466" s="277"/>
      <c r="B466" s="262"/>
      <c r="D466" s="262"/>
      <c r="O466" s="262"/>
    </row>
    <row r="467" spans="1:15" x14ac:dyDescent="0.35">
      <c r="A467" s="277"/>
      <c r="B467" s="262"/>
      <c r="D467" s="262"/>
      <c r="O467" s="262"/>
    </row>
    <row r="468" spans="1:15" x14ac:dyDescent="0.35">
      <c r="A468" s="277"/>
      <c r="B468" s="262"/>
      <c r="D468" s="262"/>
      <c r="O468" s="262"/>
    </row>
    <row r="469" spans="1:15" x14ac:dyDescent="0.35">
      <c r="A469" s="277"/>
      <c r="B469" s="262"/>
      <c r="D469" s="262"/>
      <c r="O469" s="262"/>
    </row>
    <row r="470" spans="1:15" x14ac:dyDescent="0.35">
      <c r="A470" s="277"/>
      <c r="B470" s="262"/>
      <c r="D470" s="262"/>
      <c r="O470" s="262"/>
    </row>
    <row r="471" spans="1:15" x14ac:dyDescent="0.35">
      <c r="A471" s="277"/>
      <c r="B471" s="262"/>
      <c r="D471" s="262"/>
      <c r="O471" s="262"/>
    </row>
    <row r="472" spans="1:15" x14ac:dyDescent="0.35">
      <c r="A472" s="277"/>
      <c r="B472" s="262"/>
      <c r="D472" s="262"/>
      <c r="O472" s="262"/>
    </row>
    <row r="473" spans="1:15" x14ac:dyDescent="0.35">
      <c r="A473" s="277"/>
      <c r="B473" s="262"/>
      <c r="D473" s="262"/>
      <c r="O473" s="262"/>
    </row>
    <row r="474" spans="1:15" x14ac:dyDescent="0.35">
      <c r="A474" s="277"/>
      <c r="B474" s="262"/>
      <c r="D474" s="262"/>
      <c r="O474" s="262"/>
    </row>
    <row r="475" spans="1:15" x14ac:dyDescent="0.35">
      <c r="A475" s="277"/>
      <c r="B475" s="262"/>
      <c r="D475" s="262"/>
      <c r="O475" s="262"/>
    </row>
    <row r="476" spans="1:15" x14ac:dyDescent="0.35">
      <c r="A476" s="277"/>
      <c r="B476" s="262"/>
      <c r="D476" s="262"/>
      <c r="O476" s="262"/>
    </row>
    <row r="477" spans="1:15" x14ac:dyDescent="0.35">
      <c r="A477" s="277"/>
      <c r="B477" s="262"/>
      <c r="D477" s="262"/>
      <c r="O477" s="262"/>
    </row>
    <row r="478" spans="1:15" x14ac:dyDescent="0.35">
      <c r="A478" s="277"/>
      <c r="B478" s="262"/>
      <c r="D478" s="262"/>
      <c r="O478" s="262"/>
    </row>
    <row r="479" spans="1:15" x14ac:dyDescent="0.35">
      <c r="A479" s="277"/>
      <c r="B479" s="262"/>
      <c r="D479" s="262"/>
      <c r="O479" s="262"/>
    </row>
    <row r="480" spans="1:15" x14ac:dyDescent="0.35">
      <c r="A480" s="277"/>
      <c r="B480" s="262"/>
      <c r="D480" s="262"/>
      <c r="O480" s="262"/>
    </row>
    <row r="481" spans="1:15" x14ac:dyDescent="0.35">
      <c r="A481" s="277"/>
      <c r="B481" s="262"/>
      <c r="D481" s="262"/>
      <c r="O481" s="262"/>
    </row>
    <row r="482" spans="1:15" x14ac:dyDescent="0.35">
      <c r="A482" s="277"/>
      <c r="B482" s="262"/>
      <c r="D482" s="262"/>
      <c r="O482" s="262"/>
    </row>
    <row r="483" spans="1:15" x14ac:dyDescent="0.35">
      <c r="A483" s="277"/>
      <c r="B483" s="262"/>
      <c r="D483" s="262"/>
      <c r="O483" s="262"/>
    </row>
    <row r="484" spans="1:15" x14ac:dyDescent="0.35">
      <c r="A484" s="277"/>
      <c r="B484" s="262"/>
      <c r="D484" s="262"/>
      <c r="O484" s="262"/>
    </row>
    <row r="485" spans="1:15" x14ac:dyDescent="0.35">
      <c r="A485" s="277"/>
      <c r="B485" s="262"/>
      <c r="D485" s="262"/>
      <c r="O485" s="262"/>
    </row>
    <row r="486" spans="1:15" x14ac:dyDescent="0.35">
      <c r="A486" s="277"/>
      <c r="B486" s="262"/>
      <c r="D486" s="262"/>
      <c r="O486" s="262"/>
    </row>
    <row r="487" spans="1:15" x14ac:dyDescent="0.35">
      <c r="A487" s="277"/>
      <c r="B487" s="262"/>
      <c r="D487" s="262"/>
      <c r="O487" s="262"/>
    </row>
    <row r="488" spans="1:15" x14ac:dyDescent="0.35">
      <c r="A488" s="277"/>
      <c r="B488" s="262"/>
      <c r="D488" s="262"/>
      <c r="O488" s="262"/>
    </row>
    <row r="489" spans="1:15" x14ac:dyDescent="0.35">
      <c r="A489" s="277"/>
      <c r="B489" s="262"/>
      <c r="D489" s="262"/>
      <c r="O489" s="262"/>
    </row>
    <row r="490" spans="1:15" x14ac:dyDescent="0.35">
      <c r="A490" s="277"/>
      <c r="B490" s="262"/>
      <c r="D490" s="262"/>
      <c r="O490" s="262"/>
    </row>
    <row r="491" spans="1:15" x14ac:dyDescent="0.35">
      <c r="A491" s="277"/>
      <c r="B491" s="262"/>
      <c r="D491" s="262"/>
      <c r="O491" s="262"/>
    </row>
    <row r="492" spans="1:15" x14ac:dyDescent="0.35">
      <c r="A492" s="277"/>
      <c r="B492" s="262"/>
      <c r="D492" s="262"/>
      <c r="O492" s="262"/>
    </row>
    <row r="493" spans="1:15" x14ac:dyDescent="0.35">
      <c r="A493" s="277"/>
      <c r="B493" s="262"/>
      <c r="D493" s="262"/>
      <c r="O493" s="262"/>
    </row>
    <row r="494" spans="1:15" x14ac:dyDescent="0.35">
      <c r="A494" s="277"/>
      <c r="B494" s="262"/>
      <c r="D494" s="262"/>
      <c r="O494" s="262"/>
    </row>
    <row r="495" spans="1:15" x14ac:dyDescent="0.35">
      <c r="A495" s="277"/>
      <c r="B495" s="262"/>
      <c r="D495" s="262"/>
      <c r="O495" s="262"/>
    </row>
    <row r="496" spans="1:15" x14ac:dyDescent="0.35">
      <c r="A496" s="277"/>
      <c r="B496" s="262"/>
      <c r="D496" s="262"/>
      <c r="O496" s="262"/>
    </row>
    <row r="497" spans="1:15" x14ac:dyDescent="0.35">
      <c r="A497" s="277"/>
      <c r="B497" s="262"/>
      <c r="D497" s="262"/>
      <c r="O497" s="262"/>
    </row>
    <row r="498" spans="1:15" x14ac:dyDescent="0.35">
      <c r="A498" s="277"/>
      <c r="B498" s="262"/>
      <c r="D498" s="262"/>
      <c r="O498" s="262"/>
    </row>
    <row r="499" spans="1:15" x14ac:dyDescent="0.35">
      <c r="A499" s="277"/>
      <c r="B499" s="262"/>
      <c r="D499" s="262"/>
      <c r="O499" s="262"/>
    </row>
    <row r="500" spans="1:15" x14ac:dyDescent="0.35">
      <c r="A500" s="277"/>
      <c r="B500" s="262"/>
      <c r="D500" s="262"/>
      <c r="O500" s="262"/>
    </row>
    <row r="501" spans="1:15" x14ac:dyDescent="0.35">
      <c r="A501" s="277"/>
      <c r="B501" s="262"/>
      <c r="D501" s="262"/>
      <c r="O501" s="262"/>
    </row>
    <row r="502" spans="1:15" x14ac:dyDescent="0.35">
      <c r="A502" s="277"/>
      <c r="B502" s="262"/>
      <c r="D502" s="262"/>
      <c r="O502" s="262"/>
    </row>
    <row r="503" spans="1:15" x14ac:dyDescent="0.35">
      <c r="A503" s="277"/>
      <c r="B503" s="262"/>
      <c r="D503" s="262"/>
      <c r="O503" s="262"/>
    </row>
    <row r="504" spans="1:15" x14ac:dyDescent="0.35">
      <c r="A504" s="277"/>
      <c r="B504" s="262"/>
      <c r="D504" s="262"/>
      <c r="O504" s="262"/>
    </row>
    <row r="505" spans="1:15" x14ac:dyDescent="0.35">
      <c r="A505" s="277"/>
      <c r="B505" s="262"/>
      <c r="D505" s="262"/>
      <c r="O505" s="262"/>
    </row>
    <row r="506" spans="1:15" x14ac:dyDescent="0.35">
      <c r="A506" s="277"/>
      <c r="B506" s="262"/>
      <c r="D506" s="262"/>
      <c r="O506" s="262"/>
    </row>
    <row r="507" spans="1:15" x14ac:dyDescent="0.35">
      <c r="A507" s="277"/>
      <c r="B507" s="262"/>
      <c r="D507" s="262"/>
      <c r="O507" s="262"/>
    </row>
    <row r="508" spans="1:15" x14ac:dyDescent="0.35">
      <c r="A508" s="277"/>
      <c r="B508" s="262"/>
      <c r="D508" s="262"/>
      <c r="O508" s="262"/>
    </row>
    <row r="509" spans="1:15" x14ac:dyDescent="0.35">
      <c r="A509" s="277"/>
      <c r="B509" s="262"/>
      <c r="D509" s="262"/>
      <c r="O509" s="262"/>
    </row>
    <row r="510" spans="1:15" x14ac:dyDescent="0.35">
      <c r="A510" s="277"/>
      <c r="B510" s="262"/>
      <c r="D510" s="262"/>
      <c r="O510" s="262"/>
    </row>
    <row r="511" spans="1:15" x14ac:dyDescent="0.35">
      <c r="A511" s="277"/>
      <c r="B511" s="262"/>
      <c r="D511" s="262"/>
      <c r="O511" s="262"/>
    </row>
    <row r="512" spans="1:15" x14ac:dyDescent="0.35">
      <c r="A512" s="277"/>
      <c r="B512" s="262"/>
      <c r="D512" s="262"/>
      <c r="O512" s="262"/>
    </row>
    <row r="513" spans="1:15" x14ac:dyDescent="0.35">
      <c r="A513" s="277"/>
      <c r="B513" s="262"/>
      <c r="D513" s="262"/>
      <c r="O513" s="262"/>
    </row>
    <row r="514" spans="1:15" x14ac:dyDescent="0.35">
      <c r="A514" s="277"/>
      <c r="B514" s="262"/>
      <c r="D514" s="262"/>
      <c r="O514" s="262"/>
    </row>
    <row r="515" spans="1:15" x14ac:dyDescent="0.35">
      <c r="A515" s="277"/>
      <c r="B515" s="262"/>
      <c r="D515" s="262"/>
      <c r="O515" s="262"/>
    </row>
    <row r="516" spans="1:15" x14ac:dyDescent="0.35">
      <c r="A516" s="277"/>
      <c r="B516" s="262"/>
      <c r="D516" s="262"/>
      <c r="O516" s="262"/>
    </row>
    <row r="517" spans="1:15" x14ac:dyDescent="0.35">
      <c r="A517" s="277"/>
      <c r="B517" s="262"/>
      <c r="D517" s="262"/>
      <c r="O517" s="262"/>
    </row>
    <row r="518" spans="1:15" x14ac:dyDescent="0.35">
      <c r="A518" s="277"/>
      <c r="B518" s="262"/>
      <c r="D518" s="262"/>
      <c r="O518" s="262"/>
    </row>
    <row r="519" spans="1:15" x14ac:dyDescent="0.35">
      <c r="A519" s="277"/>
      <c r="B519" s="262"/>
      <c r="D519" s="262"/>
      <c r="O519" s="262"/>
    </row>
    <row r="520" spans="1:15" x14ac:dyDescent="0.35">
      <c r="A520" s="277"/>
      <c r="B520" s="262"/>
      <c r="D520" s="262"/>
      <c r="O520" s="262"/>
    </row>
    <row r="521" spans="1:15" x14ac:dyDescent="0.35">
      <c r="A521" s="277"/>
      <c r="B521" s="262"/>
      <c r="D521" s="262"/>
      <c r="O521" s="262"/>
    </row>
    <row r="522" spans="1:15" x14ac:dyDescent="0.35">
      <c r="A522" s="277"/>
      <c r="B522" s="262"/>
      <c r="D522" s="262"/>
      <c r="O522" s="262"/>
    </row>
    <row r="523" spans="1:15" x14ac:dyDescent="0.35">
      <c r="A523" s="277"/>
      <c r="B523" s="262"/>
      <c r="D523" s="262"/>
      <c r="O523" s="262"/>
    </row>
    <row r="524" spans="1:15" x14ac:dyDescent="0.35">
      <c r="A524" s="277"/>
      <c r="B524" s="262"/>
      <c r="D524" s="262"/>
      <c r="O524" s="262"/>
    </row>
    <row r="525" spans="1:15" x14ac:dyDescent="0.35">
      <c r="A525" s="277"/>
      <c r="B525" s="262"/>
      <c r="D525" s="262"/>
      <c r="O525" s="262"/>
    </row>
    <row r="526" spans="1:15" x14ac:dyDescent="0.35">
      <c r="A526" s="277"/>
      <c r="B526" s="262"/>
      <c r="D526" s="262"/>
      <c r="O526" s="262"/>
    </row>
    <row r="527" spans="1:15" x14ac:dyDescent="0.35">
      <c r="A527" s="277"/>
      <c r="B527" s="262"/>
      <c r="D527" s="262"/>
      <c r="O527" s="262"/>
    </row>
    <row r="528" spans="1:15" x14ac:dyDescent="0.35">
      <c r="A528" s="277"/>
      <c r="B528" s="262"/>
      <c r="D528" s="262"/>
      <c r="O528" s="262"/>
    </row>
    <row r="529" spans="1:15" x14ac:dyDescent="0.35">
      <c r="A529" s="277"/>
      <c r="B529" s="262"/>
      <c r="D529" s="262"/>
      <c r="O529" s="262"/>
    </row>
    <row r="530" spans="1:15" x14ac:dyDescent="0.35">
      <c r="A530" s="277"/>
      <c r="B530" s="262"/>
      <c r="D530" s="262"/>
      <c r="O530" s="262"/>
    </row>
    <row r="531" spans="1:15" x14ac:dyDescent="0.35">
      <c r="A531" s="277"/>
      <c r="B531" s="262"/>
      <c r="D531" s="262"/>
      <c r="O531" s="262"/>
    </row>
    <row r="532" spans="1:15" x14ac:dyDescent="0.35">
      <c r="A532" s="277"/>
      <c r="B532" s="262"/>
      <c r="D532" s="262"/>
      <c r="O532" s="262"/>
    </row>
    <row r="533" spans="1:15" x14ac:dyDescent="0.35">
      <c r="A533" s="277"/>
      <c r="B533" s="262"/>
      <c r="D533" s="262"/>
      <c r="O533" s="262"/>
    </row>
    <row r="534" spans="1:15" x14ac:dyDescent="0.35">
      <c r="A534" s="277"/>
      <c r="B534" s="262"/>
      <c r="D534" s="262"/>
      <c r="O534" s="262"/>
    </row>
    <row r="535" spans="1:15" x14ac:dyDescent="0.35">
      <c r="A535" s="277"/>
      <c r="B535" s="262"/>
      <c r="D535" s="262"/>
      <c r="O535" s="262"/>
    </row>
    <row r="536" spans="1:15" x14ac:dyDescent="0.35">
      <c r="A536" s="277"/>
      <c r="B536" s="262"/>
      <c r="D536" s="262"/>
      <c r="O536" s="262"/>
    </row>
    <row r="537" spans="1:15" x14ac:dyDescent="0.35">
      <c r="A537" s="277"/>
      <c r="B537" s="262"/>
      <c r="D537" s="262"/>
      <c r="O537" s="262"/>
    </row>
    <row r="538" spans="1:15" x14ac:dyDescent="0.35">
      <c r="A538" s="277"/>
      <c r="B538" s="262"/>
      <c r="D538" s="262"/>
      <c r="O538" s="262"/>
    </row>
    <row r="539" spans="1:15" x14ac:dyDescent="0.35">
      <c r="A539" s="277"/>
      <c r="B539" s="262"/>
      <c r="D539" s="262"/>
      <c r="O539" s="262"/>
    </row>
    <row r="540" spans="1:15" x14ac:dyDescent="0.35">
      <c r="A540" s="277"/>
      <c r="B540" s="262"/>
      <c r="D540" s="262"/>
      <c r="O540" s="262"/>
    </row>
    <row r="541" spans="1:15" x14ac:dyDescent="0.35">
      <c r="A541" s="277"/>
      <c r="B541" s="262"/>
      <c r="D541" s="262"/>
      <c r="O541" s="262"/>
    </row>
    <row r="542" spans="1:15" x14ac:dyDescent="0.35">
      <c r="A542" s="277"/>
      <c r="B542" s="262"/>
      <c r="D542" s="262"/>
      <c r="O542" s="262"/>
    </row>
    <row r="543" spans="1:15" x14ac:dyDescent="0.35">
      <c r="A543" s="277"/>
      <c r="B543" s="262"/>
      <c r="D543" s="262"/>
      <c r="O543" s="262"/>
    </row>
    <row r="544" spans="1:15" x14ac:dyDescent="0.35">
      <c r="A544" s="277"/>
      <c r="B544" s="262"/>
      <c r="D544" s="262"/>
      <c r="O544" s="262"/>
    </row>
    <row r="545" spans="1:15" x14ac:dyDescent="0.35">
      <c r="A545" s="277"/>
      <c r="B545" s="262"/>
      <c r="D545" s="262"/>
      <c r="O545" s="262"/>
    </row>
    <row r="546" spans="1:15" x14ac:dyDescent="0.35">
      <c r="A546" s="277"/>
      <c r="B546" s="262"/>
      <c r="D546" s="262"/>
      <c r="O546" s="262"/>
    </row>
    <row r="547" spans="1:15" x14ac:dyDescent="0.35">
      <c r="A547" s="277"/>
      <c r="B547" s="262"/>
      <c r="D547" s="262"/>
      <c r="O547" s="262"/>
    </row>
    <row r="548" spans="1:15" x14ac:dyDescent="0.35">
      <c r="A548" s="277"/>
      <c r="B548" s="262"/>
      <c r="D548" s="262"/>
      <c r="O548" s="262"/>
    </row>
    <row r="549" spans="1:15" x14ac:dyDescent="0.35">
      <c r="A549" s="277"/>
      <c r="B549" s="262"/>
      <c r="D549" s="262"/>
      <c r="O549" s="262"/>
    </row>
    <row r="550" spans="1:15" x14ac:dyDescent="0.35">
      <c r="A550" s="277"/>
      <c r="B550" s="262"/>
      <c r="D550" s="262"/>
      <c r="O550" s="262"/>
    </row>
    <row r="551" spans="1:15" x14ac:dyDescent="0.35">
      <c r="A551" s="277"/>
      <c r="B551" s="262"/>
      <c r="D551" s="262"/>
      <c r="O551" s="262"/>
    </row>
    <row r="552" spans="1:15" x14ac:dyDescent="0.35">
      <c r="A552" s="277"/>
      <c r="B552" s="262"/>
      <c r="D552" s="262"/>
      <c r="O552" s="262"/>
    </row>
    <row r="553" spans="1:15" x14ac:dyDescent="0.35">
      <c r="A553" s="277"/>
      <c r="B553" s="262"/>
      <c r="D553" s="262"/>
      <c r="O553" s="262"/>
    </row>
    <row r="554" spans="1:15" x14ac:dyDescent="0.35">
      <c r="A554" s="277"/>
      <c r="B554" s="262"/>
      <c r="D554" s="262"/>
      <c r="O554" s="262"/>
    </row>
    <row r="555" spans="1:15" x14ac:dyDescent="0.35">
      <c r="A555" s="277"/>
      <c r="B555" s="262"/>
      <c r="D555" s="262"/>
      <c r="O555" s="262"/>
    </row>
    <row r="556" spans="1:15" x14ac:dyDescent="0.35">
      <c r="A556" s="277"/>
      <c r="B556" s="262"/>
      <c r="D556" s="262"/>
      <c r="O556" s="262"/>
    </row>
    <row r="557" spans="1:15" x14ac:dyDescent="0.35">
      <c r="A557" s="277"/>
      <c r="B557" s="262"/>
      <c r="D557" s="262"/>
      <c r="O557" s="262"/>
    </row>
    <row r="558" spans="1:15" x14ac:dyDescent="0.35">
      <c r="A558" s="277"/>
      <c r="B558" s="262"/>
      <c r="D558" s="262"/>
      <c r="O558" s="262"/>
    </row>
    <row r="559" spans="1:15" x14ac:dyDescent="0.35">
      <c r="A559" s="277"/>
      <c r="B559" s="262"/>
      <c r="D559" s="262"/>
      <c r="O559" s="262"/>
    </row>
    <row r="560" spans="1:15" x14ac:dyDescent="0.35">
      <c r="A560" s="277"/>
      <c r="B560" s="262"/>
      <c r="D560" s="262"/>
      <c r="O560" s="262"/>
    </row>
    <row r="561" spans="1:15" x14ac:dyDescent="0.35">
      <c r="A561" s="277"/>
      <c r="B561" s="262"/>
      <c r="D561" s="262"/>
      <c r="O561" s="262"/>
    </row>
    <row r="562" spans="1:15" x14ac:dyDescent="0.35">
      <c r="A562" s="277"/>
      <c r="B562" s="262"/>
      <c r="D562" s="262"/>
      <c r="O562" s="262"/>
    </row>
    <row r="563" spans="1:15" x14ac:dyDescent="0.35">
      <c r="A563" s="277"/>
      <c r="B563" s="262"/>
      <c r="D563" s="262"/>
      <c r="O563" s="262"/>
    </row>
    <row r="564" spans="1:15" x14ac:dyDescent="0.35">
      <c r="A564" s="277"/>
      <c r="B564" s="262"/>
      <c r="D564" s="262"/>
      <c r="O564" s="262"/>
    </row>
    <row r="565" spans="1:15" x14ac:dyDescent="0.35">
      <c r="A565" s="277"/>
      <c r="B565" s="262"/>
      <c r="D565" s="262"/>
      <c r="O565" s="262"/>
    </row>
    <row r="566" spans="1:15" x14ac:dyDescent="0.35">
      <c r="A566" s="277"/>
      <c r="B566" s="262"/>
      <c r="D566" s="262"/>
      <c r="O566" s="262"/>
    </row>
    <row r="567" spans="1:15" x14ac:dyDescent="0.35">
      <c r="A567" s="277"/>
      <c r="B567" s="262"/>
      <c r="D567" s="262"/>
      <c r="O567" s="262"/>
    </row>
    <row r="568" spans="1:15" x14ac:dyDescent="0.35">
      <c r="A568" s="277"/>
      <c r="B568" s="262"/>
      <c r="D568" s="262"/>
      <c r="O568" s="262"/>
    </row>
    <row r="569" spans="1:15" x14ac:dyDescent="0.35">
      <c r="A569" s="277"/>
      <c r="B569" s="262"/>
      <c r="D569" s="262"/>
      <c r="O569" s="262"/>
    </row>
    <row r="570" spans="1:15" x14ac:dyDescent="0.35">
      <c r="A570" s="277"/>
      <c r="B570" s="262"/>
      <c r="D570" s="262"/>
      <c r="O570" s="262"/>
    </row>
    <row r="571" spans="1:15" x14ac:dyDescent="0.35">
      <c r="A571" s="277"/>
      <c r="B571" s="262"/>
      <c r="D571" s="262"/>
      <c r="O571" s="262"/>
    </row>
    <row r="572" spans="1:15" x14ac:dyDescent="0.35">
      <c r="A572" s="277"/>
      <c r="B572" s="262"/>
      <c r="D572" s="262"/>
      <c r="O572" s="262"/>
    </row>
    <row r="573" spans="1:15" x14ac:dyDescent="0.35">
      <c r="A573" s="277"/>
      <c r="B573" s="262"/>
      <c r="D573" s="262"/>
      <c r="O573" s="262"/>
    </row>
    <row r="574" spans="1:15" x14ac:dyDescent="0.35">
      <c r="A574" s="277"/>
      <c r="B574" s="262"/>
      <c r="D574" s="262"/>
      <c r="O574" s="262"/>
    </row>
    <row r="575" spans="1:15" x14ac:dyDescent="0.35">
      <c r="A575" s="277"/>
      <c r="B575" s="262"/>
      <c r="D575" s="262"/>
      <c r="O575" s="262"/>
    </row>
    <row r="576" spans="1:15" x14ac:dyDescent="0.35">
      <c r="A576" s="277"/>
      <c r="B576" s="262"/>
      <c r="D576" s="262"/>
      <c r="O576" s="262"/>
    </row>
    <row r="577" spans="1:15" x14ac:dyDescent="0.35">
      <c r="A577" s="277"/>
      <c r="B577" s="262"/>
      <c r="D577" s="262"/>
      <c r="O577" s="262"/>
    </row>
    <row r="578" spans="1:15" x14ac:dyDescent="0.35">
      <c r="A578" s="277"/>
      <c r="B578" s="262"/>
      <c r="D578" s="262"/>
      <c r="O578" s="262"/>
    </row>
    <row r="579" spans="1:15" x14ac:dyDescent="0.35">
      <c r="A579" s="277"/>
      <c r="B579" s="262"/>
      <c r="D579" s="262"/>
      <c r="O579" s="262"/>
    </row>
    <row r="580" spans="1:15" x14ac:dyDescent="0.35">
      <c r="A580" s="277"/>
      <c r="B580" s="262"/>
      <c r="D580" s="262"/>
      <c r="O580" s="262"/>
    </row>
    <row r="581" spans="1:15" x14ac:dyDescent="0.35">
      <c r="A581" s="277"/>
      <c r="B581" s="262"/>
      <c r="D581" s="262"/>
      <c r="O581" s="262"/>
    </row>
    <row r="582" spans="1:15" x14ac:dyDescent="0.35">
      <c r="A582" s="277"/>
      <c r="B582" s="262"/>
      <c r="D582" s="262"/>
      <c r="O582" s="262"/>
    </row>
    <row r="583" spans="1:15" x14ac:dyDescent="0.35">
      <c r="A583" s="277"/>
      <c r="B583" s="262"/>
      <c r="D583" s="262"/>
      <c r="O583" s="262"/>
    </row>
    <row r="584" spans="1:15" x14ac:dyDescent="0.35">
      <c r="A584" s="277"/>
      <c r="B584" s="262"/>
      <c r="D584" s="262"/>
      <c r="O584" s="262"/>
    </row>
    <row r="585" spans="1:15" x14ac:dyDescent="0.35">
      <c r="A585" s="277"/>
      <c r="B585" s="262"/>
      <c r="D585" s="262"/>
      <c r="O585" s="262"/>
    </row>
    <row r="586" spans="1:15" x14ac:dyDescent="0.35">
      <c r="A586" s="277"/>
      <c r="B586" s="262"/>
      <c r="D586" s="262"/>
      <c r="O586" s="262"/>
    </row>
    <row r="587" spans="1:15" x14ac:dyDescent="0.35">
      <c r="A587" s="277"/>
      <c r="B587" s="262"/>
      <c r="D587" s="262"/>
      <c r="O587" s="262"/>
    </row>
    <row r="588" spans="1:15" x14ac:dyDescent="0.35">
      <c r="A588" s="277"/>
      <c r="B588" s="262"/>
      <c r="D588" s="262"/>
      <c r="O588" s="262"/>
    </row>
    <row r="589" spans="1:15" x14ac:dyDescent="0.35">
      <c r="A589" s="277"/>
      <c r="B589" s="262"/>
      <c r="D589" s="262"/>
      <c r="O589" s="262"/>
    </row>
    <row r="590" spans="1:15" x14ac:dyDescent="0.35">
      <c r="A590" s="277"/>
      <c r="B590" s="262"/>
      <c r="D590" s="262"/>
      <c r="O590" s="262"/>
    </row>
    <row r="591" spans="1:15" x14ac:dyDescent="0.35">
      <c r="A591" s="277"/>
      <c r="B591" s="262"/>
      <c r="D591" s="262"/>
      <c r="O591" s="262"/>
    </row>
    <row r="592" spans="1:15" x14ac:dyDescent="0.35">
      <c r="A592" s="277"/>
      <c r="B592" s="262"/>
      <c r="D592" s="262"/>
      <c r="O592" s="262"/>
    </row>
    <row r="593" spans="1:15" x14ac:dyDescent="0.35">
      <c r="A593" s="277"/>
      <c r="B593" s="262"/>
      <c r="D593" s="262"/>
      <c r="O593" s="262"/>
    </row>
    <row r="594" spans="1:15" x14ac:dyDescent="0.35">
      <c r="A594" s="277"/>
      <c r="B594" s="262"/>
      <c r="D594" s="262"/>
      <c r="O594" s="262"/>
    </row>
    <row r="595" spans="1:15" x14ac:dyDescent="0.35">
      <c r="A595" s="277"/>
      <c r="B595" s="262"/>
      <c r="D595" s="262"/>
      <c r="O595" s="262"/>
    </row>
    <row r="596" spans="1:15" x14ac:dyDescent="0.35">
      <c r="A596" s="277"/>
      <c r="B596" s="262"/>
      <c r="D596" s="262"/>
      <c r="O596" s="262"/>
    </row>
    <row r="597" spans="1:15" x14ac:dyDescent="0.35">
      <c r="A597" s="277"/>
      <c r="B597" s="262"/>
      <c r="D597" s="262"/>
      <c r="O597" s="262"/>
    </row>
    <row r="598" spans="1:15" x14ac:dyDescent="0.35">
      <c r="A598" s="277"/>
      <c r="B598" s="262"/>
      <c r="D598" s="262"/>
      <c r="O598" s="262"/>
    </row>
    <row r="599" spans="1:15" x14ac:dyDescent="0.35">
      <c r="A599" s="277"/>
      <c r="B599" s="262"/>
      <c r="D599" s="262"/>
      <c r="O599" s="262"/>
    </row>
    <row r="600" spans="1:15" x14ac:dyDescent="0.35">
      <c r="A600" s="277"/>
      <c r="B600" s="262"/>
      <c r="D600" s="262"/>
      <c r="O600" s="262"/>
    </row>
    <row r="601" spans="1:15" x14ac:dyDescent="0.35">
      <c r="A601" s="277"/>
      <c r="B601" s="262"/>
      <c r="D601" s="262"/>
      <c r="O601" s="262"/>
    </row>
    <row r="602" spans="1:15" x14ac:dyDescent="0.35">
      <c r="A602" s="277"/>
      <c r="B602" s="262"/>
      <c r="D602" s="262"/>
      <c r="O602" s="262"/>
    </row>
    <row r="603" spans="1:15" x14ac:dyDescent="0.35">
      <c r="A603" s="277"/>
      <c r="B603" s="262"/>
      <c r="D603" s="262"/>
      <c r="O603" s="262"/>
    </row>
    <row r="604" spans="1:15" x14ac:dyDescent="0.35">
      <c r="A604" s="277"/>
      <c r="B604" s="262"/>
      <c r="D604" s="262"/>
      <c r="O604" s="262"/>
    </row>
    <row r="605" spans="1:15" x14ac:dyDescent="0.35">
      <c r="A605" s="277"/>
      <c r="B605" s="262"/>
      <c r="D605" s="262"/>
      <c r="O605" s="262"/>
    </row>
    <row r="606" spans="1:15" x14ac:dyDescent="0.35">
      <c r="A606" s="277"/>
      <c r="B606" s="262"/>
      <c r="D606" s="262"/>
      <c r="O606" s="262"/>
    </row>
    <row r="607" spans="1:15" x14ac:dyDescent="0.35">
      <c r="A607" s="277"/>
      <c r="B607" s="262"/>
      <c r="D607" s="262"/>
      <c r="O607" s="262"/>
    </row>
    <row r="608" spans="1:15" x14ac:dyDescent="0.35">
      <c r="A608" s="277"/>
      <c r="B608" s="262"/>
      <c r="D608" s="262"/>
      <c r="O608" s="262"/>
    </row>
    <row r="609" spans="1:15" x14ac:dyDescent="0.35">
      <c r="A609" s="277"/>
      <c r="B609" s="262"/>
      <c r="D609" s="262"/>
      <c r="O609" s="262"/>
    </row>
    <row r="610" spans="1:15" x14ac:dyDescent="0.35">
      <c r="A610" s="277"/>
      <c r="B610" s="262"/>
      <c r="D610" s="262"/>
      <c r="O610" s="262"/>
    </row>
    <row r="611" spans="1:15" x14ac:dyDescent="0.35">
      <c r="A611" s="277"/>
      <c r="B611" s="262"/>
      <c r="D611" s="262"/>
      <c r="O611" s="262"/>
    </row>
    <row r="612" spans="1:15" x14ac:dyDescent="0.35">
      <c r="A612" s="277"/>
      <c r="B612" s="262"/>
      <c r="D612" s="262"/>
      <c r="O612" s="262"/>
    </row>
    <row r="613" spans="1:15" x14ac:dyDescent="0.35">
      <c r="A613" s="277"/>
      <c r="B613" s="262"/>
      <c r="D613" s="262"/>
      <c r="O613" s="262"/>
    </row>
    <row r="614" spans="1:15" x14ac:dyDescent="0.35">
      <c r="A614" s="277"/>
      <c r="B614" s="262"/>
      <c r="D614" s="262"/>
      <c r="O614" s="262"/>
    </row>
    <row r="615" spans="1:15" x14ac:dyDescent="0.35">
      <c r="A615" s="277"/>
      <c r="B615" s="262"/>
      <c r="D615" s="262"/>
      <c r="O615" s="262"/>
    </row>
    <row r="616" spans="1:15" x14ac:dyDescent="0.35">
      <c r="A616" s="277"/>
      <c r="B616" s="262"/>
      <c r="D616" s="262"/>
      <c r="O616" s="262"/>
    </row>
    <row r="617" spans="1:15" x14ac:dyDescent="0.35">
      <c r="A617" s="277"/>
      <c r="B617" s="262"/>
      <c r="D617" s="262"/>
      <c r="O617" s="262"/>
    </row>
    <row r="618" spans="1:15" x14ac:dyDescent="0.35">
      <c r="A618" s="277"/>
      <c r="B618" s="262"/>
      <c r="D618" s="262"/>
      <c r="O618" s="262"/>
    </row>
    <row r="619" spans="1:15" x14ac:dyDescent="0.35">
      <c r="A619" s="277"/>
      <c r="B619" s="262"/>
      <c r="D619" s="262"/>
      <c r="O619" s="262"/>
    </row>
    <row r="620" spans="1:15" x14ac:dyDescent="0.35">
      <c r="A620" s="277"/>
      <c r="B620" s="262"/>
      <c r="D620" s="262"/>
      <c r="O620" s="262"/>
    </row>
    <row r="621" spans="1:15" x14ac:dyDescent="0.35">
      <c r="A621" s="277"/>
      <c r="B621" s="262"/>
      <c r="D621" s="262"/>
      <c r="O621" s="262"/>
    </row>
    <row r="622" spans="1:15" x14ac:dyDescent="0.35">
      <c r="A622" s="277"/>
      <c r="B622" s="262"/>
      <c r="D622" s="262"/>
      <c r="O622" s="262"/>
    </row>
    <row r="623" spans="1:15" x14ac:dyDescent="0.35">
      <c r="A623" s="277"/>
      <c r="B623" s="262"/>
      <c r="D623" s="262"/>
      <c r="O623" s="262"/>
    </row>
    <row r="624" spans="1:15" x14ac:dyDescent="0.35">
      <c r="A624" s="277"/>
      <c r="B624" s="262"/>
      <c r="D624" s="262"/>
      <c r="O624" s="262"/>
    </row>
    <row r="625" spans="1:15" x14ac:dyDescent="0.35">
      <c r="A625" s="277"/>
      <c r="B625" s="262"/>
      <c r="D625" s="262"/>
      <c r="O625" s="262"/>
    </row>
    <row r="626" spans="1:15" x14ac:dyDescent="0.35">
      <c r="A626" s="277"/>
      <c r="B626" s="262"/>
      <c r="D626" s="262"/>
      <c r="O626" s="262"/>
    </row>
    <row r="627" spans="1:15" x14ac:dyDescent="0.35">
      <c r="A627" s="277"/>
      <c r="B627" s="262"/>
      <c r="D627" s="262"/>
      <c r="O627" s="262"/>
    </row>
    <row r="628" spans="1:15" x14ac:dyDescent="0.35">
      <c r="A628" s="277"/>
      <c r="B628" s="262"/>
      <c r="D628" s="262"/>
      <c r="O628" s="262"/>
    </row>
    <row r="629" spans="1:15" x14ac:dyDescent="0.35">
      <c r="A629" s="277"/>
      <c r="B629" s="262"/>
      <c r="D629" s="262"/>
      <c r="O629" s="262"/>
    </row>
    <row r="630" spans="1:15" x14ac:dyDescent="0.35">
      <c r="A630" s="277"/>
      <c r="B630" s="262"/>
      <c r="D630" s="262"/>
      <c r="O630" s="262"/>
    </row>
    <row r="631" spans="1:15" x14ac:dyDescent="0.35">
      <c r="A631" s="277"/>
      <c r="B631" s="262"/>
      <c r="D631" s="262"/>
      <c r="O631" s="262"/>
    </row>
    <row r="632" spans="1:15" x14ac:dyDescent="0.35">
      <c r="A632" s="277"/>
      <c r="B632" s="262"/>
      <c r="D632" s="262"/>
      <c r="O632" s="262"/>
    </row>
    <row r="633" spans="1:15" x14ac:dyDescent="0.35">
      <c r="A633" s="277"/>
      <c r="B633" s="262"/>
      <c r="D633" s="262"/>
      <c r="O633" s="262"/>
    </row>
    <row r="634" spans="1:15" x14ac:dyDescent="0.35">
      <c r="A634" s="277"/>
      <c r="B634" s="262"/>
      <c r="D634" s="262"/>
      <c r="O634" s="262"/>
    </row>
    <row r="635" spans="1:15" x14ac:dyDescent="0.35">
      <c r="A635" s="277"/>
      <c r="B635" s="262"/>
      <c r="D635" s="262"/>
      <c r="O635" s="262"/>
    </row>
    <row r="636" spans="1:15" x14ac:dyDescent="0.35">
      <c r="A636" s="277"/>
      <c r="B636" s="262"/>
      <c r="D636" s="262"/>
      <c r="O636" s="262"/>
    </row>
    <row r="637" spans="1:15" x14ac:dyDescent="0.35">
      <c r="A637" s="277"/>
      <c r="B637" s="262"/>
      <c r="D637" s="262"/>
      <c r="O637" s="262"/>
    </row>
    <row r="638" spans="1:15" x14ac:dyDescent="0.35">
      <c r="A638" s="277"/>
      <c r="B638" s="262"/>
      <c r="D638" s="262"/>
      <c r="O638" s="262"/>
    </row>
    <row r="639" spans="1:15" x14ac:dyDescent="0.35">
      <c r="A639" s="277"/>
      <c r="B639" s="262"/>
      <c r="D639" s="262"/>
      <c r="O639" s="262"/>
    </row>
    <row r="640" spans="1:15" x14ac:dyDescent="0.35">
      <c r="A640" s="277"/>
      <c r="B640" s="262"/>
      <c r="D640" s="262"/>
      <c r="O640" s="262"/>
    </row>
    <row r="641" spans="1:15" x14ac:dyDescent="0.35">
      <c r="A641" s="277"/>
      <c r="B641" s="262"/>
      <c r="D641" s="262"/>
      <c r="O641" s="262"/>
    </row>
    <row r="642" spans="1:15" x14ac:dyDescent="0.35">
      <c r="A642" s="277"/>
      <c r="B642" s="262"/>
      <c r="D642" s="262"/>
      <c r="O642" s="262"/>
    </row>
    <row r="643" spans="1:15" x14ac:dyDescent="0.35">
      <c r="A643" s="277"/>
      <c r="B643" s="262"/>
      <c r="D643" s="262"/>
      <c r="O643" s="262"/>
    </row>
    <row r="644" spans="1:15" x14ac:dyDescent="0.35">
      <c r="A644" s="277"/>
      <c r="B644" s="262"/>
      <c r="D644" s="262"/>
      <c r="O644" s="262"/>
    </row>
    <row r="645" spans="1:15" x14ac:dyDescent="0.35">
      <c r="A645" s="277"/>
      <c r="B645" s="262"/>
      <c r="D645" s="262"/>
      <c r="O645" s="262"/>
    </row>
    <row r="646" spans="1:15" x14ac:dyDescent="0.35">
      <c r="A646" s="277"/>
      <c r="B646" s="262"/>
      <c r="D646" s="262"/>
      <c r="O646" s="262"/>
    </row>
    <row r="647" spans="1:15" x14ac:dyDescent="0.35">
      <c r="A647" s="277"/>
      <c r="B647" s="262"/>
      <c r="D647" s="262"/>
      <c r="O647" s="262"/>
    </row>
    <row r="648" spans="1:15" x14ac:dyDescent="0.35">
      <c r="A648" s="277"/>
      <c r="B648" s="262"/>
      <c r="D648" s="262"/>
      <c r="O648" s="262"/>
    </row>
    <row r="649" spans="1:15" x14ac:dyDescent="0.35">
      <c r="A649" s="277"/>
      <c r="B649" s="262"/>
      <c r="D649" s="262"/>
      <c r="O649" s="262"/>
    </row>
    <row r="650" spans="1:15" x14ac:dyDescent="0.35">
      <c r="A650" s="277"/>
      <c r="B650" s="262"/>
      <c r="D650" s="262"/>
      <c r="O650" s="262"/>
    </row>
    <row r="651" spans="1:15" x14ac:dyDescent="0.35">
      <c r="A651" s="277"/>
      <c r="B651" s="262"/>
      <c r="D651" s="262"/>
      <c r="O651" s="262"/>
    </row>
    <row r="652" spans="1:15" x14ac:dyDescent="0.35">
      <c r="A652" s="277"/>
      <c r="B652" s="262"/>
      <c r="D652" s="262"/>
      <c r="O652" s="262"/>
    </row>
    <row r="653" spans="1:15" x14ac:dyDescent="0.35">
      <c r="A653" s="277"/>
      <c r="B653" s="262"/>
      <c r="D653" s="262"/>
      <c r="O653" s="262"/>
    </row>
    <row r="654" spans="1:15" x14ac:dyDescent="0.35">
      <c r="A654" s="277"/>
      <c r="B654" s="262"/>
      <c r="D654" s="262"/>
      <c r="O654" s="262"/>
    </row>
    <row r="655" spans="1:15" x14ac:dyDescent="0.35">
      <c r="A655" s="277"/>
      <c r="B655" s="262"/>
      <c r="D655" s="262"/>
      <c r="O655" s="262"/>
    </row>
    <row r="656" spans="1:15" x14ac:dyDescent="0.35">
      <c r="A656" s="277"/>
      <c r="B656" s="262"/>
      <c r="D656" s="262"/>
      <c r="O656" s="262"/>
    </row>
    <row r="657" spans="1:15" x14ac:dyDescent="0.35">
      <c r="A657" s="277"/>
      <c r="B657" s="262"/>
      <c r="D657" s="262"/>
      <c r="O657" s="262"/>
    </row>
    <row r="658" spans="1:15" x14ac:dyDescent="0.35">
      <c r="A658" s="277"/>
      <c r="B658" s="262"/>
      <c r="D658" s="262"/>
      <c r="O658" s="262"/>
    </row>
    <row r="659" spans="1:15" x14ac:dyDescent="0.35">
      <c r="A659" s="277"/>
      <c r="B659" s="262"/>
      <c r="D659" s="262"/>
      <c r="O659" s="262"/>
    </row>
    <row r="660" spans="1:15" x14ac:dyDescent="0.35">
      <c r="A660" s="277"/>
      <c r="B660" s="262"/>
      <c r="D660" s="262"/>
      <c r="O660" s="262"/>
    </row>
    <row r="661" spans="1:15" x14ac:dyDescent="0.35">
      <c r="A661" s="277"/>
      <c r="B661" s="262"/>
      <c r="D661" s="262"/>
      <c r="O661" s="262"/>
    </row>
    <row r="662" spans="1:15" x14ac:dyDescent="0.35">
      <c r="A662" s="277"/>
      <c r="B662" s="262"/>
      <c r="D662" s="262"/>
      <c r="O662" s="262"/>
    </row>
    <row r="663" spans="1:15" x14ac:dyDescent="0.35">
      <c r="A663" s="277"/>
      <c r="B663" s="262"/>
      <c r="D663" s="262"/>
      <c r="O663" s="262"/>
    </row>
    <row r="664" spans="1:15" x14ac:dyDescent="0.35">
      <c r="A664" s="277"/>
      <c r="B664" s="262"/>
      <c r="D664" s="262"/>
      <c r="O664" s="262"/>
    </row>
    <row r="665" spans="1:15" x14ac:dyDescent="0.35">
      <c r="A665" s="277"/>
      <c r="B665" s="262"/>
      <c r="D665" s="262"/>
      <c r="O665" s="262"/>
    </row>
    <row r="666" spans="1:15" x14ac:dyDescent="0.35">
      <c r="A666" s="277"/>
      <c r="B666" s="262"/>
      <c r="D666" s="262"/>
      <c r="O666" s="262"/>
    </row>
    <row r="667" spans="1:15" x14ac:dyDescent="0.35">
      <c r="A667" s="277"/>
      <c r="B667" s="262"/>
      <c r="D667" s="262"/>
      <c r="O667" s="262"/>
    </row>
    <row r="668" spans="1:15" x14ac:dyDescent="0.35">
      <c r="A668" s="277"/>
      <c r="B668" s="262"/>
      <c r="D668" s="262"/>
      <c r="O668" s="262"/>
    </row>
    <row r="669" spans="1:15" x14ac:dyDescent="0.35">
      <c r="A669" s="277"/>
      <c r="B669" s="262"/>
      <c r="D669" s="262"/>
      <c r="O669" s="262"/>
    </row>
    <row r="670" spans="1:15" x14ac:dyDescent="0.35">
      <c r="A670" s="277"/>
      <c r="B670" s="262"/>
      <c r="D670" s="262"/>
      <c r="O670" s="262"/>
    </row>
    <row r="671" spans="1:15" x14ac:dyDescent="0.35">
      <c r="A671" s="277"/>
      <c r="B671" s="262"/>
      <c r="D671" s="262"/>
      <c r="O671" s="262"/>
    </row>
    <row r="672" spans="1:15" x14ac:dyDescent="0.35">
      <c r="A672" s="277"/>
      <c r="B672" s="262"/>
      <c r="D672" s="262"/>
      <c r="O672" s="262"/>
    </row>
    <row r="673" spans="1:15" x14ac:dyDescent="0.35">
      <c r="A673" s="277"/>
      <c r="B673" s="262"/>
      <c r="D673" s="262"/>
      <c r="O673" s="262"/>
    </row>
    <row r="674" spans="1:15" x14ac:dyDescent="0.35">
      <c r="A674" s="277"/>
      <c r="B674" s="262"/>
      <c r="D674" s="262"/>
      <c r="O674" s="262"/>
    </row>
    <row r="675" spans="1:15" x14ac:dyDescent="0.35">
      <c r="A675" s="277"/>
      <c r="B675" s="262"/>
      <c r="D675" s="262"/>
      <c r="O675" s="262"/>
    </row>
    <row r="676" spans="1:15" x14ac:dyDescent="0.35">
      <c r="A676" s="277"/>
      <c r="B676" s="262"/>
      <c r="D676" s="262"/>
      <c r="O676" s="262"/>
    </row>
    <row r="677" spans="1:15" x14ac:dyDescent="0.35">
      <c r="A677" s="277"/>
      <c r="B677" s="262"/>
      <c r="D677" s="262"/>
      <c r="O677" s="262"/>
    </row>
    <row r="678" spans="1:15" x14ac:dyDescent="0.35">
      <c r="A678" s="277"/>
      <c r="B678" s="262"/>
      <c r="D678" s="262"/>
      <c r="O678" s="262"/>
    </row>
    <row r="679" spans="1:15" x14ac:dyDescent="0.35">
      <c r="A679" s="277"/>
      <c r="B679" s="262"/>
      <c r="D679" s="262"/>
      <c r="O679" s="262"/>
    </row>
    <row r="680" spans="1:15" x14ac:dyDescent="0.35">
      <c r="A680" s="277"/>
      <c r="B680" s="262"/>
      <c r="D680" s="262"/>
      <c r="O680" s="262"/>
    </row>
    <row r="681" spans="1:15" x14ac:dyDescent="0.35">
      <c r="A681" s="277"/>
      <c r="B681" s="262"/>
      <c r="D681" s="262"/>
      <c r="O681" s="262"/>
    </row>
    <row r="682" spans="1:15" x14ac:dyDescent="0.35">
      <c r="A682" s="277"/>
      <c r="B682" s="262"/>
      <c r="D682" s="262"/>
      <c r="O682" s="262"/>
    </row>
    <row r="683" spans="1:15" x14ac:dyDescent="0.35">
      <c r="A683" s="277"/>
      <c r="B683" s="262"/>
      <c r="D683" s="262"/>
      <c r="O683" s="262"/>
    </row>
    <row r="684" spans="1:15" x14ac:dyDescent="0.35">
      <c r="A684" s="277"/>
      <c r="B684" s="262"/>
      <c r="D684" s="262"/>
      <c r="O684" s="262"/>
    </row>
    <row r="685" spans="1:15" x14ac:dyDescent="0.35">
      <c r="A685" s="277"/>
      <c r="B685" s="262"/>
      <c r="D685" s="262"/>
      <c r="O685" s="262"/>
    </row>
    <row r="686" spans="1:15" x14ac:dyDescent="0.35">
      <c r="A686" s="277"/>
      <c r="B686" s="262"/>
      <c r="D686" s="262"/>
      <c r="O686" s="262"/>
    </row>
    <row r="687" spans="1:15" x14ac:dyDescent="0.35">
      <c r="A687" s="277"/>
      <c r="B687" s="262"/>
      <c r="D687" s="262"/>
      <c r="O687" s="262"/>
    </row>
    <row r="688" spans="1:15" x14ac:dyDescent="0.35">
      <c r="A688" s="277"/>
      <c r="B688" s="262"/>
      <c r="D688" s="262"/>
      <c r="O688" s="262"/>
    </row>
    <row r="689" spans="1:15" x14ac:dyDescent="0.35">
      <c r="A689" s="277"/>
      <c r="B689" s="262"/>
      <c r="D689" s="262"/>
      <c r="O689" s="262"/>
    </row>
    <row r="690" spans="1:15" x14ac:dyDescent="0.35">
      <c r="A690" s="277"/>
      <c r="B690" s="262"/>
      <c r="D690" s="262"/>
      <c r="O690" s="262"/>
    </row>
    <row r="691" spans="1:15" x14ac:dyDescent="0.35">
      <c r="A691" s="277"/>
      <c r="B691" s="262"/>
      <c r="D691" s="262"/>
      <c r="O691" s="262"/>
    </row>
    <row r="692" spans="1:15" x14ac:dyDescent="0.35">
      <c r="A692" s="277"/>
      <c r="B692" s="262"/>
      <c r="D692" s="262"/>
      <c r="O692" s="262"/>
    </row>
    <row r="693" spans="1:15" x14ac:dyDescent="0.35">
      <c r="A693" s="277"/>
      <c r="B693" s="262"/>
      <c r="D693" s="262"/>
      <c r="O693" s="262"/>
    </row>
    <row r="694" spans="1:15" x14ac:dyDescent="0.35">
      <c r="A694" s="277"/>
      <c r="B694" s="262"/>
      <c r="D694" s="262"/>
      <c r="O694" s="262"/>
    </row>
    <row r="695" spans="1:15" x14ac:dyDescent="0.35">
      <c r="A695" s="277"/>
      <c r="B695" s="262"/>
      <c r="D695" s="262"/>
      <c r="O695" s="262"/>
    </row>
    <row r="696" spans="1:15" x14ac:dyDescent="0.35">
      <c r="A696" s="277"/>
      <c r="B696" s="262"/>
      <c r="D696" s="262"/>
      <c r="O696" s="262"/>
    </row>
    <row r="697" spans="1:15" x14ac:dyDescent="0.35">
      <c r="A697" s="277"/>
      <c r="B697" s="262"/>
      <c r="D697" s="262"/>
      <c r="O697" s="262"/>
    </row>
    <row r="698" spans="1:15" x14ac:dyDescent="0.35">
      <c r="A698" s="277"/>
      <c r="B698" s="262"/>
      <c r="D698" s="262"/>
      <c r="O698" s="262"/>
    </row>
    <row r="699" spans="1:15" x14ac:dyDescent="0.35">
      <c r="A699" s="277"/>
      <c r="B699" s="262"/>
      <c r="D699" s="262"/>
      <c r="O699" s="262"/>
    </row>
    <row r="700" spans="1:15" x14ac:dyDescent="0.35">
      <c r="A700" s="277"/>
      <c r="B700" s="262"/>
      <c r="D700" s="262"/>
      <c r="O700" s="262"/>
    </row>
    <row r="701" spans="1:15" x14ac:dyDescent="0.35">
      <c r="A701" s="277"/>
      <c r="B701" s="262"/>
      <c r="D701" s="262"/>
      <c r="O701" s="262"/>
    </row>
    <row r="702" spans="1:15" x14ac:dyDescent="0.35">
      <c r="A702" s="277"/>
      <c r="B702" s="262"/>
      <c r="D702" s="262"/>
      <c r="O702" s="262"/>
    </row>
    <row r="703" spans="1:15" x14ac:dyDescent="0.35">
      <c r="A703" s="277"/>
      <c r="B703" s="262"/>
      <c r="D703" s="262"/>
      <c r="O703" s="262"/>
    </row>
    <row r="704" spans="1:15" x14ac:dyDescent="0.35">
      <c r="A704" s="277"/>
      <c r="B704" s="262"/>
      <c r="D704" s="262"/>
      <c r="O704" s="262"/>
    </row>
    <row r="705" spans="1:15" x14ac:dyDescent="0.35">
      <c r="A705" s="277"/>
      <c r="B705" s="262"/>
      <c r="D705" s="262"/>
      <c r="O705" s="262"/>
    </row>
    <row r="706" spans="1:15" x14ac:dyDescent="0.35">
      <c r="A706" s="277"/>
      <c r="B706" s="262"/>
      <c r="D706" s="262"/>
      <c r="O706" s="262"/>
    </row>
    <row r="707" spans="1:15" x14ac:dyDescent="0.35">
      <c r="A707" s="277"/>
      <c r="B707" s="262"/>
      <c r="D707" s="262"/>
      <c r="O707" s="262"/>
    </row>
    <row r="708" spans="1:15" x14ac:dyDescent="0.35">
      <c r="A708" s="277"/>
      <c r="B708" s="262"/>
      <c r="D708" s="262"/>
      <c r="O708" s="262"/>
    </row>
    <row r="709" spans="1:15" x14ac:dyDescent="0.35">
      <c r="A709" s="277"/>
      <c r="B709" s="262"/>
      <c r="D709" s="262"/>
      <c r="O709" s="262"/>
    </row>
    <row r="710" spans="1:15" x14ac:dyDescent="0.35">
      <c r="A710" s="277"/>
      <c r="B710" s="262"/>
      <c r="D710" s="262"/>
      <c r="O710" s="262"/>
    </row>
    <row r="711" spans="1:15" x14ac:dyDescent="0.35">
      <c r="A711" s="277"/>
      <c r="B711" s="262"/>
      <c r="D711" s="262"/>
      <c r="O711" s="262"/>
    </row>
    <row r="712" spans="1:15" x14ac:dyDescent="0.35">
      <c r="A712" s="277"/>
      <c r="B712" s="262"/>
      <c r="D712" s="262"/>
      <c r="O712" s="262"/>
    </row>
    <row r="713" spans="1:15" x14ac:dyDescent="0.35">
      <c r="A713" s="277"/>
      <c r="B713" s="262"/>
      <c r="D713" s="262"/>
      <c r="O713" s="262"/>
    </row>
    <row r="714" spans="1:15" x14ac:dyDescent="0.35">
      <c r="A714" s="277"/>
      <c r="B714" s="262"/>
      <c r="D714" s="262"/>
      <c r="O714" s="262"/>
    </row>
    <row r="715" spans="1:15" x14ac:dyDescent="0.35">
      <c r="A715" s="277"/>
      <c r="B715" s="262"/>
      <c r="D715" s="262"/>
      <c r="O715" s="262"/>
    </row>
    <row r="716" spans="1:15" x14ac:dyDescent="0.35">
      <c r="A716" s="277"/>
      <c r="B716" s="262"/>
      <c r="D716" s="262"/>
      <c r="O716" s="262"/>
    </row>
    <row r="717" spans="1:15" x14ac:dyDescent="0.35">
      <c r="A717" s="277"/>
      <c r="B717" s="262"/>
      <c r="D717" s="262"/>
      <c r="O717" s="262"/>
    </row>
    <row r="718" spans="1:15" x14ac:dyDescent="0.35">
      <c r="A718" s="277"/>
      <c r="B718" s="262"/>
      <c r="D718" s="262"/>
      <c r="O718" s="262"/>
    </row>
    <row r="719" spans="1:15" x14ac:dyDescent="0.35">
      <c r="A719" s="277"/>
      <c r="B719" s="262"/>
      <c r="D719" s="262"/>
      <c r="O719" s="262"/>
    </row>
    <row r="720" spans="1:15" x14ac:dyDescent="0.35">
      <c r="A720" s="277"/>
      <c r="B720" s="262"/>
      <c r="D720" s="262"/>
      <c r="O720" s="262"/>
    </row>
    <row r="721" spans="1:15" x14ac:dyDescent="0.35">
      <c r="A721" s="277"/>
      <c r="B721" s="262"/>
      <c r="D721" s="262"/>
      <c r="O721" s="262"/>
    </row>
    <row r="722" spans="1:15" x14ac:dyDescent="0.35">
      <c r="A722" s="277"/>
      <c r="B722" s="262"/>
      <c r="D722" s="262"/>
      <c r="O722" s="262"/>
    </row>
    <row r="723" spans="1:15" x14ac:dyDescent="0.35">
      <c r="A723" s="277"/>
      <c r="B723" s="262"/>
      <c r="D723" s="262"/>
      <c r="O723" s="262"/>
    </row>
    <row r="724" spans="1:15" x14ac:dyDescent="0.35">
      <c r="A724" s="277"/>
      <c r="B724" s="262"/>
      <c r="D724" s="262"/>
      <c r="O724" s="262"/>
    </row>
    <row r="725" spans="1:15" x14ac:dyDescent="0.35">
      <c r="A725" s="277"/>
      <c r="B725" s="262"/>
      <c r="D725" s="262"/>
      <c r="O725" s="262"/>
    </row>
    <row r="726" spans="1:15" x14ac:dyDescent="0.35">
      <c r="A726" s="277"/>
      <c r="B726" s="262"/>
      <c r="D726" s="262"/>
      <c r="O726" s="262"/>
    </row>
    <row r="727" spans="1:15" x14ac:dyDescent="0.35">
      <c r="A727" s="277"/>
      <c r="B727" s="262"/>
      <c r="D727" s="262"/>
      <c r="O727" s="262"/>
    </row>
    <row r="728" spans="1:15" x14ac:dyDescent="0.35">
      <c r="A728" s="277"/>
      <c r="B728" s="262"/>
      <c r="D728" s="262"/>
      <c r="O728" s="262"/>
    </row>
    <row r="729" spans="1:15" x14ac:dyDescent="0.35">
      <c r="A729" s="277"/>
      <c r="B729" s="262"/>
      <c r="D729" s="262"/>
      <c r="O729" s="262"/>
    </row>
    <row r="730" spans="1:15" x14ac:dyDescent="0.35">
      <c r="A730" s="277"/>
      <c r="B730" s="262"/>
      <c r="D730" s="262"/>
      <c r="O730" s="262"/>
    </row>
    <row r="731" spans="1:15" x14ac:dyDescent="0.35">
      <c r="A731" s="277"/>
      <c r="B731" s="262"/>
      <c r="D731" s="262"/>
      <c r="O731" s="262"/>
    </row>
    <row r="732" spans="1:15" x14ac:dyDescent="0.35">
      <c r="A732" s="277"/>
      <c r="B732" s="262"/>
      <c r="D732" s="262"/>
      <c r="O732" s="262"/>
    </row>
    <row r="733" spans="1:15" x14ac:dyDescent="0.35">
      <c r="A733" s="277"/>
      <c r="B733" s="262"/>
      <c r="D733" s="262"/>
      <c r="O733" s="262"/>
    </row>
    <row r="734" spans="1:15" x14ac:dyDescent="0.35">
      <c r="A734" s="277"/>
      <c r="B734" s="262"/>
      <c r="D734" s="262"/>
      <c r="O734" s="262"/>
    </row>
    <row r="735" spans="1:15" x14ac:dyDescent="0.35">
      <c r="A735" s="277"/>
      <c r="B735" s="262"/>
      <c r="D735" s="262"/>
      <c r="O735" s="262"/>
    </row>
    <row r="736" spans="1:15" x14ac:dyDescent="0.35">
      <c r="A736" s="277"/>
      <c r="B736" s="262"/>
      <c r="D736" s="262"/>
      <c r="O736" s="262"/>
    </row>
    <row r="737" spans="1:15" x14ac:dyDescent="0.35">
      <c r="A737" s="277"/>
      <c r="B737" s="262"/>
      <c r="D737" s="262"/>
      <c r="O737" s="262"/>
    </row>
    <row r="738" spans="1:15" x14ac:dyDescent="0.35">
      <c r="A738" s="277"/>
      <c r="B738" s="262"/>
      <c r="D738" s="262"/>
      <c r="O738" s="262"/>
    </row>
    <row r="739" spans="1:15" x14ac:dyDescent="0.35">
      <c r="A739" s="277"/>
      <c r="B739" s="262"/>
      <c r="D739" s="262"/>
      <c r="O739" s="262"/>
    </row>
    <row r="740" spans="1:15" x14ac:dyDescent="0.35">
      <c r="A740" s="277"/>
      <c r="B740" s="262"/>
      <c r="D740" s="262"/>
      <c r="O740" s="262"/>
    </row>
    <row r="741" spans="1:15" x14ac:dyDescent="0.35">
      <c r="A741" s="277"/>
      <c r="B741" s="262"/>
      <c r="D741" s="262"/>
      <c r="O741" s="262"/>
    </row>
    <row r="742" spans="1:15" x14ac:dyDescent="0.35">
      <c r="A742" s="277"/>
      <c r="B742" s="262"/>
      <c r="D742" s="262"/>
      <c r="O742" s="262"/>
    </row>
    <row r="743" spans="1:15" x14ac:dyDescent="0.35">
      <c r="A743" s="277"/>
      <c r="B743" s="262"/>
      <c r="D743" s="262"/>
      <c r="O743" s="262"/>
    </row>
    <row r="744" spans="1:15" x14ac:dyDescent="0.35">
      <c r="A744" s="277"/>
      <c r="B744" s="262"/>
      <c r="D744" s="262"/>
      <c r="O744" s="262"/>
    </row>
    <row r="745" spans="1:15" x14ac:dyDescent="0.35">
      <c r="A745" s="277"/>
      <c r="B745" s="262"/>
      <c r="D745" s="262"/>
      <c r="O745" s="262"/>
    </row>
    <row r="746" spans="1:15" x14ac:dyDescent="0.35">
      <c r="A746" s="277"/>
      <c r="B746" s="262"/>
      <c r="D746" s="262"/>
      <c r="O746" s="262"/>
    </row>
    <row r="747" spans="1:15" x14ac:dyDescent="0.35">
      <c r="A747" s="277"/>
      <c r="B747" s="262"/>
      <c r="D747" s="262"/>
      <c r="O747" s="262"/>
    </row>
    <row r="748" spans="1:15" x14ac:dyDescent="0.35">
      <c r="A748" s="277"/>
      <c r="B748" s="262"/>
      <c r="D748" s="262"/>
      <c r="O748" s="262"/>
    </row>
    <row r="749" spans="1:15" x14ac:dyDescent="0.35">
      <c r="A749" s="277"/>
      <c r="B749" s="262"/>
      <c r="D749" s="262"/>
      <c r="O749" s="262"/>
    </row>
    <row r="750" spans="1:15" x14ac:dyDescent="0.35">
      <c r="A750" s="277"/>
      <c r="B750" s="262"/>
      <c r="D750" s="262"/>
      <c r="O750" s="262"/>
    </row>
    <row r="751" spans="1:15" x14ac:dyDescent="0.35">
      <c r="A751" s="277"/>
      <c r="B751" s="262"/>
      <c r="D751" s="262"/>
      <c r="O751" s="262"/>
    </row>
    <row r="752" spans="1:15" x14ac:dyDescent="0.35">
      <c r="A752" s="277"/>
      <c r="B752" s="262"/>
      <c r="D752" s="262"/>
      <c r="O752" s="262"/>
    </row>
    <row r="753" spans="1:15" x14ac:dyDescent="0.35">
      <c r="A753" s="277"/>
      <c r="B753" s="262"/>
      <c r="D753" s="262"/>
      <c r="O753" s="262"/>
    </row>
    <row r="754" spans="1:15" x14ac:dyDescent="0.35">
      <c r="A754" s="277"/>
      <c r="B754" s="262"/>
      <c r="D754" s="262"/>
      <c r="O754" s="262"/>
    </row>
    <row r="755" spans="1:15" x14ac:dyDescent="0.35">
      <c r="A755" s="277"/>
      <c r="B755" s="262"/>
      <c r="D755" s="262"/>
      <c r="O755" s="262"/>
    </row>
    <row r="756" spans="1:15" x14ac:dyDescent="0.35">
      <c r="A756" s="277"/>
      <c r="B756" s="262"/>
      <c r="D756" s="262"/>
      <c r="O756" s="262"/>
    </row>
    <row r="757" spans="1:15" x14ac:dyDescent="0.35">
      <c r="A757" s="277"/>
      <c r="B757" s="262"/>
      <c r="D757" s="262"/>
      <c r="O757" s="262"/>
    </row>
    <row r="758" spans="1:15" x14ac:dyDescent="0.35">
      <c r="A758" s="277"/>
      <c r="B758" s="262"/>
      <c r="D758" s="262"/>
      <c r="O758" s="262"/>
    </row>
    <row r="759" spans="1:15" x14ac:dyDescent="0.35">
      <c r="A759" s="277"/>
      <c r="B759" s="262"/>
      <c r="D759" s="262"/>
      <c r="O759" s="262"/>
    </row>
    <row r="760" spans="1:15" x14ac:dyDescent="0.35">
      <c r="A760" s="277"/>
      <c r="B760" s="262"/>
      <c r="D760" s="262"/>
      <c r="O760" s="262"/>
    </row>
    <row r="761" spans="1:15" x14ac:dyDescent="0.35">
      <c r="A761" s="277"/>
      <c r="B761" s="262"/>
      <c r="D761" s="262"/>
      <c r="O761" s="262"/>
    </row>
    <row r="762" spans="1:15" x14ac:dyDescent="0.35">
      <c r="A762" s="277"/>
      <c r="B762" s="262"/>
      <c r="D762" s="262"/>
      <c r="O762" s="262"/>
    </row>
    <row r="763" spans="1:15" x14ac:dyDescent="0.35">
      <c r="A763" s="277"/>
      <c r="B763" s="262"/>
      <c r="D763" s="262"/>
      <c r="O763" s="262"/>
    </row>
    <row r="764" spans="1:15" x14ac:dyDescent="0.35">
      <c r="A764" s="277"/>
      <c r="B764" s="262"/>
      <c r="D764" s="262"/>
      <c r="O764" s="262"/>
    </row>
    <row r="765" spans="1:15" x14ac:dyDescent="0.35">
      <c r="A765" s="277"/>
      <c r="B765" s="262"/>
      <c r="D765" s="262"/>
      <c r="O765" s="262"/>
    </row>
    <row r="766" spans="1:15" x14ac:dyDescent="0.35">
      <c r="A766" s="277"/>
      <c r="B766" s="262"/>
      <c r="D766" s="262"/>
      <c r="O766" s="262"/>
    </row>
    <row r="767" spans="1:15" x14ac:dyDescent="0.35">
      <c r="A767" s="277"/>
      <c r="B767" s="262"/>
      <c r="D767" s="262"/>
      <c r="O767" s="262"/>
    </row>
    <row r="768" spans="1:15" x14ac:dyDescent="0.35">
      <c r="A768" s="277"/>
      <c r="B768" s="262"/>
      <c r="D768" s="262"/>
      <c r="O768" s="262"/>
    </row>
    <row r="769" spans="1:15" x14ac:dyDescent="0.35">
      <c r="A769" s="277"/>
      <c r="B769" s="262"/>
      <c r="D769" s="262"/>
      <c r="O769" s="262"/>
    </row>
    <row r="770" spans="1:15" x14ac:dyDescent="0.35">
      <c r="A770" s="277"/>
      <c r="B770" s="262"/>
      <c r="D770" s="262"/>
      <c r="O770" s="262"/>
    </row>
    <row r="771" spans="1:15" x14ac:dyDescent="0.35">
      <c r="A771" s="277"/>
      <c r="B771" s="262"/>
      <c r="D771" s="262"/>
      <c r="O771" s="262"/>
    </row>
    <row r="772" spans="1:15" x14ac:dyDescent="0.35">
      <c r="A772" s="277"/>
      <c r="B772" s="262"/>
      <c r="D772" s="262"/>
      <c r="O772" s="262"/>
    </row>
    <row r="773" spans="1:15" x14ac:dyDescent="0.35">
      <c r="A773" s="277"/>
      <c r="B773" s="262"/>
      <c r="D773" s="262"/>
      <c r="O773" s="262"/>
    </row>
    <row r="774" spans="1:15" x14ac:dyDescent="0.35">
      <c r="A774" s="277"/>
      <c r="B774" s="262"/>
      <c r="D774" s="262"/>
      <c r="O774" s="262"/>
    </row>
    <row r="775" spans="1:15" x14ac:dyDescent="0.35">
      <c r="A775" s="277"/>
      <c r="B775" s="262"/>
      <c r="D775" s="262"/>
      <c r="O775" s="262"/>
    </row>
    <row r="776" spans="1:15" x14ac:dyDescent="0.35">
      <c r="A776" s="277"/>
      <c r="B776" s="262"/>
      <c r="D776" s="262"/>
      <c r="O776" s="262"/>
    </row>
    <row r="777" spans="1:15" x14ac:dyDescent="0.35">
      <c r="A777" s="277"/>
      <c r="B777" s="262"/>
      <c r="D777" s="262"/>
      <c r="O777" s="262"/>
    </row>
    <row r="778" spans="1:15" x14ac:dyDescent="0.35">
      <c r="A778" s="277"/>
      <c r="B778" s="262"/>
      <c r="D778" s="262"/>
      <c r="O778" s="262"/>
    </row>
    <row r="779" spans="1:15" x14ac:dyDescent="0.35">
      <c r="A779" s="277"/>
      <c r="B779" s="262"/>
      <c r="D779" s="262"/>
      <c r="O779" s="262"/>
    </row>
    <row r="780" spans="1:15" x14ac:dyDescent="0.35">
      <c r="A780" s="277"/>
      <c r="B780" s="262"/>
      <c r="D780" s="262"/>
      <c r="O780" s="262"/>
    </row>
    <row r="781" spans="1:15" x14ac:dyDescent="0.35">
      <c r="A781" s="277"/>
      <c r="B781" s="262"/>
      <c r="D781" s="262"/>
      <c r="O781" s="262"/>
    </row>
    <row r="782" spans="1:15" x14ac:dyDescent="0.35">
      <c r="A782" s="277"/>
      <c r="B782" s="262"/>
      <c r="D782" s="262"/>
      <c r="O782" s="262"/>
    </row>
    <row r="783" spans="1:15" x14ac:dyDescent="0.35">
      <c r="A783" s="277"/>
      <c r="B783" s="262"/>
      <c r="D783" s="262"/>
      <c r="O783" s="262"/>
    </row>
    <row r="784" spans="1:15" x14ac:dyDescent="0.35">
      <c r="A784" s="277"/>
      <c r="B784" s="262"/>
      <c r="D784" s="262"/>
      <c r="O784" s="262"/>
    </row>
    <row r="785" spans="1:15" x14ac:dyDescent="0.35">
      <c r="A785" s="277"/>
      <c r="B785" s="262"/>
      <c r="D785" s="262"/>
      <c r="O785" s="262"/>
    </row>
    <row r="786" spans="1:15" x14ac:dyDescent="0.35">
      <c r="A786" s="277"/>
      <c r="B786" s="262"/>
      <c r="D786" s="262"/>
      <c r="O786" s="262"/>
    </row>
    <row r="787" spans="1:15" x14ac:dyDescent="0.35">
      <c r="A787" s="277"/>
      <c r="B787" s="262"/>
      <c r="D787" s="262"/>
      <c r="O787" s="262"/>
    </row>
    <row r="788" spans="1:15" x14ac:dyDescent="0.35">
      <c r="A788" s="277"/>
      <c r="B788" s="262"/>
      <c r="D788" s="262"/>
      <c r="O788" s="262"/>
    </row>
    <row r="789" spans="1:15" x14ac:dyDescent="0.35">
      <c r="A789" s="277"/>
      <c r="B789" s="262"/>
      <c r="D789" s="262"/>
      <c r="O789" s="262"/>
    </row>
    <row r="790" spans="1:15" x14ac:dyDescent="0.35">
      <c r="A790" s="277"/>
      <c r="B790" s="262"/>
      <c r="D790" s="262"/>
      <c r="O790" s="262"/>
    </row>
    <row r="791" spans="1:15" x14ac:dyDescent="0.35">
      <c r="A791" s="277"/>
      <c r="B791" s="262"/>
      <c r="D791" s="262"/>
      <c r="O791" s="262"/>
    </row>
    <row r="792" spans="1:15" x14ac:dyDescent="0.35">
      <c r="A792" s="277"/>
      <c r="B792" s="262"/>
      <c r="D792" s="262"/>
      <c r="O792" s="262"/>
    </row>
    <row r="793" spans="1:15" x14ac:dyDescent="0.35">
      <c r="A793" s="277"/>
      <c r="B793" s="262"/>
      <c r="D793" s="262"/>
      <c r="O793" s="262"/>
    </row>
    <row r="794" spans="1:15" x14ac:dyDescent="0.35">
      <c r="A794" s="277"/>
      <c r="B794" s="262"/>
      <c r="D794" s="262"/>
      <c r="O794" s="262"/>
    </row>
    <row r="795" spans="1:15" x14ac:dyDescent="0.35">
      <c r="A795" s="277"/>
      <c r="B795" s="262"/>
      <c r="D795" s="262"/>
      <c r="O795" s="262"/>
    </row>
    <row r="796" spans="1:15" x14ac:dyDescent="0.35">
      <c r="A796" s="277"/>
      <c r="B796" s="262"/>
      <c r="D796" s="262"/>
      <c r="O796" s="262"/>
    </row>
    <row r="797" spans="1:15" x14ac:dyDescent="0.35">
      <c r="A797" s="277"/>
      <c r="B797" s="262"/>
      <c r="D797" s="262"/>
      <c r="O797" s="262"/>
    </row>
    <row r="798" spans="1:15" x14ac:dyDescent="0.35">
      <c r="A798" s="277"/>
      <c r="B798" s="262"/>
      <c r="D798" s="262"/>
      <c r="O798" s="262"/>
    </row>
    <row r="799" spans="1:15" x14ac:dyDescent="0.35">
      <c r="A799" s="277"/>
      <c r="B799" s="262"/>
      <c r="D799" s="262"/>
      <c r="O799" s="262"/>
    </row>
    <row r="800" spans="1:15" x14ac:dyDescent="0.35">
      <c r="A800" s="277"/>
      <c r="B800" s="262"/>
      <c r="D800" s="262"/>
      <c r="O800" s="262"/>
    </row>
    <row r="801" spans="1:15" x14ac:dyDescent="0.35">
      <c r="A801" s="277"/>
      <c r="B801" s="262"/>
      <c r="D801" s="262"/>
      <c r="O801" s="262"/>
    </row>
    <row r="802" spans="1:15" x14ac:dyDescent="0.35">
      <c r="A802" s="277"/>
      <c r="B802" s="262"/>
      <c r="D802" s="262"/>
      <c r="O802" s="262"/>
    </row>
    <row r="803" spans="1:15" x14ac:dyDescent="0.35">
      <c r="A803" s="277"/>
      <c r="B803" s="262"/>
      <c r="D803" s="262"/>
      <c r="O803" s="262"/>
    </row>
    <row r="804" spans="1:15" x14ac:dyDescent="0.35">
      <c r="A804" s="277"/>
      <c r="B804" s="262"/>
      <c r="D804" s="262"/>
      <c r="O804" s="262"/>
    </row>
    <row r="805" spans="1:15" x14ac:dyDescent="0.35">
      <c r="A805" s="277"/>
      <c r="B805" s="262"/>
      <c r="D805" s="262"/>
      <c r="O805" s="262"/>
    </row>
    <row r="806" spans="1:15" x14ac:dyDescent="0.35">
      <c r="A806" s="277"/>
      <c r="B806" s="262"/>
      <c r="D806" s="262"/>
      <c r="O806" s="262"/>
    </row>
    <row r="807" spans="1:15" x14ac:dyDescent="0.35">
      <c r="A807" s="277"/>
      <c r="B807" s="262"/>
      <c r="D807" s="262"/>
      <c r="O807" s="262"/>
    </row>
    <row r="808" spans="1:15" x14ac:dyDescent="0.35">
      <c r="A808" s="277"/>
      <c r="B808" s="262"/>
      <c r="D808" s="262"/>
      <c r="O808" s="262"/>
    </row>
    <row r="809" spans="1:15" x14ac:dyDescent="0.35">
      <c r="A809" s="277"/>
      <c r="B809" s="262"/>
      <c r="D809" s="262"/>
      <c r="O809" s="262"/>
    </row>
    <row r="810" spans="1:15" x14ac:dyDescent="0.35">
      <c r="A810" s="277"/>
      <c r="B810" s="262"/>
      <c r="D810" s="262"/>
      <c r="O810" s="262"/>
    </row>
    <row r="811" spans="1:15" x14ac:dyDescent="0.35">
      <c r="A811" s="277"/>
      <c r="B811" s="262"/>
      <c r="D811" s="262"/>
      <c r="O811" s="262"/>
    </row>
    <row r="812" spans="1:15" x14ac:dyDescent="0.35">
      <c r="A812" s="277"/>
      <c r="B812" s="262"/>
      <c r="D812" s="262"/>
      <c r="O812" s="262"/>
    </row>
    <row r="813" spans="1:15" x14ac:dyDescent="0.35">
      <c r="A813" s="277"/>
      <c r="B813" s="262"/>
      <c r="D813" s="262"/>
      <c r="O813" s="262"/>
    </row>
    <row r="814" spans="1:15" x14ac:dyDescent="0.35">
      <c r="A814" s="277"/>
      <c r="B814" s="262"/>
      <c r="D814" s="262"/>
      <c r="O814" s="262"/>
    </row>
    <row r="815" spans="1:15" x14ac:dyDescent="0.35">
      <c r="A815" s="277"/>
      <c r="B815" s="262"/>
      <c r="D815" s="262"/>
      <c r="O815" s="262"/>
    </row>
    <row r="816" spans="1:15" x14ac:dyDescent="0.35">
      <c r="A816" s="277"/>
      <c r="B816" s="262"/>
      <c r="D816" s="262"/>
      <c r="O816" s="262"/>
    </row>
    <row r="817" spans="1:15" x14ac:dyDescent="0.35">
      <c r="A817" s="277"/>
      <c r="B817" s="262"/>
      <c r="D817" s="262"/>
      <c r="O817" s="262"/>
    </row>
    <row r="818" spans="1:15" x14ac:dyDescent="0.35">
      <c r="A818" s="277"/>
      <c r="B818" s="262"/>
      <c r="D818" s="262"/>
      <c r="O818" s="262"/>
    </row>
    <row r="819" spans="1:15" x14ac:dyDescent="0.35">
      <c r="A819" s="277"/>
      <c r="B819" s="262"/>
      <c r="D819" s="262"/>
      <c r="O819" s="262"/>
    </row>
    <row r="820" spans="1:15" x14ac:dyDescent="0.35">
      <c r="A820" s="277"/>
      <c r="B820" s="262"/>
      <c r="D820" s="262"/>
      <c r="O820" s="262"/>
    </row>
    <row r="821" spans="1:15" x14ac:dyDescent="0.35">
      <c r="A821" s="277"/>
      <c r="B821" s="262"/>
      <c r="D821" s="262"/>
      <c r="O821" s="262"/>
    </row>
    <row r="822" spans="1:15" x14ac:dyDescent="0.35">
      <c r="A822" s="277"/>
      <c r="B822" s="262"/>
      <c r="D822" s="262"/>
      <c r="O822" s="262"/>
    </row>
    <row r="823" spans="1:15" x14ac:dyDescent="0.35">
      <c r="A823" s="277"/>
      <c r="B823" s="262"/>
      <c r="D823" s="262"/>
      <c r="O823" s="262"/>
    </row>
    <row r="824" spans="1:15" x14ac:dyDescent="0.35">
      <c r="A824" s="277"/>
      <c r="B824" s="262"/>
      <c r="D824" s="262"/>
      <c r="O824" s="262"/>
    </row>
    <row r="825" spans="1:15" x14ac:dyDescent="0.35">
      <c r="A825" s="277"/>
      <c r="B825" s="262"/>
      <c r="D825" s="262"/>
      <c r="O825" s="262"/>
    </row>
    <row r="826" spans="1:15" x14ac:dyDescent="0.35">
      <c r="A826" s="277"/>
      <c r="B826" s="262"/>
      <c r="D826" s="262"/>
      <c r="O826" s="262"/>
    </row>
    <row r="827" spans="1:15" x14ac:dyDescent="0.35">
      <c r="A827" s="277"/>
      <c r="B827" s="262"/>
      <c r="D827" s="262"/>
      <c r="O827" s="262"/>
    </row>
    <row r="828" spans="1:15" x14ac:dyDescent="0.35">
      <c r="A828" s="277"/>
      <c r="B828" s="262"/>
      <c r="D828" s="262"/>
      <c r="O828" s="262"/>
    </row>
    <row r="829" spans="1:15" x14ac:dyDescent="0.35">
      <c r="A829" s="277"/>
      <c r="B829" s="262"/>
      <c r="D829" s="262"/>
      <c r="O829" s="262"/>
    </row>
    <row r="830" spans="1:15" x14ac:dyDescent="0.35">
      <c r="A830" s="277"/>
      <c r="B830" s="262"/>
      <c r="D830" s="262"/>
      <c r="O830" s="262"/>
    </row>
    <row r="831" spans="1:15" x14ac:dyDescent="0.35">
      <c r="A831" s="277"/>
      <c r="B831" s="262"/>
      <c r="D831" s="262"/>
      <c r="O831" s="262"/>
    </row>
    <row r="832" spans="1:15" x14ac:dyDescent="0.35">
      <c r="A832" s="277"/>
      <c r="B832" s="262"/>
      <c r="D832" s="262"/>
      <c r="O832" s="262"/>
    </row>
    <row r="833" spans="1:15" x14ac:dyDescent="0.35">
      <c r="A833" s="277"/>
      <c r="B833" s="262"/>
      <c r="D833" s="262"/>
      <c r="O833" s="262"/>
    </row>
    <row r="834" spans="1:15" x14ac:dyDescent="0.35">
      <c r="A834" s="277"/>
      <c r="B834" s="262"/>
      <c r="D834" s="262"/>
      <c r="O834" s="262"/>
    </row>
    <row r="835" spans="1:15" x14ac:dyDescent="0.35">
      <c r="A835" s="277"/>
      <c r="B835" s="262"/>
      <c r="D835" s="262"/>
      <c r="O835" s="262"/>
    </row>
    <row r="836" spans="1:15" x14ac:dyDescent="0.35">
      <c r="A836" s="277"/>
      <c r="B836" s="262"/>
      <c r="D836" s="262"/>
      <c r="O836" s="262"/>
    </row>
    <row r="837" spans="1:15" x14ac:dyDescent="0.35">
      <c r="A837" s="277"/>
      <c r="B837" s="262"/>
      <c r="D837" s="262"/>
      <c r="O837" s="262"/>
    </row>
    <row r="838" spans="1:15" x14ac:dyDescent="0.35">
      <c r="A838" s="277"/>
      <c r="B838" s="262"/>
      <c r="D838" s="262"/>
      <c r="O838" s="262"/>
    </row>
    <row r="839" spans="1:15" x14ac:dyDescent="0.35">
      <c r="A839" s="277"/>
      <c r="B839" s="262"/>
      <c r="D839" s="262"/>
      <c r="O839" s="262"/>
    </row>
    <row r="840" spans="1:15" x14ac:dyDescent="0.35">
      <c r="A840" s="277"/>
      <c r="B840" s="262"/>
      <c r="D840" s="262"/>
      <c r="O840" s="262"/>
    </row>
    <row r="841" spans="1:15" x14ac:dyDescent="0.35">
      <c r="A841" s="277"/>
      <c r="B841" s="262"/>
      <c r="D841" s="262"/>
      <c r="O841" s="262"/>
    </row>
    <row r="842" spans="1:15" x14ac:dyDescent="0.35">
      <c r="A842" s="277"/>
      <c r="B842" s="262"/>
      <c r="D842" s="262"/>
      <c r="O842" s="262"/>
    </row>
    <row r="843" spans="1:15" x14ac:dyDescent="0.35">
      <c r="A843" s="277"/>
      <c r="B843" s="262"/>
      <c r="D843" s="262"/>
      <c r="O843" s="262"/>
    </row>
    <row r="844" spans="1:15" x14ac:dyDescent="0.35">
      <c r="A844" s="277"/>
      <c r="B844" s="262"/>
      <c r="D844" s="262"/>
      <c r="O844" s="262"/>
    </row>
    <row r="845" spans="1:15" x14ac:dyDescent="0.35">
      <c r="A845" s="277"/>
      <c r="B845" s="262"/>
      <c r="D845" s="262"/>
      <c r="O845" s="262"/>
    </row>
    <row r="846" spans="1:15" x14ac:dyDescent="0.35">
      <c r="A846" s="277"/>
      <c r="B846" s="262"/>
      <c r="D846" s="262"/>
      <c r="O846" s="262"/>
    </row>
    <row r="847" spans="1:15" x14ac:dyDescent="0.35">
      <c r="A847" s="277"/>
      <c r="B847" s="262"/>
      <c r="D847" s="262"/>
      <c r="O847" s="262"/>
    </row>
    <row r="848" spans="1:15" x14ac:dyDescent="0.35">
      <c r="A848" s="277"/>
      <c r="B848" s="262"/>
      <c r="D848" s="262"/>
      <c r="O848" s="262"/>
    </row>
    <row r="849" spans="1:15" x14ac:dyDescent="0.35">
      <c r="A849" s="277"/>
      <c r="B849" s="262"/>
      <c r="D849" s="262"/>
      <c r="O849" s="262"/>
    </row>
    <row r="850" spans="1:15" x14ac:dyDescent="0.35">
      <c r="A850" s="277"/>
      <c r="B850" s="262"/>
      <c r="D850" s="262"/>
      <c r="O850" s="262"/>
    </row>
    <row r="851" spans="1:15" x14ac:dyDescent="0.35">
      <c r="A851" s="277"/>
      <c r="B851" s="262"/>
      <c r="D851" s="262"/>
      <c r="O851" s="262"/>
    </row>
    <row r="852" spans="1:15" x14ac:dyDescent="0.35">
      <c r="A852" s="277"/>
      <c r="B852" s="262"/>
      <c r="D852" s="262"/>
      <c r="O852" s="262"/>
    </row>
    <row r="853" spans="1:15" x14ac:dyDescent="0.35">
      <c r="A853" s="277"/>
      <c r="B853" s="262"/>
      <c r="D853" s="262"/>
      <c r="O853" s="262"/>
    </row>
    <row r="854" spans="1:15" x14ac:dyDescent="0.35">
      <c r="A854" s="277"/>
      <c r="B854" s="262"/>
      <c r="D854" s="262"/>
      <c r="O854" s="262"/>
    </row>
    <row r="855" spans="1:15" x14ac:dyDescent="0.35">
      <c r="A855" s="277"/>
      <c r="B855" s="262"/>
      <c r="D855" s="262"/>
      <c r="O855" s="262"/>
    </row>
    <row r="856" spans="1:15" x14ac:dyDescent="0.35">
      <c r="A856" s="277"/>
      <c r="B856" s="262"/>
      <c r="D856" s="262"/>
      <c r="O856" s="262"/>
    </row>
    <row r="857" spans="1:15" x14ac:dyDescent="0.35">
      <c r="A857" s="277"/>
      <c r="B857" s="262"/>
      <c r="D857" s="262"/>
      <c r="O857" s="262"/>
    </row>
    <row r="858" spans="1:15" x14ac:dyDescent="0.35">
      <c r="A858" s="277"/>
      <c r="B858" s="262"/>
      <c r="D858" s="262"/>
      <c r="O858" s="262"/>
    </row>
    <row r="859" spans="1:15" x14ac:dyDescent="0.35">
      <c r="A859" s="277"/>
      <c r="B859" s="262"/>
      <c r="D859" s="262"/>
      <c r="O859" s="262"/>
    </row>
    <row r="860" spans="1:15" x14ac:dyDescent="0.35">
      <c r="A860" s="277"/>
      <c r="B860" s="262"/>
      <c r="D860" s="262"/>
      <c r="O860" s="262"/>
    </row>
    <row r="861" spans="1:15" x14ac:dyDescent="0.35">
      <c r="A861" s="277"/>
      <c r="B861" s="262"/>
      <c r="D861" s="262"/>
      <c r="O861" s="262"/>
    </row>
    <row r="862" spans="1:15" x14ac:dyDescent="0.35">
      <c r="A862" s="277"/>
      <c r="B862" s="262"/>
      <c r="D862" s="262"/>
      <c r="O862" s="262"/>
    </row>
    <row r="863" spans="1:15" x14ac:dyDescent="0.35">
      <c r="A863" s="277"/>
      <c r="B863" s="262"/>
      <c r="D863" s="262"/>
      <c r="O863" s="262"/>
    </row>
    <row r="864" spans="1:15" x14ac:dyDescent="0.35">
      <c r="A864" s="277"/>
      <c r="B864" s="262"/>
      <c r="D864" s="262"/>
      <c r="O864" s="262"/>
    </row>
    <row r="865" spans="1:15" x14ac:dyDescent="0.35">
      <c r="A865" s="277"/>
      <c r="B865" s="262"/>
      <c r="D865" s="262"/>
      <c r="O865" s="262"/>
    </row>
    <row r="866" spans="1:15" x14ac:dyDescent="0.35">
      <c r="A866" s="277"/>
      <c r="B866" s="262"/>
      <c r="D866" s="262"/>
      <c r="O866" s="262"/>
    </row>
    <row r="867" spans="1:15" x14ac:dyDescent="0.35">
      <c r="A867" s="277"/>
      <c r="B867" s="262"/>
      <c r="D867" s="262"/>
      <c r="O867" s="262"/>
    </row>
    <row r="868" spans="1:15" x14ac:dyDescent="0.35">
      <c r="A868" s="277"/>
      <c r="B868" s="262"/>
      <c r="D868" s="262"/>
      <c r="O868" s="262"/>
    </row>
    <row r="869" spans="1:15" x14ac:dyDescent="0.35">
      <c r="A869" s="277"/>
      <c r="B869" s="262"/>
      <c r="D869" s="262"/>
      <c r="O869" s="262"/>
    </row>
    <row r="870" spans="1:15" x14ac:dyDescent="0.35">
      <c r="A870" s="277"/>
      <c r="B870" s="262"/>
      <c r="D870" s="262"/>
      <c r="O870" s="262"/>
    </row>
    <row r="871" spans="1:15" x14ac:dyDescent="0.35">
      <c r="A871" s="277"/>
      <c r="B871" s="262"/>
      <c r="D871" s="262"/>
      <c r="O871" s="262"/>
    </row>
    <row r="872" spans="1:15" x14ac:dyDescent="0.35">
      <c r="A872" s="277"/>
      <c r="B872" s="262"/>
      <c r="D872" s="262"/>
      <c r="O872" s="262"/>
    </row>
    <row r="873" spans="1:15" x14ac:dyDescent="0.35">
      <c r="A873" s="277"/>
      <c r="B873" s="262"/>
      <c r="D873" s="262"/>
      <c r="O873" s="262"/>
    </row>
    <row r="874" spans="1:15" x14ac:dyDescent="0.35">
      <c r="A874" s="277"/>
      <c r="B874" s="262"/>
      <c r="D874" s="262"/>
      <c r="O874" s="262"/>
    </row>
    <row r="875" spans="1:15" x14ac:dyDescent="0.35">
      <c r="A875" s="277"/>
      <c r="B875" s="262"/>
      <c r="D875" s="262"/>
      <c r="O875" s="262"/>
    </row>
    <row r="876" spans="1:15" x14ac:dyDescent="0.35">
      <c r="A876" s="277"/>
      <c r="B876" s="262"/>
      <c r="D876" s="262"/>
      <c r="O876" s="262"/>
    </row>
    <row r="877" spans="1:15" x14ac:dyDescent="0.35">
      <c r="A877" s="277"/>
      <c r="B877" s="262"/>
      <c r="D877" s="262"/>
      <c r="O877" s="262"/>
    </row>
    <row r="878" spans="1:15" x14ac:dyDescent="0.35">
      <c r="A878" s="277"/>
      <c r="B878" s="262"/>
      <c r="D878" s="262"/>
      <c r="O878" s="262"/>
    </row>
    <row r="879" spans="1:15" x14ac:dyDescent="0.35">
      <c r="A879" s="277"/>
      <c r="B879" s="262"/>
      <c r="D879" s="262"/>
      <c r="O879" s="262"/>
    </row>
    <row r="880" spans="1:15" x14ac:dyDescent="0.35">
      <c r="A880" s="277"/>
      <c r="B880" s="262"/>
      <c r="D880" s="262"/>
      <c r="O880" s="262"/>
    </row>
    <row r="881" spans="1:15" x14ac:dyDescent="0.35">
      <c r="A881" s="277"/>
      <c r="B881" s="262"/>
      <c r="D881" s="262"/>
      <c r="O881" s="262"/>
    </row>
    <row r="882" spans="1:15" x14ac:dyDescent="0.35">
      <c r="A882" s="277"/>
      <c r="B882" s="262"/>
      <c r="D882" s="262"/>
      <c r="O882" s="262"/>
    </row>
    <row r="883" spans="1:15" x14ac:dyDescent="0.35">
      <c r="A883" s="277"/>
      <c r="B883" s="262"/>
      <c r="D883" s="262"/>
      <c r="O883" s="262"/>
    </row>
    <row r="884" spans="1:15" x14ac:dyDescent="0.35">
      <c r="A884" s="277"/>
      <c r="B884" s="262"/>
      <c r="D884" s="262"/>
      <c r="O884" s="262"/>
    </row>
    <row r="885" spans="1:15" x14ac:dyDescent="0.35">
      <c r="A885" s="277"/>
      <c r="B885" s="262"/>
      <c r="D885" s="262"/>
      <c r="O885" s="262"/>
    </row>
    <row r="886" spans="1:15" x14ac:dyDescent="0.35">
      <c r="A886" s="277"/>
      <c r="B886" s="262"/>
      <c r="D886" s="262"/>
      <c r="O886" s="262"/>
    </row>
    <row r="887" spans="1:15" x14ac:dyDescent="0.35">
      <c r="A887" s="277"/>
      <c r="B887" s="262"/>
      <c r="D887" s="262"/>
      <c r="O887" s="262"/>
    </row>
    <row r="888" spans="1:15" x14ac:dyDescent="0.35">
      <c r="A888" s="277"/>
      <c r="B888" s="262"/>
      <c r="D888" s="262"/>
      <c r="O888" s="262"/>
    </row>
    <row r="889" spans="1:15" x14ac:dyDescent="0.35">
      <c r="A889" s="277"/>
      <c r="B889" s="262"/>
      <c r="D889" s="262"/>
      <c r="O889" s="262"/>
    </row>
    <row r="890" spans="1:15" x14ac:dyDescent="0.35">
      <c r="A890" s="277"/>
      <c r="B890" s="262"/>
      <c r="D890" s="262"/>
      <c r="O890" s="262"/>
    </row>
    <row r="891" spans="1:15" x14ac:dyDescent="0.35">
      <c r="A891" s="277"/>
      <c r="B891" s="262"/>
      <c r="D891" s="262"/>
      <c r="O891" s="262"/>
    </row>
    <row r="892" spans="1:15" x14ac:dyDescent="0.35">
      <c r="A892" s="277"/>
      <c r="B892" s="262"/>
      <c r="D892" s="262"/>
      <c r="O892" s="262"/>
    </row>
    <row r="893" spans="1:15" x14ac:dyDescent="0.35">
      <c r="A893" s="277"/>
      <c r="B893" s="262"/>
      <c r="D893" s="262"/>
      <c r="O893" s="262"/>
    </row>
    <row r="894" spans="1:15" x14ac:dyDescent="0.35">
      <c r="A894" s="277"/>
      <c r="B894" s="262"/>
      <c r="D894" s="262"/>
      <c r="O894" s="262"/>
    </row>
    <row r="895" spans="1:15" x14ac:dyDescent="0.35">
      <c r="A895" s="277"/>
      <c r="B895" s="262"/>
      <c r="D895" s="262"/>
      <c r="O895" s="262"/>
    </row>
    <row r="896" spans="1:15" x14ac:dyDescent="0.35">
      <c r="A896" s="277"/>
      <c r="B896" s="262"/>
      <c r="D896" s="262"/>
      <c r="O896" s="262"/>
    </row>
    <row r="897" spans="1:15" x14ac:dyDescent="0.35">
      <c r="A897" s="277"/>
      <c r="B897" s="262"/>
      <c r="D897" s="262"/>
      <c r="O897" s="262"/>
    </row>
    <row r="898" spans="1:15" x14ac:dyDescent="0.35">
      <c r="A898" s="277"/>
      <c r="B898" s="262"/>
      <c r="D898" s="262"/>
      <c r="O898" s="262"/>
    </row>
    <row r="899" spans="1:15" x14ac:dyDescent="0.35">
      <c r="A899" s="277"/>
      <c r="B899" s="262"/>
      <c r="D899" s="262"/>
      <c r="O899" s="262"/>
    </row>
    <row r="900" spans="1:15" x14ac:dyDescent="0.35">
      <c r="A900" s="277"/>
      <c r="B900" s="262"/>
      <c r="D900" s="262"/>
      <c r="O900" s="262"/>
    </row>
    <row r="901" spans="1:15" x14ac:dyDescent="0.35">
      <c r="A901" s="277"/>
      <c r="B901" s="262"/>
      <c r="D901" s="262"/>
      <c r="O901" s="262"/>
    </row>
    <row r="902" spans="1:15" x14ac:dyDescent="0.35">
      <c r="A902" s="277"/>
      <c r="B902" s="262"/>
      <c r="D902" s="262"/>
      <c r="O902" s="262"/>
    </row>
    <row r="903" spans="1:15" x14ac:dyDescent="0.35">
      <c r="A903" s="277"/>
      <c r="B903" s="262"/>
      <c r="D903" s="262"/>
      <c r="O903" s="262"/>
    </row>
    <row r="904" spans="1:15" x14ac:dyDescent="0.35">
      <c r="A904" s="277"/>
      <c r="B904" s="262"/>
      <c r="D904" s="262"/>
      <c r="O904" s="262"/>
    </row>
    <row r="905" spans="1:15" x14ac:dyDescent="0.35">
      <c r="A905" s="277"/>
      <c r="B905" s="262"/>
      <c r="D905" s="262"/>
      <c r="O905" s="262"/>
    </row>
    <row r="906" spans="1:15" x14ac:dyDescent="0.35">
      <c r="A906" s="277"/>
      <c r="B906" s="262"/>
      <c r="D906" s="262"/>
      <c r="O906" s="262"/>
    </row>
    <row r="907" spans="1:15" x14ac:dyDescent="0.35">
      <c r="A907" s="277"/>
      <c r="B907" s="262"/>
      <c r="D907" s="262"/>
      <c r="O907" s="262"/>
    </row>
    <row r="908" spans="1:15" x14ac:dyDescent="0.35">
      <c r="A908" s="277"/>
      <c r="B908" s="262"/>
      <c r="D908" s="262"/>
      <c r="O908" s="262"/>
    </row>
    <row r="909" spans="1:15" x14ac:dyDescent="0.35">
      <c r="A909" s="277"/>
      <c r="B909" s="262"/>
      <c r="D909" s="262"/>
      <c r="O909" s="262"/>
    </row>
    <row r="910" spans="1:15" x14ac:dyDescent="0.35">
      <c r="A910" s="277"/>
      <c r="B910" s="262"/>
      <c r="D910" s="262"/>
      <c r="O910" s="262"/>
    </row>
    <row r="911" spans="1:15" x14ac:dyDescent="0.35">
      <c r="A911" s="277"/>
      <c r="B911" s="262"/>
      <c r="D911" s="262"/>
      <c r="O911" s="262"/>
    </row>
    <row r="912" spans="1:15" x14ac:dyDescent="0.35">
      <c r="A912" s="277"/>
      <c r="B912" s="262"/>
      <c r="D912" s="262"/>
      <c r="O912" s="262"/>
    </row>
    <row r="913" spans="1:15" x14ac:dyDescent="0.35">
      <c r="A913" s="277"/>
      <c r="B913" s="262"/>
      <c r="D913" s="262"/>
      <c r="O913" s="262"/>
    </row>
    <row r="914" spans="1:15" x14ac:dyDescent="0.35">
      <c r="A914" s="277"/>
      <c r="B914" s="262"/>
      <c r="D914" s="262"/>
      <c r="O914" s="262"/>
    </row>
    <row r="915" spans="1:15" x14ac:dyDescent="0.35">
      <c r="A915" s="277"/>
      <c r="B915" s="262"/>
      <c r="D915" s="262"/>
      <c r="O915" s="262"/>
    </row>
    <row r="916" spans="1:15" x14ac:dyDescent="0.35">
      <c r="A916" s="277"/>
      <c r="B916" s="262"/>
      <c r="D916" s="262"/>
      <c r="O916" s="262"/>
    </row>
    <row r="917" spans="1:15" x14ac:dyDescent="0.35">
      <c r="A917" s="277"/>
      <c r="B917" s="262"/>
      <c r="D917" s="262"/>
      <c r="O917" s="262"/>
    </row>
    <row r="918" spans="1:15" x14ac:dyDescent="0.35">
      <c r="A918" s="277"/>
      <c r="B918" s="262"/>
      <c r="D918" s="262"/>
      <c r="O918" s="262"/>
    </row>
    <row r="919" spans="1:15" x14ac:dyDescent="0.35">
      <c r="A919" s="277"/>
      <c r="B919" s="262"/>
      <c r="D919" s="262"/>
      <c r="O919" s="262"/>
    </row>
    <row r="920" spans="1:15" x14ac:dyDescent="0.35">
      <c r="A920" s="277"/>
      <c r="B920" s="262"/>
      <c r="D920" s="262"/>
      <c r="O920" s="262"/>
    </row>
    <row r="921" spans="1:15" x14ac:dyDescent="0.35">
      <c r="A921" s="277"/>
      <c r="B921" s="262"/>
      <c r="D921" s="262"/>
      <c r="O921" s="262"/>
    </row>
    <row r="922" spans="1:15" x14ac:dyDescent="0.35">
      <c r="A922" s="277"/>
      <c r="B922" s="262"/>
      <c r="D922" s="262"/>
      <c r="O922" s="262"/>
    </row>
    <row r="923" spans="1:15" x14ac:dyDescent="0.35">
      <c r="A923" s="277"/>
      <c r="B923" s="262"/>
      <c r="D923" s="262"/>
      <c r="O923" s="262"/>
    </row>
    <row r="924" spans="1:15" x14ac:dyDescent="0.35">
      <c r="A924" s="277"/>
      <c r="B924" s="262"/>
      <c r="D924" s="262"/>
      <c r="O924" s="262"/>
    </row>
    <row r="925" spans="1:15" x14ac:dyDescent="0.35">
      <c r="A925" s="277"/>
      <c r="B925" s="262"/>
      <c r="D925" s="262"/>
      <c r="O925" s="262"/>
    </row>
    <row r="926" spans="1:15" x14ac:dyDescent="0.35">
      <c r="A926" s="277"/>
      <c r="B926" s="262"/>
      <c r="D926" s="262"/>
      <c r="O926" s="262"/>
    </row>
    <row r="927" spans="1:15" x14ac:dyDescent="0.35">
      <c r="A927" s="277"/>
      <c r="B927" s="262"/>
      <c r="D927" s="262"/>
      <c r="O927" s="262"/>
    </row>
    <row r="928" spans="1:15" x14ac:dyDescent="0.35">
      <c r="A928" s="277"/>
      <c r="B928" s="262"/>
      <c r="D928" s="262"/>
      <c r="O928" s="262"/>
    </row>
    <row r="929" spans="1:15" x14ac:dyDescent="0.35">
      <c r="A929" s="277"/>
      <c r="B929" s="262"/>
      <c r="D929" s="262"/>
      <c r="O929" s="262"/>
    </row>
    <row r="930" spans="1:15" x14ac:dyDescent="0.35">
      <c r="A930" s="277"/>
      <c r="B930" s="262"/>
      <c r="D930" s="262"/>
      <c r="O930" s="262"/>
    </row>
    <row r="931" spans="1:15" x14ac:dyDescent="0.35">
      <c r="A931" s="277"/>
      <c r="B931" s="262"/>
      <c r="D931" s="262"/>
      <c r="O931" s="262"/>
    </row>
    <row r="932" spans="1:15" x14ac:dyDescent="0.35">
      <c r="A932" s="277"/>
      <c r="B932" s="262"/>
      <c r="D932" s="262"/>
      <c r="O932" s="262"/>
    </row>
    <row r="933" spans="1:15" x14ac:dyDescent="0.35">
      <c r="A933" s="277"/>
      <c r="B933" s="262"/>
      <c r="D933" s="262"/>
      <c r="O933" s="262"/>
    </row>
    <row r="934" spans="1:15" x14ac:dyDescent="0.35">
      <c r="A934" s="277"/>
      <c r="B934" s="262"/>
      <c r="D934" s="262"/>
      <c r="O934" s="262"/>
    </row>
    <row r="935" spans="1:15" x14ac:dyDescent="0.35">
      <c r="A935" s="277"/>
      <c r="B935" s="262"/>
      <c r="D935" s="262"/>
      <c r="O935" s="262"/>
    </row>
    <row r="936" spans="1:15" x14ac:dyDescent="0.35">
      <c r="A936" s="277"/>
      <c r="B936" s="262"/>
      <c r="D936" s="262"/>
      <c r="O936" s="262"/>
    </row>
    <row r="937" spans="1:15" x14ac:dyDescent="0.35">
      <c r="A937" s="277"/>
      <c r="B937" s="262"/>
      <c r="D937" s="262"/>
      <c r="O937" s="262"/>
    </row>
    <row r="938" spans="1:15" x14ac:dyDescent="0.35">
      <c r="A938" s="277"/>
      <c r="B938" s="262"/>
      <c r="D938" s="262"/>
      <c r="O938" s="262"/>
    </row>
    <row r="939" spans="1:15" x14ac:dyDescent="0.35">
      <c r="A939" s="277"/>
      <c r="B939" s="262"/>
      <c r="D939" s="262"/>
      <c r="O939" s="262"/>
    </row>
    <row r="940" spans="1:15" x14ac:dyDescent="0.35">
      <c r="A940" s="277"/>
      <c r="B940" s="262"/>
      <c r="D940" s="262"/>
      <c r="O940" s="262"/>
    </row>
    <row r="941" spans="1:15" x14ac:dyDescent="0.35">
      <c r="A941" s="277"/>
      <c r="B941" s="262"/>
      <c r="D941" s="262"/>
      <c r="O941" s="262"/>
    </row>
    <row r="942" spans="1:15" x14ac:dyDescent="0.35">
      <c r="A942" s="277"/>
      <c r="B942" s="262"/>
      <c r="D942" s="262"/>
      <c r="O942" s="262"/>
    </row>
    <row r="943" spans="1:15" x14ac:dyDescent="0.35">
      <c r="A943" s="277"/>
      <c r="B943" s="262"/>
      <c r="D943" s="262"/>
      <c r="O943" s="262"/>
    </row>
    <row r="944" spans="1:15" x14ac:dyDescent="0.35">
      <c r="A944" s="277"/>
      <c r="B944" s="262"/>
      <c r="D944" s="262"/>
      <c r="O944" s="262"/>
    </row>
    <row r="945" spans="1:15" x14ac:dyDescent="0.35">
      <c r="A945" s="277"/>
      <c r="B945" s="262"/>
      <c r="D945" s="262"/>
      <c r="O945" s="262"/>
    </row>
    <row r="946" spans="1:15" x14ac:dyDescent="0.35">
      <c r="A946" s="277"/>
      <c r="B946" s="262"/>
      <c r="D946" s="262"/>
      <c r="O946" s="262"/>
    </row>
    <row r="947" spans="1:15" x14ac:dyDescent="0.35">
      <c r="A947" s="277"/>
      <c r="B947" s="262"/>
      <c r="D947" s="262"/>
      <c r="O947" s="262"/>
    </row>
    <row r="948" spans="1:15" x14ac:dyDescent="0.35">
      <c r="A948" s="277"/>
      <c r="B948" s="262"/>
      <c r="D948" s="262"/>
      <c r="O948" s="262"/>
    </row>
    <row r="949" spans="1:15" x14ac:dyDescent="0.35">
      <c r="A949" s="277"/>
      <c r="B949" s="262"/>
      <c r="D949" s="262"/>
      <c r="O949" s="262"/>
    </row>
    <row r="950" spans="1:15" x14ac:dyDescent="0.35">
      <c r="A950" s="277"/>
      <c r="B950" s="262"/>
      <c r="D950" s="262"/>
      <c r="O950" s="262"/>
    </row>
    <row r="951" spans="1:15" x14ac:dyDescent="0.35">
      <c r="A951" s="277"/>
      <c r="B951" s="262"/>
      <c r="D951" s="262"/>
      <c r="O951" s="262"/>
    </row>
    <row r="952" spans="1:15" x14ac:dyDescent="0.35">
      <c r="A952" s="277"/>
      <c r="B952" s="262"/>
      <c r="D952" s="262"/>
      <c r="O952" s="262"/>
    </row>
    <row r="953" spans="1:15" x14ac:dyDescent="0.35">
      <c r="A953" s="277"/>
      <c r="B953" s="262"/>
      <c r="D953" s="262"/>
      <c r="O953" s="262"/>
    </row>
    <row r="954" spans="1:15" x14ac:dyDescent="0.35">
      <c r="A954" s="277"/>
      <c r="B954" s="262"/>
      <c r="D954" s="262"/>
      <c r="O954" s="262"/>
    </row>
    <row r="955" spans="1:15" x14ac:dyDescent="0.35">
      <c r="A955" s="277"/>
      <c r="B955" s="262"/>
      <c r="D955" s="262"/>
      <c r="O955" s="262"/>
    </row>
    <row r="956" spans="1:15" x14ac:dyDescent="0.35">
      <c r="A956" s="277"/>
      <c r="B956" s="262"/>
      <c r="D956" s="262"/>
      <c r="O956" s="262"/>
    </row>
    <row r="957" spans="1:15" x14ac:dyDescent="0.35">
      <c r="A957" s="277"/>
      <c r="B957" s="262"/>
      <c r="D957" s="262"/>
      <c r="O957" s="262"/>
    </row>
    <row r="958" spans="1:15" x14ac:dyDescent="0.35">
      <c r="A958" s="277"/>
      <c r="B958" s="262"/>
      <c r="D958" s="262"/>
      <c r="O958" s="262"/>
    </row>
    <row r="959" spans="1:15" x14ac:dyDescent="0.35">
      <c r="A959" s="277"/>
      <c r="B959" s="262"/>
      <c r="D959" s="262"/>
      <c r="O959" s="262"/>
    </row>
    <row r="960" spans="1:15" x14ac:dyDescent="0.35">
      <c r="A960" s="277"/>
      <c r="B960" s="262"/>
      <c r="D960" s="262"/>
      <c r="O960" s="262"/>
    </row>
    <row r="961" spans="1:15" x14ac:dyDescent="0.35">
      <c r="A961" s="277"/>
      <c r="B961" s="262"/>
      <c r="D961" s="262"/>
      <c r="O961" s="262"/>
    </row>
    <row r="962" spans="1:15" x14ac:dyDescent="0.35">
      <c r="A962" s="277"/>
      <c r="B962" s="262"/>
      <c r="D962" s="262"/>
      <c r="O962" s="262"/>
    </row>
    <row r="963" spans="1:15" x14ac:dyDescent="0.35">
      <c r="A963" s="277"/>
      <c r="B963" s="262"/>
      <c r="D963" s="262"/>
      <c r="O963" s="262"/>
    </row>
    <row r="964" spans="1:15" x14ac:dyDescent="0.35">
      <c r="A964" s="277"/>
      <c r="B964" s="262"/>
      <c r="D964" s="262"/>
      <c r="O964" s="262"/>
    </row>
    <row r="965" spans="1:15" x14ac:dyDescent="0.35">
      <c r="A965" s="277"/>
      <c r="B965" s="262"/>
      <c r="D965" s="262"/>
      <c r="O965" s="262"/>
    </row>
    <row r="966" spans="1:15" x14ac:dyDescent="0.35">
      <c r="A966" s="277"/>
      <c r="B966" s="262"/>
      <c r="D966" s="262"/>
      <c r="O966" s="262"/>
    </row>
    <row r="967" spans="1:15" x14ac:dyDescent="0.35">
      <c r="A967" s="277"/>
      <c r="B967" s="262"/>
      <c r="D967" s="262"/>
      <c r="O967" s="262"/>
    </row>
    <row r="968" spans="1:15" x14ac:dyDescent="0.35">
      <c r="A968" s="277"/>
      <c r="B968" s="262"/>
      <c r="D968" s="262"/>
      <c r="O968" s="262"/>
    </row>
    <row r="969" spans="1:15" x14ac:dyDescent="0.35">
      <c r="A969" s="277"/>
      <c r="B969" s="262"/>
      <c r="D969" s="262"/>
      <c r="O969" s="262"/>
    </row>
    <row r="970" spans="1:15" x14ac:dyDescent="0.35">
      <c r="A970" s="277"/>
      <c r="B970" s="262"/>
      <c r="D970" s="262"/>
      <c r="O970" s="262"/>
    </row>
    <row r="971" spans="1:15" x14ac:dyDescent="0.35">
      <c r="A971" s="277"/>
      <c r="B971" s="262"/>
      <c r="D971" s="262"/>
      <c r="O971" s="262"/>
    </row>
    <row r="972" spans="1:15" x14ac:dyDescent="0.35">
      <c r="A972" s="277"/>
      <c r="B972" s="262"/>
      <c r="D972" s="262"/>
      <c r="O972" s="262"/>
    </row>
    <row r="973" spans="1:15" x14ac:dyDescent="0.35">
      <c r="A973" s="277"/>
      <c r="B973" s="262"/>
      <c r="D973" s="262"/>
      <c r="O973" s="262"/>
    </row>
    <row r="974" spans="1:15" x14ac:dyDescent="0.35">
      <c r="A974" s="277"/>
      <c r="B974" s="262"/>
      <c r="D974" s="262"/>
      <c r="O974" s="262"/>
    </row>
    <row r="975" spans="1:15" x14ac:dyDescent="0.35">
      <c r="A975" s="277"/>
      <c r="B975" s="262"/>
      <c r="D975" s="262"/>
      <c r="O975" s="262"/>
    </row>
    <row r="976" spans="1:15" x14ac:dyDescent="0.35">
      <c r="A976" s="277"/>
      <c r="B976" s="262"/>
      <c r="D976" s="262"/>
      <c r="O976" s="262"/>
    </row>
    <row r="977" spans="1:15" x14ac:dyDescent="0.35">
      <c r="A977" s="277"/>
      <c r="B977" s="262"/>
      <c r="D977" s="262"/>
      <c r="O977" s="262"/>
    </row>
    <row r="978" spans="1:15" x14ac:dyDescent="0.35">
      <c r="A978" s="277"/>
      <c r="B978" s="262"/>
      <c r="D978" s="262"/>
      <c r="O978" s="262"/>
    </row>
    <row r="979" spans="1:15" x14ac:dyDescent="0.35">
      <c r="A979" s="277"/>
      <c r="B979" s="262"/>
      <c r="D979" s="262"/>
      <c r="O979" s="262"/>
    </row>
    <row r="980" spans="1:15" x14ac:dyDescent="0.35">
      <c r="A980" s="277"/>
      <c r="B980" s="262"/>
      <c r="D980" s="262"/>
      <c r="O980" s="262"/>
    </row>
    <row r="981" spans="1:15" x14ac:dyDescent="0.35">
      <c r="A981" s="277"/>
      <c r="B981" s="262"/>
      <c r="D981" s="262"/>
      <c r="O981" s="262"/>
    </row>
    <row r="982" spans="1:15" x14ac:dyDescent="0.35">
      <c r="A982" s="277"/>
      <c r="B982" s="262"/>
      <c r="D982" s="262"/>
      <c r="O982" s="262"/>
    </row>
    <row r="983" spans="1:15" x14ac:dyDescent="0.35">
      <c r="A983" s="277"/>
      <c r="B983" s="262"/>
      <c r="D983" s="262"/>
      <c r="O983" s="262"/>
    </row>
    <row r="984" spans="1:15" x14ac:dyDescent="0.35">
      <c r="A984" s="277"/>
      <c r="B984" s="262"/>
      <c r="D984" s="262"/>
      <c r="O984" s="262"/>
    </row>
    <row r="985" spans="1:15" x14ac:dyDescent="0.35">
      <c r="A985" s="277"/>
      <c r="B985" s="262"/>
      <c r="D985" s="262"/>
      <c r="O985" s="262"/>
    </row>
    <row r="986" spans="1:15" x14ac:dyDescent="0.35">
      <c r="A986" s="277"/>
      <c r="B986" s="262"/>
      <c r="D986" s="262"/>
      <c r="O986" s="262"/>
    </row>
    <row r="987" spans="1:15" x14ac:dyDescent="0.35">
      <c r="A987" s="277"/>
      <c r="B987" s="262"/>
      <c r="D987" s="262"/>
      <c r="O987" s="262"/>
    </row>
    <row r="988" spans="1:15" x14ac:dyDescent="0.35">
      <c r="A988" s="277"/>
      <c r="B988" s="262"/>
      <c r="D988" s="262"/>
      <c r="O988" s="262"/>
    </row>
    <row r="989" spans="1:15" x14ac:dyDescent="0.35">
      <c r="A989" s="277"/>
      <c r="B989" s="262"/>
      <c r="D989" s="262"/>
      <c r="O989" s="262"/>
    </row>
    <row r="990" spans="1:15" x14ac:dyDescent="0.35">
      <c r="A990" s="277"/>
      <c r="B990" s="262"/>
      <c r="D990" s="262"/>
      <c r="O990" s="262"/>
    </row>
    <row r="991" spans="1:15" x14ac:dyDescent="0.35">
      <c r="A991" s="277"/>
      <c r="B991" s="262"/>
      <c r="D991" s="262"/>
      <c r="O991" s="262"/>
    </row>
    <row r="992" spans="1:15" x14ac:dyDescent="0.35">
      <c r="A992" s="277"/>
      <c r="B992" s="262"/>
      <c r="D992" s="262"/>
      <c r="O992" s="262"/>
    </row>
    <row r="993" spans="1:15" x14ac:dyDescent="0.35">
      <c r="A993" s="277"/>
      <c r="B993" s="262"/>
      <c r="D993" s="262"/>
      <c r="O993" s="262"/>
    </row>
    <row r="994" spans="1:15" x14ac:dyDescent="0.35">
      <c r="A994" s="277"/>
      <c r="B994" s="262"/>
      <c r="D994" s="262"/>
      <c r="O994" s="262"/>
    </row>
    <row r="995" spans="1:15" x14ac:dyDescent="0.35">
      <c r="A995" s="277"/>
      <c r="B995" s="262"/>
      <c r="D995" s="262"/>
      <c r="O995" s="262"/>
    </row>
    <row r="996" spans="1:15" x14ac:dyDescent="0.35">
      <c r="A996" s="277"/>
      <c r="B996" s="262"/>
      <c r="D996" s="262"/>
      <c r="O996" s="262"/>
    </row>
    <row r="997" spans="1:15" x14ac:dyDescent="0.35">
      <c r="A997" s="277"/>
      <c r="B997" s="262"/>
      <c r="D997" s="262"/>
      <c r="O997" s="262"/>
    </row>
    <row r="998" spans="1:15" x14ac:dyDescent="0.35">
      <c r="A998" s="277"/>
      <c r="B998" s="262"/>
      <c r="D998" s="262"/>
      <c r="O998" s="262"/>
    </row>
    <row r="999" spans="1:15" x14ac:dyDescent="0.35">
      <c r="A999" s="277"/>
      <c r="B999" s="262"/>
      <c r="D999" s="262"/>
      <c r="O999" s="262"/>
    </row>
    <row r="1000" spans="1:15" x14ac:dyDescent="0.35">
      <c r="A1000" s="277"/>
      <c r="B1000" s="262"/>
      <c r="D1000" s="262"/>
      <c r="O1000" s="262"/>
    </row>
    <row r="1001" spans="1:15" x14ac:dyDescent="0.35">
      <c r="A1001" s="277"/>
    </row>
    <row r="1002" spans="1:15" x14ac:dyDescent="0.35">
      <c r="A1002" s="277"/>
    </row>
    <row r="1003" spans="1:15" x14ac:dyDescent="0.35">
      <c r="A1003" s="277"/>
    </row>
    <row r="1004" spans="1:15" x14ac:dyDescent="0.35">
      <c r="A1004" s="277"/>
    </row>
    <row r="1005" spans="1:15" x14ac:dyDescent="0.35">
      <c r="A1005" s="277"/>
    </row>
    <row r="1006" spans="1:15" x14ac:dyDescent="0.35">
      <c r="A1006" s="277"/>
    </row>
    <row r="1007" spans="1:15" x14ac:dyDescent="0.35">
      <c r="A1007" s="277"/>
    </row>
    <row r="1008" spans="1:15" x14ac:dyDescent="0.35">
      <c r="A1008" s="277"/>
    </row>
    <row r="1009" spans="1:1" x14ac:dyDescent="0.35">
      <c r="A1009" s="277"/>
    </row>
    <row r="1010" spans="1:1" x14ac:dyDescent="0.35">
      <c r="A1010" s="277"/>
    </row>
    <row r="1011" spans="1:1" x14ac:dyDescent="0.35">
      <c r="A1011" s="277"/>
    </row>
    <row r="1012" spans="1:1" x14ac:dyDescent="0.35">
      <c r="A1012" s="277"/>
    </row>
    <row r="1013" spans="1:1" x14ac:dyDescent="0.35">
      <c r="A1013" s="277"/>
    </row>
    <row r="1014" spans="1:1" x14ac:dyDescent="0.35">
      <c r="A1014" s="277"/>
    </row>
    <row r="1015" spans="1:1" x14ac:dyDescent="0.35">
      <c r="A1015" s="277"/>
    </row>
    <row r="1016" spans="1:1" x14ac:dyDescent="0.35">
      <c r="A1016" s="277"/>
    </row>
    <row r="1017" spans="1:1" x14ac:dyDescent="0.35">
      <c r="A1017" s="277"/>
    </row>
    <row r="1018" spans="1:1" x14ac:dyDescent="0.35">
      <c r="A1018" s="277"/>
    </row>
    <row r="1019" spans="1:1" x14ac:dyDescent="0.35">
      <c r="A1019" s="277"/>
    </row>
    <row r="1020" spans="1:1" x14ac:dyDescent="0.35">
      <c r="A1020" s="277"/>
    </row>
    <row r="1021" spans="1:1" x14ac:dyDescent="0.35">
      <c r="A1021" s="277"/>
    </row>
    <row r="1022" spans="1:1" x14ac:dyDescent="0.35">
      <c r="A1022" s="277"/>
    </row>
    <row r="1023" spans="1:1" x14ac:dyDescent="0.35">
      <c r="A1023" s="277"/>
    </row>
    <row r="1024" spans="1:1" x14ac:dyDescent="0.35">
      <c r="A1024" s="277"/>
    </row>
    <row r="1025" spans="1:1" x14ac:dyDescent="0.35">
      <c r="A1025" s="277"/>
    </row>
    <row r="1026" spans="1:1" x14ac:dyDescent="0.35">
      <c r="A1026" s="277"/>
    </row>
    <row r="1027" spans="1:1" x14ac:dyDescent="0.35">
      <c r="A1027" s="277"/>
    </row>
    <row r="1028" spans="1:1" x14ac:dyDescent="0.35">
      <c r="A1028" s="277"/>
    </row>
    <row r="1029" spans="1:1" x14ac:dyDescent="0.35">
      <c r="A1029" s="277"/>
    </row>
    <row r="1030" spans="1:1" x14ac:dyDescent="0.35">
      <c r="A1030" s="277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1">
    <dataValidation type="list" allowBlank="1" showInputMessage="1" showErrorMessage="1" errorTitle="Ungültiger Wert" error="Bitte wählen Sie einen Wert aus der Liste." sqref="O6:O1000 B6:D1000" xr:uid="{D69D4899-A0EE-4B83-8237-801456E54098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50" customWidth="1"/>
    <col min="12" max="16384" width="10.81640625" style="450"/>
  </cols>
  <sheetData>
    <row r="1" spans="1:10" x14ac:dyDescent="0.35">
      <c r="A1" s="450"/>
      <c r="B1" s="450"/>
      <c r="C1" s="450"/>
      <c r="D1" s="450"/>
      <c r="E1" s="231"/>
      <c r="F1" s="450"/>
      <c r="G1" s="450"/>
      <c r="H1" s="450"/>
      <c r="I1" s="450"/>
      <c r="J1" s="450"/>
    </row>
    <row r="2" spans="1:10" x14ac:dyDescent="0.35">
      <c r="A2" s="450"/>
      <c r="B2" s="450"/>
      <c r="C2" s="450"/>
      <c r="D2" s="450"/>
      <c r="E2" s="231"/>
      <c r="F2" s="450"/>
      <c r="G2" s="450"/>
      <c r="H2" s="450"/>
      <c r="I2" s="450"/>
      <c r="J2" s="450"/>
    </row>
    <row r="3" spans="1:10" ht="16" x14ac:dyDescent="0.35">
      <c r="A3" s="269" t="s">
        <v>269</v>
      </c>
      <c r="B3" s="270" t="s">
        <v>482</v>
      </c>
      <c r="C3" s="270" t="s">
        <v>500</v>
      </c>
      <c r="D3" s="270" t="s">
        <v>483</v>
      </c>
      <c r="E3" s="270" t="s">
        <v>493</v>
      </c>
      <c r="F3" s="270" t="s">
        <v>491</v>
      </c>
      <c r="G3" s="270" t="s">
        <v>492</v>
      </c>
      <c r="H3" s="270" t="s">
        <v>367</v>
      </c>
      <c r="I3" s="269" t="s">
        <v>494</v>
      </c>
      <c r="J3" s="273" t="s">
        <v>486</v>
      </c>
    </row>
    <row r="4" spans="1:10" x14ac:dyDescent="0.35">
      <c r="A4" s="242">
        <v>14</v>
      </c>
      <c r="B4" s="254"/>
      <c r="C4" s="254" t="s">
        <v>480</v>
      </c>
      <c r="D4" s="265">
        <v>46039</v>
      </c>
      <c r="E4" s="254"/>
      <c r="F4" s="254"/>
      <c r="G4" s="254"/>
      <c r="H4" s="254"/>
      <c r="I4" s="271"/>
      <c r="J4" s="274"/>
    </row>
    <row r="5" spans="1:10" x14ac:dyDescent="0.35">
      <c r="A5" s="253">
        <v>14</v>
      </c>
      <c r="B5" s="256"/>
      <c r="C5" s="256" t="s">
        <v>481</v>
      </c>
      <c r="D5" s="266">
        <v>46039</v>
      </c>
      <c r="E5" s="256"/>
      <c r="F5" s="256"/>
      <c r="G5" s="256"/>
      <c r="H5" s="256"/>
      <c r="I5" s="272"/>
      <c r="J5" s="275"/>
    </row>
    <row r="6" spans="1:10" x14ac:dyDescent="0.35">
      <c r="A6" s="242">
        <v>14</v>
      </c>
      <c r="B6" s="254"/>
      <c r="C6" s="254" t="s">
        <v>484</v>
      </c>
      <c r="D6" s="265">
        <v>46040</v>
      </c>
      <c r="E6" s="254"/>
      <c r="F6" s="254"/>
      <c r="G6" s="254"/>
      <c r="H6" s="254"/>
      <c r="I6" s="271"/>
      <c r="J6" s="274"/>
    </row>
    <row r="7" spans="1:10" x14ac:dyDescent="0.35">
      <c r="A7" s="253">
        <v>14</v>
      </c>
      <c r="B7" s="256" t="s">
        <v>488</v>
      </c>
      <c r="C7" s="256" t="s">
        <v>489</v>
      </c>
      <c r="D7" s="266">
        <v>46049</v>
      </c>
      <c r="E7" s="256" t="s">
        <v>490</v>
      </c>
      <c r="F7" s="256"/>
      <c r="G7" s="256"/>
      <c r="H7" s="256"/>
      <c r="I7" s="272"/>
      <c r="J7" s="275"/>
    </row>
    <row r="8" spans="1:10" x14ac:dyDescent="0.35">
      <c r="A8" s="242">
        <v>14</v>
      </c>
      <c r="B8" s="254" t="s">
        <v>495</v>
      </c>
      <c r="C8" s="254" t="s">
        <v>487</v>
      </c>
      <c r="D8" s="265">
        <v>46037</v>
      </c>
      <c r="E8" s="254" t="s">
        <v>490</v>
      </c>
      <c r="F8" s="254" t="s">
        <v>507</v>
      </c>
      <c r="G8" s="254" t="s">
        <v>496</v>
      </c>
      <c r="H8" s="254"/>
      <c r="I8" s="242"/>
      <c r="J8" s="274">
        <v>46050.835590277777</v>
      </c>
    </row>
    <row r="9" spans="1:10" x14ac:dyDescent="0.35">
      <c r="A9" s="253">
        <v>9</v>
      </c>
      <c r="B9" s="256" t="s">
        <v>496</v>
      </c>
      <c r="C9" s="256" t="s">
        <v>507</v>
      </c>
      <c r="D9" s="266">
        <v>46050</v>
      </c>
      <c r="E9" s="256" t="s">
        <v>502</v>
      </c>
      <c r="F9" s="256"/>
      <c r="G9" s="256"/>
      <c r="H9" s="256"/>
      <c r="I9" s="253"/>
      <c r="J9" s="275">
        <v>46050.923506944448</v>
      </c>
    </row>
    <row r="10" spans="1:10" x14ac:dyDescent="0.35">
      <c r="A10" s="242">
        <v>14</v>
      </c>
      <c r="B10" s="254" t="s">
        <v>503</v>
      </c>
      <c r="C10" s="254" t="s">
        <v>499</v>
      </c>
      <c r="D10" s="265">
        <v>46050</v>
      </c>
      <c r="E10" s="254" t="s">
        <v>490</v>
      </c>
      <c r="F10" s="254" t="s">
        <v>499</v>
      </c>
      <c r="G10" s="254" t="s">
        <v>503</v>
      </c>
      <c r="H10" s="254"/>
      <c r="I10" s="242"/>
      <c r="J10" s="274">
        <v>46050.938194444447</v>
      </c>
    </row>
    <row r="11" spans="1:10" x14ac:dyDescent="0.35">
      <c r="A11" s="253">
        <v>14</v>
      </c>
      <c r="B11" s="256" t="s">
        <v>501</v>
      </c>
      <c r="C11" s="256" t="s">
        <v>506</v>
      </c>
      <c r="D11" s="266">
        <v>46050</v>
      </c>
      <c r="E11" s="256" t="s">
        <v>490</v>
      </c>
      <c r="F11" s="256" t="s">
        <v>499</v>
      </c>
      <c r="G11" s="256" t="s">
        <v>503</v>
      </c>
      <c r="H11" s="256"/>
      <c r="I11" s="253"/>
      <c r="J11" s="275">
        <v>46050.951886574076</v>
      </c>
    </row>
    <row r="12" spans="1:10" x14ac:dyDescent="0.35">
      <c r="A12" s="242">
        <v>14</v>
      </c>
      <c r="B12" s="254" t="s">
        <v>503</v>
      </c>
      <c r="C12" s="254" t="s">
        <v>499</v>
      </c>
      <c r="D12" s="265">
        <v>46052</v>
      </c>
      <c r="E12" s="254" t="s">
        <v>508</v>
      </c>
      <c r="F12" s="254"/>
      <c r="G12" s="254"/>
      <c r="H12" s="254"/>
      <c r="I12" s="242"/>
      <c r="J12" s="274">
        <v>46052.939456018517</v>
      </c>
    </row>
    <row r="13" spans="1:10" x14ac:dyDescent="0.35">
      <c r="A13" s="253">
        <v>13</v>
      </c>
      <c r="B13" s="256" t="s">
        <v>471</v>
      </c>
      <c r="C13" s="256" t="s">
        <v>355</v>
      </c>
      <c r="D13" s="266">
        <v>46052</v>
      </c>
      <c r="E13" s="256" t="s">
        <v>509</v>
      </c>
      <c r="F13" s="256"/>
      <c r="G13" s="256"/>
      <c r="H13" s="256" t="s">
        <v>510</v>
      </c>
      <c r="I13" s="253"/>
      <c r="J13" s="275">
        <v>46052.948483796295</v>
      </c>
    </row>
    <row r="14" spans="1:10" x14ac:dyDescent="0.35">
      <c r="A14" s="242">
        <v>13</v>
      </c>
      <c r="B14" s="254" t="s">
        <v>511</v>
      </c>
      <c r="C14" s="254" t="s">
        <v>512</v>
      </c>
      <c r="D14" s="265">
        <v>46052</v>
      </c>
      <c r="E14" s="254" t="s">
        <v>509</v>
      </c>
      <c r="F14" s="254"/>
      <c r="G14" s="254"/>
      <c r="H14" s="254" t="s">
        <v>510</v>
      </c>
      <c r="I14" s="242"/>
      <c r="J14" s="274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0"/>
  <sheetViews>
    <sheetView workbookViewId="0">
      <selection activeCell="C10" sqref="C10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4" width="12.6328125" style="228" customWidth="1"/>
    <col min="5" max="5" width="18.6328125" style="228" customWidth="1"/>
    <col min="6" max="6" width="12.6328125" style="228" customWidth="1"/>
    <col min="7" max="7" width="13.1796875" style="228" bestFit="1" customWidth="1"/>
    <col min="8" max="8" width="14.6328125" style="228" bestFit="1" customWidth="1"/>
    <col min="9" max="9" width="12.6328125" style="228" customWidth="1"/>
    <col min="10" max="16384" width="10.81640625" style="228"/>
  </cols>
  <sheetData>
    <row r="1" spans="2:9" x14ac:dyDescent="0.35">
      <c r="C1" s="401"/>
    </row>
    <row r="2" spans="2:9" ht="21" x14ac:dyDescent="0.35">
      <c r="B2" s="519" t="s">
        <v>623</v>
      </c>
      <c r="C2" s="520"/>
      <c r="D2" s="520"/>
      <c r="E2" s="520"/>
      <c r="F2" s="520"/>
      <c r="G2" s="520"/>
      <c r="H2" s="520"/>
      <c r="I2" s="521"/>
    </row>
    <row r="3" spans="2:9" ht="36" customHeight="1" x14ac:dyDescent="0.35">
      <c r="B3" s="418" t="s">
        <v>622</v>
      </c>
      <c r="C3" s="419" t="s">
        <v>618</v>
      </c>
      <c r="D3" s="419" t="s">
        <v>619</v>
      </c>
      <c r="E3" s="419" t="s">
        <v>647</v>
      </c>
      <c r="F3" s="419" t="s">
        <v>624</v>
      </c>
      <c r="G3" s="419" t="s">
        <v>620</v>
      </c>
      <c r="H3" s="419" t="s">
        <v>621</v>
      </c>
      <c r="I3" s="420" t="s">
        <v>644</v>
      </c>
    </row>
    <row r="4" spans="2:9" x14ac:dyDescent="0.35">
      <c r="B4" s="402" t="s">
        <v>280</v>
      </c>
      <c r="C4" s="421"/>
      <c r="D4" s="426"/>
      <c r="E4" s="422"/>
      <c r="F4" s="422" t="s">
        <v>650</v>
      </c>
      <c r="G4" s="428"/>
      <c r="H4" s="428">
        <v>0</v>
      </c>
      <c r="I4" s="421">
        <v>2.5</v>
      </c>
    </row>
    <row r="5" spans="2:9" x14ac:dyDescent="0.35">
      <c r="B5" s="378" t="s">
        <v>387</v>
      </c>
      <c r="C5" s="434">
        <v>15</v>
      </c>
      <c r="D5" s="435">
        <v>31</v>
      </c>
      <c r="E5" s="436"/>
      <c r="F5" s="436"/>
      <c r="G5" s="437">
        <v>10</v>
      </c>
      <c r="H5" s="437">
        <v>0</v>
      </c>
      <c r="I5" s="434"/>
    </row>
    <row r="6" spans="2:9" x14ac:dyDescent="0.35">
      <c r="B6" s="402" t="s">
        <v>275</v>
      </c>
      <c r="C6" s="421"/>
      <c r="D6" s="426"/>
      <c r="E6" s="422"/>
      <c r="F6" s="422" t="s">
        <v>652</v>
      </c>
      <c r="G6" s="428"/>
      <c r="H6" s="428">
        <v>0</v>
      </c>
      <c r="I6" s="421">
        <v>2.5</v>
      </c>
    </row>
    <row r="7" spans="2:9" x14ac:dyDescent="0.35">
      <c r="B7" s="378" t="s">
        <v>278</v>
      </c>
      <c r="C7" s="434"/>
      <c r="D7" s="435"/>
      <c r="E7" s="436"/>
      <c r="F7" s="436" t="s">
        <v>650</v>
      </c>
      <c r="G7" s="437"/>
      <c r="H7" s="437">
        <v>0</v>
      </c>
      <c r="I7" s="434">
        <v>2.5</v>
      </c>
    </row>
    <row r="8" spans="2:9" x14ac:dyDescent="0.35">
      <c r="B8" s="402" t="s">
        <v>282</v>
      </c>
      <c r="C8" s="421">
        <v>7.5</v>
      </c>
      <c r="D8" s="426">
        <v>5</v>
      </c>
      <c r="E8" s="422"/>
      <c r="F8" s="422"/>
      <c r="G8" s="428">
        <v>10</v>
      </c>
      <c r="H8" s="428">
        <v>0</v>
      </c>
      <c r="I8" s="421">
        <v>2.5</v>
      </c>
    </row>
    <row r="9" spans="2:9" x14ac:dyDescent="0.35">
      <c r="B9" s="378" t="s">
        <v>391</v>
      </c>
      <c r="C9" s="434">
        <v>108.63</v>
      </c>
      <c r="D9" s="435"/>
      <c r="E9" s="436"/>
      <c r="F9" s="436" t="s">
        <v>651</v>
      </c>
      <c r="G9" s="437"/>
      <c r="H9" s="437">
        <v>0</v>
      </c>
      <c r="I9" s="434"/>
    </row>
    <row r="10" spans="2:9" x14ac:dyDescent="0.35">
      <c r="B10" s="402" t="s">
        <v>397</v>
      </c>
      <c r="C10" s="421"/>
      <c r="D10" s="426">
        <v>31</v>
      </c>
      <c r="E10" s="422" t="s">
        <v>649</v>
      </c>
      <c r="F10" s="422"/>
      <c r="G10" s="428"/>
      <c r="H10" s="428">
        <v>0</v>
      </c>
      <c r="I10" s="421"/>
    </row>
    <row r="11" spans="2:9" x14ac:dyDescent="0.35">
      <c r="B11" s="376"/>
      <c r="C11" s="430"/>
      <c r="D11" s="431"/>
      <c r="E11" s="432"/>
      <c r="F11" s="432"/>
      <c r="G11" s="433"/>
      <c r="H11" s="433"/>
      <c r="I11" s="430"/>
    </row>
    <row r="12" spans="2:9" x14ac:dyDescent="0.35">
      <c r="B12" s="395"/>
      <c r="C12" s="416"/>
      <c r="D12" s="427"/>
      <c r="E12" s="417"/>
      <c r="F12" s="417"/>
      <c r="G12" s="429"/>
      <c r="H12" s="429"/>
      <c r="I12" s="416"/>
    </row>
    <row r="13" spans="2:9" x14ac:dyDescent="0.35">
      <c r="B13" s="395"/>
      <c r="C13" s="416"/>
      <c r="D13" s="427"/>
      <c r="E13" s="417"/>
      <c r="F13" s="417"/>
      <c r="G13" s="429"/>
      <c r="H13" s="429"/>
      <c r="I13" s="416"/>
    </row>
    <row r="14" spans="2:9" x14ac:dyDescent="0.35">
      <c r="B14" s="395"/>
      <c r="C14" s="416"/>
      <c r="D14" s="427"/>
      <c r="E14" s="417"/>
      <c r="F14" s="417"/>
      <c r="G14" s="429"/>
      <c r="H14" s="429"/>
      <c r="I14" s="416"/>
    </row>
    <row r="15" spans="2:9" x14ac:dyDescent="0.35">
      <c r="B15" s="395"/>
      <c r="C15" s="416"/>
      <c r="D15" s="427"/>
      <c r="E15" s="417"/>
      <c r="F15" s="417"/>
      <c r="G15" s="429"/>
      <c r="H15" s="429"/>
      <c r="I15" s="416"/>
    </row>
    <row r="16" spans="2:9" x14ac:dyDescent="0.35">
      <c r="B16" s="395"/>
      <c r="C16" s="416"/>
      <c r="D16" s="427"/>
      <c r="E16" s="417"/>
      <c r="F16" s="417"/>
      <c r="G16" s="429"/>
      <c r="H16" s="429"/>
      <c r="I16" s="416"/>
    </row>
    <row r="17" spans="2:9" x14ac:dyDescent="0.35">
      <c r="B17" s="395"/>
      <c r="C17" s="416"/>
      <c r="D17" s="427"/>
      <c r="E17" s="417"/>
      <c r="F17" s="417"/>
      <c r="G17" s="429"/>
      <c r="H17" s="429"/>
      <c r="I17" s="416"/>
    </row>
    <row r="18" spans="2:9" x14ac:dyDescent="0.35">
      <c r="B18" s="395"/>
      <c r="C18" s="416"/>
      <c r="D18" s="427"/>
      <c r="E18" s="417"/>
      <c r="F18" s="417"/>
      <c r="G18" s="429"/>
      <c r="H18" s="429"/>
      <c r="I18" s="416"/>
    </row>
    <row r="19" spans="2:9" x14ac:dyDescent="0.35">
      <c r="B19" s="395"/>
      <c r="C19" s="416"/>
      <c r="D19" s="427"/>
      <c r="E19" s="417"/>
      <c r="F19" s="417"/>
      <c r="G19" s="429"/>
      <c r="H19" s="429"/>
      <c r="I19" s="416"/>
    </row>
    <row r="20" spans="2:9" x14ac:dyDescent="0.35">
      <c r="B20" s="395"/>
      <c r="C20" s="416"/>
      <c r="D20" s="427"/>
      <c r="E20" s="417"/>
      <c r="F20" s="417"/>
      <c r="G20" s="429"/>
      <c r="H20" s="429"/>
      <c r="I20" s="416"/>
    </row>
    <row r="21" spans="2:9" x14ac:dyDescent="0.35">
      <c r="B21" s="395"/>
      <c r="C21" s="416"/>
      <c r="D21" s="427"/>
      <c r="E21" s="417"/>
      <c r="F21" s="417"/>
      <c r="G21" s="429"/>
      <c r="H21" s="429"/>
      <c r="I21" s="416"/>
    </row>
    <row r="22" spans="2:9" x14ac:dyDescent="0.35">
      <c r="B22" s="395"/>
      <c r="C22" s="416"/>
      <c r="D22" s="427"/>
      <c r="E22" s="417"/>
      <c r="F22" s="417"/>
      <c r="G22" s="429"/>
      <c r="H22" s="429"/>
      <c r="I22" s="416"/>
    </row>
    <row r="23" spans="2:9" x14ac:dyDescent="0.35">
      <c r="B23" s="395"/>
      <c r="C23" s="416"/>
      <c r="D23" s="427"/>
      <c r="E23" s="417"/>
      <c r="F23" s="417"/>
      <c r="G23" s="429"/>
      <c r="H23" s="429"/>
      <c r="I23" s="416"/>
    </row>
    <row r="24" spans="2:9" x14ac:dyDescent="0.35">
      <c r="B24" s="395"/>
      <c r="C24" s="416"/>
      <c r="D24" s="427"/>
      <c r="E24" s="417"/>
      <c r="F24" s="417"/>
      <c r="G24" s="429"/>
      <c r="H24" s="429"/>
      <c r="I24" s="416"/>
    </row>
    <row r="25" spans="2:9" x14ac:dyDescent="0.35">
      <c r="B25" s="395"/>
      <c r="C25" s="416"/>
      <c r="D25" s="427"/>
      <c r="E25" s="417"/>
      <c r="F25" s="417"/>
      <c r="G25" s="429"/>
      <c r="H25" s="429"/>
      <c r="I25" s="416"/>
    </row>
    <row r="26" spans="2:9" x14ac:dyDescent="0.35">
      <c r="B26" s="395"/>
      <c r="C26" s="416"/>
      <c r="D26" s="427"/>
      <c r="E26" s="417"/>
      <c r="F26" s="417"/>
      <c r="G26" s="429"/>
      <c r="H26" s="429"/>
      <c r="I26" s="416"/>
    </row>
    <row r="27" spans="2:9" x14ac:dyDescent="0.35">
      <c r="B27" s="395"/>
      <c r="C27" s="416"/>
      <c r="D27" s="427"/>
      <c r="E27" s="417"/>
      <c r="F27" s="417"/>
      <c r="G27" s="429"/>
      <c r="H27" s="429"/>
      <c r="I27" s="416"/>
    </row>
    <row r="28" spans="2:9" x14ac:dyDescent="0.35">
      <c r="B28" s="395"/>
      <c r="C28" s="416"/>
      <c r="D28" s="427"/>
      <c r="E28" s="417"/>
      <c r="F28" s="417"/>
      <c r="G28" s="429"/>
      <c r="H28" s="429"/>
      <c r="I28" s="416"/>
    </row>
    <row r="29" spans="2:9" x14ac:dyDescent="0.35">
      <c r="B29" s="395"/>
      <c r="C29" s="416"/>
      <c r="D29" s="427"/>
      <c r="E29" s="417"/>
      <c r="F29" s="417"/>
      <c r="G29" s="429"/>
      <c r="H29" s="429"/>
      <c r="I29" s="416"/>
    </row>
    <row r="30" spans="2:9" x14ac:dyDescent="0.35">
      <c r="B30" s="395"/>
      <c r="C30" s="416"/>
      <c r="D30" s="427"/>
      <c r="E30" s="417"/>
      <c r="F30" s="417"/>
      <c r="G30" s="429"/>
      <c r="H30" s="429"/>
      <c r="I30" s="416"/>
    </row>
    <row r="31" spans="2:9" x14ac:dyDescent="0.35">
      <c r="B31" s="395"/>
      <c r="C31" s="416"/>
      <c r="D31" s="427"/>
      <c r="E31" s="417"/>
      <c r="F31" s="417"/>
      <c r="G31" s="429"/>
      <c r="H31" s="429"/>
      <c r="I31" s="416"/>
    </row>
    <row r="32" spans="2:9" x14ac:dyDescent="0.35">
      <c r="B32" s="395"/>
      <c r="C32" s="416"/>
      <c r="D32" s="427"/>
      <c r="E32" s="417"/>
      <c r="F32" s="417"/>
      <c r="G32" s="429"/>
      <c r="H32" s="429"/>
      <c r="I32" s="416"/>
    </row>
    <row r="33" spans="2:9" x14ac:dyDescent="0.35">
      <c r="B33" s="395"/>
      <c r="C33" s="416"/>
      <c r="D33" s="427"/>
      <c r="E33" s="417"/>
      <c r="F33" s="417"/>
      <c r="G33" s="429"/>
      <c r="H33" s="429"/>
      <c r="I33" s="416"/>
    </row>
    <row r="34" spans="2:9" x14ac:dyDescent="0.35">
      <c r="B34" s="395"/>
      <c r="C34" s="416"/>
      <c r="D34" s="427"/>
      <c r="E34" s="417"/>
      <c r="F34" s="417"/>
      <c r="G34" s="429"/>
      <c r="H34" s="429"/>
      <c r="I34" s="416"/>
    </row>
    <row r="35" spans="2:9" x14ac:dyDescent="0.35">
      <c r="B35" s="395"/>
      <c r="C35" s="416"/>
      <c r="D35" s="427"/>
      <c r="E35" s="417"/>
      <c r="F35" s="417"/>
      <c r="G35" s="429"/>
      <c r="H35" s="429"/>
      <c r="I35" s="416"/>
    </row>
    <row r="36" spans="2:9" x14ac:dyDescent="0.35">
      <c r="B36" s="395"/>
      <c r="C36" s="416"/>
      <c r="D36" s="427"/>
      <c r="E36" s="417"/>
      <c r="F36" s="417"/>
      <c r="G36" s="429"/>
      <c r="H36" s="429"/>
      <c r="I36" s="416"/>
    </row>
    <row r="37" spans="2:9" x14ac:dyDescent="0.35">
      <c r="B37" s="395"/>
      <c r="C37" s="416"/>
      <c r="D37" s="427"/>
      <c r="E37" s="417"/>
      <c r="F37" s="417"/>
      <c r="G37" s="429"/>
      <c r="H37" s="429"/>
      <c r="I37" s="416"/>
    </row>
    <row r="38" spans="2:9" x14ac:dyDescent="0.35">
      <c r="B38" s="395"/>
      <c r="C38" s="416"/>
      <c r="D38" s="427"/>
      <c r="E38" s="417"/>
      <c r="F38" s="417"/>
      <c r="G38" s="429"/>
      <c r="H38" s="429"/>
      <c r="I38" s="416"/>
    </row>
    <row r="39" spans="2:9" x14ac:dyDescent="0.35">
      <c r="B39" s="395"/>
      <c r="C39" s="416"/>
      <c r="D39" s="427"/>
      <c r="E39" s="417"/>
      <c r="F39" s="417"/>
      <c r="G39" s="429"/>
      <c r="H39" s="429"/>
      <c r="I39" s="416"/>
    </row>
    <row r="40" spans="2:9" x14ac:dyDescent="0.35">
      <c r="B40" s="395"/>
      <c r="C40" s="416"/>
      <c r="D40" s="427"/>
      <c r="E40" s="417"/>
      <c r="F40" s="417"/>
      <c r="G40" s="429"/>
      <c r="H40" s="429"/>
      <c r="I40" s="416"/>
    </row>
    <row r="41" spans="2:9" x14ac:dyDescent="0.35">
      <c r="B41" s="395"/>
      <c r="C41" s="416"/>
      <c r="D41" s="427"/>
      <c r="E41" s="417"/>
      <c r="F41" s="417"/>
      <c r="G41" s="429"/>
      <c r="H41" s="429"/>
      <c r="I41" s="416"/>
    </row>
    <row r="42" spans="2:9" x14ac:dyDescent="0.35">
      <c r="B42" s="395"/>
      <c r="C42" s="416"/>
      <c r="D42" s="427"/>
      <c r="E42" s="417"/>
      <c r="F42" s="417"/>
      <c r="G42" s="429"/>
      <c r="H42" s="429"/>
      <c r="I42" s="416"/>
    </row>
    <row r="43" spans="2:9" x14ac:dyDescent="0.35">
      <c r="B43" s="395"/>
      <c r="C43" s="416"/>
      <c r="D43" s="427"/>
      <c r="E43" s="417"/>
      <c r="F43" s="417"/>
      <c r="G43" s="429"/>
      <c r="H43" s="429"/>
      <c r="I43" s="416"/>
    </row>
    <row r="44" spans="2:9" x14ac:dyDescent="0.35">
      <c r="B44" s="395"/>
      <c r="C44" s="416"/>
      <c r="D44" s="427"/>
      <c r="E44" s="417"/>
      <c r="F44" s="417"/>
      <c r="G44" s="429"/>
      <c r="H44" s="429"/>
      <c r="I44" s="416"/>
    </row>
    <row r="45" spans="2:9" x14ac:dyDescent="0.35">
      <c r="B45" s="395"/>
      <c r="C45" s="416"/>
      <c r="D45" s="427"/>
      <c r="E45" s="417"/>
      <c r="F45" s="417"/>
      <c r="G45" s="429"/>
      <c r="H45" s="429"/>
      <c r="I45" s="416"/>
    </row>
    <row r="46" spans="2:9" x14ac:dyDescent="0.35">
      <c r="B46" s="395"/>
      <c r="C46" s="416"/>
      <c r="D46" s="427"/>
      <c r="E46" s="417"/>
      <c r="F46" s="417"/>
      <c r="G46" s="429"/>
      <c r="H46" s="429"/>
      <c r="I46" s="416"/>
    </row>
    <row r="47" spans="2:9" x14ac:dyDescent="0.35">
      <c r="B47" s="395"/>
      <c r="C47" s="416"/>
      <c r="D47" s="427"/>
      <c r="E47" s="417"/>
      <c r="F47" s="417"/>
      <c r="G47" s="429"/>
      <c r="H47" s="429"/>
      <c r="I47" s="416"/>
    </row>
    <row r="48" spans="2:9" x14ac:dyDescent="0.35">
      <c r="B48" s="395"/>
      <c r="C48" s="416"/>
      <c r="D48" s="427"/>
      <c r="E48" s="417"/>
      <c r="F48" s="417"/>
      <c r="G48" s="429"/>
      <c r="H48" s="429"/>
      <c r="I48" s="416"/>
    </row>
    <row r="49" spans="2:9" x14ac:dyDescent="0.35">
      <c r="B49" s="395"/>
      <c r="C49" s="416"/>
      <c r="D49" s="427"/>
      <c r="E49" s="417"/>
      <c r="F49" s="417"/>
      <c r="G49" s="429"/>
      <c r="H49" s="429"/>
      <c r="I49" s="416"/>
    </row>
    <row r="50" spans="2:9" x14ac:dyDescent="0.35">
      <c r="B50" s="395"/>
      <c r="C50" s="416"/>
      <c r="D50" s="427"/>
      <c r="E50" s="417"/>
      <c r="F50" s="417"/>
      <c r="G50" s="429"/>
      <c r="H50" s="429"/>
      <c r="I50" s="416"/>
    </row>
    <row r="51" spans="2:9" x14ac:dyDescent="0.35">
      <c r="B51" s="395"/>
      <c r="C51" s="416"/>
      <c r="D51" s="427"/>
      <c r="E51" s="417"/>
      <c r="F51" s="417"/>
      <c r="G51" s="429"/>
      <c r="H51" s="429"/>
      <c r="I51" s="416"/>
    </row>
    <row r="52" spans="2:9" x14ac:dyDescent="0.35">
      <c r="B52" s="395"/>
      <c r="C52" s="416"/>
      <c r="D52" s="427"/>
      <c r="E52" s="417"/>
      <c r="F52" s="417"/>
      <c r="G52" s="429"/>
      <c r="H52" s="429"/>
      <c r="I52" s="416"/>
    </row>
    <row r="53" spans="2:9" x14ac:dyDescent="0.35">
      <c r="B53" s="395"/>
      <c r="C53" s="416"/>
      <c r="D53" s="427"/>
      <c r="E53" s="417"/>
      <c r="F53" s="417"/>
      <c r="G53" s="429"/>
      <c r="H53" s="429"/>
      <c r="I53" s="416"/>
    </row>
    <row r="54" spans="2:9" x14ac:dyDescent="0.35">
      <c r="B54" s="395"/>
      <c r="C54" s="416"/>
      <c r="D54" s="427"/>
      <c r="E54" s="417"/>
      <c r="F54" s="417"/>
      <c r="G54" s="429"/>
      <c r="H54" s="429"/>
      <c r="I54" s="416"/>
    </row>
    <row r="55" spans="2:9" x14ac:dyDescent="0.35">
      <c r="B55" s="395"/>
      <c r="C55" s="416"/>
      <c r="D55" s="427"/>
      <c r="E55" s="417"/>
      <c r="F55" s="417"/>
      <c r="G55" s="429"/>
      <c r="H55" s="429"/>
      <c r="I55" s="416"/>
    </row>
    <row r="56" spans="2:9" x14ac:dyDescent="0.35">
      <c r="B56" s="395"/>
      <c r="C56" s="416"/>
      <c r="D56" s="427"/>
      <c r="E56" s="417"/>
      <c r="F56" s="417"/>
      <c r="G56" s="429"/>
      <c r="H56" s="429"/>
      <c r="I56" s="416"/>
    </row>
    <row r="57" spans="2:9" x14ac:dyDescent="0.35">
      <c r="B57" s="395"/>
      <c r="C57" s="416"/>
      <c r="D57" s="427"/>
      <c r="E57" s="417"/>
      <c r="F57" s="417"/>
      <c r="G57" s="429"/>
      <c r="H57" s="429"/>
      <c r="I57" s="416"/>
    </row>
    <row r="58" spans="2:9" x14ac:dyDescent="0.35">
      <c r="B58" s="395"/>
      <c r="C58" s="416"/>
      <c r="D58" s="427"/>
      <c r="E58" s="417"/>
      <c r="F58" s="417"/>
      <c r="G58" s="429"/>
      <c r="H58" s="429"/>
      <c r="I58" s="416"/>
    </row>
    <row r="59" spans="2:9" x14ac:dyDescent="0.35">
      <c r="B59" s="395"/>
      <c r="C59" s="416"/>
      <c r="D59" s="427"/>
      <c r="E59" s="417"/>
      <c r="F59" s="417"/>
      <c r="G59" s="429"/>
      <c r="H59" s="429"/>
      <c r="I59" s="416"/>
    </row>
    <row r="60" spans="2:9" x14ac:dyDescent="0.35">
      <c r="B60" s="395"/>
      <c r="C60" s="416"/>
      <c r="D60" s="427"/>
      <c r="E60" s="417"/>
      <c r="F60" s="417"/>
      <c r="G60" s="429"/>
      <c r="H60" s="429"/>
      <c r="I60" s="416"/>
    </row>
  </sheetData>
  <sheetProtection sheet="1" objects="1" scenarios="1" selectLockedCells="1"/>
  <sortState xmlns:xlrd2="http://schemas.microsoft.com/office/spreadsheetml/2017/richdata2" ref="B4:I10">
    <sortCondition ref="B4:B10"/>
  </sortState>
  <mergeCells count="1">
    <mergeCell ref="B2:I2"/>
  </mergeCells>
  <dataValidations count="2">
    <dataValidation type="list" allowBlank="1" showErrorMessage="1" sqref="D4:D11" xr:uid="{7658834E-D01B-418A-8CF2-10C2EC1D594C}">
      <formula1>"1,2,3,4,5,6,7,8,9,10,11,12,13,14,15,16,17,18,19,20,21,22,23,24,25,26,27,28,29,30,31"</formula1>
    </dataValidation>
    <dataValidation type="list" allowBlank="1" showErrorMessage="1" sqref="G4:H11" xr:uid="{AF8D006E-202C-4087-A0F2-256ADE22830E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BC5D55A2-5E17-4984-9877-6125F00874A3}">
          <x14:formula1>
            <xm:f>Daten!$BA$4:$BA$22</xm:f>
          </x14:formula1>
          <xm:sqref>B4:B10</xm:sqref>
        </x14:dataValidation>
        <x14:dataValidation type="list" allowBlank="1" showErrorMessage="1" xr:uid="{F6B2A623-B9BC-4CB6-9B27-14E8A9348FD6}">
          <x14:formula1>
            <xm:f>Daten!$BA$4:$BA$21</xm:f>
          </x14:formula1>
          <xm:sqref>B11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BA1000"/>
  <sheetViews>
    <sheetView topLeftCell="N1" zoomScale="80" zoomScaleNormal="80" workbookViewId="0">
      <pane ySplit="3" topLeftCell="A4" activePane="bottomLeft" state="frozen"/>
      <selection activeCell="F1" sqref="F1"/>
      <selection pane="bottomLeft" activeCell="AH4" sqref="AH4"/>
    </sheetView>
  </sheetViews>
  <sheetFormatPr baseColWidth="10" defaultColWidth="11.453125" defaultRowHeight="14.5" x14ac:dyDescent="0.35"/>
  <cols>
    <col min="1" max="1" width="3.54296875" style="450" customWidth="1"/>
    <col min="2" max="2" width="22.453125" style="231" bestFit="1" customWidth="1"/>
    <col min="3" max="3" width="3.54296875" style="450" customWidth="1"/>
    <col min="4" max="4" width="16.1796875" style="231" hidden="1" customWidth="1"/>
    <col min="5" max="5" width="3.54296875" style="450" hidden="1" customWidth="1"/>
    <col min="6" max="6" width="9.54296875" style="445" hidden="1" customWidth="1"/>
    <col min="7" max="7" width="3.54296875" style="450" hidden="1" customWidth="1"/>
    <col min="8" max="8" width="6.54296875" style="231" hidden="1" customWidth="1"/>
    <col min="9" max="9" width="3.54296875" style="450" hidden="1" customWidth="1"/>
    <col min="10" max="10" width="38.7265625" style="231" bestFit="1" customWidth="1"/>
    <col min="11" max="11" width="12.54296875" style="445" customWidth="1"/>
    <col min="12" max="12" width="27.81640625" style="227" bestFit="1" customWidth="1"/>
    <col min="13" max="13" width="9.453125" style="445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50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45" customWidth="1"/>
    <col min="23" max="23" width="20.54296875" style="231" bestFit="1" customWidth="1"/>
    <col min="24" max="24" width="65.6328125" style="231" customWidth="1"/>
    <col min="25" max="25" width="3.453125" style="450" customWidth="1"/>
    <col min="26" max="26" width="32" style="450" hidden="1" customWidth="1"/>
    <col min="27" max="27" width="18.81640625" style="450" hidden="1" customWidth="1"/>
    <col min="28" max="28" width="23.26953125" style="450" hidden="1" customWidth="1"/>
    <col min="29" max="29" width="20.1796875" style="445" bestFit="1" customWidth="1"/>
    <col min="30" max="30" width="21.26953125" style="450" bestFit="1" customWidth="1"/>
    <col min="31" max="31" width="15.453125" style="450" hidden="1" customWidth="1"/>
    <col min="32" max="32" width="38.7265625" style="450" bestFit="1" customWidth="1"/>
    <col min="33" max="33" width="38.26953125" style="450" bestFit="1" customWidth="1"/>
    <col min="34" max="34" width="11.453125" style="450" hidden="1" customWidth="1"/>
    <col min="35" max="52" width="11.453125" style="450"/>
    <col min="53" max="53" width="0" style="450" hidden="1" customWidth="1"/>
    <col min="54" max="16384" width="11.453125" style="450"/>
  </cols>
  <sheetData>
    <row r="1" spans="1:53" ht="22" customHeight="1" x14ac:dyDescent="0.35"/>
    <row r="2" spans="1:53" ht="23.15" customHeight="1" x14ac:dyDescent="0.35">
      <c r="J2" s="522" t="s">
        <v>600</v>
      </c>
      <c r="K2" s="522"/>
      <c r="L2" s="522"/>
      <c r="M2" s="522"/>
      <c r="N2" s="522"/>
      <c r="O2" s="522"/>
      <c r="P2" s="522"/>
      <c r="R2" s="523" t="s">
        <v>601</v>
      </c>
      <c r="S2" s="524"/>
      <c r="T2" s="524"/>
      <c r="U2" s="524"/>
      <c r="V2" s="524"/>
      <c r="W2" s="524"/>
      <c r="X2" s="525"/>
    </row>
    <row r="3" spans="1:53" ht="74" x14ac:dyDescent="0.35">
      <c r="A3" s="119"/>
      <c r="B3" s="386" t="s">
        <v>284</v>
      </c>
      <c r="C3" s="119"/>
      <c r="D3" s="384" t="s">
        <v>283</v>
      </c>
      <c r="E3" s="119"/>
      <c r="F3" s="385" t="s">
        <v>269</v>
      </c>
      <c r="G3" s="119"/>
      <c r="H3" s="384" t="s">
        <v>268</v>
      </c>
      <c r="I3" s="119"/>
      <c r="J3" s="386" t="s">
        <v>20</v>
      </c>
      <c r="K3" s="385" t="s">
        <v>364</v>
      </c>
      <c r="L3" s="387" t="s">
        <v>365</v>
      </c>
      <c r="M3" s="388" t="s">
        <v>366</v>
      </c>
      <c r="N3" s="384" t="s">
        <v>436</v>
      </c>
      <c r="O3" s="386" t="s">
        <v>378</v>
      </c>
      <c r="P3" s="384" t="s">
        <v>367</v>
      </c>
      <c r="Q3" s="119"/>
      <c r="R3" s="384" t="s">
        <v>344</v>
      </c>
      <c r="S3" s="384" t="s">
        <v>345</v>
      </c>
      <c r="T3" s="384" t="s">
        <v>346</v>
      </c>
      <c r="U3" s="384" t="s">
        <v>347</v>
      </c>
      <c r="V3" s="390" t="s">
        <v>348</v>
      </c>
      <c r="W3" s="384" t="s">
        <v>430</v>
      </c>
      <c r="X3" s="384" t="s">
        <v>349</v>
      </c>
      <c r="Z3" s="384" t="s">
        <v>370</v>
      </c>
      <c r="AA3" s="384" t="s">
        <v>371</v>
      </c>
      <c r="AB3" s="384" t="s">
        <v>479</v>
      </c>
      <c r="AC3" s="384" t="s">
        <v>379</v>
      </c>
      <c r="AD3" s="384" t="s">
        <v>425</v>
      </c>
      <c r="AE3" s="384" t="s">
        <v>437</v>
      </c>
      <c r="AF3" s="384" t="s">
        <v>688</v>
      </c>
      <c r="AG3" s="384" t="s">
        <v>689</v>
      </c>
      <c r="BA3" s="450" t="s">
        <v>648</v>
      </c>
    </row>
    <row r="4" spans="1:53" x14ac:dyDescent="0.35">
      <c r="B4" s="397" t="s">
        <v>281</v>
      </c>
      <c r="C4" s="239"/>
      <c r="D4" s="397" t="s">
        <v>192</v>
      </c>
      <c r="E4" s="239"/>
      <c r="F4" s="399">
        <v>1</v>
      </c>
      <c r="G4" s="239"/>
      <c r="H4" s="397" t="s">
        <v>189</v>
      </c>
      <c r="I4" s="239"/>
      <c r="J4" s="402" t="s">
        <v>362</v>
      </c>
      <c r="K4" s="403" t="s">
        <v>369</v>
      </c>
      <c r="L4" s="423" t="s">
        <v>382</v>
      </c>
      <c r="M4" s="403">
        <v>2</v>
      </c>
      <c r="N4" s="402" t="s">
        <v>10</v>
      </c>
      <c r="O4" s="402" t="s">
        <v>381</v>
      </c>
      <c r="P4" s="404" t="s">
        <v>383</v>
      </c>
      <c r="R4" s="383" t="s">
        <v>452</v>
      </c>
      <c r="S4" s="383" t="s">
        <v>545</v>
      </c>
      <c r="T4" s="383" t="s">
        <v>46</v>
      </c>
      <c r="U4" s="409" t="s">
        <v>566</v>
      </c>
      <c r="V4" s="410">
        <v>1</v>
      </c>
      <c r="W4" s="409" t="s">
        <v>476</v>
      </c>
      <c r="X4" s="411" t="s">
        <v>585</v>
      </c>
      <c r="Z4" s="392" t="s">
        <v>368</v>
      </c>
      <c r="AA4" s="392">
        <v>1</v>
      </c>
      <c r="AB4" s="406" t="s">
        <v>372</v>
      </c>
      <c r="AC4" s="406" t="s">
        <v>374</v>
      </c>
      <c r="AD4" s="406" t="s">
        <v>476</v>
      </c>
      <c r="AE4" s="392">
        <v>0</v>
      </c>
      <c r="AF4" s="406" t="s">
        <v>439</v>
      </c>
      <c r="AG4" s="391" t="s">
        <v>362</v>
      </c>
      <c r="AH4" s="438"/>
      <c r="BA4" s="450" t="s">
        <v>362</v>
      </c>
    </row>
    <row r="5" spans="1:53" ht="29" x14ac:dyDescent="0.35">
      <c r="B5" s="398" t="s">
        <v>190</v>
      </c>
      <c r="C5" s="239"/>
      <c r="D5" s="398" t="s">
        <v>188</v>
      </c>
      <c r="E5" s="239"/>
      <c r="F5" s="400">
        <v>2</v>
      </c>
      <c r="G5" s="239"/>
      <c r="H5" s="398" t="s">
        <v>206</v>
      </c>
      <c r="I5" s="239"/>
      <c r="J5" s="378" t="s">
        <v>362</v>
      </c>
      <c r="K5" s="380" t="s">
        <v>369</v>
      </c>
      <c r="L5" s="424">
        <v>1312478</v>
      </c>
      <c r="M5" s="380">
        <v>3</v>
      </c>
      <c r="N5" s="378" t="s">
        <v>10</v>
      </c>
      <c r="O5" s="378" t="s">
        <v>381</v>
      </c>
      <c r="P5" s="381" t="s">
        <v>383</v>
      </c>
      <c r="R5" s="382" t="s">
        <v>587</v>
      </c>
      <c r="S5" s="382" t="s">
        <v>539</v>
      </c>
      <c r="T5" s="382" t="s">
        <v>538</v>
      </c>
      <c r="U5" s="411" t="s">
        <v>588</v>
      </c>
      <c r="V5" s="410">
        <v>2</v>
      </c>
      <c r="W5" s="409" t="s">
        <v>476</v>
      </c>
      <c r="X5" s="411" t="s">
        <v>610</v>
      </c>
      <c r="Z5" s="393" t="s">
        <v>369</v>
      </c>
      <c r="AA5" s="393">
        <v>2</v>
      </c>
      <c r="AB5" s="407" t="s">
        <v>373</v>
      </c>
      <c r="AC5" s="407" t="s">
        <v>376</v>
      </c>
      <c r="AD5" s="260" t="s">
        <v>477</v>
      </c>
      <c r="AE5" s="412"/>
      <c r="AF5" s="407" t="s">
        <v>280</v>
      </c>
      <c r="AG5" s="255" t="s">
        <v>444</v>
      </c>
      <c r="AH5" s="228"/>
      <c r="BA5" s="450" t="s">
        <v>439</v>
      </c>
    </row>
    <row r="6" spans="1:53" x14ac:dyDescent="0.35">
      <c r="B6" s="397" t="s">
        <v>228</v>
      </c>
      <c r="C6" s="239"/>
      <c r="D6" s="397" t="s">
        <v>279</v>
      </c>
      <c r="E6" s="239"/>
      <c r="F6" s="399">
        <v>3</v>
      </c>
      <c r="G6" s="239"/>
      <c r="H6" s="397" t="s">
        <v>181</v>
      </c>
      <c r="I6" s="239"/>
      <c r="J6" s="402" t="s">
        <v>439</v>
      </c>
      <c r="K6" s="403" t="s">
        <v>368</v>
      </c>
      <c r="L6" s="423" t="s">
        <v>440</v>
      </c>
      <c r="M6" s="403">
        <v>2</v>
      </c>
      <c r="N6" s="402" t="s">
        <v>11</v>
      </c>
      <c r="O6" s="402" t="s">
        <v>381</v>
      </c>
      <c r="P6" s="402" t="s">
        <v>441</v>
      </c>
      <c r="R6" s="383" t="s">
        <v>454</v>
      </c>
      <c r="S6" s="383" t="s">
        <v>568</v>
      </c>
      <c r="T6" s="383" t="s">
        <v>567</v>
      </c>
      <c r="U6" s="409" t="s">
        <v>597</v>
      </c>
      <c r="V6" s="410">
        <v>2</v>
      </c>
      <c r="W6" s="409" t="s">
        <v>476</v>
      </c>
      <c r="X6" s="411" t="s">
        <v>585</v>
      </c>
      <c r="Z6" s="412"/>
      <c r="AA6" s="389">
        <v>3</v>
      </c>
      <c r="AB6" s="377"/>
      <c r="AC6" s="406" t="s">
        <v>377</v>
      </c>
      <c r="AD6" s="408" t="s">
        <v>478</v>
      </c>
      <c r="AE6" s="412"/>
      <c r="AF6" s="406" t="s">
        <v>387</v>
      </c>
      <c r="AG6" s="391" t="s">
        <v>312</v>
      </c>
      <c r="AH6" s="228"/>
      <c r="BA6" s="450" t="s">
        <v>444</v>
      </c>
    </row>
    <row r="7" spans="1:53" x14ac:dyDescent="0.35">
      <c r="B7" s="398" t="s">
        <v>277</v>
      </c>
      <c r="C7" s="239"/>
      <c r="D7" s="398" t="s">
        <v>276</v>
      </c>
      <c r="E7" s="239"/>
      <c r="F7" s="400">
        <v>4</v>
      </c>
      <c r="G7" s="239"/>
      <c r="H7" s="376"/>
      <c r="I7" s="239"/>
      <c r="J7" s="378" t="s">
        <v>444</v>
      </c>
      <c r="K7" s="380" t="s">
        <v>369</v>
      </c>
      <c r="L7" s="424" t="s">
        <v>642</v>
      </c>
      <c r="M7" s="380">
        <v>5</v>
      </c>
      <c r="N7" s="378" t="s">
        <v>10</v>
      </c>
      <c r="O7" s="378" t="s">
        <v>381</v>
      </c>
      <c r="P7" s="381" t="s">
        <v>443</v>
      </c>
      <c r="R7" s="382" t="s">
        <v>455</v>
      </c>
      <c r="S7" s="382" t="s">
        <v>544</v>
      </c>
      <c r="T7" s="382" t="s">
        <v>661</v>
      </c>
      <c r="U7" s="409" t="s">
        <v>513</v>
      </c>
      <c r="V7" s="410">
        <v>3</v>
      </c>
      <c r="W7" s="409" t="s">
        <v>476</v>
      </c>
      <c r="X7" s="411" t="s">
        <v>585</v>
      </c>
      <c r="Z7" s="412"/>
      <c r="AA7" s="253">
        <v>4</v>
      </c>
      <c r="AB7" s="394"/>
      <c r="AC7" s="407" t="s">
        <v>375</v>
      </c>
      <c r="AD7" s="260" t="s">
        <v>426</v>
      </c>
      <c r="AE7" s="412"/>
      <c r="AF7" s="407" t="s">
        <v>275</v>
      </c>
      <c r="AG7" s="255" t="s">
        <v>417</v>
      </c>
      <c r="AH7" s="228"/>
      <c r="BA7" s="450" t="s">
        <v>312</v>
      </c>
    </row>
    <row r="8" spans="1:53" x14ac:dyDescent="0.35">
      <c r="B8" s="397" t="s">
        <v>473</v>
      </c>
      <c r="C8" s="239"/>
      <c r="D8" s="397" t="s">
        <v>274</v>
      </c>
      <c r="E8" s="239"/>
      <c r="F8" s="399">
        <v>5</v>
      </c>
      <c r="G8" s="239"/>
      <c r="H8" s="395"/>
      <c r="I8" s="239"/>
      <c r="J8" s="402" t="s">
        <v>444</v>
      </c>
      <c r="K8" s="403" t="s">
        <v>369</v>
      </c>
      <c r="L8" s="423" t="s">
        <v>643</v>
      </c>
      <c r="M8" s="403">
        <v>5</v>
      </c>
      <c r="N8" s="402" t="s">
        <v>10</v>
      </c>
      <c r="O8" s="402" t="s">
        <v>381</v>
      </c>
      <c r="P8" s="404" t="s">
        <v>443</v>
      </c>
      <c r="R8" s="383" t="s">
        <v>456</v>
      </c>
      <c r="S8" s="383" t="s">
        <v>537</v>
      </c>
      <c r="T8" s="383" t="s">
        <v>536</v>
      </c>
      <c r="U8" s="409" t="s">
        <v>586</v>
      </c>
      <c r="V8" s="410">
        <v>4</v>
      </c>
      <c r="W8" s="409" t="s">
        <v>476</v>
      </c>
      <c r="X8" s="411" t="s">
        <v>585</v>
      </c>
      <c r="Z8" s="412"/>
      <c r="AA8" s="389">
        <v>5</v>
      </c>
      <c r="AB8" s="394"/>
      <c r="AC8" s="406" t="s">
        <v>380</v>
      </c>
      <c r="AD8" s="408" t="s">
        <v>427</v>
      </c>
      <c r="AE8" s="412"/>
      <c r="AF8" s="406" t="s">
        <v>278</v>
      </c>
      <c r="AG8" s="391" t="s">
        <v>360</v>
      </c>
      <c r="AH8" s="228"/>
      <c r="BA8" s="450" t="s">
        <v>417</v>
      </c>
    </row>
    <row r="9" spans="1:53" x14ac:dyDescent="0.35">
      <c r="B9" s="398" t="s">
        <v>474</v>
      </c>
      <c r="C9" s="239"/>
      <c r="D9" s="398" t="s">
        <v>273</v>
      </c>
      <c r="E9" s="239"/>
      <c r="F9" s="400">
        <v>6</v>
      </c>
      <c r="G9" s="239"/>
      <c r="H9" s="395"/>
      <c r="I9" s="239"/>
      <c r="J9" s="378" t="s">
        <v>444</v>
      </c>
      <c r="K9" s="380" t="s">
        <v>369</v>
      </c>
      <c r="L9" s="424" t="s">
        <v>442</v>
      </c>
      <c r="M9" s="380">
        <v>2</v>
      </c>
      <c r="N9" s="378" t="s">
        <v>10</v>
      </c>
      <c r="O9" s="378" t="s">
        <v>381</v>
      </c>
      <c r="P9" s="381" t="s">
        <v>443</v>
      </c>
      <c r="R9" s="382" t="s">
        <v>458</v>
      </c>
      <c r="S9" s="382" t="s">
        <v>560</v>
      </c>
      <c r="T9" s="382" t="s">
        <v>559</v>
      </c>
      <c r="U9" s="409" t="s">
        <v>596</v>
      </c>
      <c r="V9" s="410">
        <v>5</v>
      </c>
      <c r="W9" s="409" t="s">
        <v>477</v>
      </c>
      <c r="X9" s="411" t="s">
        <v>585</v>
      </c>
      <c r="Z9" s="412"/>
      <c r="AA9" s="253">
        <v>6</v>
      </c>
      <c r="AB9" s="394"/>
      <c r="AC9" s="407" t="s">
        <v>381</v>
      </c>
      <c r="AD9" s="260" t="s">
        <v>428</v>
      </c>
      <c r="AE9" s="412"/>
      <c r="AF9" s="407" t="s">
        <v>282</v>
      </c>
      <c r="AG9" s="255" t="s">
        <v>424</v>
      </c>
      <c r="AH9" s="228"/>
      <c r="BA9" s="450" t="s">
        <v>360</v>
      </c>
    </row>
    <row r="10" spans="1:53" x14ac:dyDescent="0.35">
      <c r="B10" s="397" t="s">
        <v>450</v>
      </c>
      <c r="C10" s="239"/>
      <c r="D10" s="376"/>
      <c r="E10" s="239"/>
      <c r="F10" s="399">
        <v>7</v>
      </c>
      <c r="G10" s="239"/>
      <c r="H10" s="395"/>
      <c r="I10" s="239"/>
      <c r="J10" s="402" t="s">
        <v>312</v>
      </c>
      <c r="K10" s="403" t="s">
        <v>369</v>
      </c>
      <c r="L10" s="423" t="s">
        <v>384</v>
      </c>
      <c r="M10" s="403">
        <v>2</v>
      </c>
      <c r="N10" s="402" t="s">
        <v>4</v>
      </c>
      <c r="O10" s="402" t="s">
        <v>381</v>
      </c>
      <c r="P10" s="404" t="s">
        <v>385</v>
      </c>
      <c r="R10" s="383" t="s">
        <v>457</v>
      </c>
      <c r="S10" s="383" t="s">
        <v>554</v>
      </c>
      <c r="T10" s="383" t="s">
        <v>553</v>
      </c>
      <c r="U10" s="409" t="s">
        <v>594</v>
      </c>
      <c r="V10" s="410">
        <v>5</v>
      </c>
      <c r="W10" s="409" t="s">
        <v>476</v>
      </c>
      <c r="X10" s="411" t="s">
        <v>585</v>
      </c>
      <c r="Z10" s="412"/>
      <c r="AA10" s="389">
        <v>7</v>
      </c>
      <c r="AB10" s="394"/>
      <c r="AC10" s="377"/>
      <c r="AD10" s="408" t="s">
        <v>598</v>
      </c>
      <c r="AE10" s="412"/>
      <c r="AF10" s="406" t="s">
        <v>391</v>
      </c>
      <c r="AG10" s="391" t="s">
        <v>408</v>
      </c>
      <c r="AH10" s="228"/>
      <c r="BA10" s="450" t="s">
        <v>424</v>
      </c>
    </row>
    <row r="11" spans="1:53" x14ac:dyDescent="0.35">
      <c r="B11" s="398" t="s">
        <v>234</v>
      </c>
      <c r="C11" s="239"/>
      <c r="D11" s="395"/>
      <c r="E11" s="239"/>
      <c r="F11" s="400">
        <v>8</v>
      </c>
      <c r="G11" s="239"/>
      <c r="H11" s="395"/>
      <c r="I11" s="239"/>
      <c r="J11" s="378" t="s">
        <v>312</v>
      </c>
      <c r="K11" s="380" t="s">
        <v>369</v>
      </c>
      <c r="L11" s="424" t="s">
        <v>416</v>
      </c>
      <c r="M11" s="380">
        <v>6</v>
      </c>
      <c r="N11" s="378" t="s">
        <v>4</v>
      </c>
      <c r="O11" s="378" t="s">
        <v>381</v>
      </c>
      <c r="P11" s="381" t="s">
        <v>385</v>
      </c>
      <c r="R11" s="382" t="s">
        <v>459</v>
      </c>
      <c r="S11" s="382" t="s">
        <v>552</v>
      </c>
      <c r="T11" s="382" t="s">
        <v>45</v>
      </c>
      <c r="U11" s="409" t="s">
        <v>565</v>
      </c>
      <c r="V11" s="410">
        <v>6</v>
      </c>
      <c r="W11" s="409" t="s">
        <v>476</v>
      </c>
      <c r="X11" s="411" t="s">
        <v>585</v>
      </c>
      <c r="Z11" s="412"/>
      <c r="AA11" s="253">
        <v>8</v>
      </c>
      <c r="AB11" s="394"/>
      <c r="AC11" s="394"/>
      <c r="AD11" s="260" t="s">
        <v>429</v>
      </c>
      <c r="AE11" s="412"/>
      <c r="AF11" s="407" t="s">
        <v>625</v>
      </c>
      <c r="AG11" s="255" t="s">
        <v>412</v>
      </c>
      <c r="AH11" s="228"/>
      <c r="BA11" s="450" t="s">
        <v>408</v>
      </c>
    </row>
    <row r="12" spans="1:53" x14ac:dyDescent="0.35">
      <c r="B12" s="397" t="s">
        <v>182</v>
      </c>
      <c r="C12" s="239"/>
      <c r="D12" s="395"/>
      <c r="E12" s="239"/>
      <c r="F12" s="399">
        <v>9</v>
      </c>
      <c r="G12" s="239"/>
      <c r="H12" s="395"/>
      <c r="I12" s="239"/>
      <c r="J12" s="402" t="s">
        <v>311</v>
      </c>
      <c r="K12" s="403" t="s">
        <v>368</v>
      </c>
      <c r="L12" s="423" t="s">
        <v>280</v>
      </c>
      <c r="M12" s="403">
        <v>1</v>
      </c>
      <c r="N12" s="402" t="s">
        <v>11</v>
      </c>
      <c r="O12" s="402" t="s">
        <v>375</v>
      </c>
      <c r="P12" s="404" t="s">
        <v>386</v>
      </c>
      <c r="R12" s="383" t="s">
        <v>460</v>
      </c>
      <c r="S12" s="383" t="s">
        <v>547</v>
      </c>
      <c r="T12" s="383" t="s">
        <v>546</v>
      </c>
      <c r="U12" s="409" t="s">
        <v>591</v>
      </c>
      <c r="V12" s="410">
        <v>7</v>
      </c>
      <c r="W12" s="409" t="s">
        <v>476</v>
      </c>
      <c r="X12" s="411" t="s">
        <v>585</v>
      </c>
      <c r="Z12" s="412"/>
      <c r="AA12" s="389">
        <v>9</v>
      </c>
      <c r="AB12" s="394"/>
      <c r="AC12" s="394"/>
      <c r="AD12" s="377"/>
      <c r="AE12" s="412"/>
      <c r="AF12" s="406" t="s">
        <v>397</v>
      </c>
      <c r="AG12" s="391" t="s">
        <v>395</v>
      </c>
      <c r="AH12" s="228"/>
      <c r="BA12" s="450" t="s">
        <v>412</v>
      </c>
    </row>
    <row r="13" spans="1:53" x14ac:dyDescent="0.35">
      <c r="B13" s="376"/>
      <c r="C13" s="239"/>
      <c r="D13" s="395"/>
      <c r="E13" s="239"/>
      <c r="F13" s="400">
        <v>10</v>
      </c>
      <c r="G13" s="239"/>
      <c r="H13" s="395"/>
      <c r="I13" s="239"/>
      <c r="J13" s="378" t="s">
        <v>387</v>
      </c>
      <c r="K13" s="380" t="s">
        <v>368</v>
      </c>
      <c r="L13" s="424" t="s">
        <v>357</v>
      </c>
      <c r="M13" s="380">
        <v>3</v>
      </c>
      <c r="N13" s="378" t="s">
        <v>11</v>
      </c>
      <c r="O13" s="378" t="s">
        <v>374</v>
      </c>
      <c r="P13" s="381"/>
      <c r="R13" s="382" t="s">
        <v>462</v>
      </c>
      <c r="S13" s="382" t="s">
        <v>549</v>
      </c>
      <c r="T13" s="382" t="s">
        <v>548</v>
      </c>
      <c r="U13" s="409" t="s">
        <v>592</v>
      </c>
      <c r="V13" s="410">
        <v>8</v>
      </c>
      <c r="W13" s="409" t="s">
        <v>476</v>
      </c>
      <c r="X13" s="411" t="s">
        <v>585</v>
      </c>
      <c r="Z13" s="412"/>
      <c r="AA13" s="253">
        <v>10</v>
      </c>
      <c r="AB13" s="394"/>
      <c r="AC13" s="394"/>
      <c r="AD13" s="394"/>
      <c r="AE13" s="412"/>
      <c r="AF13" s="407" t="s">
        <v>432</v>
      </c>
      <c r="AG13" s="255" t="s">
        <v>363</v>
      </c>
      <c r="AH13" s="228"/>
      <c r="BA13" s="450" t="s">
        <v>395</v>
      </c>
    </row>
    <row r="14" spans="1:53" x14ac:dyDescent="0.35">
      <c r="B14" s="395"/>
      <c r="C14" s="239"/>
      <c r="D14" s="395"/>
      <c r="E14" s="239"/>
      <c r="F14" s="399">
        <v>11</v>
      </c>
      <c r="G14" s="239"/>
      <c r="H14" s="395"/>
      <c r="I14" s="239"/>
      <c r="J14" s="402" t="s">
        <v>387</v>
      </c>
      <c r="K14" s="403" t="s">
        <v>368</v>
      </c>
      <c r="L14" s="423" t="s">
        <v>388</v>
      </c>
      <c r="M14" s="403">
        <v>3</v>
      </c>
      <c r="N14" s="402" t="s">
        <v>11</v>
      </c>
      <c r="O14" s="402" t="s">
        <v>374</v>
      </c>
      <c r="P14" s="404"/>
      <c r="R14" s="383" t="s">
        <v>464</v>
      </c>
      <c r="S14" s="383" t="s">
        <v>542</v>
      </c>
      <c r="T14" s="383" t="s">
        <v>44</v>
      </c>
      <c r="U14" s="409" t="s">
        <v>590</v>
      </c>
      <c r="V14" s="410">
        <v>9</v>
      </c>
      <c r="W14" s="409" t="s">
        <v>476</v>
      </c>
      <c r="X14" s="411" t="s">
        <v>585</v>
      </c>
      <c r="Z14" s="412"/>
      <c r="AA14" s="412"/>
      <c r="AB14" s="394"/>
      <c r="AC14" s="394"/>
      <c r="AD14" s="394"/>
      <c r="AE14" s="412"/>
      <c r="AF14" s="377"/>
      <c r="AG14" s="391" t="s">
        <v>423</v>
      </c>
      <c r="AH14" s="228"/>
      <c r="BA14" s="450" t="s">
        <v>363</v>
      </c>
    </row>
    <row r="15" spans="1:53" x14ac:dyDescent="0.35">
      <c r="B15" s="395"/>
      <c r="C15" s="239"/>
      <c r="D15" s="395"/>
      <c r="E15" s="239"/>
      <c r="F15" s="400">
        <v>12</v>
      </c>
      <c r="G15" s="239"/>
      <c r="H15" s="395"/>
      <c r="I15" s="239"/>
      <c r="J15" s="378" t="s">
        <v>387</v>
      </c>
      <c r="K15" s="380" t="s">
        <v>368</v>
      </c>
      <c r="L15" s="424" t="s">
        <v>389</v>
      </c>
      <c r="M15" s="380">
        <v>3</v>
      </c>
      <c r="N15" s="378" t="s">
        <v>11</v>
      </c>
      <c r="O15" s="378" t="s">
        <v>374</v>
      </c>
      <c r="P15" s="381"/>
      <c r="R15" s="382" t="s">
        <v>628</v>
      </c>
      <c r="S15" s="382" t="s">
        <v>570</v>
      </c>
      <c r="T15" s="382" t="s">
        <v>569</v>
      </c>
      <c r="U15" s="415" t="s">
        <v>569</v>
      </c>
      <c r="V15" s="414">
        <v>10</v>
      </c>
      <c r="W15" s="415" t="s">
        <v>478</v>
      </c>
      <c r="X15" s="413" t="s">
        <v>629</v>
      </c>
      <c r="Z15" s="412"/>
      <c r="AA15" s="412"/>
      <c r="AB15" s="394"/>
      <c r="AC15" s="394"/>
      <c r="AD15" s="394"/>
      <c r="AE15" s="412"/>
      <c r="AF15" s="377"/>
      <c r="AG15" s="255" t="s">
        <v>361</v>
      </c>
      <c r="AH15" s="228"/>
      <c r="BA15" s="450" t="s">
        <v>625</v>
      </c>
    </row>
    <row r="16" spans="1:53" x14ac:dyDescent="0.35">
      <c r="B16" s="395"/>
      <c r="C16" s="239"/>
      <c r="D16" s="395"/>
      <c r="E16" s="239"/>
      <c r="F16" s="399">
        <v>13</v>
      </c>
      <c r="G16" s="239"/>
      <c r="H16" s="395"/>
      <c r="I16" s="239"/>
      <c r="J16" s="402" t="s">
        <v>387</v>
      </c>
      <c r="K16" s="403" t="s">
        <v>368</v>
      </c>
      <c r="L16" s="423" t="s">
        <v>356</v>
      </c>
      <c r="M16" s="403">
        <v>2</v>
      </c>
      <c r="N16" s="402" t="s">
        <v>11</v>
      </c>
      <c r="O16" s="402" t="s">
        <v>374</v>
      </c>
      <c r="P16" s="404"/>
      <c r="R16" s="383" t="s">
        <v>465</v>
      </c>
      <c r="S16" s="383" t="s">
        <v>551</v>
      </c>
      <c r="T16" s="383" t="s">
        <v>550</v>
      </c>
      <c r="U16" s="409" t="s">
        <v>593</v>
      </c>
      <c r="V16" s="410">
        <v>10</v>
      </c>
      <c r="W16" s="409" t="s">
        <v>476</v>
      </c>
      <c r="X16" s="411" t="s">
        <v>585</v>
      </c>
      <c r="Z16" s="412"/>
      <c r="AA16" s="412"/>
      <c r="AB16" s="394"/>
      <c r="AC16" s="394"/>
      <c r="AD16" s="394"/>
      <c r="AE16" s="412"/>
      <c r="AF16" s="377"/>
      <c r="AG16" s="391" t="s">
        <v>12</v>
      </c>
      <c r="AH16" s="228"/>
      <c r="BA16" s="450" t="s">
        <v>423</v>
      </c>
    </row>
    <row r="17" spans="2:53" ht="29" x14ac:dyDescent="0.35">
      <c r="B17" s="395"/>
      <c r="C17" s="239"/>
      <c r="D17" s="395"/>
      <c r="E17" s="239"/>
      <c r="F17" s="400">
        <v>14</v>
      </c>
      <c r="G17" s="239"/>
      <c r="H17" s="395"/>
      <c r="I17" s="239"/>
      <c r="J17" s="378" t="s">
        <v>417</v>
      </c>
      <c r="K17" s="380" t="s">
        <v>369</v>
      </c>
      <c r="L17" s="424" t="s">
        <v>418</v>
      </c>
      <c r="M17" s="380">
        <v>1</v>
      </c>
      <c r="N17" s="378" t="s">
        <v>10</v>
      </c>
      <c r="O17" s="378" t="s">
        <v>380</v>
      </c>
      <c r="P17" s="381" t="s">
        <v>420</v>
      </c>
      <c r="R17" s="382" t="s">
        <v>602</v>
      </c>
      <c r="S17" s="382" t="s">
        <v>543</v>
      </c>
      <c r="T17" s="382" t="s">
        <v>573</v>
      </c>
      <c r="U17" s="411" t="s">
        <v>603</v>
      </c>
      <c r="V17" s="410">
        <v>11</v>
      </c>
      <c r="W17" s="409" t="s">
        <v>476</v>
      </c>
      <c r="X17" s="411" t="s">
        <v>610</v>
      </c>
      <c r="Z17" s="412"/>
      <c r="AA17" s="412"/>
      <c r="AB17" s="394"/>
      <c r="AC17" s="394"/>
      <c r="AD17" s="394"/>
      <c r="AE17" s="412"/>
      <c r="AF17" s="394"/>
      <c r="AG17" s="255" t="s">
        <v>351</v>
      </c>
      <c r="AH17" s="228"/>
      <c r="BA17" s="450" t="s">
        <v>432</v>
      </c>
    </row>
    <row r="18" spans="2:53" x14ac:dyDescent="0.35">
      <c r="B18" s="395"/>
      <c r="C18" s="239"/>
      <c r="D18" s="395"/>
      <c r="E18" s="239"/>
      <c r="F18" s="399" t="s">
        <v>182</v>
      </c>
      <c r="G18" s="239"/>
      <c r="H18" s="395"/>
      <c r="I18" s="239"/>
      <c r="J18" s="402" t="s">
        <v>417</v>
      </c>
      <c r="K18" s="403" t="s">
        <v>369</v>
      </c>
      <c r="L18" s="423" t="s">
        <v>419</v>
      </c>
      <c r="M18" s="403">
        <v>1</v>
      </c>
      <c r="N18" s="402" t="s">
        <v>10</v>
      </c>
      <c r="O18" s="402" t="s">
        <v>380</v>
      </c>
      <c r="P18" s="404" t="s">
        <v>420</v>
      </c>
      <c r="R18" s="383" t="s">
        <v>469</v>
      </c>
      <c r="S18" s="383" t="s">
        <v>530</v>
      </c>
      <c r="T18" s="383" t="s">
        <v>529</v>
      </c>
      <c r="U18" s="409" t="s">
        <v>584</v>
      </c>
      <c r="V18" s="410">
        <v>12</v>
      </c>
      <c r="W18" s="409" t="s">
        <v>476</v>
      </c>
      <c r="X18" s="411" t="s">
        <v>585</v>
      </c>
      <c r="Z18" s="412"/>
      <c r="AA18" s="412"/>
      <c r="AB18" s="394"/>
      <c r="AC18" s="394"/>
      <c r="AD18" s="394"/>
      <c r="AE18" s="412"/>
      <c r="AF18" s="394"/>
      <c r="AG18" s="391" t="s">
        <v>431</v>
      </c>
      <c r="AH18" s="228"/>
      <c r="BA18" s="450" t="s">
        <v>361</v>
      </c>
    </row>
    <row r="19" spans="2:53" x14ac:dyDescent="0.35">
      <c r="B19" s="395"/>
      <c r="C19" s="239"/>
      <c r="D19" s="395"/>
      <c r="E19" s="239"/>
      <c r="F19" s="379"/>
      <c r="G19" s="239"/>
      <c r="H19" s="395"/>
      <c r="I19" s="239"/>
      <c r="J19" s="378" t="s">
        <v>360</v>
      </c>
      <c r="K19" s="380" t="s">
        <v>369</v>
      </c>
      <c r="L19" s="424" t="s">
        <v>313</v>
      </c>
      <c r="M19" s="380">
        <v>4</v>
      </c>
      <c r="N19" s="378" t="s">
        <v>7</v>
      </c>
      <c r="O19" s="378" t="s">
        <v>381</v>
      </c>
      <c r="P19" s="381" t="s">
        <v>385</v>
      </c>
      <c r="R19" s="382" t="s">
        <v>470</v>
      </c>
      <c r="S19" s="382" t="s">
        <v>558</v>
      </c>
      <c r="T19" s="382" t="s">
        <v>557</v>
      </c>
      <c r="U19" s="409" t="s">
        <v>595</v>
      </c>
      <c r="V19" s="410">
        <v>12</v>
      </c>
      <c r="W19" s="409" t="s">
        <v>476</v>
      </c>
      <c r="X19" s="411" t="s">
        <v>585</v>
      </c>
      <c r="Z19" s="412"/>
      <c r="AA19" s="412"/>
      <c r="AB19" s="394"/>
      <c r="AC19" s="394"/>
      <c r="AD19" s="394"/>
      <c r="AE19" s="412"/>
      <c r="AF19" s="394"/>
      <c r="AG19" s="412"/>
      <c r="AH19" s="228"/>
      <c r="BA19" s="450" t="s">
        <v>12</v>
      </c>
    </row>
    <row r="20" spans="2:53" x14ac:dyDescent="0.35">
      <c r="B20" s="395"/>
      <c r="D20" s="395"/>
      <c r="F20" s="396"/>
      <c r="H20" s="395"/>
      <c r="J20" s="402" t="s">
        <v>275</v>
      </c>
      <c r="K20" s="403" t="s">
        <v>368</v>
      </c>
      <c r="L20" s="423" t="s">
        <v>275</v>
      </c>
      <c r="M20" s="403">
        <v>1</v>
      </c>
      <c r="N20" s="402" t="s">
        <v>11</v>
      </c>
      <c r="O20" s="402" t="s">
        <v>375</v>
      </c>
      <c r="P20" s="404" t="s">
        <v>393</v>
      </c>
      <c r="R20" s="383" t="s">
        <v>471</v>
      </c>
      <c r="S20" s="383" t="s">
        <v>556</v>
      </c>
      <c r="T20" s="383" t="s">
        <v>555</v>
      </c>
      <c r="U20" s="409" t="s">
        <v>355</v>
      </c>
      <c r="V20" s="410" t="s">
        <v>617</v>
      </c>
      <c r="W20" s="409" t="s">
        <v>476</v>
      </c>
      <c r="X20" s="411" t="s">
        <v>585</v>
      </c>
      <c r="Z20" s="412"/>
      <c r="AA20" s="412"/>
      <c r="AB20" s="394"/>
      <c r="AC20" s="394"/>
      <c r="AD20" s="394"/>
      <c r="AE20" s="412"/>
      <c r="AF20" s="394"/>
      <c r="AG20" s="412"/>
      <c r="AH20" s="228"/>
      <c r="BA20" s="450" t="s">
        <v>351</v>
      </c>
    </row>
    <row r="21" spans="2:53" x14ac:dyDescent="0.35">
      <c r="B21" s="395"/>
      <c r="D21" s="395"/>
      <c r="F21" s="396"/>
      <c r="H21" s="395"/>
      <c r="J21" s="378" t="s">
        <v>424</v>
      </c>
      <c r="K21" s="380" t="s">
        <v>369</v>
      </c>
      <c r="L21" s="424" t="s">
        <v>353</v>
      </c>
      <c r="M21" s="380">
        <v>1</v>
      </c>
      <c r="N21" s="378" t="s">
        <v>5</v>
      </c>
      <c r="O21" s="378" t="s">
        <v>381</v>
      </c>
      <c r="P21" s="381"/>
      <c r="R21" s="382" t="s">
        <v>626</v>
      </c>
      <c r="S21" s="382" t="s">
        <v>535</v>
      </c>
      <c r="T21" s="382" t="s">
        <v>534</v>
      </c>
      <c r="U21" s="409" t="s">
        <v>534</v>
      </c>
      <c r="V21" s="410"/>
      <c r="W21" s="409" t="s">
        <v>427</v>
      </c>
      <c r="X21" s="411" t="s">
        <v>609</v>
      </c>
      <c r="Z21" s="412"/>
      <c r="AA21" s="412"/>
      <c r="AB21" s="394"/>
      <c r="AC21" s="394"/>
      <c r="AD21" s="394"/>
      <c r="AE21" s="412"/>
      <c r="AF21" s="394"/>
      <c r="AG21" s="412"/>
      <c r="AH21" s="228"/>
      <c r="BA21" s="450" t="s">
        <v>431</v>
      </c>
    </row>
    <row r="22" spans="2:53" x14ac:dyDescent="0.35">
      <c r="B22" s="395"/>
      <c r="D22" s="395"/>
      <c r="F22" s="396"/>
      <c r="H22" s="395"/>
      <c r="J22" s="402" t="s">
        <v>424</v>
      </c>
      <c r="K22" s="403" t="s">
        <v>369</v>
      </c>
      <c r="L22" s="423" t="s">
        <v>354</v>
      </c>
      <c r="M22" s="403">
        <v>2</v>
      </c>
      <c r="N22" s="402" t="s">
        <v>5</v>
      </c>
      <c r="O22" s="402" t="s">
        <v>381</v>
      </c>
      <c r="P22" s="404"/>
      <c r="R22" s="383" t="s">
        <v>627</v>
      </c>
      <c r="S22" s="383" t="s">
        <v>541</v>
      </c>
      <c r="T22" s="383" t="s">
        <v>583</v>
      </c>
      <c r="U22" s="409" t="s">
        <v>583</v>
      </c>
      <c r="V22" s="410"/>
      <c r="W22" s="409" t="s">
        <v>427</v>
      </c>
      <c r="X22" s="411" t="s">
        <v>612</v>
      </c>
      <c r="Z22" s="412"/>
      <c r="AA22" s="412"/>
      <c r="AB22" s="394"/>
      <c r="AC22" s="394"/>
      <c r="AD22" s="394"/>
      <c r="AE22" s="412"/>
      <c r="AF22" s="394"/>
      <c r="AG22" s="412"/>
      <c r="AH22" s="228"/>
    </row>
    <row r="23" spans="2:53" x14ac:dyDescent="0.35">
      <c r="B23" s="395"/>
      <c r="D23" s="395"/>
      <c r="F23" s="396"/>
      <c r="H23" s="395"/>
      <c r="J23" s="378" t="s">
        <v>278</v>
      </c>
      <c r="K23" s="380" t="s">
        <v>368</v>
      </c>
      <c r="L23" s="424" t="s">
        <v>278</v>
      </c>
      <c r="M23" s="380">
        <v>1</v>
      </c>
      <c r="N23" s="378" t="s">
        <v>11</v>
      </c>
      <c r="O23" s="378" t="s">
        <v>375</v>
      </c>
      <c r="P23" s="381" t="s">
        <v>386</v>
      </c>
      <c r="R23" s="382" t="s">
        <v>630</v>
      </c>
      <c r="S23" s="382" t="s">
        <v>562</v>
      </c>
      <c r="T23" s="382" t="s">
        <v>561</v>
      </c>
      <c r="U23" s="409" t="s">
        <v>561</v>
      </c>
      <c r="V23" s="410"/>
      <c r="W23" s="409" t="s">
        <v>427</v>
      </c>
      <c r="X23" s="411" t="s">
        <v>613</v>
      </c>
      <c r="Z23" s="412"/>
      <c r="AA23" s="412"/>
      <c r="AB23" s="394"/>
      <c r="AC23" s="394"/>
      <c r="AD23" s="394"/>
      <c r="AE23" s="412"/>
      <c r="AF23" s="394"/>
      <c r="AG23" s="412"/>
      <c r="AH23" s="228"/>
    </row>
    <row r="24" spans="2:53" x14ac:dyDescent="0.35">
      <c r="B24" s="395"/>
      <c r="D24" s="395"/>
      <c r="F24" s="396"/>
      <c r="H24" s="395"/>
      <c r="J24" s="402" t="s">
        <v>408</v>
      </c>
      <c r="K24" s="403" t="s">
        <v>369</v>
      </c>
      <c r="L24" s="423" t="s">
        <v>409</v>
      </c>
      <c r="M24" s="403">
        <v>3</v>
      </c>
      <c r="N24" s="402" t="s">
        <v>10</v>
      </c>
      <c r="O24" s="402" t="s">
        <v>375</v>
      </c>
      <c r="P24" s="404"/>
      <c r="R24" s="383" t="s">
        <v>631</v>
      </c>
      <c r="S24" s="383" t="s">
        <v>533</v>
      </c>
      <c r="T24" s="383" t="s">
        <v>581</v>
      </c>
      <c r="U24" s="409" t="s">
        <v>581</v>
      </c>
      <c r="V24" s="410"/>
      <c r="W24" s="409" t="s">
        <v>427</v>
      </c>
      <c r="X24" s="411" t="s">
        <v>608</v>
      </c>
      <c r="Z24" s="412"/>
      <c r="AA24" s="412"/>
      <c r="AB24" s="394"/>
      <c r="AC24" s="394"/>
      <c r="AD24" s="394"/>
      <c r="AE24" s="412"/>
      <c r="AF24" s="394"/>
      <c r="AG24" s="412"/>
      <c r="AH24" s="228"/>
    </row>
    <row r="25" spans="2:53" x14ac:dyDescent="0.35">
      <c r="B25" s="395"/>
      <c r="D25" s="395"/>
      <c r="F25" s="396"/>
      <c r="H25" s="395"/>
      <c r="J25" s="378" t="s">
        <v>408</v>
      </c>
      <c r="K25" s="380" t="s">
        <v>369</v>
      </c>
      <c r="L25" s="424" t="s">
        <v>410</v>
      </c>
      <c r="M25" s="380">
        <v>1</v>
      </c>
      <c r="N25" s="378" t="s">
        <v>10</v>
      </c>
      <c r="O25" s="378" t="s">
        <v>375</v>
      </c>
      <c r="P25" s="381"/>
      <c r="R25" s="382" t="s">
        <v>634</v>
      </c>
      <c r="S25" s="382" t="s">
        <v>540</v>
      </c>
      <c r="T25" s="382" t="s">
        <v>582</v>
      </c>
      <c r="U25" s="409" t="s">
        <v>589</v>
      </c>
      <c r="V25" s="410"/>
      <c r="W25" s="409" t="s">
        <v>427</v>
      </c>
      <c r="X25" s="411" t="s">
        <v>611</v>
      </c>
      <c r="Z25" s="412"/>
      <c r="AA25" s="412"/>
      <c r="AB25" s="394"/>
      <c r="AC25" s="394"/>
      <c r="AD25" s="394"/>
      <c r="AE25" s="412"/>
      <c r="AF25" s="394"/>
      <c r="AG25" s="412"/>
      <c r="AH25" s="228"/>
    </row>
    <row r="26" spans="2:53" x14ac:dyDescent="0.35">
      <c r="B26" s="395"/>
      <c r="D26" s="395"/>
      <c r="F26" s="396"/>
      <c r="H26" s="395"/>
      <c r="J26" s="402" t="s">
        <v>408</v>
      </c>
      <c r="K26" s="403" t="s">
        <v>369</v>
      </c>
      <c r="L26" s="423" t="s">
        <v>411</v>
      </c>
      <c r="M26" s="403">
        <v>1</v>
      </c>
      <c r="N26" s="402" t="s">
        <v>10</v>
      </c>
      <c r="O26" s="402" t="s">
        <v>375</v>
      </c>
      <c r="P26" s="404"/>
      <c r="R26" s="383" t="s">
        <v>636</v>
      </c>
      <c r="S26" s="383" t="s">
        <v>572</v>
      </c>
      <c r="T26" s="383" t="s">
        <v>571</v>
      </c>
      <c r="U26" s="409" t="s">
        <v>571</v>
      </c>
      <c r="V26" s="410"/>
      <c r="W26" s="409" t="s">
        <v>427</v>
      </c>
      <c r="X26" s="411" t="s">
        <v>614</v>
      </c>
      <c r="Z26" s="412"/>
      <c r="AA26" s="412"/>
      <c r="AB26" s="394"/>
      <c r="AC26" s="394"/>
      <c r="AD26" s="394"/>
      <c r="AE26" s="412"/>
      <c r="AF26" s="394"/>
      <c r="AG26" s="412"/>
      <c r="AH26" s="228"/>
    </row>
    <row r="27" spans="2:53" x14ac:dyDescent="0.35">
      <c r="B27" s="395"/>
      <c r="D27" s="395"/>
      <c r="F27" s="396"/>
      <c r="H27" s="395"/>
      <c r="J27" s="378" t="s">
        <v>412</v>
      </c>
      <c r="K27" s="380" t="s">
        <v>369</v>
      </c>
      <c r="L27" s="424" t="s">
        <v>413</v>
      </c>
      <c r="M27" s="380">
        <v>2</v>
      </c>
      <c r="N27" s="378" t="s">
        <v>10</v>
      </c>
      <c r="O27" s="378" t="s">
        <v>375</v>
      </c>
      <c r="P27" s="381"/>
      <c r="R27" s="382" t="s">
        <v>637</v>
      </c>
      <c r="S27" s="382" t="s">
        <v>575</v>
      </c>
      <c r="T27" s="382" t="s">
        <v>574</v>
      </c>
      <c r="U27" s="409" t="s">
        <v>606</v>
      </c>
      <c r="V27" s="410"/>
      <c r="W27" s="409" t="s">
        <v>427</v>
      </c>
      <c r="X27" s="411" t="s">
        <v>616</v>
      </c>
      <c r="Z27" s="412"/>
      <c r="AA27" s="412"/>
      <c r="AB27" s="394"/>
      <c r="AC27" s="394"/>
      <c r="AD27" s="394"/>
      <c r="AE27" s="412"/>
      <c r="AF27" s="394"/>
      <c r="AG27" s="412"/>
      <c r="AH27" s="228"/>
    </row>
    <row r="28" spans="2:53" x14ac:dyDescent="0.35">
      <c r="B28" s="395"/>
      <c r="D28" s="395"/>
      <c r="F28" s="396"/>
      <c r="H28" s="395"/>
      <c r="J28" s="402" t="s">
        <v>412</v>
      </c>
      <c r="K28" s="403" t="s">
        <v>369</v>
      </c>
      <c r="L28" s="423" t="s">
        <v>415</v>
      </c>
      <c r="M28" s="403">
        <v>2</v>
      </c>
      <c r="N28" s="402" t="s">
        <v>10</v>
      </c>
      <c r="O28" s="402" t="s">
        <v>375</v>
      </c>
      <c r="P28" s="404"/>
      <c r="R28" s="383" t="s">
        <v>638</v>
      </c>
      <c r="S28" s="383" t="s">
        <v>532</v>
      </c>
      <c r="T28" s="383" t="s">
        <v>531</v>
      </c>
      <c r="U28" s="409" t="s">
        <v>531</v>
      </c>
      <c r="V28" s="410"/>
      <c r="W28" s="409" t="s">
        <v>427</v>
      </c>
      <c r="X28" s="411" t="s">
        <v>607</v>
      </c>
      <c r="Z28" s="412"/>
      <c r="AA28" s="412"/>
      <c r="AB28" s="394"/>
      <c r="AC28" s="394"/>
      <c r="AD28" s="394"/>
      <c r="AE28" s="412"/>
      <c r="AF28" s="394"/>
      <c r="AG28" s="412"/>
      <c r="AH28" s="228"/>
    </row>
    <row r="29" spans="2:53" x14ac:dyDescent="0.35">
      <c r="B29" s="395"/>
      <c r="D29" s="395"/>
      <c r="F29" s="396"/>
      <c r="H29" s="395"/>
      <c r="J29" s="378" t="s">
        <v>412</v>
      </c>
      <c r="K29" s="380" t="s">
        <v>369</v>
      </c>
      <c r="L29" s="424" t="s">
        <v>414</v>
      </c>
      <c r="M29" s="380">
        <v>4</v>
      </c>
      <c r="N29" s="378" t="s">
        <v>7</v>
      </c>
      <c r="O29" s="378" t="s">
        <v>375</v>
      </c>
      <c r="P29" s="381"/>
      <c r="R29" s="382" t="s">
        <v>632</v>
      </c>
      <c r="S29" s="382">
        <v>0</v>
      </c>
      <c r="T29" s="382" t="s">
        <v>578</v>
      </c>
      <c r="U29" s="409" t="s">
        <v>615</v>
      </c>
      <c r="V29" s="410"/>
      <c r="W29" s="409" t="s">
        <v>428</v>
      </c>
      <c r="X29" s="411" t="s">
        <v>604</v>
      </c>
      <c r="Z29" s="412"/>
      <c r="AA29" s="412"/>
      <c r="AB29" s="394"/>
      <c r="AC29" s="394"/>
      <c r="AD29" s="394"/>
      <c r="AE29" s="412"/>
      <c r="AF29" s="394"/>
      <c r="AG29" s="412"/>
      <c r="AH29" s="228"/>
    </row>
    <row r="30" spans="2:53" x14ac:dyDescent="0.35">
      <c r="B30" s="395"/>
      <c r="D30" s="395"/>
      <c r="F30" s="396"/>
      <c r="H30" s="395"/>
      <c r="J30" s="402" t="s">
        <v>395</v>
      </c>
      <c r="K30" s="403" t="s">
        <v>369</v>
      </c>
      <c r="L30" s="423" t="s">
        <v>396</v>
      </c>
      <c r="M30" s="403">
        <v>2</v>
      </c>
      <c r="N30" s="402" t="s">
        <v>10</v>
      </c>
      <c r="O30" s="402" t="s">
        <v>375</v>
      </c>
      <c r="P30" s="404"/>
      <c r="R30" s="383" t="s">
        <v>633</v>
      </c>
      <c r="S30" s="383">
        <v>3529000972</v>
      </c>
      <c r="T30" s="383"/>
      <c r="U30" s="409" t="s">
        <v>615</v>
      </c>
      <c r="V30" s="410"/>
      <c r="W30" s="409" t="s">
        <v>428</v>
      </c>
      <c r="X30" s="411" t="s">
        <v>605</v>
      </c>
      <c r="Z30" s="412"/>
      <c r="AA30" s="412"/>
      <c r="AB30" s="394"/>
      <c r="AC30" s="394"/>
      <c r="AD30" s="394"/>
      <c r="AE30" s="412"/>
      <c r="AF30" s="394"/>
      <c r="AG30" s="412"/>
      <c r="AH30" s="228"/>
    </row>
    <row r="31" spans="2:53" x14ac:dyDescent="0.35">
      <c r="B31" s="395"/>
      <c r="D31" s="395"/>
      <c r="F31" s="396"/>
      <c r="H31" s="395"/>
      <c r="J31" s="378" t="s">
        <v>395</v>
      </c>
      <c r="K31" s="380" t="s">
        <v>369</v>
      </c>
      <c r="L31" s="424">
        <v>406900101</v>
      </c>
      <c r="M31" s="380">
        <v>2</v>
      </c>
      <c r="N31" s="378" t="s">
        <v>10</v>
      </c>
      <c r="O31" s="378" t="s">
        <v>375</v>
      </c>
      <c r="P31" s="381"/>
      <c r="R31" s="382" t="s">
        <v>635</v>
      </c>
      <c r="S31" s="382" t="s">
        <v>577</v>
      </c>
      <c r="T31" s="382" t="s">
        <v>576</v>
      </c>
      <c r="U31" s="409" t="s">
        <v>576</v>
      </c>
      <c r="V31" s="410"/>
      <c r="W31" s="409" t="s">
        <v>598</v>
      </c>
      <c r="X31" s="411" t="s">
        <v>599</v>
      </c>
      <c r="Z31" s="412"/>
      <c r="AA31" s="412"/>
      <c r="AB31" s="394"/>
      <c r="AC31" s="394"/>
      <c r="AD31" s="394"/>
      <c r="AE31" s="412"/>
      <c r="AF31" s="394"/>
      <c r="AG31" s="412"/>
      <c r="AH31" s="228"/>
    </row>
    <row r="32" spans="2:53" x14ac:dyDescent="0.35">
      <c r="B32" s="395"/>
      <c r="D32" s="395"/>
      <c r="F32" s="396"/>
      <c r="H32" s="395"/>
      <c r="J32" s="402" t="s">
        <v>282</v>
      </c>
      <c r="K32" s="403" t="s">
        <v>368</v>
      </c>
      <c r="L32" s="423" t="s">
        <v>282</v>
      </c>
      <c r="M32" s="403">
        <v>1</v>
      </c>
      <c r="N32" s="402" t="s">
        <v>17</v>
      </c>
      <c r="O32" s="402" t="s">
        <v>374</v>
      </c>
      <c r="P32" s="404" t="s">
        <v>394</v>
      </c>
      <c r="R32" s="383" t="s">
        <v>645</v>
      </c>
      <c r="S32" s="383" t="s">
        <v>564</v>
      </c>
      <c r="T32" s="383" t="s">
        <v>563</v>
      </c>
      <c r="U32" s="409" t="s">
        <v>563</v>
      </c>
      <c r="V32" s="410"/>
      <c r="W32" s="409" t="s">
        <v>598</v>
      </c>
      <c r="X32" s="411" t="s">
        <v>646</v>
      </c>
      <c r="Z32" s="412"/>
      <c r="AA32" s="412"/>
      <c r="AB32" s="394"/>
      <c r="AC32" s="394"/>
      <c r="AD32" s="394"/>
      <c r="AE32" s="412"/>
      <c r="AF32" s="394"/>
      <c r="AG32" s="412"/>
      <c r="AH32" s="228"/>
    </row>
    <row r="33" spans="2:34" x14ac:dyDescent="0.35">
      <c r="B33" s="395"/>
      <c r="D33" s="395"/>
      <c r="F33" s="396"/>
      <c r="H33" s="395"/>
      <c r="J33" s="378" t="s">
        <v>282</v>
      </c>
      <c r="K33" s="380" t="s">
        <v>368</v>
      </c>
      <c r="L33" s="424" t="s">
        <v>422</v>
      </c>
      <c r="M33" s="380">
        <v>1</v>
      </c>
      <c r="N33" s="378" t="s">
        <v>17</v>
      </c>
      <c r="O33" s="378" t="s">
        <v>374</v>
      </c>
      <c r="P33" s="381" t="s">
        <v>394</v>
      </c>
      <c r="R33" s="222"/>
      <c r="S33" s="222"/>
      <c r="T33" s="222"/>
      <c r="U33" s="222"/>
      <c r="V33" s="222"/>
      <c r="W33" s="222"/>
      <c r="X33" s="222"/>
      <c r="Z33" s="412"/>
      <c r="AA33" s="412"/>
      <c r="AB33" s="394"/>
      <c r="AC33" s="394"/>
      <c r="AD33" s="394"/>
      <c r="AE33" s="412"/>
      <c r="AF33" s="394"/>
      <c r="AG33" s="412"/>
      <c r="AH33" s="228"/>
    </row>
    <row r="34" spans="2:34" x14ac:dyDescent="0.35">
      <c r="B34" s="395"/>
      <c r="D34" s="395"/>
      <c r="F34" s="396"/>
      <c r="H34" s="395"/>
      <c r="J34" s="402" t="s">
        <v>282</v>
      </c>
      <c r="K34" s="403" t="s">
        <v>368</v>
      </c>
      <c r="L34" s="423" t="s">
        <v>358</v>
      </c>
      <c r="M34" s="403">
        <v>1</v>
      </c>
      <c r="N34" s="402" t="s">
        <v>17</v>
      </c>
      <c r="O34" s="402" t="s">
        <v>374</v>
      </c>
      <c r="P34" s="404" t="s">
        <v>394</v>
      </c>
      <c r="R34" s="405"/>
      <c r="S34" s="405"/>
      <c r="T34" s="405"/>
      <c r="U34" s="405"/>
      <c r="V34" s="405"/>
      <c r="W34" s="405"/>
      <c r="X34" s="405"/>
      <c r="Z34" s="412"/>
      <c r="AA34" s="412"/>
      <c r="AB34" s="394"/>
      <c r="AC34" s="394"/>
      <c r="AD34" s="394"/>
      <c r="AE34" s="412"/>
      <c r="AF34" s="394"/>
      <c r="AG34" s="412"/>
      <c r="AH34" s="228"/>
    </row>
    <row r="35" spans="2:34" x14ac:dyDescent="0.35">
      <c r="B35" s="395"/>
      <c r="D35" s="395"/>
      <c r="F35" s="396"/>
      <c r="H35" s="395"/>
      <c r="J35" s="378" t="s">
        <v>282</v>
      </c>
      <c r="K35" s="380" t="s">
        <v>368</v>
      </c>
      <c r="L35" s="424" t="s">
        <v>421</v>
      </c>
      <c r="M35" s="380">
        <v>2</v>
      </c>
      <c r="N35" s="378" t="s">
        <v>17</v>
      </c>
      <c r="O35" s="378" t="s">
        <v>374</v>
      </c>
      <c r="P35" s="381" t="s">
        <v>394</v>
      </c>
      <c r="R35" s="405"/>
      <c r="S35" s="405"/>
      <c r="T35" s="405"/>
      <c r="U35" s="405"/>
      <c r="V35" s="405"/>
      <c r="W35" s="405"/>
      <c r="X35" s="405"/>
      <c r="Z35" s="412"/>
      <c r="AA35" s="412"/>
      <c r="AB35" s="394"/>
      <c r="AC35" s="394"/>
      <c r="AD35" s="394"/>
      <c r="AE35" s="412"/>
      <c r="AF35" s="394"/>
      <c r="AG35" s="412"/>
      <c r="AH35" s="228"/>
    </row>
    <row r="36" spans="2:34" x14ac:dyDescent="0.35">
      <c r="B36" s="395"/>
      <c r="D36" s="395"/>
      <c r="F36" s="396"/>
      <c r="H36" s="395"/>
      <c r="J36" s="402" t="s">
        <v>282</v>
      </c>
      <c r="K36" s="403" t="s">
        <v>368</v>
      </c>
      <c r="L36" s="423" t="s">
        <v>390</v>
      </c>
      <c r="M36" s="403">
        <v>3</v>
      </c>
      <c r="N36" s="402" t="s">
        <v>17</v>
      </c>
      <c r="O36" s="402" t="s">
        <v>374</v>
      </c>
      <c r="P36" s="404" t="s">
        <v>394</v>
      </c>
      <c r="R36" s="405"/>
      <c r="S36" s="405"/>
      <c r="T36" s="405"/>
      <c r="U36" s="405"/>
      <c r="V36" s="405"/>
      <c r="W36" s="405"/>
      <c r="X36" s="405"/>
      <c r="Z36" s="412"/>
      <c r="AA36" s="412"/>
      <c r="AB36" s="394"/>
      <c r="AC36" s="394"/>
      <c r="AD36" s="394"/>
      <c r="AE36" s="412"/>
      <c r="AF36" s="394"/>
      <c r="AG36" s="412"/>
      <c r="AH36" s="228"/>
    </row>
    <row r="37" spans="2:34" x14ac:dyDescent="0.35">
      <c r="B37" s="395"/>
      <c r="D37" s="395"/>
      <c r="F37" s="396"/>
      <c r="H37" s="395"/>
      <c r="J37" s="378" t="s">
        <v>363</v>
      </c>
      <c r="K37" s="380" t="s">
        <v>369</v>
      </c>
      <c r="L37" s="424" t="s">
        <v>313</v>
      </c>
      <c r="M37" s="380">
        <v>2</v>
      </c>
      <c r="N37" s="378"/>
      <c r="O37" s="378" t="s">
        <v>381</v>
      </c>
      <c r="P37" s="381" t="s">
        <v>385</v>
      </c>
      <c r="R37" s="405"/>
      <c r="S37" s="405"/>
      <c r="T37" s="405"/>
      <c r="U37" s="405"/>
      <c r="V37" s="405"/>
      <c r="W37" s="405"/>
      <c r="X37" s="405"/>
      <c r="Z37" s="412"/>
      <c r="AA37" s="412"/>
      <c r="AB37" s="394"/>
      <c r="AC37" s="394"/>
      <c r="AD37" s="394"/>
      <c r="AE37" s="412"/>
      <c r="AF37" s="394"/>
      <c r="AG37" s="412"/>
      <c r="AH37" s="228"/>
    </row>
    <row r="38" spans="2:34" x14ac:dyDescent="0.35">
      <c r="B38" s="395"/>
      <c r="D38" s="395"/>
      <c r="F38" s="396"/>
      <c r="H38" s="395"/>
      <c r="J38" s="402" t="s">
        <v>391</v>
      </c>
      <c r="K38" s="403" t="s">
        <v>368</v>
      </c>
      <c r="L38" s="423" t="s">
        <v>104</v>
      </c>
      <c r="M38" s="403">
        <v>1</v>
      </c>
      <c r="N38" s="402" t="s">
        <v>11</v>
      </c>
      <c r="O38" s="402" t="s">
        <v>375</v>
      </c>
      <c r="P38" s="404" t="s">
        <v>392</v>
      </c>
      <c r="R38" s="405"/>
      <c r="S38" s="405"/>
      <c r="T38" s="405"/>
      <c r="U38" s="405"/>
      <c r="V38" s="405"/>
      <c r="W38" s="405"/>
      <c r="X38" s="405"/>
      <c r="Z38" s="412"/>
      <c r="AA38" s="412"/>
      <c r="AB38" s="394"/>
      <c r="AC38" s="394"/>
      <c r="AD38" s="394"/>
      <c r="AE38" s="412"/>
      <c r="AF38" s="394"/>
      <c r="AG38" s="412"/>
      <c r="AH38" s="228"/>
    </row>
    <row r="39" spans="2:34" x14ac:dyDescent="0.35">
      <c r="B39" s="395"/>
      <c r="D39" s="395"/>
      <c r="F39" s="396"/>
      <c r="H39" s="395"/>
      <c r="J39" s="378" t="s">
        <v>391</v>
      </c>
      <c r="K39" s="380" t="s">
        <v>368</v>
      </c>
      <c r="L39" s="424" t="s">
        <v>398</v>
      </c>
      <c r="M39" s="380">
        <v>1</v>
      </c>
      <c r="N39" s="378" t="s">
        <v>11</v>
      </c>
      <c r="O39" s="378" t="s">
        <v>375</v>
      </c>
      <c r="P39" s="381" t="s">
        <v>392</v>
      </c>
      <c r="R39" s="405"/>
      <c r="S39" s="405"/>
      <c r="T39" s="405"/>
      <c r="U39" s="405"/>
      <c r="V39" s="405"/>
      <c r="W39" s="405"/>
      <c r="X39" s="405"/>
      <c r="Z39" s="412"/>
      <c r="AA39" s="412"/>
      <c r="AB39" s="394"/>
      <c r="AC39" s="394"/>
      <c r="AD39" s="394"/>
      <c r="AE39" s="412"/>
      <c r="AF39" s="394"/>
      <c r="AG39" s="412"/>
      <c r="AH39" s="228"/>
    </row>
    <row r="40" spans="2:34" ht="29" x14ac:dyDescent="0.35">
      <c r="B40" s="395"/>
      <c r="D40" s="395"/>
      <c r="F40" s="396"/>
      <c r="H40" s="395"/>
      <c r="J40" s="402" t="s">
        <v>625</v>
      </c>
      <c r="K40" s="403" t="s">
        <v>368</v>
      </c>
      <c r="L40" s="423" t="s">
        <v>435</v>
      </c>
      <c r="M40" s="403">
        <v>10</v>
      </c>
      <c r="N40" s="402"/>
      <c r="O40" s="402" t="s">
        <v>375</v>
      </c>
      <c r="P40" s="404" t="s">
        <v>434</v>
      </c>
      <c r="R40" s="405"/>
      <c r="S40" s="405"/>
      <c r="T40" s="405"/>
      <c r="U40" s="405"/>
      <c r="V40" s="405"/>
      <c r="W40" s="405"/>
      <c r="X40" s="405"/>
      <c r="Z40" s="412"/>
      <c r="AA40" s="412"/>
      <c r="AB40" s="394"/>
      <c r="AC40" s="394"/>
      <c r="AD40" s="394"/>
      <c r="AE40" s="412"/>
      <c r="AF40" s="394"/>
      <c r="AG40" s="412"/>
      <c r="AH40" s="228"/>
    </row>
    <row r="41" spans="2:34" x14ac:dyDescent="0.35">
      <c r="B41" s="395"/>
      <c r="D41" s="395"/>
      <c r="F41" s="396"/>
      <c r="H41" s="395"/>
      <c r="J41" s="378" t="s">
        <v>397</v>
      </c>
      <c r="K41" s="380" t="s">
        <v>368</v>
      </c>
      <c r="L41" s="424" t="s">
        <v>580</v>
      </c>
      <c r="M41" s="380">
        <v>3</v>
      </c>
      <c r="N41" s="378" t="s">
        <v>11</v>
      </c>
      <c r="O41" s="378" t="s">
        <v>374</v>
      </c>
      <c r="P41" s="381"/>
      <c r="R41" s="405"/>
      <c r="S41" s="405"/>
      <c r="T41" s="405"/>
      <c r="U41" s="405"/>
      <c r="V41" s="405"/>
      <c r="W41" s="405"/>
      <c r="X41" s="405"/>
      <c r="Z41" s="412"/>
      <c r="AA41" s="412"/>
      <c r="AB41" s="394"/>
      <c r="AC41" s="394"/>
      <c r="AD41" s="394"/>
      <c r="AE41" s="412"/>
      <c r="AF41" s="394"/>
      <c r="AG41" s="412"/>
      <c r="AH41" s="228"/>
    </row>
    <row r="42" spans="2:34" x14ac:dyDescent="0.35">
      <c r="B42" s="395"/>
      <c r="D42" s="395"/>
      <c r="F42" s="396"/>
      <c r="H42" s="395"/>
      <c r="J42" s="402" t="s">
        <v>397</v>
      </c>
      <c r="K42" s="403" t="s">
        <v>368</v>
      </c>
      <c r="L42" s="423" t="s">
        <v>359</v>
      </c>
      <c r="M42" s="403">
        <v>1</v>
      </c>
      <c r="N42" s="402" t="s">
        <v>11</v>
      </c>
      <c r="O42" s="402" t="s">
        <v>374</v>
      </c>
      <c r="P42" s="404"/>
      <c r="R42" s="405"/>
      <c r="S42" s="405"/>
      <c r="T42" s="405"/>
      <c r="U42" s="405"/>
      <c r="V42" s="405"/>
      <c r="W42" s="405"/>
      <c r="X42" s="405"/>
      <c r="Z42" s="412"/>
      <c r="AA42" s="412"/>
      <c r="AB42" s="394"/>
      <c r="AC42" s="394"/>
      <c r="AD42" s="394"/>
      <c r="AE42" s="412"/>
      <c r="AF42" s="394"/>
      <c r="AG42" s="412"/>
      <c r="AH42" s="228"/>
    </row>
    <row r="43" spans="2:34" x14ac:dyDescent="0.35">
      <c r="B43" s="395"/>
      <c r="D43" s="395"/>
      <c r="F43" s="396"/>
      <c r="H43" s="395"/>
      <c r="J43" s="378" t="s">
        <v>397</v>
      </c>
      <c r="K43" s="380" t="s">
        <v>368</v>
      </c>
      <c r="L43" s="424" t="s">
        <v>579</v>
      </c>
      <c r="M43" s="380">
        <v>3</v>
      </c>
      <c r="N43" s="378" t="s">
        <v>11</v>
      </c>
      <c r="O43" s="378" t="s">
        <v>374</v>
      </c>
      <c r="P43" s="381"/>
      <c r="R43" s="405"/>
      <c r="S43" s="405"/>
      <c r="T43" s="405"/>
      <c r="U43" s="405"/>
      <c r="V43" s="405"/>
      <c r="W43" s="405"/>
      <c r="X43" s="405"/>
      <c r="Z43" s="412"/>
      <c r="AA43" s="412"/>
      <c r="AB43" s="394"/>
      <c r="AC43" s="394"/>
      <c r="AD43" s="394"/>
      <c r="AE43" s="412"/>
      <c r="AF43" s="394"/>
      <c r="AG43" s="412"/>
      <c r="AH43" s="228"/>
    </row>
    <row r="44" spans="2:34" x14ac:dyDescent="0.35">
      <c r="B44" s="395"/>
      <c r="D44" s="395"/>
      <c r="F44" s="396"/>
      <c r="H44" s="395"/>
      <c r="J44" s="402" t="s">
        <v>397</v>
      </c>
      <c r="K44" s="403" t="s">
        <v>368</v>
      </c>
      <c r="L44" s="423" t="s">
        <v>639</v>
      </c>
      <c r="M44" s="403">
        <v>1</v>
      </c>
      <c r="N44" s="402" t="s">
        <v>11</v>
      </c>
      <c r="O44" s="402" t="s">
        <v>374</v>
      </c>
      <c r="P44" s="404"/>
      <c r="R44" s="405"/>
      <c r="S44" s="405"/>
      <c r="T44" s="405"/>
      <c r="U44" s="405"/>
      <c r="V44" s="405"/>
      <c r="W44" s="405"/>
      <c r="X44" s="405"/>
      <c r="Z44" s="412"/>
      <c r="AA44" s="412"/>
      <c r="AB44" s="394"/>
      <c r="AC44" s="394"/>
      <c r="AD44" s="394"/>
      <c r="AE44" s="412"/>
      <c r="AF44" s="394"/>
      <c r="AG44" s="412"/>
      <c r="AH44" s="228"/>
    </row>
    <row r="45" spans="2:34" x14ac:dyDescent="0.35">
      <c r="B45" s="395"/>
      <c r="D45" s="395"/>
      <c r="F45" s="396"/>
      <c r="H45" s="395"/>
      <c r="J45" s="378" t="s">
        <v>397</v>
      </c>
      <c r="K45" s="380" t="s">
        <v>368</v>
      </c>
      <c r="L45" s="424" t="s">
        <v>640</v>
      </c>
      <c r="M45" s="380">
        <v>2</v>
      </c>
      <c r="N45" s="378" t="s">
        <v>11</v>
      </c>
      <c r="O45" s="378" t="s">
        <v>374</v>
      </c>
      <c r="P45" s="381"/>
      <c r="R45" s="405"/>
      <c r="S45" s="405"/>
      <c r="T45" s="405"/>
      <c r="U45" s="405"/>
      <c r="V45" s="405"/>
      <c r="W45" s="405"/>
      <c r="X45" s="405"/>
      <c r="Z45" s="412"/>
      <c r="AA45" s="412"/>
      <c r="AB45" s="394"/>
      <c r="AC45" s="394"/>
      <c r="AD45" s="394"/>
      <c r="AE45" s="412"/>
      <c r="AF45" s="394"/>
      <c r="AG45" s="412"/>
      <c r="AH45" s="228"/>
    </row>
    <row r="46" spans="2:34" x14ac:dyDescent="0.35">
      <c r="B46" s="395"/>
      <c r="D46" s="395"/>
      <c r="F46" s="396"/>
      <c r="H46" s="395"/>
      <c r="J46" s="402" t="s">
        <v>397</v>
      </c>
      <c r="K46" s="403" t="s">
        <v>368</v>
      </c>
      <c r="L46" s="425" t="s">
        <v>641</v>
      </c>
      <c r="M46" s="403">
        <v>1</v>
      </c>
      <c r="N46" s="402" t="s">
        <v>11</v>
      </c>
      <c r="O46" s="402" t="s">
        <v>374</v>
      </c>
      <c r="P46" s="402"/>
      <c r="R46" s="405"/>
      <c r="S46" s="405"/>
      <c r="T46" s="405"/>
      <c r="U46" s="405"/>
      <c r="V46" s="405"/>
      <c r="W46" s="405"/>
      <c r="X46" s="405"/>
      <c r="Z46" s="412"/>
      <c r="AA46" s="412"/>
      <c r="AB46" s="394"/>
      <c r="AC46" s="394"/>
      <c r="AD46" s="394"/>
      <c r="AE46" s="412"/>
      <c r="AF46" s="394"/>
      <c r="AG46" s="412"/>
      <c r="AH46" s="228"/>
    </row>
    <row r="47" spans="2:34" x14ac:dyDescent="0.35">
      <c r="B47" s="395"/>
      <c r="D47" s="395"/>
      <c r="F47" s="396"/>
      <c r="H47" s="395"/>
      <c r="J47" s="378" t="s">
        <v>397</v>
      </c>
      <c r="K47" s="380" t="s">
        <v>368</v>
      </c>
      <c r="L47" s="424" t="s">
        <v>155</v>
      </c>
      <c r="M47" s="380">
        <v>3</v>
      </c>
      <c r="N47" s="378" t="s">
        <v>11</v>
      </c>
      <c r="O47" s="378" t="s">
        <v>374</v>
      </c>
      <c r="P47" s="381"/>
      <c r="R47" s="405"/>
      <c r="S47" s="405"/>
      <c r="T47" s="405"/>
      <c r="U47" s="405"/>
      <c r="V47" s="405"/>
      <c r="W47" s="405"/>
      <c r="X47" s="405"/>
      <c r="Z47" s="412"/>
      <c r="AA47" s="412"/>
      <c r="AB47" s="394"/>
      <c r="AC47" s="394"/>
      <c r="AD47" s="394"/>
      <c r="AE47" s="412"/>
      <c r="AF47" s="394"/>
      <c r="AG47" s="412"/>
      <c r="AH47" s="228"/>
    </row>
    <row r="48" spans="2:34" x14ac:dyDescent="0.35">
      <c r="B48" s="395"/>
      <c r="D48" s="395"/>
      <c r="F48" s="396"/>
      <c r="H48" s="395"/>
      <c r="J48" s="402" t="s">
        <v>397</v>
      </c>
      <c r="K48" s="403" t="s">
        <v>368</v>
      </c>
      <c r="L48" s="425" t="s">
        <v>153</v>
      </c>
      <c r="M48" s="403">
        <v>6</v>
      </c>
      <c r="N48" s="402" t="s">
        <v>11</v>
      </c>
      <c r="O48" s="402" t="s">
        <v>374</v>
      </c>
      <c r="P48" s="402"/>
      <c r="R48" s="405"/>
      <c r="S48" s="405"/>
      <c r="T48" s="405"/>
      <c r="U48" s="405"/>
      <c r="V48" s="405"/>
      <c r="W48" s="405"/>
      <c r="X48" s="405"/>
      <c r="Z48" s="412"/>
      <c r="AA48" s="412"/>
      <c r="AB48" s="394"/>
      <c r="AC48" s="394"/>
      <c r="AD48" s="394"/>
      <c r="AE48" s="412"/>
      <c r="AF48" s="394"/>
      <c r="AG48" s="412"/>
      <c r="AH48" s="228"/>
    </row>
    <row r="49" spans="2:34" x14ac:dyDescent="0.35">
      <c r="B49" s="395"/>
      <c r="D49" s="395"/>
      <c r="F49" s="396"/>
      <c r="H49" s="395"/>
      <c r="J49" s="378" t="s">
        <v>423</v>
      </c>
      <c r="K49" s="380" t="s">
        <v>369</v>
      </c>
      <c r="L49" s="424" t="s">
        <v>404</v>
      </c>
      <c r="M49" s="380">
        <v>1</v>
      </c>
      <c r="N49" s="378" t="s">
        <v>10</v>
      </c>
      <c r="O49" s="378" t="s">
        <v>374</v>
      </c>
      <c r="P49" s="381" t="s">
        <v>406</v>
      </c>
      <c r="R49" s="405"/>
      <c r="S49" s="405"/>
      <c r="T49" s="405"/>
      <c r="U49" s="405"/>
      <c r="V49" s="405"/>
      <c r="W49" s="405"/>
      <c r="X49" s="405"/>
      <c r="Z49" s="412"/>
      <c r="AA49" s="412"/>
      <c r="AB49" s="394"/>
      <c r="AC49" s="394"/>
      <c r="AD49" s="394"/>
      <c r="AE49" s="412"/>
      <c r="AF49" s="394"/>
      <c r="AG49" s="412"/>
      <c r="AH49" s="228"/>
    </row>
    <row r="50" spans="2:34" x14ac:dyDescent="0.35">
      <c r="B50" s="395"/>
      <c r="D50" s="395"/>
      <c r="F50" s="396"/>
      <c r="H50" s="395"/>
      <c r="J50" s="402" t="s">
        <v>423</v>
      </c>
      <c r="K50" s="403" t="s">
        <v>369</v>
      </c>
      <c r="L50" s="423" t="s">
        <v>405</v>
      </c>
      <c r="M50" s="403">
        <v>1</v>
      </c>
      <c r="N50" s="402" t="s">
        <v>10</v>
      </c>
      <c r="O50" s="402" t="s">
        <v>374</v>
      </c>
      <c r="P50" s="404" t="s">
        <v>406</v>
      </c>
      <c r="R50" s="405"/>
      <c r="S50" s="405"/>
      <c r="T50" s="405"/>
      <c r="U50" s="405"/>
      <c r="V50" s="405"/>
      <c r="W50" s="405"/>
      <c r="X50" s="405"/>
      <c r="Z50" s="412"/>
      <c r="AA50" s="412"/>
      <c r="AB50" s="394"/>
      <c r="AC50" s="394"/>
      <c r="AD50" s="394"/>
      <c r="AE50" s="412"/>
      <c r="AF50" s="394"/>
      <c r="AG50" s="412"/>
      <c r="AH50" s="228"/>
    </row>
    <row r="51" spans="2:34" x14ac:dyDescent="0.35">
      <c r="B51" s="395"/>
      <c r="D51" s="395"/>
      <c r="F51" s="396"/>
      <c r="H51" s="395"/>
      <c r="J51" s="378" t="s">
        <v>432</v>
      </c>
      <c r="K51" s="380" t="s">
        <v>368</v>
      </c>
      <c r="L51" s="424" t="s">
        <v>433</v>
      </c>
      <c r="M51" s="380">
        <v>3</v>
      </c>
      <c r="N51" s="378" t="s">
        <v>11</v>
      </c>
      <c r="O51" s="378"/>
      <c r="P51" s="381"/>
      <c r="R51" s="405"/>
      <c r="S51" s="405"/>
      <c r="T51" s="405"/>
      <c r="U51" s="405"/>
      <c r="V51" s="405"/>
      <c r="W51" s="405"/>
      <c r="X51" s="405"/>
      <c r="Z51" s="412"/>
      <c r="AA51" s="412"/>
      <c r="AB51" s="394"/>
      <c r="AC51" s="394"/>
      <c r="AD51" s="394"/>
      <c r="AE51" s="412"/>
      <c r="AF51" s="394"/>
      <c r="AG51" s="412"/>
      <c r="AH51" s="228"/>
    </row>
    <row r="52" spans="2:34" x14ac:dyDescent="0.35">
      <c r="B52" s="395"/>
      <c r="D52" s="395"/>
      <c r="F52" s="396"/>
      <c r="H52" s="395"/>
      <c r="J52" s="402" t="s">
        <v>361</v>
      </c>
      <c r="K52" s="403" t="s">
        <v>369</v>
      </c>
      <c r="L52" s="423" t="s">
        <v>399</v>
      </c>
      <c r="M52" s="403">
        <v>1</v>
      </c>
      <c r="N52" s="402" t="s">
        <v>10</v>
      </c>
      <c r="O52" s="402" t="s">
        <v>374</v>
      </c>
      <c r="P52" s="404" t="s">
        <v>400</v>
      </c>
      <c r="R52" s="405"/>
      <c r="S52" s="405"/>
      <c r="T52" s="405"/>
      <c r="U52" s="405"/>
      <c r="V52" s="405"/>
      <c r="W52" s="405"/>
      <c r="X52" s="405"/>
      <c r="Z52" s="412"/>
      <c r="AA52" s="412"/>
      <c r="AB52" s="394"/>
      <c r="AC52" s="394"/>
      <c r="AD52" s="394"/>
      <c r="AE52" s="412"/>
      <c r="AF52" s="394"/>
      <c r="AG52" s="412"/>
      <c r="AH52" s="228"/>
    </row>
    <row r="53" spans="2:34" x14ac:dyDescent="0.35">
      <c r="B53" s="395"/>
      <c r="D53" s="395"/>
      <c r="F53" s="396"/>
      <c r="H53" s="395"/>
      <c r="J53" s="378" t="s">
        <v>361</v>
      </c>
      <c r="K53" s="380" t="s">
        <v>369</v>
      </c>
      <c r="L53" s="424">
        <v>5629763010</v>
      </c>
      <c r="M53" s="380">
        <v>1</v>
      </c>
      <c r="N53" s="378" t="s">
        <v>10</v>
      </c>
      <c r="O53" s="378" t="s">
        <v>374</v>
      </c>
      <c r="P53" s="381" t="s">
        <v>400</v>
      </c>
      <c r="R53" s="405"/>
      <c r="S53" s="405"/>
      <c r="T53" s="405"/>
      <c r="U53" s="405"/>
      <c r="V53" s="405"/>
      <c r="W53" s="405"/>
      <c r="X53" s="405"/>
      <c r="Z53" s="412"/>
      <c r="AA53" s="412"/>
      <c r="AB53" s="394"/>
      <c r="AC53" s="394"/>
      <c r="AD53" s="394"/>
      <c r="AE53" s="412"/>
      <c r="AF53" s="394"/>
      <c r="AG53" s="412"/>
      <c r="AH53" s="228"/>
    </row>
    <row r="54" spans="2:34" x14ac:dyDescent="0.35">
      <c r="B54" s="395"/>
      <c r="D54" s="395"/>
      <c r="F54" s="396"/>
      <c r="H54" s="395"/>
      <c r="J54" s="402" t="s">
        <v>361</v>
      </c>
      <c r="K54" s="403" t="s">
        <v>369</v>
      </c>
      <c r="L54" s="423">
        <v>7717757261</v>
      </c>
      <c r="M54" s="403">
        <v>2</v>
      </c>
      <c r="N54" s="402" t="s">
        <v>10</v>
      </c>
      <c r="O54" s="402" t="s">
        <v>374</v>
      </c>
      <c r="P54" s="404" t="s">
        <v>400</v>
      </c>
      <c r="R54" s="405"/>
      <c r="S54" s="405"/>
      <c r="T54" s="405"/>
      <c r="U54" s="405"/>
      <c r="V54" s="405"/>
      <c r="W54" s="405"/>
      <c r="X54" s="405"/>
      <c r="Z54" s="412"/>
      <c r="AA54" s="412"/>
      <c r="AB54" s="394"/>
      <c r="AC54" s="394"/>
      <c r="AD54" s="394"/>
      <c r="AE54" s="412"/>
      <c r="AF54" s="394"/>
      <c r="AG54" s="412"/>
      <c r="AH54" s="228"/>
    </row>
    <row r="55" spans="2:34" x14ac:dyDescent="0.35">
      <c r="B55" s="395"/>
      <c r="D55" s="395"/>
      <c r="F55" s="396"/>
      <c r="H55" s="395"/>
      <c r="J55" s="378" t="s">
        <v>361</v>
      </c>
      <c r="K55" s="380" t="s">
        <v>369</v>
      </c>
      <c r="L55" s="424" t="s">
        <v>401</v>
      </c>
      <c r="M55" s="380">
        <v>5</v>
      </c>
      <c r="N55" s="378" t="s">
        <v>10</v>
      </c>
      <c r="O55" s="378" t="s">
        <v>374</v>
      </c>
      <c r="P55" s="381" t="s">
        <v>400</v>
      </c>
      <c r="R55" s="405"/>
      <c r="S55" s="405"/>
      <c r="T55" s="405"/>
      <c r="U55" s="405"/>
      <c r="V55" s="405"/>
      <c r="W55" s="405"/>
      <c r="X55" s="405"/>
      <c r="Z55" s="412"/>
      <c r="AA55" s="412"/>
      <c r="AB55" s="394"/>
      <c r="AC55" s="394"/>
      <c r="AD55" s="394"/>
      <c r="AF55" s="394"/>
      <c r="AG55" s="412"/>
    </row>
    <row r="56" spans="2:34" x14ac:dyDescent="0.35">
      <c r="B56" s="395"/>
      <c r="D56" s="395"/>
      <c r="F56" s="396"/>
      <c r="H56" s="395"/>
      <c r="J56" s="402" t="s">
        <v>12</v>
      </c>
      <c r="K56" s="403" t="s">
        <v>369</v>
      </c>
      <c r="L56" s="423" t="s">
        <v>350</v>
      </c>
      <c r="M56" s="403">
        <v>4</v>
      </c>
      <c r="N56" s="402" t="s">
        <v>8</v>
      </c>
      <c r="O56" s="402" t="s">
        <v>381</v>
      </c>
      <c r="P56" s="404" t="s">
        <v>385</v>
      </c>
      <c r="R56" s="405"/>
      <c r="S56" s="405"/>
      <c r="T56" s="405"/>
      <c r="U56" s="405"/>
      <c r="V56" s="405"/>
      <c r="W56" s="405"/>
      <c r="X56" s="405"/>
      <c r="AA56" s="412"/>
      <c r="AB56" s="228"/>
      <c r="AC56" s="394"/>
      <c r="AD56" s="394"/>
      <c r="AF56" s="394"/>
      <c r="AG56" s="412"/>
    </row>
    <row r="57" spans="2:34" x14ac:dyDescent="0.35">
      <c r="B57" s="395"/>
      <c r="D57" s="395"/>
      <c r="F57" s="396"/>
      <c r="H57" s="405"/>
      <c r="J57" s="378" t="s">
        <v>351</v>
      </c>
      <c r="K57" s="380" t="s">
        <v>369</v>
      </c>
      <c r="L57" s="424" t="s">
        <v>351</v>
      </c>
      <c r="M57" s="380">
        <v>1</v>
      </c>
      <c r="N57" s="378" t="s">
        <v>10</v>
      </c>
      <c r="O57" s="378" t="s">
        <v>375</v>
      </c>
      <c r="P57" s="381" t="s">
        <v>402</v>
      </c>
      <c r="R57" s="405"/>
      <c r="S57" s="405"/>
      <c r="T57" s="405"/>
      <c r="U57" s="405"/>
      <c r="V57" s="405"/>
      <c r="W57" s="405"/>
      <c r="X57" s="405"/>
      <c r="AA57" s="412"/>
      <c r="AC57" s="394"/>
      <c r="AD57" s="394"/>
      <c r="AF57" s="394"/>
      <c r="AG57" s="412"/>
    </row>
    <row r="58" spans="2:34" x14ac:dyDescent="0.35">
      <c r="B58" s="395"/>
      <c r="D58" s="395"/>
      <c r="F58" s="396"/>
      <c r="J58" s="402" t="s">
        <v>351</v>
      </c>
      <c r="K58" s="403" t="s">
        <v>369</v>
      </c>
      <c r="L58" s="423">
        <v>10240612781</v>
      </c>
      <c r="M58" s="403">
        <v>1</v>
      </c>
      <c r="N58" s="402" t="s">
        <v>10</v>
      </c>
      <c r="O58" s="402" t="s">
        <v>375</v>
      </c>
      <c r="P58" s="404" t="s">
        <v>402</v>
      </c>
      <c r="R58" s="405"/>
      <c r="S58" s="405"/>
      <c r="T58" s="405"/>
      <c r="U58" s="405"/>
      <c r="V58" s="405"/>
      <c r="W58" s="405"/>
      <c r="X58" s="405"/>
      <c r="AA58" s="412"/>
      <c r="AC58" s="394"/>
      <c r="AD58" s="394"/>
      <c r="AF58" s="394"/>
      <c r="AG58" s="412"/>
    </row>
    <row r="59" spans="2:34" x14ac:dyDescent="0.35">
      <c r="B59" s="395"/>
      <c r="D59" s="395"/>
      <c r="F59" s="396"/>
      <c r="J59" s="378" t="s">
        <v>351</v>
      </c>
      <c r="K59" s="380" t="s">
        <v>369</v>
      </c>
      <c r="L59" s="424" t="s">
        <v>403</v>
      </c>
      <c r="M59" s="380">
        <v>1</v>
      </c>
      <c r="N59" s="378" t="s">
        <v>10</v>
      </c>
      <c r="O59" s="378" t="s">
        <v>375</v>
      </c>
      <c r="P59" s="381" t="s">
        <v>402</v>
      </c>
      <c r="R59" s="405"/>
      <c r="S59" s="405"/>
      <c r="T59" s="405"/>
      <c r="U59" s="405"/>
      <c r="V59" s="405"/>
      <c r="W59" s="405"/>
      <c r="X59" s="405"/>
      <c r="AA59" s="412"/>
      <c r="AC59" s="394"/>
      <c r="AD59" s="394"/>
      <c r="AF59" s="394"/>
      <c r="AG59" s="412"/>
    </row>
    <row r="60" spans="2:34" x14ac:dyDescent="0.35">
      <c r="B60" s="395"/>
      <c r="D60" s="405"/>
      <c r="F60" s="396"/>
      <c r="J60" s="402" t="s">
        <v>431</v>
      </c>
      <c r="K60" s="403" t="s">
        <v>369</v>
      </c>
      <c r="L60" s="423" t="s">
        <v>407</v>
      </c>
      <c r="M60" s="403">
        <v>1</v>
      </c>
      <c r="N60" s="402" t="s">
        <v>10</v>
      </c>
      <c r="O60" s="402" t="s">
        <v>374</v>
      </c>
      <c r="P60" s="404" t="s">
        <v>406</v>
      </c>
      <c r="R60" s="405"/>
      <c r="S60" s="405"/>
      <c r="T60" s="405"/>
      <c r="U60" s="405"/>
      <c r="V60" s="405"/>
      <c r="W60" s="405"/>
      <c r="X60" s="405"/>
      <c r="AA60" s="412"/>
      <c r="AC60" s="228"/>
      <c r="AD60" s="394"/>
      <c r="AF60" s="394"/>
      <c r="AG60" s="412"/>
    </row>
    <row r="61" spans="2:34" x14ac:dyDescent="0.35">
      <c r="B61" s="395"/>
      <c r="F61" s="396"/>
      <c r="J61" s="378" t="s">
        <v>431</v>
      </c>
      <c r="K61" s="380" t="s">
        <v>369</v>
      </c>
      <c r="L61" s="424" t="s">
        <v>153</v>
      </c>
      <c r="M61" s="380">
        <v>6</v>
      </c>
      <c r="N61" s="378" t="s">
        <v>10</v>
      </c>
      <c r="O61" s="378" t="s">
        <v>374</v>
      </c>
      <c r="P61" s="381" t="s">
        <v>406</v>
      </c>
      <c r="R61" s="405"/>
      <c r="S61" s="405"/>
      <c r="T61" s="405"/>
      <c r="U61" s="405"/>
      <c r="V61" s="405"/>
      <c r="W61" s="405"/>
      <c r="X61" s="405"/>
      <c r="AA61" s="412"/>
      <c r="AC61" s="450"/>
      <c r="AD61" s="394"/>
      <c r="AF61" s="394"/>
      <c r="AG61" s="412"/>
    </row>
    <row r="62" spans="2:34" x14ac:dyDescent="0.35">
      <c r="B62" s="395"/>
      <c r="F62" s="396"/>
      <c r="J62" s="402" t="s">
        <v>431</v>
      </c>
      <c r="K62" s="403" t="s">
        <v>369</v>
      </c>
      <c r="L62" s="423" t="s">
        <v>167</v>
      </c>
      <c r="M62" s="403">
        <v>2</v>
      </c>
      <c r="N62" s="402" t="s">
        <v>10</v>
      </c>
      <c r="O62" s="402" t="s">
        <v>374</v>
      </c>
      <c r="P62" s="404" t="s">
        <v>406</v>
      </c>
      <c r="R62" s="405"/>
      <c r="S62" s="405"/>
      <c r="T62" s="405"/>
      <c r="U62" s="405"/>
      <c r="V62" s="405"/>
      <c r="W62" s="405"/>
      <c r="X62" s="405"/>
      <c r="AA62" s="412"/>
      <c r="AC62" s="450"/>
      <c r="AD62" s="228"/>
      <c r="AF62" s="394"/>
      <c r="AG62" s="412"/>
    </row>
    <row r="63" spans="2:34" x14ac:dyDescent="0.35">
      <c r="B63" s="395"/>
      <c r="F63" s="396"/>
      <c r="J63" s="376"/>
      <c r="K63" s="379"/>
      <c r="L63" s="376"/>
      <c r="M63" s="379"/>
      <c r="N63" s="376"/>
      <c r="O63" s="376"/>
      <c r="P63" s="376"/>
      <c r="R63" s="405"/>
      <c r="S63" s="405"/>
      <c r="T63" s="405"/>
      <c r="U63" s="405"/>
      <c r="V63" s="405"/>
      <c r="W63" s="405"/>
      <c r="X63" s="405"/>
      <c r="AA63" s="412"/>
      <c r="AC63" s="450"/>
      <c r="AF63" s="394"/>
      <c r="AG63" s="412"/>
    </row>
    <row r="64" spans="2:34" x14ac:dyDescent="0.35">
      <c r="F64" s="396"/>
      <c r="J64" s="395"/>
      <c r="K64" s="396"/>
      <c r="L64" s="395"/>
      <c r="M64" s="396"/>
      <c r="N64" s="395"/>
      <c r="O64" s="395"/>
      <c r="P64" s="395"/>
      <c r="R64" s="405"/>
      <c r="S64" s="405"/>
      <c r="T64" s="405"/>
      <c r="U64" s="405"/>
      <c r="V64" s="405"/>
      <c r="W64" s="405"/>
      <c r="X64" s="405"/>
      <c r="AC64" s="450"/>
      <c r="AF64" s="394"/>
      <c r="AG64" s="412"/>
    </row>
    <row r="65" spans="6:33" x14ac:dyDescent="0.35">
      <c r="F65" s="396"/>
      <c r="J65" s="395"/>
      <c r="K65" s="396"/>
      <c r="L65" s="395"/>
      <c r="M65" s="396"/>
      <c r="N65" s="395"/>
      <c r="O65" s="395"/>
      <c r="P65" s="395"/>
      <c r="R65" s="405"/>
      <c r="S65" s="405"/>
      <c r="T65" s="405"/>
      <c r="U65" s="405"/>
      <c r="V65" s="405"/>
      <c r="W65" s="405"/>
      <c r="X65" s="405"/>
      <c r="AC65" s="450"/>
      <c r="AF65" s="394"/>
      <c r="AG65" s="412"/>
    </row>
    <row r="66" spans="6:33" x14ac:dyDescent="0.35">
      <c r="F66" s="396"/>
      <c r="J66" s="395"/>
      <c r="K66" s="396"/>
      <c r="L66" s="395"/>
      <c r="M66" s="396"/>
      <c r="N66" s="395"/>
      <c r="O66" s="395"/>
      <c r="P66" s="395"/>
      <c r="R66" s="405"/>
      <c r="S66" s="405"/>
      <c r="T66" s="405"/>
      <c r="U66" s="405"/>
      <c r="V66" s="405"/>
      <c r="W66" s="405"/>
      <c r="X66" s="405"/>
      <c r="AC66" s="450"/>
      <c r="AF66" s="394"/>
      <c r="AG66" s="412"/>
    </row>
    <row r="67" spans="6:33" x14ac:dyDescent="0.35">
      <c r="F67" s="396"/>
      <c r="J67" s="395"/>
      <c r="K67" s="396"/>
      <c r="L67" s="395"/>
      <c r="M67" s="396"/>
      <c r="N67" s="395"/>
      <c r="O67" s="395"/>
      <c r="P67" s="395"/>
      <c r="R67" s="405"/>
      <c r="S67" s="405"/>
      <c r="T67" s="405"/>
      <c r="U67" s="405"/>
      <c r="V67" s="405"/>
      <c r="W67" s="405"/>
      <c r="X67" s="405"/>
      <c r="AC67" s="450"/>
      <c r="AF67" s="228"/>
      <c r="AG67" s="412"/>
    </row>
    <row r="68" spans="6:33" x14ac:dyDescent="0.35">
      <c r="F68" s="396"/>
      <c r="J68" s="395"/>
      <c r="K68" s="396"/>
      <c r="L68" s="395"/>
      <c r="M68" s="396"/>
      <c r="N68" s="395"/>
      <c r="O68" s="395"/>
      <c r="P68" s="395"/>
      <c r="R68" s="405"/>
      <c r="S68" s="405"/>
      <c r="T68" s="405"/>
      <c r="U68" s="405"/>
      <c r="V68" s="405"/>
      <c r="W68" s="405"/>
      <c r="X68" s="405"/>
      <c r="AC68" s="450"/>
      <c r="AG68" s="412"/>
    </row>
    <row r="69" spans="6:33" x14ac:dyDescent="0.35">
      <c r="F69" s="401"/>
      <c r="J69" s="395"/>
      <c r="K69" s="396"/>
      <c r="L69" s="395"/>
      <c r="M69" s="396"/>
      <c r="N69" s="395"/>
      <c r="O69" s="395"/>
      <c r="P69" s="395"/>
      <c r="R69" s="405"/>
      <c r="S69" s="405"/>
      <c r="T69" s="405"/>
      <c r="U69" s="405"/>
      <c r="V69" s="405"/>
      <c r="W69" s="405"/>
      <c r="X69" s="405"/>
      <c r="AC69" s="450"/>
    </row>
    <row r="70" spans="6:33" x14ac:dyDescent="0.35">
      <c r="J70" s="395"/>
      <c r="K70" s="396"/>
      <c r="L70" s="395"/>
      <c r="M70" s="396"/>
      <c r="N70" s="395"/>
      <c r="O70" s="395"/>
      <c r="P70" s="395"/>
      <c r="R70" s="405"/>
      <c r="S70" s="405"/>
      <c r="T70" s="405"/>
      <c r="U70" s="405"/>
      <c r="V70" s="405"/>
      <c r="W70" s="405"/>
      <c r="X70" s="405"/>
      <c r="AC70" s="450"/>
    </row>
    <row r="71" spans="6:33" x14ac:dyDescent="0.35">
      <c r="J71" s="395"/>
      <c r="K71" s="396"/>
      <c r="L71" s="395"/>
      <c r="M71" s="396"/>
      <c r="N71" s="395"/>
      <c r="O71" s="395"/>
      <c r="P71" s="395"/>
      <c r="R71" s="405"/>
      <c r="S71" s="405"/>
      <c r="T71" s="405"/>
      <c r="U71" s="405"/>
      <c r="V71" s="405"/>
      <c r="W71" s="405"/>
      <c r="X71" s="405"/>
      <c r="AC71" s="450"/>
    </row>
    <row r="72" spans="6:33" x14ac:dyDescent="0.35">
      <c r="J72" s="395"/>
      <c r="K72" s="396"/>
      <c r="L72" s="395"/>
      <c r="M72" s="396"/>
      <c r="N72" s="395"/>
      <c r="O72" s="395"/>
      <c r="P72" s="395"/>
      <c r="R72" s="405"/>
      <c r="S72" s="405"/>
      <c r="T72" s="405"/>
      <c r="U72" s="405"/>
      <c r="V72" s="405"/>
      <c r="W72" s="405"/>
      <c r="X72" s="405"/>
      <c r="AC72" s="450"/>
    </row>
    <row r="73" spans="6:33" x14ac:dyDescent="0.35">
      <c r="J73" s="395"/>
      <c r="K73" s="396"/>
      <c r="L73" s="395"/>
      <c r="M73" s="396"/>
      <c r="N73" s="395"/>
      <c r="O73" s="395"/>
      <c r="P73" s="395"/>
      <c r="R73" s="405"/>
      <c r="S73" s="405"/>
      <c r="T73" s="405"/>
      <c r="U73" s="405"/>
      <c r="V73" s="405"/>
      <c r="W73" s="405"/>
      <c r="X73" s="405"/>
      <c r="AC73" s="450"/>
    </row>
    <row r="74" spans="6:33" x14ac:dyDescent="0.35">
      <c r="J74" s="395"/>
      <c r="K74" s="396"/>
      <c r="L74" s="395"/>
      <c r="M74" s="396"/>
      <c r="N74" s="395"/>
      <c r="O74" s="395"/>
      <c r="P74" s="395"/>
      <c r="R74" s="405"/>
      <c r="S74" s="405"/>
      <c r="T74" s="405"/>
      <c r="U74" s="405"/>
      <c r="V74" s="405"/>
      <c r="W74" s="405"/>
      <c r="X74" s="405"/>
      <c r="AC74" s="450"/>
    </row>
    <row r="75" spans="6:33" x14ac:dyDescent="0.35">
      <c r="J75" s="395"/>
      <c r="K75" s="396"/>
      <c r="L75" s="395"/>
      <c r="M75" s="396"/>
      <c r="N75" s="395"/>
      <c r="O75" s="395"/>
      <c r="P75" s="395"/>
      <c r="R75" s="405"/>
      <c r="S75" s="405"/>
      <c r="T75" s="405"/>
      <c r="U75" s="405"/>
      <c r="V75" s="405"/>
      <c r="W75" s="405"/>
      <c r="X75" s="405"/>
      <c r="AC75" s="450"/>
    </row>
    <row r="76" spans="6:33" x14ac:dyDescent="0.35">
      <c r="J76" s="395"/>
      <c r="K76" s="396"/>
      <c r="L76" s="395"/>
      <c r="M76" s="396"/>
      <c r="N76" s="395"/>
      <c r="O76" s="395"/>
      <c r="P76" s="395"/>
      <c r="R76" s="405"/>
      <c r="S76" s="405"/>
      <c r="T76" s="405"/>
      <c r="U76" s="405"/>
      <c r="V76" s="405"/>
      <c r="W76" s="405"/>
      <c r="X76" s="405"/>
      <c r="AC76" s="450"/>
    </row>
    <row r="77" spans="6:33" x14ac:dyDescent="0.35">
      <c r="J77" s="395"/>
      <c r="K77" s="396"/>
      <c r="L77" s="395"/>
      <c r="M77" s="396"/>
      <c r="N77" s="395"/>
      <c r="O77" s="395"/>
      <c r="P77" s="395"/>
      <c r="R77" s="405"/>
      <c r="S77" s="405"/>
      <c r="T77" s="405"/>
      <c r="U77" s="405"/>
      <c r="V77" s="405"/>
      <c r="W77" s="405"/>
      <c r="X77" s="405"/>
      <c r="AC77" s="450"/>
    </row>
    <row r="78" spans="6:33" x14ac:dyDescent="0.35">
      <c r="J78" s="395"/>
      <c r="K78" s="396"/>
      <c r="L78" s="395"/>
      <c r="M78" s="396"/>
      <c r="N78" s="395"/>
      <c r="O78" s="395"/>
      <c r="P78" s="395"/>
      <c r="R78" s="405"/>
      <c r="S78" s="405"/>
      <c r="T78" s="405"/>
      <c r="U78" s="405"/>
      <c r="V78" s="405"/>
      <c r="W78" s="405"/>
      <c r="X78" s="405"/>
      <c r="AC78" s="450"/>
    </row>
    <row r="79" spans="6:33" x14ac:dyDescent="0.35">
      <c r="J79" s="395"/>
      <c r="K79" s="396"/>
      <c r="L79" s="395"/>
      <c r="M79" s="396"/>
      <c r="N79" s="395"/>
      <c r="O79" s="395"/>
      <c r="P79" s="395"/>
      <c r="R79" s="405"/>
      <c r="S79" s="405"/>
      <c r="T79" s="405"/>
      <c r="U79" s="405"/>
      <c r="V79" s="405"/>
      <c r="W79" s="405"/>
      <c r="X79" s="405"/>
      <c r="AC79" s="450"/>
    </row>
    <row r="80" spans="6:33" x14ac:dyDescent="0.35">
      <c r="J80" s="395"/>
      <c r="K80" s="396"/>
      <c r="L80" s="395"/>
      <c r="M80" s="396"/>
      <c r="N80" s="395"/>
      <c r="O80" s="395"/>
      <c r="P80" s="395"/>
      <c r="R80" s="405"/>
      <c r="S80" s="405"/>
      <c r="T80" s="405"/>
      <c r="U80" s="405"/>
      <c r="V80" s="405"/>
      <c r="W80" s="405"/>
      <c r="X80" s="405"/>
      <c r="AC80" s="450"/>
    </row>
    <row r="81" spans="10:29" x14ac:dyDescent="0.35">
      <c r="J81" s="395"/>
      <c r="K81" s="396"/>
      <c r="L81" s="395"/>
      <c r="M81" s="396"/>
      <c r="N81" s="395"/>
      <c r="O81" s="395"/>
      <c r="P81" s="395"/>
      <c r="R81" s="405"/>
      <c r="S81" s="405"/>
      <c r="T81" s="405"/>
      <c r="U81" s="405"/>
      <c r="V81" s="405"/>
      <c r="W81" s="405"/>
      <c r="X81" s="405"/>
      <c r="AC81" s="450"/>
    </row>
    <row r="82" spans="10:29" x14ac:dyDescent="0.35">
      <c r="J82" s="395"/>
      <c r="K82" s="396"/>
      <c r="L82" s="395"/>
      <c r="M82" s="396"/>
      <c r="N82" s="395"/>
      <c r="O82" s="395"/>
      <c r="P82" s="395"/>
      <c r="R82" s="405"/>
      <c r="S82" s="405"/>
      <c r="T82" s="405"/>
      <c r="U82" s="405"/>
      <c r="V82" s="405"/>
      <c r="W82" s="405"/>
      <c r="X82" s="405"/>
      <c r="AC82" s="450"/>
    </row>
    <row r="83" spans="10:29" x14ac:dyDescent="0.35">
      <c r="J83" s="395"/>
      <c r="K83" s="396"/>
      <c r="L83" s="395"/>
      <c r="M83" s="396"/>
      <c r="N83" s="395"/>
      <c r="O83" s="395"/>
      <c r="P83" s="395"/>
      <c r="R83" s="405"/>
      <c r="S83" s="405"/>
      <c r="T83" s="405"/>
      <c r="U83" s="405"/>
      <c r="V83" s="405"/>
      <c r="W83" s="405"/>
      <c r="X83" s="405"/>
      <c r="AC83" s="450"/>
    </row>
    <row r="84" spans="10:29" x14ac:dyDescent="0.35">
      <c r="J84" s="395"/>
      <c r="K84" s="396"/>
      <c r="L84" s="395"/>
      <c r="M84" s="396"/>
      <c r="N84" s="395"/>
      <c r="O84" s="395"/>
      <c r="P84" s="395"/>
      <c r="R84" s="405"/>
      <c r="S84" s="405"/>
      <c r="T84" s="405"/>
      <c r="U84" s="405"/>
      <c r="V84" s="405"/>
      <c r="W84" s="405"/>
      <c r="X84" s="405"/>
      <c r="AC84" s="450"/>
    </row>
    <row r="85" spans="10:29" x14ac:dyDescent="0.35">
      <c r="J85" s="395"/>
      <c r="K85" s="396"/>
      <c r="L85" s="395"/>
      <c r="M85" s="396"/>
      <c r="N85" s="395"/>
      <c r="O85" s="395"/>
      <c r="P85" s="395"/>
      <c r="R85" s="405"/>
      <c r="S85" s="405"/>
      <c r="T85" s="405"/>
      <c r="U85" s="405"/>
      <c r="V85" s="405"/>
      <c r="W85" s="405"/>
      <c r="X85" s="405"/>
      <c r="AC85" s="450"/>
    </row>
    <row r="86" spans="10:29" x14ac:dyDescent="0.35">
      <c r="J86" s="395"/>
      <c r="K86" s="396"/>
      <c r="L86" s="395"/>
      <c r="M86" s="396"/>
      <c r="N86" s="395"/>
      <c r="O86" s="395"/>
      <c r="P86" s="395"/>
      <c r="R86" s="405"/>
      <c r="S86" s="405"/>
      <c r="T86" s="405"/>
      <c r="U86" s="405"/>
      <c r="V86" s="405"/>
      <c r="W86" s="405"/>
      <c r="X86" s="405"/>
      <c r="AC86" s="450"/>
    </row>
    <row r="87" spans="10:29" x14ac:dyDescent="0.35">
      <c r="J87" s="395"/>
      <c r="K87" s="396"/>
      <c r="L87" s="395"/>
      <c r="M87" s="396"/>
      <c r="N87" s="395"/>
      <c r="O87" s="395"/>
      <c r="P87" s="395"/>
      <c r="R87" s="405"/>
      <c r="S87" s="405"/>
      <c r="T87" s="405"/>
      <c r="U87" s="405"/>
      <c r="V87" s="405"/>
      <c r="W87" s="405"/>
      <c r="X87" s="405"/>
      <c r="AC87" s="450"/>
    </row>
    <row r="88" spans="10:29" x14ac:dyDescent="0.35">
      <c r="J88" s="395"/>
      <c r="K88" s="396"/>
      <c r="L88" s="395"/>
      <c r="M88" s="396"/>
      <c r="N88" s="395"/>
      <c r="O88" s="395"/>
      <c r="P88" s="395"/>
      <c r="R88" s="405"/>
      <c r="S88" s="405"/>
      <c r="T88" s="405"/>
      <c r="U88" s="405"/>
      <c r="V88" s="405"/>
      <c r="W88" s="405"/>
      <c r="X88" s="405"/>
      <c r="AC88" s="450"/>
    </row>
    <row r="89" spans="10:29" x14ac:dyDescent="0.35">
      <c r="J89" s="395"/>
      <c r="K89" s="396"/>
      <c r="L89" s="395"/>
      <c r="M89" s="396"/>
      <c r="N89" s="395"/>
      <c r="O89" s="395"/>
      <c r="P89" s="395"/>
      <c r="R89" s="405"/>
      <c r="S89" s="405"/>
      <c r="T89" s="405"/>
      <c r="U89" s="405"/>
      <c r="V89" s="405"/>
      <c r="W89" s="405"/>
      <c r="X89" s="405"/>
      <c r="AC89" s="450"/>
    </row>
    <row r="90" spans="10:29" x14ac:dyDescent="0.35">
      <c r="J90" s="395"/>
      <c r="K90" s="396"/>
      <c r="L90" s="395"/>
      <c r="M90" s="396"/>
      <c r="N90" s="395"/>
      <c r="O90" s="395"/>
      <c r="P90" s="395"/>
      <c r="R90" s="405"/>
      <c r="S90" s="405"/>
      <c r="T90" s="405"/>
      <c r="U90" s="405"/>
      <c r="V90" s="405"/>
      <c r="W90" s="405"/>
      <c r="X90" s="405"/>
      <c r="AC90" s="450"/>
    </row>
    <row r="91" spans="10:29" x14ac:dyDescent="0.35">
      <c r="J91" s="395"/>
      <c r="K91" s="396"/>
      <c r="L91" s="395"/>
      <c r="M91" s="396"/>
      <c r="N91" s="395"/>
      <c r="O91" s="395"/>
      <c r="P91" s="395"/>
      <c r="R91" s="405"/>
      <c r="S91" s="405"/>
      <c r="T91" s="405"/>
      <c r="U91" s="405"/>
      <c r="V91" s="405"/>
      <c r="W91" s="405"/>
      <c r="X91" s="405"/>
      <c r="AC91" s="450"/>
    </row>
    <row r="92" spans="10:29" x14ac:dyDescent="0.35">
      <c r="J92" s="395"/>
      <c r="K92" s="396"/>
      <c r="L92" s="395"/>
      <c r="M92" s="396"/>
      <c r="N92" s="395"/>
      <c r="O92" s="395"/>
      <c r="P92" s="395"/>
      <c r="R92" s="405"/>
      <c r="S92" s="405"/>
      <c r="T92" s="405"/>
      <c r="U92" s="405"/>
      <c r="V92" s="405"/>
      <c r="W92" s="405"/>
      <c r="X92" s="405"/>
      <c r="AC92" s="450"/>
    </row>
    <row r="93" spans="10:29" x14ac:dyDescent="0.35">
      <c r="J93" s="395"/>
      <c r="K93" s="396"/>
      <c r="L93" s="395"/>
      <c r="M93" s="396"/>
      <c r="N93" s="395"/>
      <c r="O93" s="395"/>
      <c r="P93" s="395"/>
      <c r="R93" s="405"/>
      <c r="S93" s="405"/>
      <c r="T93" s="405"/>
      <c r="U93" s="405"/>
      <c r="V93" s="405"/>
      <c r="W93" s="405"/>
      <c r="X93" s="405"/>
      <c r="AC93" s="450"/>
    </row>
    <row r="94" spans="10:29" x14ac:dyDescent="0.35">
      <c r="J94" s="395"/>
      <c r="K94" s="396"/>
      <c r="L94" s="395"/>
      <c r="M94" s="396"/>
      <c r="N94" s="395"/>
      <c r="O94" s="395"/>
      <c r="P94" s="395"/>
      <c r="R94" s="405"/>
      <c r="S94" s="405"/>
      <c r="T94" s="405"/>
      <c r="U94" s="405"/>
      <c r="V94" s="405"/>
      <c r="W94" s="405"/>
      <c r="X94" s="405"/>
      <c r="AC94" s="450"/>
    </row>
    <row r="95" spans="10:29" x14ac:dyDescent="0.35">
      <c r="J95" s="395"/>
      <c r="K95" s="396"/>
      <c r="L95" s="395"/>
      <c r="M95" s="396"/>
      <c r="N95" s="395"/>
      <c r="O95" s="395"/>
      <c r="P95" s="395"/>
      <c r="R95" s="405"/>
      <c r="S95" s="405"/>
      <c r="T95" s="405"/>
      <c r="U95" s="405"/>
      <c r="V95" s="405"/>
      <c r="W95" s="405"/>
      <c r="X95" s="405"/>
      <c r="AC95" s="450"/>
    </row>
    <row r="96" spans="10:29" x14ac:dyDescent="0.35">
      <c r="J96" s="395"/>
      <c r="K96" s="396"/>
      <c r="L96" s="395"/>
      <c r="M96" s="396"/>
      <c r="N96" s="395"/>
      <c r="O96" s="395"/>
      <c r="P96" s="395"/>
      <c r="R96" s="405"/>
      <c r="S96" s="405"/>
      <c r="T96" s="405"/>
      <c r="U96" s="405"/>
      <c r="V96" s="405"/>
      <c r="W96" s="405"/>
      <c r="X96" s="405"/>
      <c r="AC96" s="450"/>
    </row>
    <row r="97" spans="10:29" x14ac:dyDescent="0.35">
      <c r="J97" s="395"/>
      <c r="K97" s="396"/>
      <c r="L97" s="395"/>
      <c r="M97" s="396"/>
      <c r="N97" s="395"/>
      <c r="O97" s="395"/>
      <c r="P97" s="395"/>
      <c r="R97" s="405"/>
      <c r="S97" s="405"/>
      <c r="T97" s="405"/>
      <c r="U97" s="405"/>
      <c r="V97" s="405"/>
      <c r="W97" s="405"/>
      <c r="X97" s="405"/>
      <c r="AC97" s="450"/>
    </row>
    <row r="98" spans="10:29" x14ac:dyDescent="0.35">
      <c r="J98" s="395"/>
      <c r="K98" s="396"/>
      <c r="L98" s="395"/>
      <c r="M98" s="396"/>
      <c r="N98" s="395"/>
      <c r="O98" s="395"/>
      <c r="P98" s="395"/>
      <c r="R98" s="405"/>
      <c r="S98" s="405"/>
      <c r="T98" s="405"/>
      <c r="U98" s="405"/>
      <c r="V98" s="405"/>
      <c r="W98" s="405"/>
      <c r="X98" s="405"/>
      <c r="AC98" s="450"/>
    </row>
    <row r="99" spans="10:29" x14ac:dyDescent="0.35">
      <c r="J99" s="395"/>
      <c r="K99" s="396"/>
      <c r="L99" s="395"/>
      <c r="M99" s="396"/>
      <c r="N99" s="395"/>
      <c r="O99" s="395"/>
      <c r="P99" s="395"/>
      <c r="R99" s="405"/>
      <c r="S99" s="405"/>
      <c r="T99" s="405"/>
      <c r="U99" s="405"/>
      <c r="V99" s="405"/>
      <c r="W99" s="405"/>
      <c r="X99" s="405"/>
      <c r="AC99" s="450"/>
    </row>
    <row r="100" spans="10:29" x14ac:dyDescent="0.35">
      <c r="J100" s="395"/>
      <c r="K100" s="396"/>
      <c r="L100" s="395"/>
      <c r="M100" s="396"/>
      <c r="N100" s="395"/>
      <c r="O100" s="395"/>
      <c r="P100" s="395"/>
      <c r="R100" s="405"/>
      <c r="S100" s="405"/>
      <c r="T100" s="405"/>
      <c r="U100" s="405"/>
      <c r="V100" s="405"/>
      <c r="W100" s="405"/>
      <c r="X100" s="405"/>
      <c r="Y100" s="14"/>
      <c r="AC100" s="450"/>
    </row>
    <row r="101" spans="10:29" x14ac:dyDescent="0.35">
      <c r="J101" s="395"/>
      <c r="K101" s="396"/>
      <c r="L101" s="395"/>
      <c r="M101" s="396"/>
      <c r="N101" s="395"/>
      <c r="O101" s="395"/>
      <c r="P101" s="395"/>
      <c r="R101" s="405"/>
      <c r="S101" s="405"/>
      <c r="T101" s="405"/>
      <c r="U101" s="405"/>
      <c r="V101" s="405"/>
      <c r="W101" s="405"/>
      <c r="X101" s="405"/>
      <c r="AC101" s="450"/>
    </row>
    <row r="102" spans="10:29" x14ac:dyDescent="0.35">
      <c r="J102" s="395"/>
      <c r="K102" s="396"/>
      <c r="L102" s="395"/>
      <c r="M102" s="396"/>
      <c r="N102" s="395"/>
      <c r="O102" s="395"/>
      <c r="P102" s="395"/>
      <c r="R102" s="405"/>
      <c r="S102" s="405"/>
      <c r="T102" s="405"/>
      <c r="U102" s="405"/>
      <c r="V102" s="405"/>
      <c r="W102" s="405"/>
      <c r="X102" s="405"/>
      <c r="AC102" s="450"/>
    </row>
    <row r="103" spans="10:29" x14ac:dyDescent="0.35">
      <c r="J103" s="395"/>
      <c r="K103" s="396"/>
      <c r="L103" s="395"/>
      <c r="M103" s="396"/>
      <c r="N103" s="395"/>
      <c r="O103" s="395"/>
      <c r="P103" s="395"/>
      <c r="R103" s="405"/>
      <c r="S103" s="405"/>
      <c r="T103" s="405"/>
      <c r="U103" s="405"/>
      <c r="V103" s="405"/>
      <c r="W103" s="405"/>
      <c r="X103" s="405"/>
      <c r="AC103" s="450"/>
    </row>
    <row r="104" spans="10:29" x14ac:dyDescent="0.35">
      <c r="J104" s="395"/>
      <c r="K104" s="396"/>
      <c r="L104" s="395"/>
      <c r="M104" s="396"/>
      <c r="N104" s="395"/>
      <c r="O104" s="395"/>
      <c r="P104" s="395"/>
      <c r="R104" s="405"/>
      <c r="S104" s="405"/>
      <c r="T104" s="405"/>
      <c r="U104" s="405"/>
      <c r="V104" s="405"/>
      <c r="W104" s="405"/>
      <c r="X104" s="405"/>
      <c r="AC104" s="450"/>
    </row>
    <row r="105" spans="10:29" x14ac:dyDescent="0.35">
      <c r="J105" s="395"/>
      <c r="K105" s="396"/>
      <c r="L105" s="395"/>
      <c r="M105" s="396"/>
      <c r="N105" s="395"/>
      <c r="O105" s="395"/>
      <c r="P105" s="395"/>
      <c r="R105" s="405"/>
      <c r="S105" s="405"/>
      <c r="T105" s="405"/>
      <c r="U105" s="405"/>
      <c r="V105" s="405"/>
      <c r="W105" s="405"/>
      <c r="X105" s="405"/>
      <c r="AC105" s="450"/>
    </row>
    <row r="106" spans="10:29" x14ac:dyDescent="0.35">
      <c r="J106" s="395"/>
      <c r="K106" s="396"/>
      <c r="L106" s="395"/>
      <c r="M106" s="396"/>
      <c r="N106" s="395"/>
      <c r="O106" s="395"/>
      <c r="P106" s="395"/>
      <c r="R106" s="405"/>
      <c r="S106" s="405"/>
      <c r="T106" s="405"/>
      <c r="U106" s="405"/>
      <c r="V106" s="405"/>
      <c r="W106" s="405"/>
      <c r="X106" s="405"/>
      <c r="AC106" s="450"/>
    </row>
    <row r="107" spans="10:29" x14ac:dyDescent="0.35">
      <c r="J107" s="395"/>
      <c r="K107" s="396"/>
      <c r="L107" s="395"/>
      <c r="M107" s="396"/>
      <c r="N107" s="395"/>
      <c r="O107" s="395"/>
      <c r="P107" s="395"/>
      <c r="R107" s="405"/>
      <c r="S107" s="405"/>
      <c r="T107" s="405"/>
      <c r="U107" s="405"/>
      <c r="V107" s="405"/>
      <c r="W107" s="405"/>
      <c r="X107" s="405"/>
      <c r="AC107" s="450"/>
    </row>
    <row r="108" spans="10:29" x14ac:dyDescent="0.35">
      <c r="J108" s="395"/>
      <c r="K108" s="396"/>
      <c r="L108" s="395"/>
      <c r="M108" s="396"/>
      <c r="N108" s="395"/>
      <c r="O108" s="395"/>
      <c r="P108" s="395"/>
      <c r="R108" s="405"/>
      <c r="S108" s="405"/>
      <c r="T108" s="405"/>
      <c r="U108" s="405"/>
      <c r="V108" s="405"/>
      <c r="W108" s="405"/>
      <c r="X108" s="405"/>
      <c r="AC108" s="450"/>
    </row>
    <row r="109" spans="10:29" x14ac:dyDescent="0.35">
      <c r="J109" s="395"/>
      <c r="K109" s="396"/>
      <c r="L109" s="395"/>
      <c r="M109" s="396"/>
      <c r="N109" s="395"/>
      <c r="O109" s="395"/>
      <c r="P109" s="395"/>
      <c r="R109" s="405"/>
      <c r="S109" s="405"/>
      <c r="T109" s="405"/>
      <c r="U109" s="405"/>
      <c r="V109" s="405"/>
      <c r="W109" s="405"/>
      <c r="X109" s="405"/>
      <c r="AC109" s="450"/>
    </row>
    <row r="110" spans="10:29" x14ac:dyDescent="0.35">
      <c r="J110" s="395"/>
      <c r="K110" s="396"/>
      <c r="L110" s="395"/>
      <c r="M110" s="396"/>
      <c r="N110" s="395"/>
      <c r="O110" s="395"/>
      <c r="P110" s="395"/>
      <c r="R110" s="405"/>
      <c r="S110" s="405"/>
      <c r="T110" s="405"/>
      <c r="U110" s="405"/>
      <c r="V110" s="405"/>
      <c r="W110" s="405"/>
      <c r="X110" s="405"/>
      <c r="AC110" s="450"/>
    </row>
    <row r="111" spans="10:29" x14ac:dyDescent="0.35">
      <c r="J111" s="395"/>
      <c r="K111" s="396"/>
      <c r="L111" s="395"/>
      <c r="M111" s="396"/>
      <c r="N111" s="395"/>
      <c r="O111" s="395"/>
      <c r="P111" s="395"/>
      <c r="R111" s="405"/>
      <c r="S111" s="405"/>
      <c r="T111" s="405"/>
      <c r="U111" s="405"/>
      <c r="V111" s="405"/>
      <c r="W111" s="405"/>
      <c r="X111" s="405"/>
      <c r="AC111" s="450"/>
    </row>
    <row r="112" spans="10:29" x14ac:dyDescent="0.35">
      <c r="J112" s="395"/>
      <c r="K112" s="396"/>
      <c r="L112" s="395"/>
      <c r="M112" s="396"/>
      <c r="N112" s="395"/>
      <c r="O112" s="395"/>
      <c r="P112" s="395"/>
      <c r="R112" s="405"/>
      <c r="S112" s="405"/>
      <c r="T112" s="405"/>
      <c r="U112" s="405"/>
      <c r="V112" s="405"/>
      <c r="W112" s="405"/>
      <c r="X112" s="405"/>
      <c r="AC112" s="450"/>
    </row>
    <row r="113" spans="10:29" x14ac:dyDescent="0.35">
      <c r="J113" s="405"/>
      <c r="K113" s="401"/>
      <c r="L113" s="405"/>
      <c r="M113" s="401"/>
      <c r="N113" s="405"/>
      <c r="O113" s="405"/>
      <c r="P113" s="405"/>
      <c r="R113" s="405"/>
      <c r="S113" s="405"/>
      <c r="T113" s="405"/>
      <c r="U113" s="405"/>
      <c r="V113" s="405"/>
      <c r="W113" s="405"/>
      <c r="X113" s="405"/>
      <c r="AC113" s="450"/>
    </row>
    <row r="114" spans="10:29" x14ac:dyDescent="0.35">
      <c r="L114" s="231"/>
      <c r="R114" s="405"/>
      <c r="S114" s="405"/>
      <c r="T114" s="405"/>
      <c r="U114" s="405"/>
      <c r="V114" s="405"/>
      <c r="W114" s="405"/>
      <c r="X114" s="405"/>
      <c r="AC114" s="450"/>
    </row>
    <row r="115" spans="10:29" x14ac:dyDescent="0.35">
      <c r="L115" s="231"/>
      <c r="R115" s="405"/>
      <c r="S115" s="405"/>
      <c r="T115" s="405"/>
      <c r="U115" s="405"/>
      <c r="V115" s="405"/>
      <c r="W115" s="405"/>
      <c r="X115" s="405"/>
      <c r="AC115" s="450"/>
    </row>
    <row r="116" spans="10:29" x14ac:dyDescent="0.35">
      <c r="L116" s="231"/>
      <c r="R116" s="405"/>
      <c r="S116" s="405"/>
      <c r="T116" s="405"/>
      <c r="U116" s="405"/>
      <c r="V116" s="405"/>
      <c r="W116" s="405"/>
      <c r="X116" s="405"/>
      <c r="AC116" s="450"/>
    </row>
    <row r="117" spans="10:29" x14ac:dyDescent="0.35">
      <c r="L117" s="231"/>
      <c r="R117" s="405"/>
      <c r="S117" s="405"/>
      <c r="T117" s="405"/>
      <c r="U117" s="405"/>
      <c r="V117" s="405"/>
      <c r="W117" s="405"/>
      <c r="X117" s="405"/>
      <c r="AC117" s="450"/>
    </row>
    <row r="118" spans="10:29" x14ac:dyDescent="0.35">
      <c r="L118" s="231"/>
      <c r="R118" s="405"/>
      <c r="S118" s="405"/>
      <c r="T118" s="405"/>
      <c r="U118" s="405"/>
      <c r="V118" s="405"/>
      <c r="W118" s="405"/>
      <c r="X118" s="405"/>
      <c r="AC118" s="450"/>
    </row>
    <row r="119" spans="10:29" x14ac:dyDescent="0.35">
      <c r="L119" s="231"/>
      <c r="R119" s="405"/>
      <c r="S119" s="405"/>
      <c r="T119" s="405"/>
      <c r="U119" s="405"/>
      <c r="V119" s="405"/>
      <c r="W119" s="405"/>
      <c r="X119" s="405"/>
      <c r="AC119" s="450"/>
    </row>
    <row r="120" spans="10:29" x14ac:dyDescent="0.35">
      <c r="L120" s="231"/>
      <c r="R120" s="405"/>
      <c r="S120" s="405"/>
      <c r="T120" s="405"/>
      <c r="U120" s="405"/>
      <c r="V120" s="405"/>
      <c r="W120" s="405"/>
      <c r="X120" s="405"/>
      <c r="AC120" s="450"/>
    </row>
    <row r="121" spans="10:29" x14ac:dyDescent="0.35">
      <c r="L121" s="231"/>
      <c r="R121" s="405"/>
      <c r="S121" s="405"/>
      <c r="T121" s="405"/>
      <c r="U121" s="405"/>
      <c r="V121" s="405"/>
      <c r="W121" s="405"/>
      <c r="X121" s="405"/>
      <c r="AC121" s="450"/>
    </row>
    <row r="122" spans="10:29" x14ac:dyDescent="0.35">
      <c r="L122" s="231"/>
      <c r="R122" s="405"/>
      <c r="S122" s="405"/>
      <c r="T122" s="405"/>
      <c r="U122" s="405"/>
      <c r="V122" s="405"/>
      <c r="W122" s="405"/>
      <c r="X122" s="405"/>
      <c r="AC122" s="450"/>
    </row>
    <row r="123" spans="10:29" x14ac:dyDescent="0.35">
      <c r="L123" s="231"/>
      <c r="R123" s="405"/>
      <c r="S123" s="405"/>
      <c r="T123" s="405"/>
      <c r="U123" s="405"/>
      <c r="V123" s="405"/>
      <c r="W123" s="405"/>
      <c r="X123" s="405"/>
      <c r="AC123" s="450"/>
    </row>
    <row r="124" spans="10:29" x14ac:dyDescent="0.35">
      <c r="L124" s="231"/>
      <c r="R124" s="405"/>
      <c r="S124" s="405"/>
      <c r="T124" s="405"/>
      <c r="U124" s="405"/>
      <c r="V124" s="405"/>
      <c r="W124" s="405"/>
      <c r="X124" s="405"/>
      <c r="AC124" s="450"/>
    </row>
    <row r="125" spans="10:29" x14ac:dyDescent="0.35">
      <c r="L125" s="231"/>
      <c r="R125" s="405"/>
      <c r="S125" s="405"/>
      <c r="T125" s="405"/>
      <c r="U125" s="405"/>
      <c r="V125" s="405"/>
      <c r="W125" s="405"/>
      <c r="X125" s="405"/>
      <c r="AC125" s="450"/>
    </row>
    <row r="126" spans="10:29" x14ac:dyDescent="0.35">
      <c r="L126" s="231"/>
      <c r="R126" s="405"/>
      <c r="S126" s="405"/>
      <c r="T126" s="405"/>
      <c r="U126" s="405"/>
      <c r="V126" s="405"/>
      <c r="W126" s="405"/>
      <c r="X126" s="405"/>
      <c r="AC126" s="450"/>
    </row>
    <row r="127" spans="10:29" x14ac:dyDescent="0.35">
      <c r="L127" s="231"/>
      <c r="R127" s="405"/>
      <c r="S127" s="405"/>
      <c r="T127" s="405"/>
      <c r="U127" s="405"/>
      <c r="V127" s="405"/>
      <c r="W127" s="405"/>
      <c r="X127" s="405"/>
      <c r="AC127" s="450"/>
    </row>
    <row r="128" spans="10:29" x14ac:dyDescent="0.35">
      <c r="L128" s="231"/>
      <c r="R128" s="405"/>
      <c r="S128" s="405"/>
      <c r="T128" s="405"/>
      <c r="U128" s="405"/>
      <c r="V128" s="405"/>
      <c r="W128" s="405"/>
      <c r="X128" s="405"/>
      <c r="AC128" s="450"/>
    </row>
    <row r="129" spans="12:29" x14ac:dyDescent="0.35">
      <c r="L129" s="231"/>
      <c r="R129" s="405"/>
      <c r="S129" s="405"/>
      <c r="T129" s="405"/>
      <c r="U129" s="405"/>
      <c r="V129" s="405"/>
      <c r="W129" s="405"/>
      <c r="X129" s="405"/>
      <c r="AC129" s="450"/>
    </row>
    <row r="130" spans="12:29" x14ac:dyDescent="0.35">
      <c r="L130" s="231"/>
      <c r="R130" s="405"/>
      <c r="S130" s="405"/>
      <c r="T130" s="405"/>
      <c r="U130" s="405"/>
      <c r="V130" s="405"/>
      <c r="W130" s="405"/>
      <c r="X130" s="405"/>
      <c r="AC130" s="450"/>
    </row>
    <row r="131" spans="12:29" x14ac:dyDescent="0.35">
      <c r="L131" s="231"/>
      <c r="R131" s="405"/>
      <c r="S131" s="405"/>
      <c r="T131" s="405"/>
      <c r="U131" s="405"/>
      <c r="V131" s="405"/>
      <c r="W131" s="405"/>
      <c r="X131" s="405"/>
      <c r="AC131" s="450"/>
    </row>
    <row r="132" spans="12:29" x14ac:dyDescent="0.35">
      <c r="L132" s="231"/>
      <c r="R132" s="405"/>
      <c r="S132" s="405"/>
      <c r="T132" s="405"/>
      <c r="U132" s="405"/>
      <c r="V132" s="405"/>
      <c r="W132" s="405"/>
      <c r="X132" s="405"/>
      <c r="AC132" s="450"/>
    </row>
    <row r="133" spans="12:29" x14ac:dyDescent="0.35">
      <c r="L133" s="231"/>
      <c r="R133" s="405"/>
      <c r="S133" s="405"/>
      <c r="T133" s="405"/>
      <c r="U133" s="405"/>
      <c r="V133" s="405"/>
      <c r="W133" s="405"/>
      <c r="X133" s="405"/>
      <c r="AC133" s="450"/>
    </row>
    <row r="134" spans="12:29" x14ac:dyDescent="0.35">
      <c r="L134" s="231"/>
      <c r="R134" s="405"/>
      <c r="S134" s="405"/>
      <c r="T134" s="405"/>
      <c r="U134" s="405"/>
      <c r="V134" s="405"/>
      <c r="W134" s="405"/>
      <c r="X134" s="405"/>
      <c r="AC134" s="450"/>
    </row>
    <row r="135" spans="12:29" x14ac:dyDescent="0.35">
      <c r="L135" s="231"/>
      <c r="R135" s="405"/>
      <c r="S135" s="405"/>
      <c r="T135" s="405"/>
      <c r="U135" s="405"/>
      <c r="V135" s="405"/>
      <c r="W135" s="405"/>
      <c r="X135" s="405"/>
      <c r="AC135" s="450"/>
    </row>
    <row r="136" spans="12:29" x14ac:dyDescent="0.35">
      <c r="L136" s="231"/>
      <c r="R136" s="405"/>
      <c r="S136" s="405"/>
      <c r="T136" s="405"/>
      <c r="U136" s="405"/>
      <c r="V136" s="405"/>
      <c r="W136" s="405"/>
      <c r="X136" s="405"/>
      <c r="AC136" s="450"/>
    </row>
    <row r="137" spans="12:29" x14ac:dyDescent="0.35">
      <c r="L137" s="231"/>
      <c r="R137" s="405"/>
      <c r="S137" s="405"/>
      <c r="T137" s="405"/>
      <c r="U137" s="405"/>
      <c r="V137" s="405"/>
      <c r="W137" s="405"/>
      <c r="X137" s="405"/>
      <c r="AC137" s="450"/>
    </row>
    <row r="138" spans="12:29" x14ac:dyDescent="0.35">
      <c r="L138" s="231"/>
      <c r="R138" s="405"/>
      <c r="S138" s="405"/>
      <c r="T138" s="405"/>
      <c r="U138" s="405"/>
      <c r="V138" s="405"/>
      <c r="W138" s="405"/>
      <c r="X138" s="405"/>
      <c r="AC138" s="450"/>
    </row>
    <row r="139" spans="12:29" x14ac:dyDescent="0.35">
      <c r="L139" s="231"/>
      <c r="R139" s="405"/>
      <c r="S139" s="405"/>
      <c r="T139" s="405"/>
      <c r="U139" s="405"/>
      <c r="V139" s="405"/>
      <c r="W139" s="405"/>
      <c r="X139" s="405"/>
      <c r="AC139" s="450"/>
    </row>
    <row r="140" spans="12:29" x14ac:dyDescent="0.35">
      <c r="L140" s="231"/>
      <c r="R140" s="405"/>
      <c r="S140" s="405"/>
      <c r="T140" s="405"/>
      <c r="U140" s="405"/>
      <c r="V140" s="405"/>
      <c r="W140" s="405"/>
      <c r="X140" s="405"/>
    </row>
    <row r="141" spans="12:29" x14ac:dyDescent="0.35">
      <c r="L141" s="231"/>
      <c r="R141" s="405"/>
      <c r="S141" s="405"/>
      <c r="T141" s="405"/>
      <c r="U141" s="405"/>
      <c r="V141" s="405"/>
      <c r="W141" s="405"/>
      <c r="X141" s="405"/>
    </row>
    <row r="142" spans="12:29" x14ac:dyDescent="0.35">
      <c r="L142" s="231"/>
      <c r="R142" s="405"/>
      <c r="S142" s="405"/>
      <c r="T142" s="405"/>
      <c r="U142" s="405"/>
      <c r="V142" s="405"/>
      <c r="W142" s="405"/>
      <c r="X142" s="405"/>
    </row>
    <row r="143" spans="12:29" x14ac:dyDescent="0.35">
      <c r="L143" s="231"/>
      <c r="R143" s="405"/>
      <c r="S143" s="405"/>
      <c r="T143" s="405"/>
      <c r="U143" s="405"/>
      <c r="V143" s="405"/>
      <c r="W143" s="405"/>
      <c r="X143" s="405"/>
    </row>
    <row r="144" spans="12:29" x14ac:dyDescent="0.35">
      <c r="L144" s="231"/>
      <c r="R144" s="405"/>
      <c r="S144" s="405"/>
      <c r="T144" s="405"/>
      <c r="U144" s="405"/>
      <c r="V144" s="405"/>
      <c r="W144" s="405"/>
      <c r="X144" s="405"/>
    </row>
    <row r="145" spans="12:24" x14ac:dyDescent="0.35">
      <c r="L145" s="231"/>
      <c r="R145" s="405"/>
      <c r="S145" s="405"/>
      <c r="T145" s="405"/>
      <c r="U145" s="405"/>
      <c r="V145" s="405"/>
      <c r="W145" s="405"/>
      <c r="X145" s="405"/>
    </row>
    <row r="146" spans="12:24" x14ac:dyDescent="0.35">
      <c r="L146" s="231"/>
      <c r="R146" s="405"/>
      <c r="S146" s="405"/>
      <c r="T146" s="405"/>
      <c r="U146" s="405"/>
      <c r="V146" s="405"/>
      <c r="W146" s="405"/>
      <c r="X146" s="405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5" x14ac:dyDescent="0.35">
      <c r="L497" s="231"/>
      <c r="W497" s="222"/>
    </row>
    <row r="498" spans="12:25" x14ac:dyDescent="0.35">
      <c r="L498" s="231"/>
      <c r="W498" s="222"/>
    </row>
    <row r="499" spans="12:25" x14ac:dyDescent="0.35">
      <c r="L499" s="231"/>
      <c r="W499" s="222"/>
    </row>
    <row r="500" spans="12:25" x14ac:dyDescent="0.35">
      <c r="L500" s="231"/>
      <c r="W500" s="222"/>
      <c r="Y500" s="450" t="s">
        <v>713</v>
      </c>
    </row>
    <row r="501" spans="12:25" x14ac:dyDescent="0.35">
      <c r="L501" s="231"/>
      <c r="W501" s="222"/>
    </row>
    <row r="502" spans="12:25" x14ac:dyDescent="0.35">
      <c r="L502" s="231"/>
      <c r="W502" s="222"/>
    </row>
    <row r="503" spans="12:25" x14ac:dyDescent="0.35">
      <c r="L503" s="231"/>
      <c r="W503" s="222"/>
    </row>
    <row r="504" spans="12:25" x14ac:dyDescent="0.35">
      <c r="L504" s="231"/>
      <c r="W504" s="222"/>
    </row>
    <row r="505" spans="12:25" x14ac:dyDescent="0.35">
      <c r="L505" s="231"/>
      <c r="W505" s="222"/>
    </row>
    <row r="506" spans="12:25" x14ac:dyDescent="0.35">
      <c r="L506" s="231"/>
      <c r="W506" s="222"/>
    </row>
    <row r="507" spans="12:25" x14ac:dyDescent="0.35">
      <c r="L507" s="231"/>
      <c r="W507" s="222"/>
    </row>
    <row r="508" spans="12:25" x14ac:dyDescent="0.35">
      <c r="L508" s="231"/>
      <c r="W508" s="222"/>
    </row>
    <row r="509" spans="12:25" x14ac:dyDescent="0.35">
      <c r="L509" s="231"/>
      <c r="W509" s="222"/>
    </row>
    <row r="510" spans="12:25" x14ac:dyDescent="0.35">
      <c r="L510" s="231"/>
      <c r="W510" s="222"/>
    </row>
    <row r="511" spans="12:25" x14ac:dyDescent="0.35">
      <c r="L511" s="231"/>
      <c r="W511" s="222"/>
    </row>
    <row r="512" spans="12:25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3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2" xr:uid="{39F5ED6A-D7D7-4C69-B1E0-5D401C157211}">
      <formula1>"E,A"</formula1>
    </dataValidation>
    <dataValidation type="list" errorStyle="warning" allowBlank="1" showErrorMessage="1" sqref="M59:M62" xr:uid="{8A8AF435-AC86-40F0-A96F-5E50287B8BE5}">
      <formula1>$AA$4:$AA$13</formula1>
    </dataValidation>
    <dataValidation type="list" errorStyle="warning" allowBlank="1" showErrorMessage="1" sqref="O59:O62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3" xr:uid="{24EF7A40-3A16-49FA-BE31-4E77BC9145A4}">
      <formula1>"E,A"</formula1>
    </dataValidation>
    <dataValidation type="list" errorStyle="warning" allowBlank="1" showErrorMessage="1" sqref="M63" xr:uid="{01DE9842-0B2A-4E5B-A7ED-E8BB11F8888E}">
      <formula1>$AA$4:$AA$13</formula1>
    </dataValidation>
    <dataValidation type="list" errorStyle="warning" allowBlank="1" showErrorMessage="1" sqref="O63" xr:uid="{646150EA-7083-4237-98B8-4A7F51D3E472}">
      <formula1>$AC$4:$AC$9</formula1>
    </dataValidation>
    <dataValidation type="list" errorStyle="warning" allowBlank="1" showErrorMessage="1" sqref="W33" xr:uid="{6DA40858-8FE0-4D52-8C33-9209F0479EA1}">
      <formula1>$AD$4:$AD$11</formula1>
    </dataValidation>
    <dataValidation type="list" errorStyle="warning" allowBlank="1" showErrorMessage="1" sqref="W4" xr:uid="{FA79828D-A891-496F-A3B8-07A192C4C604}">
      <formula1>$AD$4:$AD$11</formula1>
    </dataValidation>
    <dataValidation type="list" errorStyle="warning" allowBlank="1" showErrorMessage="1" sqref="W5" xr:uid="{B86477F3-4EB3-4AA3-A57D-52F4122AC5A2}">
      <formula1>$AD$4:$AD$11</formula1>
    </dataValidation>
    <dataValidation type="list" errorStyle="warning" allowBlank="1" showErrorMessage="1" sqref="W6" xr:uid="{B675A5BF-D62B-452C-B3DE-103703E99129}">
      <formula1>$AD$4:$AD$11</formula1>
    </dataValidation>
    <dataValidation type="list" errorStyle="warning" allowBlank="1" showErrorMessage="1" sqref="W7" xr:uid="{6ABB7D64-BCCF-4D2D-8DC6-23AAF391F412}">
      <formula1>$AD$4:$AD$11</formula1>
    </dataValidation>
    <dataValidation type="list" errorStyle="warning" allowBlank="1" showErrorMessage="1" sqref="W8" xr:uid="{37B95AC6-F2B7-4BEF-9A4B-DB1A45B703F6}">
      <formula1>$AD$4:$AD$11</formula1>
    </dataValidation>
    <dataValidation type="list" errorStyle="warning" allowBlank="1" showErrorMessage="1" sqref="W9" xr:uid="{4EC7D7DA-0972-471E-8552-D6C09D2C2FCA}">
      <formula1>$AD$4:$AD$11</formula1>
    </dataValidation>
    <dataValidation type="list" errorStyle="warning" allowBlank="1" showErrorMessage="1" sqref="W10" xr:uid="{AB5B11A5-7D79-41B0-8567-BD9D6FBB134B}">
      <formula1>$AD$4:$AD$11</formula1>
    </dataValidation>
    <dataValidation type="list" errorStyle="warning" allowBlank="1" showErrorMessage="1" sqref="W11" xr:uid="{60AE5AB9-9F86-43C0-92B0-F50AB8C61718}">
      <formula1>$AD$4:$AD$11</formula1>
    </dataValidation>
    <dataValidation type="list" errorStyle="warning" allowBlank="1" showErrorMessage="1" sqref="W12" xr:uid="{A9FDF63E-B539-4725-8687-FBDCD6F13658}">
      <formula1>$AD$4:$AD$11</formula1>
    </dataValidation>
    <dataValidation type="list" errorStyle="warning" allowBlank="1" showErrorMessage="1" sqref="W13" xr:uid="{8C119218-175F-41B0-BDFD-E535340D917B}">
      <formula1>$AD$4:$AD$11</formula1>
    </dataValidation>
    <dataValidation type="list" errorStyle="warning" allowBlank="1" showErrorMessage="1" sqref="W14" xr:uid="{A2DFCBCC-CAB8-4368-A4E2-342C52EBD39D}">
      <formula1>$AD$4:$AD$11</formula1>
    </dataValidation>
    <dataValidation type="list" errorStyle="warning" allowBlank="1" showErrorMessage="1" sqref="W15" xr:uid="{210ADF70-6680-4349-984C-C71A66BAF44B}">
      <formula1>$AD$4:$AD$11</formula1>
    </dataValidation>
    <dataValidation type="list" errorStyle="warning" allowBlank="1" showErrorMessage="1" sqref="V15" xr:uid="{AD3FC052-B31F-4853-BD7B-05203E70515C}">
      <formula1>$F$4:$F$18</formula1>
    </dataValidation>
    <dataValidation type="list" errorStyle="warning" allowBlank="1" showErrorMessage="1" sqref="W16" xr:uid="{32EE33A4-37B3-4D96-8E11-23B3B254C942}">
      <formula1>$AD$4:$AD$11</formula1>
    </dataValidation>
    <dataValidation type="list" errorStyle="warning" allowBlank="1" showErrorMessage="1" sqref="W17" xr:uid="{A758E508-2C16-46BE-8EF3-EDBA75FEC275}">
      <formula1>$AD$4:$AD$11</formula1>
    </dataValidation>
    <dataValidation type="list" errorStyle="warning" allowBlank="1" showErrorMessage="1" sqref="W18" xr:uid="{5F22F402-C1A7-4D2C-A589-9ED9B712539A}">
      <formula1>$AD$4:$AD$11</formula1>
    </dataValidation>
    <dataValidation type="list" errorStyle="warning" allowBlank="1" showErrorMessage="1" sqref="W19" xr:uid="{7692FF5B-4496-4C41-B83E-67D8261853CB}">
      <formula1>$AD$4:$AD$11</formula1>
    </dataValidation>
    <dataValidation type="list" errorStyle="warning" allowBlank="1" showErrorMessage="1" sqref="W20" xr:uid="{049D6364-D16F-4B4B-80F7-B8AB8BEE936D}">
      <formula1>$AD$4:$AD$11</formula1>
    </dataValidation>
    <dataValidation type="list" errorStyle="warning" allowBlank="1" showErrorMessage="1" sqref="W21" xr:uid="{B539EB22-D95F-46BD-9FCC-ACB0151EBB00}">
      <formula1>$AD$4:$AD$11</formula1>
    </dataValidation>
    <dataValidation type="list" errorStyle="warning" allowBlank="1" showErrorMessage="1" sqref="W22" xr:uid="{21F7C2B0-9440-4713-A35A-42F227169D91}">
      <formula1>$AD$4:$AD$11</formula1>
    </dataValidation>
    <dataValidation type="list" errorStyle="warning" allowBlank="1" showErrorMessage="1" sqref="W23" xr:uid="{FEF7B7C1-3DF9-48C4-A86D-CBDF5776AD1C}">
      <formula1>$AD$4:$AD$11</formula1>
    </dataValidation>
    <dataValidation type="list" errorStyle="warning" allowBlank="1" showErrorMessage="1" sqref="W24" xr:uid="{7B3D03F7-66D1-4F25-9C0B-F9237E388FAE}">
      <formula1>$AD$4:$AD$11</formula1>
    </dataValidation>
    <dataValidation type="list" errorStyle="warning" allowBlank="1" showErrorMessage="1" sqref="W25" xr:uid="{8874348D-DFA9-46D9-9ED0-2633DD8D275B}">
      <formula1>$AD$4:$AD$11</formula1>
    </dataValidation>
    <dataValidation type="list" errorStyle="warning" allowBlank="1" showErrorMessage="1" sqref="W26" xr:uid="{D27E2256-6DC6-4E5D-8B68-A6D0EBEA9F2D}">
      <formula1>$AD$4:$AD$11</formula1>
    </dataValidation>
    <dataValidation type="list" errorStyle="warning" allowBlank="1" showErrorMessage="1" sqref="W27" xr:uid="{9428FE80-168C-46E2-957B-B08BFB01EA65}">
      <formula1>$AD$4:$AD$11</formula1>
    </dataValidation>
    <dataValidation type="list" errorStyle="warning" allowBlank="1" showErrorMessage="1" sqref="W28" xr:uid="{65062829-B61F-468F-9FD3-D7DF201C6C45}">
      <formula1>$AD$4:$AD$11</formula1>
    </dataValidation>
    <dataValidation type="list" errorStyle="warning" allowBlank="1" showErrorMessage="1" sqref="W29" xr:uid="{86E72443-39B2-4DCA-84A1-D403136555C6}">
      <formula1>$AD$4:$AD$11</formula1>
    </dataValidation>
    <dataValidation type="list" errorStyle="warning" allowBlank="1" showErrorMessage="1" sqref="W30" xr:uid="{1ED4F45E-6D1C-4055-827A-014D27CC79A8}">
      <formula1>$AD$4:$AD$11</formula1>
    </dataValidation>
    <dataValidation type="list" errorStyle="warning" allowBlank="1" showErrorMessage="1" sqref="W31" xr:uid="{EA129B0D-0B24-4BA0-BB00-0ED7F4FEF866}">
      <formula1>$AD$4:$AD$11</formula1>
    </dataValidation>
    <dataValidation type="list" errorStyle="warning" allowBlank="1" showErrorMessage="1" sqref="W32" xr:uid="{C9C7CE44-B5D3-4CF9-AE77-296B6D3D8FFB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5853F542-8C72-4965-B362-853EFA1C2379}">
          <x14:formula1>
            <xm:f>Bankkonto!$T$27:$Z$27</xm:f>
          </x14:formula1>
          <xm:sqref>N52:N62 N49:N50 N37 N24:N31 N21:N22 N17:N19 N7:N11 N4:N5</xm:sqref>
        </x14:dataValidation>
        <x14:dataValidation type="list" errorStyle="warning" allowBlank="1" showErrorMessage="1" xr:uid="{AA2C09BB-643C-4B1C-9645-865A49EB2443}">
          <x14:formula1>
            <xm:f>Bankkonto!$M$27:$S$27</xm:f>
          </x14:formula1>
          <xm:sqref>N6 N51 N38:N48 N32:N36 N23 N20 N12:N16</xm:sqref>
        </x14:dataValidation>
        <x14:dataValidation type="list" errorStyle="warning" allowBlank="1" showErrorMessage="1" xr:uid="{D713108D-596C-4CF5-9151-5189BCCF0C01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9"/>
    <col min="2" max="16384" width="10.81640625" style="450"/>
  </cols>
  <sheetData>
    <row r="1" spans="1:1" x14ac:dyDescent="0.35">
      <c r="A1" s="309" t="s">
        <v>528</v>
      </c>
    </row>
    <row r="2" spans="1:1" x14ac:dyDescent="0.35">
      <c r="A2" s="309" t="s">
        <v>526</v>
      </c>
    </row>
    <row r="3" spans="1:1" x14ac:dyDescent="0.35">
      <c r="A3" s="309" t="s">
        <v>515</v>
      </c>
    </row>
    <row r="4" spans="1:1" x14ac:dyDescent="0.35">
      <c r="A4" s="309" t="s">
        <v>518</v>
      </c>
    </row>
    <row r="5" spans="1:1" x14ac:dyDescent="0.35">
      <c r="A5" s="309" t="s">
        <v>514</v>
      </c>
    </row>
    <row r="6" spans="1:1" x14ac:dyDescent="0.35">
      <c r="A6" s="309" t="s">
        <v>527</v>
      </c>
    </row>
    <row r="7" spans="1:1" x14ac:dyDescent="0.35">
      <c r="A7" s="309" t="s">
        <v>526</v>
      </c>
    </row>
    <row r="8" spans="1:1" x14ac:dyDescent="0.35">
      <c r="A8" s="309" t="s">
        <v>515</v>
      </c>
    </row>
    <row r="9" spans="1:1" x14ac:dyDescent="0.35">
      <c r="A9" s="309" t="s">
        <v>518</v>
      </c>
    </row>
    <row r="10" spans="1:1" x14ac:dyDescent="0.35">
      <c r="A10" s="309" t="s">
        <v>514</v>
      </c>
    </row>
    <row r="11" spans="1:1" x14ac:dyDescent="0.35">
      <c r="A11" s="309" t="s">
        <v>525</v>
      </c>
    </row>
    <row r="12" spans="1:1" x14ac:dyDescent="0.35">
      <c r="A12" s="309" t="s">
        <v>526</v>
      </c>
    </row>
    <row r="13" spans="1:1" x14ac:dyDescent="0.35">
      <c r="A13" s="309" t="s">
        <v>515</v>
      </c>
    </row>
    <row r="14" spans="1:1" x14ac:dyDescent="0.35">
      <c r="A14" s="309" t="s">
        <v>518</v>
      </c>
    </row>
    <row r="15" spans="1:1" x14ac:dyDescent="0.35">
      <c r="A15" s="309" t="s">
        <v>514</v>
      </c>
    </row>
    <row r="16" spans="1:1" x14ac:dyDescent="0.35">
      <c r="A16" s="309" t="s">
        <v>524</v>
      </c>
    </row>
    <row r="17" spans="1:1" x14ac:dyDescent="0.35">
      <c r="A17" s="309" t="s">
        <v>519</v>
      </c>
    </row>
    <row r="18" spans="1:1" x14ac:dyDescent="0.35">
      <c r="A18" s="309" t="s">
        <v>515</v>
      </c>
    </row>
    <row r="19" spans="1:1" x14ac:dyDescent="0.35">
      <c r="A19" s="309" t="s">
        <v>516</v>
      </c>
    </row>
    <row r="20" spans="1:1" x14ac:dyDescent="0.35">
      <c r="A20" s="309" t="s">
        <v>514</v>
      </c>
    </row>
    <row r="21" spans="1:1" x14ac:dyDescent="0.35">
      <c r="A21" s="309" t="s">
        <v>523</v>
      </c>
    </row>
    <row r="22" spans="1:1" x14ac:dyDescent="0.35">
      <c r="A22" s="309" t="s">
        <v>519</v>
      </c>
    </row>
    <row r="23" spans="1:1" x14ac:dyDescent="0.35">
      <c r="A23" s="309" t="s">
        <v>515</v>
      </c>
    </row>
    <row r="24" spans="1:1" x14ac:dyDescent="0.35">
      <c r="A24" s="309" t="s">
        <v>516</v>
      </c>
    </row>
    <row r="25" spans="1:1" x14ac:dyDescent="0.35">
      <c r="A25" s="309" t="s">
        <v>514</v>
      </c>
    </row>
    <row r="26" spans="1:1" x14ac:dyDescent="0.35">
      <c r="A26" s="309" t="s">
        <v>522</v>
      </c>
    </row>
    <row r="27" spans="1:1" x14ac:dyDescent="0.35">
      <c r="A27" s="309" t="s">
        <v>519</v>
      </c>
    </row>
    <row r="28" spans="1:1" x14ac:dyDescent="0.35">
      <c r="A28" s="309" t="s">
        <v>515</v>
      </c>
    </row>
    <row r="29" spans="1:1" x14ac:dyDescent="0.35">
      <c r="A29" s="309" t="s">
        <v>518</v>
      </c>
    </row>
    <row r="30" spans="1:1" x14ac:dyDescent="0.35">
      <c r="A30" s="309" t="s">
        <v>514</v>
      </c>
    </row>
    <row r="31" spans="1:1" x14ac:dyDescent="0.35">
      <c r="A31" s="309" t="s">
        <v>522</v>
      </c>
    </row>
    <row r="32" spans="1:1" x14ac:dyDescent="0.35">
      <c r="A32" s="309" t="s">
        <v>519</v>
      </c>
    </row>
    <row r="33" spans="1:1" x14ac:dyDescent="0.35">
      <c r="A33" s="309" t="s">
        <v>515</v>
      </c>
    </row>
    <row r="34" spans="1:1" x14ac:dyDescent="0.35">
      <c r="A34" s="309" t="s">
        <v>516</v>
      </c>
    </row>
    <row r="35" spans="1:1" x14ac:dyDescent="0.35">
      <c r="A35" s="309" t="s">
        <v>514</v>
      </c>
    </row>
    <row r="36" spans="1:1" x14ac:dyDescent="0.35">
      <c r="A36" s="309" t="s">
        <v>521</v>
      </c>
    </row>
    <row r="37" spans="1:1" x14ac:dyDescent="0.35">
      <c r="A37" s="309" t="s">
        <v>519</v>
      </c>
    </row>
    <row r="38" spans="1:1" x14ac:dyDescent="0.35">
      <c r="A38" s="309" t="s">
        <v>515</v>
      </c>
    </row>
    <row r="39" spans="1:1" x14ac:dyDescent="0.35">
      <c r="A39" s="309" t="s">
        <v>518</v>
      </c>
    </row>
    <row r="40" spans="1:1" x14ac:dyDescent="0.35">
      <c r="A40" s="309" t="s">
        <v>514</v>
      </c>
    </row>
    <row r="41" spans="1:1" x14ac:dyDescent="0.35">
      <c r="A41" s="309" t="s">
        <v>521</v>
      </c>
    </row>
    <row r="42" spans="1:1" x14ac:dyDescent="0.35">
      <c r="A42" s="309" t="s">
        <v>519</v>
      </c>
    </row>
    <row r="43" spans="1:1" x14ac:dyDescent="0.35">
      <c r="A43" s="309" t="s">
        <v>515</v>
      </c>
    </row>
    <row r="44" spans="1:1" x14ac:dyDescent="0.35">
      <c r="A44" s="309" t="s">
        <v>516</v>
      </c>
    </row>
    <row r="45" spans="1:1" x14ac:dyDescent="0.35">
      <c r="A45" s="309" t="s">
        <v>514</v>
      </c>
    </row>
    <row r="46" spans="1:1" x14ac:dyDescent="0.35">
      <c r="A46" s="309" t="s">
        <v>520</v>
      </c>
    </row>
    <row r="47" spans="1:1" x14ac:dyDescent="0.35">
      <c r="A47" s="309" t="s">
        <v>519</v>
      </c>
    </row>
    <row r="48" spans="1:1" x14ac:dyDescent="0.35">
      <c r="A48" s="309" t="s">
        <v>515</v>
      </c>
    </row>
    <row r="49" spans="1:1" x14ac:dyDescent="0.35">
      <c r="A49" s="309" t="s">
        <v>518</v>
      </c>
    </row>
    <row r="50" spans="1:1" x14ac:dyDescent="0.35">
      <c r="A50" s="309" t="s">
        <v>514</v>
      </c>
    </row>
    <row r="51" spans="1:1" x14ac:dyDescent="0.35">
      <c r="A51" s="309" t="s">
        <v>520</v>
      </c>
    </row>
    <row r="52" spans="1:1" x14ac:dyDescent="0.35">
      <c r="A52" s="309" t="s">
        <v>519</v>
      </c>
    </row>
    <row r="53" spans="1:1" x14ac:dyDescent="0.35">
      <c r="A53" s="309" t="s">
        <v>515</v>
      </c>
    </row>
    <row r="54" spans="1:1" x14ac:dyDescent="0.35">
      <c r="A54" s="309" t="s">
        <v>516</v>
      </c>
    </row>
    <row r="55" spans="1:1" x14ac:dyDescent="0.35">
      <c r="A55" s="309" t="s">
        <v>514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10</vt:i4>
      </vt:variant>
    </vt:vector>
  </HeadingPairs>
  <TitlesOfParts>
    <vt:vector size="20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2026-03-01T10:59:16Z</dcterms:modified>
</cp:coreProperties>
</file>