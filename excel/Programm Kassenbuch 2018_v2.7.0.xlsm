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2B560431-491C-41AE-86E5-8DB4421C60FD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Übersicht!#REF!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Daten!#REF!</definedName>
    <definedName name="lst_KategorienEinnahmen">Daten!#REF!</definedName>
    <definedName name="lst_MonatPeriode">Daten!$AF$4:$AF$15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1" i="51" l="1"/>
  <c r="E2" i="51"/>
  <c r="C3" i="51"/>
  <c r="E10" i="51" l="1"/>
  <c r="E14" i="51"/>
  <c r="E19" i="51"/>
  <c r="E9" i="51"/>
  <c r="E13" i="51"/>
  <c r="E18" i="51"/>
  <c r="E23" i="51"/>
  <c r="E11" i="51"/>
  <c r="E16" i="51"/>
  <c r="E20" i="51"/>
  <c r="E8" i="51"/>
  <c r="E12" i="51"/>
  <c r="E17" i="51"/>
  <c r="C2" i="5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<sst xmlns="http://schemas.openxmlformats.org/spreadsheetml/2006/main" count="1284" uniqueCount="662">
  <si>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</si>
  <si>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</si>
  <si>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</si>
  <si>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</si>
  <si>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</si>
  <si>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</si>
  <si>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</si>
  <si>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</si>
  <si>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</si>
  <si>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</si>
  <si>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</si>
  <si>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</si>
  <si>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</si>
  <si>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</si>
  <si>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</si>
  <si>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</si>
  <si>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</si>
  <si>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</si>
  <si>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</si>
  <si>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</si>
  <si>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</si>
  <si>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</si>
  <si>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</si>
  <si>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</si>
  <si>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</si>
  <si>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</si>
  <si>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</si>
  <si>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</si>
  <si>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</si>
  <si>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</si>
  <si>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</si>
  <si>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</si>
  <si>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</si>
  <si>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</si>
  <si>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</si>
  <si>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</si>
  <si>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</si>
  <si>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</si>
  <si>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</si>
  <si>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</si>
  <si>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</si>
  <si>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</si>
  <si>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</si>
  <si>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</si>
  <si>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</si>
  <si>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</si>
  <si>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</si>
  <si>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</si>
  <si>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</si>
  <si>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</si>
  <si>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</si>
  <si>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</si>
  <si>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</si>
  <si>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</si>
  <si>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</si>
  <si>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</si>
  <si>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</si>
  <si>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</si>
  <si>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</si>
  <si>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</si>
  <si>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</si>
  <si>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</si>
  <si>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</si>
  <si>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</si>
  <si>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</si>
  <si>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</si>
  <si>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</si>
  <si>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</si>
  <si>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</si>
  <si>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</si>
  <si>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</si>
  <si>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</si>
  <si>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</si>
  <si>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</si>
  <si>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</si>
  <si>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</si>
  <si>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</si>
  <si>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</si>
  <si>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</si>
  <si>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</si>
  <si>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</si>
  <si>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</si>
  <si>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</si>
  <si>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</si>
  <si>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</si>
  <si>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</si>
  <si>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</si>
  <si>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</si>
  <si>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</si>
  <si>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</si>
  <si>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</si>
  <si>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</si>
  <si>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</si>
  <si>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</si>
  <si>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</si>
  <si>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</si>
  <si>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</si>
  <si>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</si>
  <si>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</si>
  <si>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</si>
  <si>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</si>
  <si>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</si>
  <si>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</si>
  <si>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</si>
  <si>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</si>
  <si>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</si>
  <si>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</si>
  <si>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</si>
  <si>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</si>
  <si>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</si>
  <si>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</si>
  <si>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</si>
  <si>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</si>
  <si>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</si>
  <si>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</si>
  <si>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</si>
  <si>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</si>
  <si>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</si>
  <si>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</si>
  <si>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</si>
  <si>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</si>
  <si>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</si>
  <si>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</si>
  <si>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</si>
  <si>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</si>
  <si>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</si>
  <si>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</si>
  <si>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</si>
  <si>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</si>
  <si>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</si>
  <si>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</si>
  <si>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</si>
  <si>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</si>
  <si>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</si>
  <si>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</si>
  <si>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</si>
  <si>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</si>
  <si>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</si>
  <si>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</si>
  <si>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</si>
  <si>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</si>
  <si>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</si>
  <si>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</si>
  <si>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</si>
  <si>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</si>
  <si>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</si>
  <si>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</si>
  <si>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</si>
  <si>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</si>
  <si>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</si>
  <si>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</si>
  <si>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</si>
  <si>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</si>
  <si>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</si>
  <si>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</si>
  <si>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</si>
  <si>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</si>
  <si>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</si>
  <si>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</si>
  <si>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</si>
  <si>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</si>
  <si>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</si>
  <si>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</si>
  <si>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</si>
  <si>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</si>
  <si>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</si>
  <si>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</si>
  <si>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</si>
  <si>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</si>
  <si>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</si>
  <si>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</si>
  <si>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</si>
  <si>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</si>
  <si>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</si>
  <si>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</si>
  <si>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</si>
  <si>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</si>
  <si>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</si>
  <si>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</si>
  <si>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</si>
  <si>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</si>
  <si>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</si>
  <si>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</si>
  <si>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</si>
  <si>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</si>
  <si>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</si>
  <si>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</si>
  <si>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</si>
  <si>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</si>
  <si>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</si>
  <si>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</si>
  <si>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</si>
  <si>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</si>
  <si>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</si>
  <si>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</si>
  <si>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</si>
  <si>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</si>
  <si>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</si>
  <si>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</si>
  <si>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</si>
  <si>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</si>
  <si>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</si>
  <si>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</si>
  <si>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</si>
  <si>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</si>
  <si>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</si>
  <si>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</si>
  <si>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</si>
  <si>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</si>
  <si>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</si>
  <si>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</si>
  <si>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</si>
  <si>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</si>
  <si>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</si>
  <si>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</si>
  <si>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</si>
  <si>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</si>
  <si>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</si>
  <si>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</si>
  <si>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</si>
  <si>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</si>
  <si>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</si>
  <si>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</si>
  <si>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</si>
  <si>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</si>
  <si>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</si>
  <si>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</si>
  <si>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</si>
  <si>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</si>
  <si>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</si>
  <si>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</si>
  <si>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</si>
  <si>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</si>
  <si>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</si>
  <si>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</si>
  <si>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</si>
  <si>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</si>
  <si>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</si>
  <si>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</si>
  <si>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</si>
  <si>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</si>
  <si>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</si>
  <si>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</si>
  <si>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</si>
  <si>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</si>
  <si>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</si>
  <si>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</si>
  <si>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</si>
  <si>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</si>
  <si>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</si>
  <si>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</si>
  <si>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</si>
  <si>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</si>
  <si>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</si>
  <si>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</si>
  <si>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</si>
  <si>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</si>
  <si>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</si>
  <si>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</si>
  <si>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</si>
  <si>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</si>
  <si>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</si>
  <si>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</si>
  <si>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</si>
  <si>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</si>
  <si>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</si>
  <si>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</si>
  <si>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</si>
  <si>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</si>
  <si>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</si>
  <si>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</si>
  <si>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</si>
  <si>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</si>
  <si>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</si>
  <si>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</si>
  <si>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</si>
  <si>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</si>
  <si>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</si>
  <si>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</si>
  <si>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</si>
  <si>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</si>
  <si>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</si>
  <si>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</si>
  <si>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</si>
  <si>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</si>
  <si>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</si>
  <si>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</si>
  <si>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</si>
  <si>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</si>
  <si>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</si>
  <si>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</si>
  <si>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</si>
  <si>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</si>
  <si>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</si>
  <si>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</si>
  <si>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</si>
  <si>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</si>
  <si>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</si>
  <si>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</si>
  <si>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</si>
  <si>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</si>
  <si>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</si>
  <si>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</si>
  <si>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</si>
  <si>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</si>
  <si>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</si>
  <si>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</si>
  <si>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</si>
  <si>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</si>
  <si>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</si>
  <si>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</si>
  <si>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</si>
  <si>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</si>
  <si>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</si>
  <si>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</si>
  <si>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</si>
  <si>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</si>
  <si>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</si>
  <si>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</si>
  <si>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</si>
  <si>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</si>
  <si>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</si>
  <si>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</si>
  <si>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</si>
  <si>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</si>
  <si>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</si>
  <si>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</si>
  <si>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</si>
  <si>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</si>
  <si>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</si>
  <si>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</si>
  <si>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</si>
  <si>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</si>
  <si>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</si>
  <si>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</si>
  <si>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</si>
  <si>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</si>
  <si>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</si>
  <si>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</si>
  <si>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</si>
  <si>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</si>
  <si>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</si>
  <si>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</si>
  <si>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</si>
  <si>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</si>
  <si>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</si>
  <si>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</si>
  <si>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</si>
  <si>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</si>
  <si>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</si>
  <si>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</si>
  <si>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</si>
  <si>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</si>
  <si>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</si>
  <si>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</si>
  <si>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</si>
  <si>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</si>
  <si>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</si>
  <si>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</si>
  <si>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</si>
  <si>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</si>
  <si>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</si>
  <si>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</si>
  <si>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</si>
  <si>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</si>
  <si>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</si>
  <si>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</si>
  <si>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</si>
  <si>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</si>
  <si>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</si>
  <si>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</si>
  <si>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</si>
  <si>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</si>
  <si>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</si>
  <si>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</si>
  <si>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</si>
  <si>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</si>
  <si>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</si>
  <si>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</si>
  <si>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</si>
  <si>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</si>
  <si>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</si>
  <si>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</si>
  <si>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</si>
  <si>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</si>
  <si>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</si>
  <si>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</si>
  <si>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</si>
  <si>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</si>
  <si>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</si>
  <si>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</si>
  <si>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</si>
  <si>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</si>
  <si>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</si>
  <si>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</si>
  <si>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</si>
  <si>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</si>
  <si>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</si>
  <si>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</si>
  <si>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</si>
  <si>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</si>
  <si>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</si>
  <si>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</si>
  <si>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</si>
  <si>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</si>
  <si>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</si>
  <si>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</si>
  <si>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</si>
  <si>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</si>
  <si>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</si>
  <si>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</si>
  <si>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</si>
  <si>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</si>
  <si>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</si>
  <si>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</si>
  <si>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</si>
  <si>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</si>
  <si>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</si>
  <si>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</si>
  <si>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</si>
  <si>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</si>
  <si>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</si>
  <si>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</si>
  <si>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</si>
  <si>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</si>
  <si>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</si>
  <si>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</si>
  <si>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</si>
  <si>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</si>
  <si>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</si>
  <si>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</si>
  <si>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</si>
  <si>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</si>
  <si>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</si>
  <si>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</si>
  <si>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</si>
  <si>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</si>
  <si>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</si>
  <si>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</si>
  <si>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</si>
  <si>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</si>
  <si>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</si>
  <si>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</si>
  <si>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</si>
  <si>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</si>
  <si>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</si>
  <si>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</si>
  <si>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</si>
  <si>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</si>
  <si>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</si>
  <si>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</si>
  <si>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</si>
  <si>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</si>
  <si>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</si>
  <si>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</si>
  <si>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</si>
  <si>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</si>
  <si>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</si>
  <si>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</si>
  <si>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</si>
  <si>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</si>
  <si>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</si>
  <si>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</si>
  <si>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</si>
  <si>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</si>
  <si>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</si>
  <si>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</si>
  <si>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</si>
  <si>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</si>
  <si>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</si>
  <si>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</si>
  <si>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</si>
  <si>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</si>
  <si>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</si>
  <si>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</si>
  <si>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</si>
  <si>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</si>
  <si>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</si>
  <si>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</si>
  <si>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</si>
  <si>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</si>
  <si>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</si>
  <si>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</si>
  <si>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</si>
  <si>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</si>
  <si>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</si>
  <si>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</si>
  <si>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</si>
  <si>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</si>
  <si>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</si>
  <si>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</si>
  <si>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</si>
  <si>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</si>
  <si>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</si>
  <si>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</si>
  <si>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</si>
  <si>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</si>
  <si>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</si>
  <si>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</si>
  <si>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</si>
  <si>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</si>
  <si>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</si>
  <si>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</si>
  <si>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</si>
  <si>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</si>
  <si>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</si>
  <si>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</si>
  <si>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</si>
  <si>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</si>
  <si>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</si>
  <si>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</si>
  <si>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</si>
  <si>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</si>
  <si>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</si>
  <si>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</si>
  <si>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</si>
  <si>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</si>
  <si>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</si>
  <si>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</si>
  <si>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</si>
  <si>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</si>
  <si>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</si>
  <si>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</si>
  <si>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</si>
  <si>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</si>
  <si>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</si>
  <si>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</si>
  <si>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</si>
  <si>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</si>
  <si>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</si>
  <si>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</si>
  <si>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</si>
  <si>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</si>
  <si>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</si>
  <si>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</si>
  <si>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</si>
  <si>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</si>
  <si>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</si>
  <si>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</si>
  <si>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</si>
  <si>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</si>
  <si>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</si>
  <si>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</si>
  <si>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</si>
  <si>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</si>
  <si>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</si>
  <si>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</si>
  <si>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</si>
  <si>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</si>
  <si>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</si>
  <si>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</si>
  <si>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</si>
  <si>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</si>
  <si>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</si>
  <si>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</si>
  <si>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</si>
  <si>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</si>
  <si>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</si>
  <si>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</si>
  <si>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</si>
  <si>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</si>
  <si>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</si>
  <si>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</si>
  <si>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</si>
  <si>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</si>
  <si>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</si>
  <si>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</si>
  <si>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</si>
  <si>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</si>
  <si>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</si>
  <si>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</si>
  <si>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</si>
  <si>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</si>
  <si>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</si>
  <si>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</si>
  <si>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</si>
  <si>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</si>
  <si>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</si>
  <si>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</si>
  <si>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</si>
  <si>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</si>
  <si>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</si>
  <si>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</si>
  <si>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</si>
  <si>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</si>
  <si>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</si>
  <si>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</si>
  <si>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</si>
  <si>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</si>
  <si>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</si>
  <si>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</si>
  <si>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</si>
  <si>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</si>
  <si>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</si>
  <si>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</si>
  <si>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</si>
  <si>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</si>
  <si>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</si>
  <si>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</si>
  <si>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</si>
  <si>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</si>
  <si>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</si>
  <si>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</si>
  <si>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</si>
  <si>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</si>
  <si>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</si>
  <si>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</si>
  <si>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</si>
  <si>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</si>
  <si>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</si>
  <si>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</si>
  <si>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</si>
  <si>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</si>
  <si>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</si>
  <si>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</si>
  <si>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</si>
  <si>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</si>
  <si>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</si>
  <si>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</si>
  <si>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</si>
  <si>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</si>
  <si>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</si>
  <si>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</si>
  <si>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</si>
  <si>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</si>
  <si>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</si>
  <si>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</si>
  <si>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</si>
  <si>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</si>
  <si>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</si>
  <si>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</si>
  <si>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</si>
  <si>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</si>
  <si>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</si>
  <si>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</si>
  <si>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</si>
  <si>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</si>
  <si>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</si>
  <si>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</si>
  <si>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</si>
  <si>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</si>
  <si>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</si>
  <si>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</si>
  <si>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</si>
  <si>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</si>
  <si>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</si>
  <si>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</si>
  <si>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03, 06, 09, 12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</si>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</sst>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</fills>
  <borders count="7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52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1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2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3" fillId="24" borderId="69" xfId="0" applyNumberFormat="1" applyFont="1" applyFill="1" applyBorder="1" applyAlignment="1" applyProtection="1">
      <alignment horizontal="left" vertical="center"/>
      <protection locked="0"/>
    </xf>
    <xf numFmtId="49" fontId="53" fillId="21" borderId="69" xfId="0" applyNumberFormat="1" applyFont="1" applyFill="1" applyBorder="1" applyAlignment="1" applyProtection="1">
      <alignment horizontal="left" vertical="center"/>
      <protection locked="0"/>
    </xf>
    <xf numFmtId="0" fontId="53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1485899</xdr:colOff>
          <xdr:row>7</xdr:row>
          <xdr:rowOff>158750</xdr:rowOff>
        </xdr:from>
        <xdr:to>
          <xdr:col>6</xdr:col>
          <xdr:colOff>1371599</xdr:colOff>
          <xdr:row>14</xdr:row>
          <xdr:rowOff>44450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4" sqref="F4"/>
    </sheetView>
  </sheetViews>
  <sheetFormatPr baseColWidth="10" defaultColWidth="10.81640625" defaultRowHeight="14.5" x14ac:dyDescent="0.35"/>
  <cols>
    <col min="1" max="16384" width="10.81640625" style="450"/>
  </cols>
  <sheetData>
    <row r="1" spans="2:6" x14ac:dyDescent="0.35">
      <c r="B1" s="450" t="s">
        <v>310</v>
      </c>
      <c r="F1" s="450">
        <v>2025</v>
      </c>
    </row>
    <row r="2" spans="2:6" x14ac:dyDescent="0.35">
      <c r="B2" s="450" t="s">
        <v>3</v>
      </c>
      <c r="F2" s="450">
        <v>13</v>
      </c>
    </row>
    <row r="3" spans="2:6" x14ac:dyDescent="0.35">
      <c r="B3" s="450" t="s">
        <v>2</v>
      </c>
      <c r="F3" s="450">
        <v>21</v>
      </c>
    </row>
    <row r="4" spans="2:6" x14ac:dyDescent="0.35">
      <c r="B4" s="450" t="s">
        <v>352</v>
      </c>
      <c r="F4" s="457">
        <v>8686.86</v>
      </c>
    </row>
    <row r="5" spans="2:6" x14ac:dyDescent="0.35">
      <c r="B5" s="450" t="s">
        <v>309</v>
      </c>
    </row>
    <row r="7" spans="2:6" x14ac:dyDescent="0.35">
      <c r="B7" s="450" t="s">
        <v>1</v>
      </c>
    </row>
    <row r="8" spans="2:6" x14ac:dyDescent="0.35">
      <c r="B8" s="450" t="s">
        <v>0</v>
      </c>
    </row>
    <row r="9" spans="2:6" x14ac:dyDescent="0.35">
      <c r="B9" s="450" t="s">
        <v>288</v>
      </c>
    </row>
    <row r="10" spans="2:6" x14ac:dyDescent="0.35">
      <c r="B10" s="450" t="s">
        <v>289</v>
      </c>
    </row>
    <row r="11" spans="2:6" x14ac:dyDescent="0.35">
      <c r="B11" s="450" t="s">
        <v>290</v>
      </c>
    </row>
    <row r="18" spans="1:1" x14ac:dyDescent="0.35">
      <c r="A18" s="283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3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11.453125" defaultRowHeight="14.5" x14ac:dyDescent="0.35"/>
  <cols>
    <col min="1" max="1" width="10.6328125" style="239" customWidth="1"/>
    <col min="2" max="2" width="39.7265625" style="439" customWidth="1"/>
    <col min="3" max="3" width="18.6328125" style="440" customWidth="1"/>
    <col min="4" max="4" width="22.6328125" style="239" customWidth="1"/>
    <col min="5" max="6" width="14.6328125" style="239" customWidth="1"/>
    <col min="7" max="7" width="10.6328125" style="239" customWidth="1"/>
    <col min="8" max="8" width="63.6328125" style="239" customWidth="1"/>
    <col min="9" max="16384" width="11.453125" style="450"/>
  </cols>
  <sheetData>
    <row r="3" spans="1:8" x14ac:dyDescent="0.35">
      <c r="A3" s="441" t="s">
        <v>269</v>
      </c>
      <c r="B3" s="442" t="s">
        <v>652</v>
      </c>
      <c r="C3" s="443" t="s">
        <v>653</v>
      </c>
      <c r="D3" s="441" t="s">
        <v>20</v>
      </c>
      <c r="E3" s="441" t="s">
        <v>654</v>
      </c>
      <c r="F3" s="441" t="s">
        <v>655</v>
      </c>
      <c r="G3" s="441" t="s">
        <v>317</v>
      </c>
      <c r="H3" s="441" t="s">
        <v>656</v>
      </c>
    </row>
  </sheetData>
  <sheetProtection selectLockedCells="1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7"/>
  <sheetViews>
    <sheetView tabSelected="1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0" customWidth="1"/>
    <col min="8" max="8" width="47.26953125" style="231" bestFit="1" customWidth="1"/>
    <col min="9" max="9" width="19" style="450" customWidth="1"/>
    <col min="10" max="10" width="15.54296875" style="450" customWidth="1"/>
    <col min="11" max="11" width="17.54296875" style="231" customWidth="1"/>
    <col min="12" max="12" width="50.1796875" style="450" customWidth="1"/>
    <col min="13" max="13" width="21.453125" style="29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48" thickBot="1" x14ac:dyDescent="0.4">
      <c r="A1" s="221"/>
      <c r="B1" s="467" t="s">
        <v>42</v>
      </c>
      <c r="C1" s="468"/>
      <c r="D1" s="468"/>
      <c r="E1" s="468"/>
      <c r="G1" s="445"/>
      <c r="I1" s="445"/>
      <c r="J1" s="445"/>
      <c r="L1" s="445"/>
      <c r="M1" s="445"/>
    </row>
    <row r="2" spans="1:18" ht="21.75" customHeight="1" x14ac:dyDescent="0.35">
      <c r="C2" s="448" t="str">
        <f>IF(Daten!$AE$4=0,"Kontostand Sparkasse am 31.12."&amp;Startmenü!$F$1-1,"Kontostand Sparkasse am "&amp;TEXT(DATE(Startmenü!$F$1,Daten!$AE$4,1),"TT.MM.JJJJ"))</f>
        <v>Kontostand Sparkasse am 31.12.2024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57"/>
    </row>
    <row r="3" spans="1:18" ht="21.75" customHeight="1" thickBot="1" x14ac:dyDescent="0.4">
      <c r="C3" s="449" t="str">
        <f>IF(Daten!$AE$4=0,IF(COUNT(Bankkonto!$A$28:$A$1378)=0,"","Kontostand nach der letzten Buchung im Monat am: " &amp; TEXT(MAX(Bankkonto!$A$28:$A$2945),"TT.MM.JJJJ")),IF(COUNTIFS(Bankkonto!$A$28:$A$2945,"&gt;=" &amp; DATE(Startmenü!$F$1,Daten!$AE$4,1),Bankkonto!$A$28:$A$2945,"&lt;=" &amp; DATE(Startmenü!$F$1,Daten!$AE$4+1,0))=0,"","Kontostand nach der letzten Buchung im Monat am: " &amp; TEXT(_xlfn.MAXIFS(Bankkonto!$A$28:$A$2945,Bankkonto!$A$28:$A$2945,"&gt;=" &amp; DATE(Startmenü!$F$1,Daten!$AE$4,1),Bankkonto!$A$28:$A$2945,"&lt;=" &amp; DATE(Startmenü!$F$1,Daten!$AE$4+1,0)),"TT.MM.JJJJ")))</f>
        <v/>
      </c>
      <c r="D3" s="230"/>
      <c r="E3" s="233">
        <f>IF(E23="",E2+E15+E22,E2+E15+E22+E23)</f>
        <v>8686.86</v>
      </c>
      <c r="M3" s="457"/>
    </row>
    <row r="4" spans="1:18" ht="7" customHeight="1" x14ac:dyDescent="0.35">
      <c r="M4" s="450"/>
    </row>
    <row r="5" spans="1:18" ht="7" customHeight="1" x14ac:dyDescent="0.35">
      <c r="M5" s="450"/>
    </row>
    <row r="6" spans="1:18" ht="50.25" customHeight="1" x14ac:dyDescent="0.35">
      <c r="C6" s="469" t="s">
        <v>41</v>
      </c>
      <c r="D6" s="469"/>
      <c r="E6" s="469"/>
      <c r="G6" s="445"/>
      <c r="M6" s="450"/>
      <c r="R6" s="258" t="str">
        <f>C25</f>
        <v>Auszug: ganzes Jahr 2025</v>
      </c>
    </row>
    <row r="7" spans="1:18" ht="10.5" customHeight="1" x14ac:dyDescent="0.35">
      <c r="M7" s="450"/>
    </row>
    <row r="8" spans="1:18" ht="15" customHeight="1" x14ac:dyDescent="0.35">
      <c r="B8" s="470" t="s">
        <v>24</v>
      </c>
      <c r="C8" s="12" t="s">
        <v>40</v>
      </c>
      <c r="D8" s="12"/>
      <c r="E8" s="234" t="str">
        <f>IF(SUMIFS(M28:M4972,G28:G4972,TRUE)=0,"",SUMIFS(M28:M4972,G28:G4972,TRUE))</f>
        <v/>
      </c>
      <c r="M8" s="450"/>
    </row>
    <row r="9" spans="1:18" x14ac:dyDescent="0.35">
      <c r="B9" s="470"/>
      <c r="C9" s="13" t="s">
        <v>39</v>
      </c>
      <c r="D9" s="13"/>
      <c r="E9" s="235" t="str">
        <f>IF(SUMIFS(N28:N4972,G28:G4972,TRUE)=0,"",SUMIFS(N28:N4972,G28:G4972,TRUE))</f>
        <v/>
      </c>
      <c r="M9" s="450"/>
      <c r="P9" s="284"/>
    </row>
    <row r="10" spans="1:18" x14ac:dyDescent="0.35">
      <c r="B10" s="470"/>
      <c r="C10" s="12" t="s">
        <v>38</v>
      </c>
      <c r="D10" s="12"/>
      <c r="E10" s="234" t="str">
        <f>IF(SUMIFS(O28:O4972,G28:G4972,TRUE)=0,"",SUMIFS(O28:O4972,G28:G4972,TRUE))</f>
        <v/>
      </c>
      <c r="M10" s="450"/>
      <c r="P10" s="284"/>
    </row>
    <row r="11" spans="1:18" x14ac:dyDescent="0.35">
      <c r="B11" s="470"/>
      <c r="C11" s="13" t="s">
        <v>37</v>
      </c>
      <c r="D11" s="13"/>
      <c r="E11" s="235" t="str">
        <f>IF(SUMIFS(P28:P4972,G28:G4972,TRUE)=0,"",SUMIFS(P28:P4972,G28:G4972,TRUE))</f>
        <v/>
      </c>
      <c r="M11" s="450"/>
    </row>
    <row r="12" spans="1:18" x14ac:dyDescent="0.35">
      <c r="B12" s="470"/>
      <c r="C12" s="12" t="s">
        <v>36</v>
      </c>
      <c r="D12" s="12"/>
      <c r="E12" s="234" t="str">
        <f>IF(SUMIFS(Q28:Q4972,G28:G4972,TRUE)=0,"",SUMIFS(Q28:Q4972,G28:G4972,TRUE))</f>
        <v/>
      </c>
      <c r="M12" s="450"/>
      <c r="P12" s="284"/>
    </row>
    <row r="13" spans="1:18" x14ac:dyDescent="0.35">
      <c r="B13" s="470"/>
      <c r="C13" s="13" t="s">
        <v>32</v>
      </c>
      <c r="D13" s="13"/>
      <c r="E13" s="235" t="str">
        <f>IF(SUMIFS(R28:R4972,G28:G4972,TRUE)=0,"",SUMIFS(R28:R4972,G28:G4972,TRUE))</f>
        <v/>
      </c>
      <c r="M13" s="450"/>
      <c r="P13" s="284"/>
    </row>
    <row r="14" spans="1:18" ht="15" thickBot="1" x14ac:dyDescent="0.4">
      <c r="B14" s="470"/>
      <c r="C14" s="12" t="s">
        <v>35</v>
      </c>
      <c r="D14" s="12"/>
      <c r="E14" s="234" t="str">
        <f>IF(SUMIFS(S28:S4972,G28:G4972,TRUE)=0,"",SUMIFS(S28:S4972,G28:G4972,TRUE))</f>
        <v/>
      </c>
      <c r="M14" s="450"/>
      <c r="P14" s="284"/>
    </row>
    <row r="15" spans="1:18" ht="19.5" thickTop="1" thickBot="1" x14ac:dyDescent="0.4">
      <c r="B15" s="471"/>
      <c r="C15" s="11" t="s">
        <v>28</v>
      </c>
      <c r="D15" s="11"/>
      <c r="E15" s="236">
        <f>SUM(E8:E14)</f>
        <v>0</v>
      </c>
      <c r="M15" s="450"/>
    </row>
    <row r="16" spans="1:18" ht="15" customHeight="1" x14ac:dyDescent="0.35">
      <c r="B16" s="472" t="s">
        <v>23</v>
      </c>
      <c r="C16" s="10" t="s">
        <v>34</v>
      </c>
      <c r="D16" s="10"/>
      <c r="E16" s="8" t="str">
        <f>IF(SUMIFS(T28:T4972,G28:G4972,TRUE)=0,"",SUMIFS(T28:T4972,G28:G4972,TRUE))</f>
        <v/>
      </c>
      <c r="M16" s="450"/>
    </row>
    <row r="17" spans="1:26" x14ac:dyDescent="0.35">
      <c r="B17" s="473"/>
      <c r="C17" s="5" t="s">
        <v>33</v>
      </c>
      <c r="D17" s="5"/>
      <c r="E17" s="3" t="str">
        <f>IF(SUMIFS(U28:U4972,G28:G4972,TRUE)=0,"",SUMIFS(U28:U4972,G28:G4972,TRUE))</f>
        <v/>
      </c>
      <c r="M17" s="450"/>
    </row>
    <row r="18" spans="1:26" x14ac:dyDescent="0.35">
      <c r="B18" s="473"/>
      <c r="C18" s="1" t="s">
        <v>32</v>
      </c>
      <c r="D18" s="1"/>
      <c r="E18" s="6" t="str">
        <f>IF(SUMIFS(V28:V4972,G28:G4972,TRUE)=0,"",SUMIFS(V28:V4972,G28:G4972,TRUE))</f>
        <v/>
      </c>
      <c r="M18" s="450"/>
    </row>
    <row r="19" spans="1:26" x14ac:dyDescent="0.35">
      <c r="B19" s="473"/>
      <c r="C19" s="5" t="s">
        <v>31</v>
      </c>
      <c r="D19" s="5"/>
      <c r="E19" s="3" t="str">
        <f>IF(SUMIFS(W28:W4972,G28:G4972,TRUE)=0,"",SUMIFS(W28:W4972,G28:G4972,TRUE))</f>
        <v/>
      </c>
      <c r="M19" s="450"/>
    </row>
    <row r="20" spans="1:26" x14ac:dyDescent="0.35">
      <c r="B20" s="473"/>
      <c r="C20" s="1" t="s">
        <v>30</v>
      </c>
      <c r="D20" s="1"/>
      <c r="E20" s="6" t="str">
        <f>IF(SUMIFS(X28:X4972,G28:G4972,TRUE)=0,"",SUMIFS(X28:X4972,G28:G4972,TRUE))</f>
        <v/>
      </c>
      <c r="M20" s="450"/>
    </row>
    <row r="21" spans="1:26" x14ac:dyDescent="0.35">
      <c r="B21" s="473"/>
      <c r="C21" s="5" t="s">
        <v>29</v>
      </c>
      <c r="D21" s="5"/>
      <c r="E21" s="3" t="str">
        <f>IF(SUMIFS(Y28:Y4972,G28:G4972,TRUE)=0,"",SUMIFS(Y28:Y4972,G28:G4972,TRUE))</f>
        <v/>
      </c>
      <c r="M21" s="450"/>
    </row>
    <row r="22" spans="1:26" ht="18.5" x14ac:dyDescent="0.35">
      <c r="B22" s="473"/>
      <c r="C22" s="2" t="s">
        <v>28</v>
      </c>
      <c r="D22" s="223"/>
      <c r="E22" s="237">
        <f>SUM(E16:E21)</f>
        <v>0</v>
      </c>
      <c r="M22" s="450"/>
    </row>
    <row r="23" spans="1:26" x14ac:dyDescent="0.35">
      <c r="B23" s="473"/>
      <c r="C23" s="1" t="s">
        <v>27</v>
      </c>
      <c r="D23" s="1"/>
      <c r="E23" s="6" t="str">
        <f>IF(SUMIFS(Z28:Z4972,G28:G4972,TRUE)=0,"",SUMIFS(Z28:Z4972,G28:G4972,TRUE))</f>
        <v/>
      </c>
      <c r="M23" s="450"/>
    </row>
    <row r="24" spans="1:26" x14ac:dyDescent="0.35">
      <c r="M24" s="450"/>
    </row>
    <row r="25" spans="1:26" ht="26" x14ac:dyDescent="0.35">
      <c r="A25" s="474" t="s">
        <v>26</v>
      </c>
      <c r="B25" s="475"/>
      <c r="C25" s="476" t="s">
        <v>438</v>
      </c>
      <c r="D25" s="477"/>
      <c r="E25" s="477"/>
      <c r="F25" s="459"/>
      <c r="G25" s="459"/>
      <c r="H25" s="459"/>
      <c r="I25" s="459"/>
      <c r="J25" s="459"/>
      <c r="K25" s="459"/>
      <c r="L25" s="460"/>
      <c r="M25" s="458" t="str">
        <f>C6</f>
        <v>Konto Sparkasse</v>
      </c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59"/>
      <c r="Z25" s="460"/>
    </row>
    <row r="26" spans="1:26" s="285" customFormat="1" ht="21" x14ac:dyDescent="0.35">
      <c r="A26" s="461" t="s">
        <v>25</v>
      </c>
      <c r="B26" s="462"/>
      <c r="C26" s="463"/>
      <c r="D26" s="463"/>
      <c r="E26" s="464"/>
      <c r="F26" s="224"/>
      <c r="G26" s="444"/>
      <c r="H26" s="224"/>
      <c r="I26" s="444"/>
      <c r="J26" s="444"/>
      <c r="K26" s="224"/>
      <c r="L26" s="444"/>
      <c r="M26" s="465" t="s">
        <v>24</v>
      </c>
      <c r="N26" s="459"/>
      <c r="O26" s="459"/>
      <c r="P26" s="459"/>
      <c r="Q26" s="459"/>
      <c r="R26" s="459"/>
      <c r="S26" s="459"/>
      <c r="T26" s="466" t="s">
        <v>23</v>
      </c>
      <c r="U26" s="459"/>
      <c r="V26" s="459"/>
      <c r="W26" s="459"/>
      <c r="X26" s="459"/>
      <c r="Y26" s="459"/>
      <c r="Z26" s="460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475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</sheetData>
  <sheetProtection sheet="1" objects="1" scenarios="1" selectLockedCells="1"/>
  <autoFilter ref="A27:Z27" xr:uid="{2989E6A1-D645-4B25-8A09-02B4C7F71BF5}"/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1485900</xdr:colOff>
                <xdr:row>7</xdr:row>
                <xdr:rowOff>158750</xdr:rowOff>
              </from>
              <to>
                <xdr:col>6</xdr:col>
                <xdr:colOff>1371600</xdr:colOff>
                <xdr:row>14</xdr:row>
                <xdr:rowOff>44450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9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15" thickBot="1" x14ac:dyDescent="0.4">
      <c r="F1" s="450"/>
    </row>
    <row r="2" spans="1:13" ht="21.75" customHeight="1" x14ac:dyDescent="0.35">
      <c r="B2" s="478" t="s">
        <v>445</v>
      </c>
      <c r="C2" s="479"/>
      <c r="D2" s="17">
        <v>0</v>
      </c>
      <c r="F2" s="450"/>
    </row>
    <row r="3" spans="1:13" ht="21.75" customHeight="1" thickBot="1" x14ac:dyDescent="0.4">
      <c r="B3" s="480" t="s">
        <v>446</v>
      </c>
      <c r="C3" s="481"/>
      <c r="D3" s="16" t="s">
        <v>447</v>
      </c>
      <c r="F3" s="450"/>
    </row>
    <row r="4" spans="1:13" x14ac:dyDescent="0.35">
      <c r="F4" s="450"/>
    </row>
    <row r="5" spans="1:13" ht="50.25" customHeight="1" x14ac:dyDescent="0.35">
      <c r="B5" s="482" t="s">
        <v>62</v>
      </c>
      <c r="C5" s="482"/>
      <c r="D5" s="482"/>
      <c r="F5" s="450"/>
      <c r="M5" s="15" t="str">
        <f>C24</f>
        <v>xxx  2024</v>
      </c>
    </row>
    <row r="6" spans="1:13" ht="10.5" customHeight="1" x14ac:dyDescent="0.35">
      <c r="F6" s="450"/>
    </row>
    <row r="7" spans="1:13" x14ac:dyDescent="0.35">
      <c r="A7" s="483" t="s">
        <v>24</v>
      </c>
      <c r="B7" s="12" t="s">
        <v>40</v>
      </c>
      <c r="C7" s="286"/>
      <c r="D7" s="287" t="str">
        <f>IF(SUM(G27:G1048576)=0,"",SUM(G27:G1048576))</f>
        <v/>
      </c>
      <c r="F7" s="450"/>
    </row>
    <row r="8" spans="1:13" x14ac:dyDescent="0.35">
      <c r="A8" s="483"/>
      <c r="B8" s="13" t="s">
        <v>39</v>
      </c>
      <c r="C8" s="288"/>
      <c r="D8" s="289" t="str">
        <f>IF(SUM(H27:H1048576)=0,"",SUM(H27:H1048576))</f>
        <v/>
      </c>
      <c r="F8" s="450"/>
      <c r="I8" s="284"/>
    </row>
    <row r="9" spans="1:13" x14ac:dyDescent="0.35">
      <c r="A9" s="483"/>
      <c r="B9" s="12" t="s">
        <v>38</v>
      </c>
      <c r="C9" s="286"/>
      <c r="D9" s="287" t="str">
        <f>IF(SUM(I27:I1048576)=0,"",SUM(I27:I1048576))</f>
        <v/>
      </c>
      <c r="F9" s="450"/>
      <c r="I9" s="284"/>
    </row>
    <row r="10" spans="1:13" x14ac:dyDescent="0.35">
      <c r="A10" s="483"/>
      <c r="B10" s="13" t="s">
        <v>37</v>
      </c>
      <c r="C10" s="288"/>
      <c r="D10" s="289" t="str">
        <f>IF(SUM(J27:J1048576)=0,"",SUM(J27:J1048576))</f>
        <v/>
      </c>
      <c r="F10" s="450"/>
    </row>
    <row r="11" spans="1:13" x14ac:dyDescent="0.35">
      <c r="A11" s="483"/>
      <c r="B11" s="12" t="s">
        <v>36</v>
      </c>
      <c r="C11" s="286"/>
      <c r="D11" s="287" t="str">
        <f>IF(SUM(K27:K1048576)=0,"",SUM(K27:K1048576))</f>
        <v/>
      </c>
      <c r="F11" s="450"/>
      <c r="I11" s="284"/>
    </row>
    <row r="12" spans="1:13" x14ac:dyDescent="0.35">
      <c r="A12" s="483"/>
      <c r="B12" s="13" t="s">
        <v>32</v>
      </c>
      <c r="C12" s="288"/>
      <c r="D12" s="289" t="str">
        <f>IF(SUM(L27:L1048576)=0,"",SUM(L27:L1048576))</f>
        <v/>
      </c>
      <c r="F12" s="450"/>
      <c r="I12" s="284"/>
    </row>
    <row r="13" spans="1:13" ht="15" thickBot="1" x14ac:dyDescent="0.4">
      <c r="A13" s="483"/>
      <c r="B13" s="12" t="s">
        <v>35</v>
      </c>
      <c r="C13" s="286"/>
      <c r="D13" s="287" t="str">
        <f>IF(SUM(N27:N1048576)=0,"",SUM(N27:N1048576))</f>
        <v/>
      </c>
      <c r="F13" s="450"/>
      <c r="I13" s="284"/>
    </row>
    <row r="14" spans="1:13" ht="19" thickTop="1" x14ac:dyDescent="0.35">
      <c r="A14" s="483"/>
      <c r="B14" s="11" t="s">
        <v>28</v>
      </c>
      <c r="C14" s="290"/>
      <c r="D14" s="291">
        <f>SUM(D7:D13)</f>
        <v>0</v>
      </c>
      <c r="F14" s="450"/>
    </row>
    <row r="15" spans="1:13" ht="15" thickBot="1" x14ac:dyDescent="0.4">
      <c r="A15" s="447"/>
      <c r="B15" s="13" t="s">
        <v>27</v>
      </c>
      <c r="C15" s="288"/>
      <c r="D15" s="289" t="str">
        <f>IF(SUM(N27:N1048576)=0,"",SUM(N27:N1048576))</f>
        <v/>
      </c>
      <c r="F15" s="450"/>
    </row>
    <row r="16" spans="1:13" x14ac:dyDescent="0.35">
      <c r="A16" s="484" t="s">
        <v>23</v>
      </c>
      <c r="B16" s="10" t="s">
        <v>34</v>
      </c>
      <c r="C16" s="9"/>
      <c r="D16" s="8" t="str">
        <f>IF(SUM(O27:O1048576)=0,"",SUM(O27:O1048576))</f>
        <v/>
      </c>
      <c r="F16" s="450"/>
    </row>
    <row r="17" spans="1:20" x14ac:dyDescent="0.35">
      <c r="A17" s="485"/>
      <c r="B17" s="5" t="s">
        <v>33</v>
      </c>
      <c r="C17" s="4"/>
      <c r="D17" s="3" t="str">
        <f>IF(SUM(P27:P1048576)=0,"",SUM(P27:P1048576))</f>
        <v/>
      </c>
      <c r="F17" s="450"/>
    </row>
    <row r="18" spans="1:20" x14ac:dyDescent="0.35">
      <c r="A18" s="485"/>
      <c r="B18" s="1" t="s">
        <v>32</v>
      </c>
      <c r="C18" s="7"/>
      <c r="D18" s="6" t="str">
        <f>IF(SUM(Q27:Q1048576)=0,"",SUM(Q27:Q1048576))</f>
        <v/>
      </c>
      <c r="F18" s="450"/>
    </row>
    <row r="19" spans="1:20" x14ac:dyDescent="0.35">
      <c r="A19" s="485"/>
      <c r="B19" s="5" t="s">
        <v>31</v>
      </c>
      <c r="C19" s="4"/>
      <c r="D19" s="3" t="str">
        <f>IF(SUM(R27:R1048576)=0,"",SUM(R27:R1048576))</f>
        <v/>
      </c>
      <c r="F19" s="450"/>
    </row>
    <row r="20" spans="1:20" x14ac:dyDescent="0.35">
      <c r="A20" s="485"/>
      <c r="B20" s="1" t="s">
        <v>30</v>
      </c>
      <c r="C20" s="7"/>
      <c r="D20" s="6" t="str">
        <f>IF(SUM(S27:S1048576)=0,"",SUM(S27:S1048576))</f>
        <v/>
      </c>
      <c r="F20" s="450"/>
    </row>
    <row r="21" spans="1:20" x14ac:dyDescent="0.35">
      <c r="A21" s="485"/>
      <c r="B21" s="5" t="s">
        <v>29</v>
      </c>
      <c r="C21" s="4"/>
      <c r="D21" s="3" t="str">
        <f>IF(SUM(T27:T1048576)=0,"",SUM(T27:T1048576))</f>
        <v/>
      </c>
      <c r="F21" s="450"/>
    </row>
    <row r="22" spans="1:20" ht="18.5" x14ac:dyDescent="0.35">
      <c r="A22" s="485"/>
      <c r="B22" s="2" t="s">
        <v>28</v>
      </c>
      <c r="C22" s="292"/>
      <c r="D22" s="29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61</v>
      </c>
      <c r="C24" s="486" t="s">
        <v>448</v>
      </c>
      <c r="D24" s="459"/>
      <c r="E24" s="459"/>
      <c r="F24" s="487"/>
      <c r="G24" s="488" t="str">
        <f>B5</f>
        <v>Vereinskasse</v>
      </c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</row>
    <row r="25" spans="1:20" s="285" customFormat="1" ht="21" x14ac:dyDescent="0.35">
      <c r="B25" s="177"/>
      <c r="C25" s="294"/>
      <c r="D25" s="294"/>
      <c r="E25" s="294"/>
      <c r="F25" s="294"/>
      <c r="G25" s="490" t="s">
        <v>24</v>
      </c>
      <c r="H25" s="491"/>
      <c r="I25" s="491"/>
      <c r="J25" s="491"/>
      <c r="K25" s="491"/>
      <c r="L25" s="491"/>
      <c r="M25" s="491"/>
      <c r="N25" s="492"/>
      <c r="O25" s="493" t="s">
        <v>23</v>
      </c>
      <c r="P25" s="494"/>
      <c r="Q25" s="494"/>
      <c r="R25" s="494"/>
      <c r="S25" s="494"/>
      <c r="T25" s="494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517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57"/>
    </row>
    <row r="28" spans="1:20" x14ac:dyDescent="0.35"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495" t="s">
        <v>87</v>
      </c>
      <c r="B2" s="496"/>
      <c r="C2" s="496"/>
      <c r="D2" s="496"/>
      <c r="E2" s="496"/>
      <c r="F2" s="496"/>
      <c r="G2" s="496"/>
      <c r="H2" s="496"/>
      <c r="I2" s="497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1"/>
      <c r="K24" s="136"/>
      <c r="L24" s="136"/>
      <c r="M24" s="138"/>
      <c r="N24" s="136"/>
    </row>
    <row r="25" spans="1:17" ht="53.15" customHeight="1" x14ac:dyDescent="0.35">
      <c r="A25" s="502" t="s">
        <v>67</v>
      </c>
      <c r="B25" s="503"/>
      <c r="C25" s="504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1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1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1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1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1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45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49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99"/>
      <c r="C35" s="499"/>
      <c r="D35" s="500"/>
      <c r="E35" s="500"/>
      <c r="F35" s="500"/>
      <c r="G35" s="500"/>
      <c r="H35" s="500"/>
      <c r="I35" s="500"/>
      <c r="J35" s="500"/>
      <c r="K35" s="500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01"/>
      <c r="B37" s="500"/>
      <c r="C37" s="500"/>
      <c r="D37" s="500"/>
      <c r="E37" s="500"/>
      <c r="F37" s="500"/>
      <c r="G37" s="500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0" t="s">
        <v>153</v>
      </c>
      <c r="D4" s="450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57"/>
      <c r="N6" s="457"/>
    </row>
    <row r="7" spans="1:27" ht="28" customHeight="1" x14ac:dyDescent="0.35">
      <c r="M7" s="457"/>
      <c r="N7" s="457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0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0">
        <v>61.32</v>
      </c>
      <c r="R11" s="457">
        <f>Q11*7/100</f>
        <v>4.2923999999999998</v>
      </c>
      <c r="S11" s="450">
        <f>SUM(Q11:R11)</f>
        <v>65.612399999999994</v>
      </c>
      <c r="T11" s="450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0">
        <v>294</v>
      </c>
      <c r="R12" s="457">
        <f>Q12*7/100</f>
        <v>20.58</v>
      </c>
      <c r="T12" s="450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57"/>
      <c r="T13" s="450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0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16" t="s">
        <v>158</v>
      </c>
      <c r="P15" s="517"/>
      <c r="Q15" s="319" t="s">
        <v>157</v>
      </c>
      <c r="R15" s="320"/>
      <c r="S15" s="321"/>
      <c r="T15" s="505">
        <v>6</v>
      </c>
      <c r="U15" s="506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53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50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50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05">
        <v>14</v>
      </c>
      <c r="U20" s="507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53">
        <v>25</v>
      </c>
      <c r="U21" s="453">
        <v>2021</v>
      </c>
      <c r="X21" s="450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50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50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57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6"/>
      <c r="N29" s="65"/>
      <c r="O29" s="353">
        <v>3.19</v>
      </c>
      <c r="P29" s="354" t="s">
        <v>138</v>
      </c>
      <c r="R29" s="45"/>
      <c r="T29" s="450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6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6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6"/>
      <c r="M35" s="456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6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13" t="s">
        <v>130</v>
      </c>
      <c r="E44" s="513"/>
      <c r="F44" s="513"/>
      <c r="G44" s="70">
        <v>2025</v>
      </c>
      <c r="H44" s="71">
        <v>773.5</v>
      </c>
      <c r="I44" s="455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14" t="s">
        <v>101</v>
      </c>
      <c r="E45" s="514"/>
      <c r="F45" s="515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14" t="s">
        <v>128</v>
      </c>
      <c r="E46" s="514"/>
      <c r="F46" s="515"/>
      <c r="G46" s="457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54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08"/>
      <c r="D55" s="500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4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54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52"/>
      <c r="G67" s="371"/>
      <c r="H67" s="371"/>
      <c r="I67" s="452"/>
      <c r="J67" s="371"/>
      <c r="K67" s="371"/>
    </row>
    <row r="68" spans="1:11" ht="23.5" customHeight="1" thickTop="1" x14ac:dyDescent="0.35">
      <c r="A68" s="452">
        <v>1</v>
      </c>
      <c r="B68" s="372">
        <v>1711509</v>
      </c>
      <c r="C68" s="371"/>
      <c r="D68" s="371"/>
      <c r="E68" s="371"/>
      <c r="F68" s="452"/>
      <c r="G68" s="371"/>
      <c r="H68" s="371"/>
      <c r="I68" s="452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09"/>
      <c r="C83" s="509"/>
      <c r="D83" s="509"/>
      <c r="E83" s="509"/>
      <c r="F83" s="509"/>
      <c r="G83" s="50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10">
        <f>SUM(G92:G101)</f>
        <v>231.20999999999995</v>
      </c>
      <c r="C102" s="511"/>
      <c r="D102" s="511"/>
      <c r="E102" s="511"/>
      <c r="F102" s="511"/>
      <c r="G102" s="51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0"/>
  </cols>
  <sheetData>
    <row r="1" spans="1:17" ht="9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7" x14ac:dyDescent="0.35">
      <c r="A2" s="445"/>
      <c r="B2" s="243" t="s">
        <v>272</v>
      </c>
      <c r="C2" s="450"/>
      <c r="D2" s="244">
        <v>46052.984398148146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7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7" ht="18.5" x14ac:dyDescent="0.35">
      <c r="A4" s="445"/>
      <c r="B4" s="450"/>
      <c r="C4" s="450"/>
      <c r="D4" s="518" t="s">
        <v>19</v>
      </c>
      <c r="E4" s="459"/>
      <c r="F4" s="460"/>
      <c r="G4" s="518" t="s">
        <v>271</v>
      </c>
      <c r="H4" s="459"/>
      <c r="I4" s="459"/>
      <c r="J4" s="460"/>
      <c r="K4" s="518" t="s">
        <v>270</v>
      </c>
      <c r="L4" s="460"/>
      <c r="M4" s="450"/>
      <c r="N4" s="450"/>
      <c r="O4" s="450"/>
      <c r="P4" s="450"/>
      <c r="Q4" s="450"/>
    </row>
    <row r="5" spans="1:17" ht="36" customHeight="1" x14ac:dyDescent="0.35">
      <c r="A5" s="245" t="s">
        <v>451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485</v>
      </c>
      <c r="Q5" s="248" t="s">
        <v>449</v>
      </c>
    </row>
    <row r="6" spans="1:17" x14ac:dyDescent="0.35">
      <c r="A6" s="249" t="s">
        <v>452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473</v>
      </c>
      <c r="P6" s="252"/>
      <c r="Q6" s="252"/>
    </row>
    <row r="7" spans="1:17" x14ac:dyDescent="0.35">
      <c r="A7" s="259" t="s">
        <v>453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473</v>
      </c>
      <c r="P7" s="261"/>
      <c r="Q7" s="261"/>
    </row>
    <row r="8" spans="1:17" x14ac:dyDescent="0.35">
      <c r="A8" s="249" t="s">
        <v>454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473</v>
      </c>
      <c r="P8" s="252"/>
      <c r="Q8" s="252"/>
    </row>
    <row r="9" spans="1:17" x14ac:dyDescent="0.35">
      <c r="A9" s="259" t="s">
        <v>455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456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457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458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474</v>
      </c>
      <c r="P12" s="252"/>
      <c r="Q12" s="252"/>
    </row>
    <row r="13" spans="1:17" x14ac:dyDescent="0.35">
      <c r="A13" s="259" t="s">
        <v>459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460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473</v>
      </c>
      <c r="P14" s="252"/>
      <c r="Q14" s="252"/>
    </row>
    <row r="15" spans="1:17" x14ac:dyDescent="0.35">
      <c r="A15" s="259" t="s">
        <v>461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473</v>
      </c>
      <c r="P15" s="261"/>
      <c r="Q15" s="261"/>
    </row>
    <row r="16" spans="1:17" x14ac:dyDescent="0.35">
      <c r="A16" s="249" t="s">
        <v>462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473</v>
      </c>
      <c r="P16" s="252"/>
      <c r="Q16" s="252"/>
    </row>
    <row r="17" spans="1:17" x14ac:dyDescent="0.35">
      <c r="A17" s="259" t="s">
        <v>463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473</v>
      </c>
      <c r="P17" s="261"/>
      <c r="Q17" s="261"/>
    </row>
    <row r="18" spans="1:17" x14ac:dyDescent="0.35">
      <c r="A18" s="249" t="s">
        <v>464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473</v>
      </c>
      <c r="P18" s="252"/>
      <c r="Q18" s="252"/>
    </row>
    <row r="19" spans="1:17" x14ac:dyDescent="0.35">
      <c r="A19" s="259" t="s">
        <v>503</v>
      </c>
      <c r="B19" s="257">
        <v>9</v>
      </c>
      <c r="C19" s="253" t="s">
        <v>206</v>
      </c>
      <c r="D19" s="260" t="s">
        <v>188</v>
      </c>
      <c r="E19" s="260" t="s">
        <v>497</v>
      </c>
      <c r="F19" s="260" t="s">
        <v>498</v>
      </c>
      <c r="G19" s="260" t="s">
        <v>504</v>
      </c>
      <c r="H19" s="257">
        <v>88</v>
      </c>
      <c r="I19" s="257">
        <v>32445</v>
      </c>
      <c r="J19" s="260" t="s">
        <v>505</v>
      </c>
      <c r="K19" s="260"/>
      <c r="L19" s="260"/>
      <c r="M19" s="261"/>
      <c r="N19" s="260"/>
      <c r="O19" s="260" t="s">
        <v>474</v>
      </c>
      <c r="P19" s="261">
        <v>46050</v>
      </c>
      <c r="Q19" s="261"/>
    </row>
    <row r="20" spans="1:17" x14ac:dyDescent="0.35">
      <c r="A20" s="249" t="s">
        <v>465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473</v>
      </c>
      <c r="P20" s="252"/>
      <c r="Q20" s="252"/>
    </row>
    <row r="21" spans="1:17" x14ac:dyDescent="0.35">
      <c r="A21" s="259" t="s">
        <v>466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473</v>
      </c>
      <c r="P21" s="261"/>
      <c r="Q21" s="261"/>
    </row>
    <row r="22" spans="1:17" x14ac:dyDescent="0.35">
      <c r="A22" s="249" t="s">
        <v>467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473</v>
      </c>
      <c r="P22" s="252"/>
      <c r="Q22" s="252"/>
    </row>
    <row r="23" spans="1:17" x14ac:dyDescent="0.35">
      <c r="A23" s="259" t="s">
        <v>468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473</v>
      </c>
      <c r="P23" s="261"/>
      <c r="Q23" s="261"/>
    </row>
    <row r="24" spans="1:17" x14ac:dyDescent="0.35">
      <c r="A24" s="249" t="s">
        <v>469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473</v>
      </c>
      <c r="P24" s="252"/>
      <c r="Q24" s="252"/>
    </row>
    <row r="25" spans="1:17" x14ac:dyDescent="0.35">
      <c r="A25" s="259" t="s">
        <v>470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473</v>
      </c>
      <c r="P25" s="261"/>
      <c r="Q25" s="261"/>
    </row>
    <row r="26" spans="1:17" x14ac:dyDescent="0.35">
      <c r="A26" s="249" t="s">
        <v>511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471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473</v>
      </c>
      <c r="P27" s="261">
        <v>45950</v>
      </c>
      <c r="Q27" s="261"/>
    </row>
    <row r="28" spans="1:17" x14ac:dyDescent="0.35">
      <c r="A28" s="249" t="s">
        <v>511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471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473</v>
      </c>
      <c r="P29" s="261"/>
      <c r="Q29" s="261"/>
    </row>
    <row r="30" spans="1:17" x14ac:dyDescent="0.35">
      <c r="A30" s="249" t="s">
        <v>472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0" customWidth="1"/>
    <col min="12" max="16384" width="10.81640625" style="450"/>
  </cols>
  <sheetData>
    <row r="1" spans="1:10" x14ac:dyDescent="0.35">
      <c r="A1" s="450"/>
      <c r="B1" s="450"/>
      <c r="C1" s="450"/>
      <c r="D1" s="450"/>
      <c r="E1" s="231"/>
      <c r="F1" s="450"/>
      <c r="G1" s="450"/>
      <c r="H1" s="450"/>
      <c r="I1" s="450"/>
      <c r="J1" s="450"/>
    </row>
    <row r="2" spans="1:10" x14ac:dyDescent="0.35">
      <c r="A2" s="450"/>
      <c r="B2" s="450"/>
      <c r="C2" s="450"/>
      <c r="D2" s="450"/>
      <c r="E2" s="231"/>
      <c r="F2" s="450"/>
      <c r="G2" s="450"/>
      <c r="H2" s="450"/>
      <c r="I2" s="450"/>
      <c r="J2" s="450"/>
    </row>
    <row r="3" spans="1:10" ht="16" x14ac:dyDescent="0.35">
      <c r="A3" s="269" t="s">
        <v>269</v>
      </c>
      <c r="B3" s="270" t="s">
        <v>482</v>
      </c>
      <c r="C3" s="270" t="s">
        <v>500</v>
      </c>
      <c r="D3" s="270" t="s">
        <v>483</v>
      </c>
      <c r="E3" s="270" t="s">
        <v>493</v>
      </c>
      <c r="F3" s="270" t="s">
        <v>491</v>
      </c>
      <c r="G3" s="270" t="s">
        <v>492</v>
      </c>
      <c r="H3" s="270" t="s">
        <v>367</v>
      </c>
      <c r="I3" s="269" t="s">
        <v>494</v>
      </c>
      <c r="J3" s="273" t="s">
        <v>486</v>
      </c>
    </row>
    <row r="4" spans="1:10" x14ac:dyDescent="0.35">
      <c r="A4" s="242">
        <v>14</v>
      </c>
      <c r="B4" s="254"/>
      <c r="C4" s="254" t="s">
        <v>480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481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484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488</v>
      </c>
      <c r="C7" s="256" t="s">
        <v>489</v>
      </c>
      <c r="D7" s="266">
        <v>46049</v>
      </c>
      <c r="E7" s="256" t="s">
        <v>490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495</v>
      </c>
      <c r="C8" s="254" t="s">
        <v>487</v>
      </c>
      <c r="D8" s="265">
        <v>46037</v>
      </c>
      <c r="E8" s="254" t="s">
        <v>490</v>
      </c>
      <c r="F8" s="254" t="s">
        <v>507</v>
      </c>
      <c r="G8" s="254" t="s">
        <v>496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496</v>
      </c>
      <c r="C9" s="256" t="s">
        <v>507</v>
      </c>
      <c r="D9" s="266">
        <v>46050</v>
      </c>
      <c r="E9" s="256" t="s">
        <v>502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503</v>
      </c>
      <c r="C10" s="254" t="s">
        <v>499</v>
      </c>
      <c r="D10" s="265">
        <v>46050</v>
      </c>
      <c r="E10" s="254" t="s">
        <v>490</v>
      </c>
      <c r="F10" s="254" t="s">
        <v>499</v>
      </c>
      <c r="G10" s="254" t="s">
        <v>503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501</v>
      </c>
      <c r="C11" s="256" t="s">
        <v>506</v>
      </c>
      <c r="D11" s="266">
        <v>46050</v>
      </c>
      <c r="E11" s="256" t="s">
        <v>490</v>
      </c>
      <c r="F11" s="256" t="s">
        <v>499</v>
      </c>
      <c r="G11" s="256" t="s">
        <v>503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503</v>
      </c>
      <c r="C12" s="254" t="s">
        <v>499</v>
      </c>
      <c r="D12" s="265">
        <v>46052</v>
      </c>
      <c r="E12" s="254" t="s">
        <v>508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471</v>
      </c>
      <c r="C13" s="256" t="s">
        <v>355</v>
      </c>
      <c r="D13" s="266">
        <v>46052</v>
      </c>
      <c r="E13" s="256" t="s">
        <v>509</v>
      </c>
      <c r="F13" s="256"/>
      <c r="G13" s="256"/>
      <c r="H13" s="256" t="s">
        <v>510</v>
      </c>
      <c r="I13" s="253"/>
      <c r="J13" s="275">
        <v>46052.948483796295</v>
      </c>
    </row>
    <row r="14" spans="1:10" x14ac:dyDescent="0.35">
      <c r="A14" s="242">
        <v>13</v>
      </c>
      <c r="B14" s="254" t="s">
        <v>511</v>
      </c>
      <c r="C14" s="254" t="s">
        <v>512</v>
      </c>
      <c r="D14" s="265">
        <v>46052</v>
      </c>
      <c r="E14" s="254" t="s">
        <v>509</v>
      </c>
      <c r="F14" s="254"/>
      <c r="G14" s="254"/>
      <c r="H14" s="254" t="s">
        <v>510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C10" sqref="C10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19" t="s">
        <v>622</v>
      </c>
      <c r="C2" s="520"/>
      <c r="D2" s="520"/>
      <c r="E2" s="520"/>
      <c r="F2" s="520"/>
      <c r="G2" s="520"/>
      <c r="H2" s="520"/>
      <c r="I2" s="521"/>
    </row>
    <row r="3" spans="2:9" ht="36" customHeight="1" x14ac:dyDescent="0.35">
      <c r="B3" s="418" t="s">
        <v>621</v>
      </c>
      <c r="C3" s="419" t="s">
        <v>617</v>
      </c>
      <c r="D3" s="419" t="s">
        <v>618</v>
      </c>
      <c r="E3" s="419" t="s">
        <v>645</v>
      </c>
      <c r="F3" s="419" t="s">
        <v>623</v>
      </c>
      <c r="G3" s="419" t="s">
        <v>619</v>
      </c>
      <c r="H3" s="419" t="s">
        <v>620</v>
      </c>
      <c r="I3" s="420" t="s">
        <v>642</v>
      </c>
    </row>
    <row r="4" spans="2:9" x14ac:dyDescent="0.35">
      <c r="B4" s="402" t="s">
        <v>280</v>
      </c>
      <c r="C4" s="421"/>
      <c r="D4" s="426"/>
      <c r="E4" s="422"/>
      <c r="F4" s="422" t="s">
        <v>648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650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648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649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647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625C6795-7715-4067-828B-59856704F1A0}">
      <formula1>"1,2,3,4,5,6,7,8,9,10,11,12,13,14,15,16,17,18,19,20,21,22,23,24,25,26,27,28,29,30,31"</formula1>
    </dataValidation>
    <dataValidation type="list" allowBlank="1" showErrorMessage="1" sqref="D5" xr:uid="{BDABED73-BBCC-4E0D-ADD1-CC78591B1F73}">
      <formula1>"1,2,3,4,5,6,7,8,9,10,11,12,13,14,15,16,17,18,19,20,21,22,23,24,25,26,27,28,29,30,31"</formula1>
    </dataValidation>
    <dataValidation type="list" allowBlank="1" showErrorMessage="1" sqref="D6" xr:uid="{8F6DFEC1-3A3F-4C0A-897D-57CA58D65337}">
      <formula1>"1,2,3,4,5,6,7,8,9,10,11,12,13,14,15,16,17,18,19,20,21,22,23,24,25,26,27,28,29,30,31"</formula1>
    </dataValidation>
    <dataValidation type="list" allowBlank="1" showErrorMessage="1" sqref="D7" xr:uid="{7314D372-8E87-4FDE-A904-C1E17BC4B1EC}">
      <formula1>"1,2,3,4,5,6,7,8,9,10,11,12,13,14,15,16,17,18,19,20,21,22,23,24,25,26,27,28,29,30,31"</formula1>
    </dataValidation>
    <dataValidation type="list" allowBlank="1" showErrorMessage="1" sqref="D8" xr:uid="{AA5AC13F-0DA1-461D-A662-B2FEAE8E6BD1}">
      <formula1>"1,2,3,4,5,6,7,8,9,10,11,12,13,14,15,16,17,18,19,20,21,22,23,24,25,26,27,28,29,30,31"</formula1>
    </dataValidation>
    <dataValidation type="list" allowBlank="1" showErrorMessage="1" sqref="D9" xr:uid="{A821C48A-D846-40E6-A2DE-93808EA1C8E4}">
      <formula1>"1,2,3,4,5,6,7,8,9,10,11,12,13,14,15,16,17,18,19,20,21,22,23,24,25,26,27,28,29,30,31"</formula1>
    </dataValidation>
    <dataValidation type="list" allowBlank="1" showErrorMessage="1" sqref="D10" xr:uid="{59DA456D-0DE2-499D-B803-ED53C74FDA29}">
      <formula1>"1,2,3,4,5,6,7,8,9,10,11,12,13,14,15,16,17,18,19,20,21,22,23,24,25,26,27,28,29,30,31"</formula1>
    </dataValidation>
    <dataValidation type="list" allowBlank="1" showErrorMessage="1" sqref="D11" xr:uid="{354333E2-C779-4C80-A1B6-8631B767D1DC}">
      <formula1>"1,2,3,4,5,6,7,8,9,10,11,12,13,14,15,16,17,18,19,20,21,22,23,24,25,26,27,28,29,30,31"</formula1>
    </dataValidation>
    <dataValidation type="list" allowBlank="1" showErrorMessage="1" sqref="G4" xr:uid="{DC30B32B-D06D-4412-917B-C9B5C3F9DF04}">
      <formula1>"0,1,2,3,4,5,6,7,8,9,10,11,12,13,14,15,16,17,18,19,20,21,22,23,24,25,26,27,28,29,30,31"</formula1>
    </dataValidation>
    <dataValidation type="list" allowBlank="1" showErrorMessage="1" sqref="G5" xr:uid="{9836ACCB-34C0-416C-98AF-9AF18F98368A}">
      <formula1>"0,1,2,3,4,5,6,7,8,9,10,11,12,13,14,15,16,17,18,19,20,21,22,23,24,25,26,27,28,29,30,31"</formula1>
    </dataValidation>
    <dataValidation type="list" allowBlank="1" showErrorMessage="1" sqref="G6" xr:uid="{4E0B99CC-F4CF-4693-A614-5BA6637DADAE}">
      <formula1>"0,1,2,3,4,5,6,7,8,9,10,11,12,13,14,15,16,17,18,19,20,21,22,23,24,25,26,27,28,29,30,31"</formula1>
    </dataValidation>
    <dataValidation type="list" allowBlank="1" showErrorMessage="1" sqref="G7" xr:uid="{845B02C3-22E8-4125-B416-7E45B2A8BA78}">
      <formula1>"0,1,2,3,4,5,6,7,8,9,10,11,12,13,14,15,16,17,18,19,20,21,22,23,24,25,26,27,28,29,30,31"</formula1>
    </dataValidation>
    <dataValidation type="list" allowBlank="1" showErrorMessage="1" sqref="G8" xr:uid="{3EA603B1-2A10-4CD0-A064-47CD38307AC8}">
      <formula1>"0,1,2,3,4,5,6,7,8,9,10,11,12,13,14,15,16,17,18,19,20,21,22,23,24,25,26,27,28,29,30,31"</formula1>
    </dataValidation>
    <dataValidation type="list" allowBlank="1" showErrorMessage="1" sqref="G9" xr:uid="{58A978AC-AE57-4A57-860E-7766BC4C2681}">
      <formula1>"0,1,2,3,4,5,6,7,8,9,10,11,12,13,14,15,16,17,18,19,20,21,22,23,24,25,26,27,28,29,30,31"</formula1>
    </dataValidation>
    <dataValidation type="list" allowBlank="1" showErrorMessage="1" sqref="G10" xr:uid="{669C3910-B18E-46C7-BA14-93F86C173705}">
      <formula1>"0,1,2,3,4,5,6,7,8,9,10,11,12,13,14,15,16,17,18,19,20,21,22,23,24,25,26,27,28,29,30,31"</formula1>
    </dataValidation>
    <dataValidation type="list" allowBlank="1" showErrorMessage="1" sqref="G11" xr:uid="{3BC0FE7F-EBE7-4E03-AB9C-CCDDDDA2C08D}">
      <formula1>"0,1,2,3,4,5,6,7,8,9,10,11,12,13,14,15,16,17,18,19,20,21,22,23,24,25,26,27,28,29,30,31"</formula1>
    </dataValidation>
    <dataValidation type="list" allowBlank="1" showErrorMessage="1" sqref="H4" xr:uid="{846DC1A1-680A-492E-BC7C-AC03AC96C262}">
      <formula1>"0,1,2,3,4,5,6,7,8,9,10,11,12,13,14,15,16,17,18,19,20,21,22,23,24,25,26,27,28,29,30,31"</formula1>
    </dataValidation>
    <dataValidation type="list" allowBlank="1" showErrorMessage="1" sqref="H5" xr:uid="{E856461E-1605-4FE2-87A2-79A9E8EF14E6}">
      <formula1>"0,1,2,3,4,5,6,7,8,9,10,11,12,13,14,15,16,17,18,19,20,21,22,23,24,25,26,27,28,29,30,31"</formula1>
    </dataValidation>
    <dataValidation type="list" allowBlank="1" showErrorMessage="1" sqref="H6" xr:uid="{DFF9DFE9-5A38-4E26-BBEC-6E9CA6331F8C}">
      <formula1>"0,1,2,3,4,5,6,7,8,9,10,11,12,13,14,15,16,17,18,19,20,21,22,23,24,25,26,27,28,29,30,31"</formula1>
    </dataValidation>
    <dataValidation type="list" allowBlank="1" showErrorMessage="1" sqref="H7" xr:uid="{980EE333-8D99-40FB-8245-EA323AAF51AC}">
      <formula1>"0,1,2,3,4,5,6,7,8,9,10,11,12,13,14,15,16,17,18,19,20,21,22,23,24,25,26,27,28,29,30,31"</formula1>
    </dataValidation>
    <dataValidation type="list" allowBlank="1" showErrorMessage="1" sqref="H8" xr:uid="{8471DC5C-1B85-480F-A37C-39C981C80433}">
      <formula1>"0,1,2,3,4,5,6,7,8,9,10,11,12,13,14,15,16,17,18,19,20,21,22,23,24,25,26,27,28,29,30,31"</formula1>
    </dataValidation>
    <dataValidation type="list" allowBlank="1" showErrorMessage="1" sqref="H9" xr:uid="{CF4C7F04-BE18-4552-A07C-30C41BD29BFE}">
      <formula1>"0,1,2,3,4,5,6,7,8,9,10,11,12,13,14,15,16,17,18,19,20,21,22,23,24,25,26,27,28,29,30,31"</formula1>
    </dataValidation>
    <dataValidation type="list" allowBlank="1" showErrorMessage="1" sqref="H10" xr:uid="{D11D13EE-0DB4-47D6-8C88-4288837FF44E}">
      <formula1>"0,1,2,3,4,5,6,7,8,9,10,11,12,13,14,15,16,17,18,19,20,21,22,23,24,25,26,27,28,29,30,31"</formula1>
    </dataValidation>
    <dataValidation type="list" allowBlank="1" showErrorMessage="1" sqref="H11" xr:uid="{9FAA39E5-DE18-4B55-9760-8CE7C205F59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16932093-43A7-4B06-B0C4-940F04146E00}">
          <x14:formula1>
            <xm:f>Daten!$BA$4:$BA$22</xm:f>
          </x14:formula1>
          <xm:sqref>B4</xm:sqref>
        </x14:dataValidation>
        <x14:dataValidation type="list" allowBlank="1" showErrorMessage="1" xr:uid="{D81C6BD9-E7A8-4391-963F-C3C33EDEF858}">
          <x14:formula1>
            <xm:f>Daten!$BA$4:$BA$22</xm:f>
          </x14:formula1>
          <xm:sqref>B5</xm:sqref>
        </x14:dataValidation>
        <x14:dataValidation type="list" allowBlank="1" showErrorMessage="1" xr:uid="{29684606-1C8E-4E3D-8FC5-04C66CF18655}">
          <x14:formula1>
            <xm:f>Daten!$BA$4:$BA$22</xm:f>
          </x14:formula1>
          <xm:sqref>B6</xm:sqref>
        </x14:dataValidation>
        <x14:dataValidation type="list" allowBlank="1" showErrorMessage="1" xr:uid="{59FA7900-249B-4848-BC38-034D0551FE8B}">
          <x14:formula1>
            <xm:f>Daten!$BA$4:$BA$22</xm:f>
          </x14:formula1>
          <xm:sqref>B7</xm:sqref>
        </x14:dataValidation>
        <x14:dataValidation type="list" allowBlank="1" showErrorMessage="1" xr:uid="{2C449F9D-B00B-4381-B2BB-6281658D659B}">
          <x14:formula1>
            <xm:f>Daten!$BA$4:$BA$22</xm:f>
          </x14:formula1>
          <xm:sqref>B8</xm:sqref>
        </x14:dataValidation>
        <x14:dataValidation type="list" allowBlank="1" showErrorMessage="1" xr:uid="{2F322296-6C3A-4BEF-AA53-A56B51FCDBF1}">
          <x14:formula1>
            <xm:f>Daten!$BA$4:$BA$22</xm:f>
          </x14:formula1>
          <xm:sqref>B9</xm:sqref>
        </x14:dataValidation>
        <x14:dataValidation type="list" allowBlank="1" showErrorMessage="1" xr:uid="{2545BC64-62C0-4F2F-8409-ADA306C8943B}">
          <x14:formula1>
            <xm:f>Daten!$BA$4:$BA$22</xm:f>
          </x14:formula1>
          <xm:sqref>B10</xm:sqref>
        </x14:dataValidation>
        <x14:dataValidation type="list" allowBlank="1" showErrorMessage="1" xr:uid="{05A51F6F-6826-487F-B798-396BDDA235D8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BA1000"/>
  <sheetViews>
    <sheetView topLeftCell="P1" zoomScale="80" zoomScaleNormal="80" workbookViewId="0">
      <pane ySplit="3" topLeftCell="A4" activePane="bottomLeft" state="frozen"/>
      <selection activeCell="F1" sqref="F1"/>
      <selection pane="bottomLeft" activeCell="Y4" sqref="Y4"/>
    </sheetView>
  </sheetViews>
  <sheetFormatPr baseColWidth="10" defaultColWidth="11.453125" defaultRowHeight="14.5" x14ac:dyDescent="0.35"/>
  <cols>
    <col min="1" max="1" width="3.54296875" style="450" customWidth="1"/>
    <col min="2" max="2" width="22.453125" style="231" bestFit="1" customWidth="1"/>
    <col min="3" max="3" width="3.54296875" style="450" customWidth="1"/>
    <col min="4" max="4" width="16.1796875" style="231" hidden="1" customWidth="1"/>
    <col min="5" max="5" width="3.54296875" style="450" hidden="1" customWidth="1"/>
    <col min="6" max="6" width="9.54296875" style="445" hidden="1" customWidth="1"/>
    <col min="7" max="7" width="3.54296875" style="450" hidden="1" customWidth="1"/>
    <col min="8" max="8" width="6.54296875" style="231" hidden="1" customWidth="1"/>
    <col min="9" max="9" width="3.54296875" style="450" hidden="1" customWidth="1"/>
    <col min="10" max="10" width="38.7265625" style="231" bestFit="1" customWidth="1"/>
    <col min="11" max="11" width="12.54296875" style="445" customWidth="1"/>
    <col min="12" max="12" width="27.81640625" style="227" bestFit="1" customWidth="1"/>
    <col min="13" max="13" width="9.453125" style="445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0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5" customWidth="1"/>
    <col min="23" max="23" width="20.54296875" style="231" bestFit="1" customWidth="1"/>
    <col min="24" max="24" width="65.6328125" style="231" customWidth="1"/>
    <col min="25" max="25" width="3.453125" style="450" customWidth="1"/>
    <col min="26" max="26" width="32" style="450" hidden="1" customWidth="1"/>
    <col min="27" max="27" width="18.81640625" style="450" hidden="1" customWidth="1"/>
    <col min="28" max="28" width="23.26953125" style="450" hidden="1" customWidth="1"/>
    <col min="29" max="29" width="20.1796875" style="445" bestFit="1" customWidth="1"/>
    <col min="30" max="30" width="21.26953125" style="450" bestFit="1" customWidth="1"/>
    <col min="31" max="31" width="15.453125" style="450" hidden="1" customWidth="1"/>
    <col min="32" max="32" width="38.7265625" style="450" bestFit="1" customWidth="1"/>
    <col min="33" max="33" width="38.26953125" style="450" bestFit="1" customWidth="1"/>
    <col min="34" max="34" width="11.453125" style="450" hidden="1" customWidth="1"/>
    <col min="35" max="52" width="11.453125" style="450"/>
    <col min="53" max="53" width="0" style="450" hidden="1" customWidth="1"/>
    <col min="54" max="16384" width="11.453125" style="450"/>
  </cols>
  <sheetData>
    <row r="1" spans="1:53" ht="22" customHeight="1" x14ac:dyDescent="0.35"/>
    <row r="2" spans="1:53" ht="23.15" customHeight="1" x14ac:dyDescent="0.35">
      <c r="J2" s="522" t="s">
        <v>599</v>
      </c>
      <c r="K2" s="522"/>
      <c r="L2" s="522"/>
      <c r="M2" s="522"/>
      <c r="N2" s="522"/>
      <c r="O2" s="522"/>
      <c r="P2" s="522"/>
      <c r="R2" s="523" t="s">
        <v>600</v>
      </c>
      <c r="S2" s="524"/>
      <c r="T2" s="524"/>
      <c r="U2" s="524"/>
      <c r="V2" s="524"/>
      <c r="W2" s="524"/>
      <c r="X2" s="525"/>
    </row>
    <row r="3" spans="1:53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479</v>
      </c>
      <c r="AC3" s="384" t="s">
        <v>379</v>
      </c>
      <c r="AD3" s="384" t="s">
        <v>425</v>
      </c>
      <c r="AE3" s="384" t="s">
        <v>437</v>
      </c>
      <c r="AF3" s="384" t="s">
        <v>657</v>
      </c>
      <c r="AG3" s="384" t="s">
        <v>658</v>
      </c>
      <c r="BA3" s="450" t="s">
        <v>646</v>
      </c>
    </row>
    <row r="4" spans="1:53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452</v>
      </c>
      <c r="S4" s="383" t="s">
        <v>545</v>
      </c>
      <c r="T4" s="383" t="s">
        <v>46</v>
      </c>
      <c r="U4" s="409" t="s">
        <v>566</v>
      </c>
      <c r="V4" s="410">
        <v>1</v>
      </c>
      <c r="W4" s="409" t="s">
        <v>476</v>
      </c>
      <c r="X4" s="411" t="s">
        <v>585</v>
      </c>
      <c r="Z4" s="392" t="s">
        <v>368</v>
      </c>
      <c r="AA4" s="392">
        <v>1</v>
      </c>
      <c r="AB4" s="406" t="s">
        <v>372</v>
      </c>
      <c r="AC4" s="406" t="s">
        <v>374</v>
      </c>
      <c r="AD4" s="406" t="s">
        <v>476</v>
      </c>
      <c r="AE4" s="392">
        <v>0</v>
      </c>
      <c r="AF4" s="406" t="s">
        <v>439</v>
      </c>
      <c r="AG4" s="391" t="s">
        <v>362</v>
      </c>
      <c r="AH4" s="438"/>
      <c r="BA4" s="450" t="s">
        <v>362</v>
      </c>
    </row>
    <row r="5" spans="1:53" ht="29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453</v>
      </c>
      <c r="S5" s="382" t="s">
        <v>539</v>
      </c>
      <c r="T5" s="382" t="s">
        <v>538</v>
      </c>
      <c r="U5" s="411" t="s">
        <v>587</v>
      </c>
      <c r="V5" s="410">
        <v>2</v>
      </c>
      <c r="W5" s="409" t="s">
        <v>476</v>
      </c>
      <c r="X5" s="411" t="s">
        <v>659</v>
      </c>
      <c r="Z5" s="393" t="s">
        <v>369</v>
      </c>
      <c r="AA5" s="393">
        <v>2</v>
      </c>
      <c r="AB5" s="407" t="s">
        <v>373</v>
      </c>
      <c r="AC5" s="407" t="s">
        <v>376</v>
      </c>
      <c r="AD5" s="260" t="s">
        <v>477</v>
      </c>
      <c r="AE5" s="412"/>
      <c r="AF5" s="407" t="s">
        <v>280</v>
      </c>
      <c r="AG5" s="255" t="s">
        <v>444</v>
      </c>
      <c r="AH5" s="228"/>
      <c r="BA5" s="450" t="s">
        <v>439</v>
      </c>
    </row>
    <row r="6" spans="1:53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439</v>
      </c>
      <c r="K6" s="403" t="s">
        <v>368</v>
      </c>
      <c r="L6" s="423" t="s">
        <v>440</v>
      </c>
      <c r="M6" s="403">
        <v>2</v>
      </c>
      <c r="N6" s="402" t="s">
        <v>11</v>
      </c>
      <c r="O6" s="402" t="s">
        <v>381</v>
      </c>
      <c r="P6" s="402" t="s">
        <v>441</v>
      </c>
      <c r="R6" s="383" t="s">
        <v>454</v>
      </c>
      <c r="S6" s="383" t="s">
        <v>568</v>
      </c>
      <c r="T6" s="383" t="s">
        <v>567</v>
      </c>
      <c r="U6" s="409" t="s">
        <v>596</v>
      </c>
      <c r="V6" s="410">
        <v>2</v>
      </c>
      <c r="W6" s="409" t="s">
        <v>476</v>
      </c>
      <c r="X6" s="411" t="s">
        <v>585</v>
      </c>
      <c r="Z6" s="412"/>
      <c r="AA6" s="389">
        <v>3</v>
      </c>
      <c r="AB6" s="377"/>
      <c r="AC6" s="406" t="s">
        <v>377</v>
      </c>
      <c r="AD6" s="408" t="s">
        <v>478</v>
      </c>
      <c r="AE6" s="412"/>
      <c r="AF6" s="406" t="s">
        <v>387</v>
      </c>
      <c r="AG6" s="391" t="s">
        <v>312</v>
      </c>
      <c r="AH6" s="228"/>
      <c r="BA6" s="450" t="s">
        <v>444</v>
      </c>
    </row>
    <row r="7" spans="1:53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444</v>
      </c>
      <c r="K7" s="380" t="s">
        <v>369</v>
      </c>
      <c r="L7" s="424" t="s">
        <v>640</v>
      </c>
      <c r="M7" s="380">
        <v>5</v>
      </c>
      <c r="N7" s="378" t="s">
        <v>10</v>
      </c>
      <c r="O7" s="378" t="s">
        <v>381</v>
      </c>
      <c r="P7" s="381" t="s">
        <v>443</v>
      </c>
      <c r="R7" s="382" t="s">
        <v>455</v>
      </c>
      <c r="S7" s="382" t="s">
        <v>544</v>
      </c>
      <c r="T7" s="382" t="s">
        <v>651</v>
      </c>
      <c r="U7" s="409" t="s">
        <v>513</v>
      </c>
      <c r="V7" s="410">
        <v>3</v>
      </c>
      <c r="W7" s="409" t="s">
        <v>476</v>
      </c>
      <c r="X7" s="411" t="s">
        <v>585</v>
      </c>
      <c r="Z7" s="412"/>
      <c r="AA7" s="253">
        <v>4</v>
      </c>
      <c r="AB7" s="394"/>
      <c r="AC7" s="407" t="s">
        <v>375</v>
      </c>
      <c r="AD7" s="260" t="s">
        <v>426</v>
      </c>
      <c r="AE7" s="412"/>
      <c r="AF7" s="407" t="s">
        <v>275</v>
      </c>
      <c r="AG7" s="255" t="s">
        <v>417</v>
      </c>
      <c r="AH7" s="228"/>
      <c r="BA7" s="450" t="s">
        <v>312</v>
      </c>
    </row>
    <row r="8" spans="1:53" x14ac:dyDescent="0.35">
      <c r="B8" s="397" t="s">
        <v>473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444</v>
      </c>
      <c r="K8" s="403" t="s">
        <v>369</v>
      </c>
      <c r="L8" s="423" t="s">
        <v>641</v>
      </c>
      <c r="M8" s="403">
        <v>5</v>
      </c>
      <c r="N8" s="402" t="s">
        <v>10</v>
      </c>
      <c r="O8" s="402" t="s">
        <v>381</v>
      </c>
      <c r="P8" s="404" t="s">
        <v>443</v>
      </c>
      <c r="R8" s="383" t="s">
        <v>456</v>
      </c>
      <c r="S8" s="383" t="s">
        <v>537</v>
      </c>
      <c r="T8" s="383" t="s">
        <v>536</v>
      </c>
      <c r="U8" s="409" t="s">
        <v>586</v>
      </c>
      <c r="V8" s="410">
        <v>4</v>
      </c>
      <c r="W8" s="409" t="s">
        <v>476</v>
      </c>
      <c r="X8" s="411" t="s">
        <v>585</v>
      </c>
      <c r="Z8" s="412"/>
      <c r="AA8" s="389">
        <v>5</v>
      </c>
      <c r="AB8" s="394"/>
      <c r="AC8" s="406" t="s">
        <v>380</v>
      </c>
      <c r="AD8" s="408" t="s">
        <v>427</v>
      </c>
      <c r="AE8" s="412"/>
      <c r="AF8" s="406" t="s">
        <v>278</v>
      </c>
      <c r="AG8" s="391" t="s">
        <v>360</v>
      </c>
      <c r="AH8" s="228"/>
      <c r="BA8" s="450" t="s">
        <v>417</v>
      </c>
    </row>
    <row r="9" spans="1:53" x14ac:dyDescent="0.35">
      <c r="B9" s="398" t="s">
        <v>474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444</v>
      </c>
      <c r="K9" s="380" t="s">
        <v>369</v>
      </c>
      <c r="L9" s="424" t="s">
        <v>442</v>
      </c>
      <c r="M9" s="380">
        <v>2</v>
      </c>
      <c r="N9" s="378" t="s">
        <v>10</v>
      </c>
      <c r="O9" s="378" t="s">
        <v>381</v>
      </c>
      <c r="P9" s="381" t="s">
        <v>443</v>
      </c>
      <c r="R9" s="382" t="s">
        <v>458</v>
      </c>
      <c r="S9" s="382" t="s">
        <v>560</v>
      </c>
      <c r="T9" s="382" t="s">
        <v>559</v>
      </c>
      <c r="U9" s="409" t="s">
        <v>595</v>
      </c>
      <c r="V9" s="410">
        <v>5</v>
      </c>
      <c r="W9" s="409" t="s">
        <v>477</v>
      </c>
      <c r="X9" s="411" t="s">
        <v>660</v>
      </c>
      <c r="Z9" s="412"/>
      <c r="AA9" s="253">
        <v>6</v>
      </c>
      <c r="AB9" s="394"/>
      <c r="AC9" s="407" t="s">
        <v>381</v>
      </c>
      <c r="AD9" s="260" t="s">
        <v>428</v>
      </c>
      <c r="AE9" s="412"/>
      <c r="AF9" s="407" t="s">
        <v>282</v>
      </c>
      <c r="AG9" s="255" t="s">
        <v>424</v>
      </c>
      <c r="AH9" s="228"/>
      <c r="BA9" s="450" t="s">
        <v>360</v>
      </c>
    </row>
    <row r="10" spans="1:53" x14ac:dyDescent="0.35">
      <c r="B10" s="397" t="s">
        <v>450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554</v>
      </c>
      <c r="T10" s="383" t="s">
        <v>553</v>
      </c>
      <c r="U10" s="409" t="s">
        <v>593</v>
      </c>
      <c r="V10" s="410">
        <v>5</v>
      </c>
      <c r="W10" s="409" t="s">
        <v>476</v>
      </c>
      <c r="X10" s="411" t="s">
        <v>585</v>
      </c>
      <c r="Z10" s="412"/>
      <c r="AA10" s="389">
        <v>7</v>
      </c>
      <c r="AB10" s="394"/>
      <c r="AC10" s="377"/>
      <c r="AD10" s="408" t="s">
        <v>597</v>
      </c>
      <c r="AE10" s="412"/>
      <c r="AF10" s="406" t="s">
        <v>391</v>
      </c>
      <c r="AG10" s="391" t="s">
        <v>408</v>
      </c>
      <c r="AH10" s="228"/>
      <c r="BA10" s="450" t="s">
        <v>424</v>
      </c>
    </row>
    <row r="11" spans="1:53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459</v>
      </c>
      <c r="S11" s="382" t="s">
        <v>552</v>
      </c>
      <c r="T11" s="382" t="s">
        <v>45</v>
      </c>
      <c r="U11" s="409" t="s">
        <v>565</v>
      </c>
      <c r="V11" s="410">
        <v>6</v>
      </c>
      <c r="W11" s="409" t="s">
        <v>476</v>
      </c>
      <c r="X11" s="411" t="s">
        <v>585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624</v>
      </c>
      <c r="AG11" s="255" t="s">
        <v>412</v>
      </c>
      <c r="AH11" s="228"/>
      <c r="BA11" s="450" t="s">
        <v>408</v>
      </c>
    </row>
    <row r="12" spans="1:53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460</v>
      </c>
      <c r="S12" s="383" t="s">
        <v>547</v>
      </c>
      <c r="T12" s="383" t="s">
        <v>546</v>
      </c>
      <c r="U12" s="409" t="s">
        <v>590</v>
      </c>
      <c r="V12" s="410">
        <v>7</v>
      </c>
      <c r="W12" s="409" t="s">
        <v>476</v>
      </c>
      <c r="X12" s="411" t="s">
        <v>585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228"/>
      <c r="BA12" s="450" t="s">
        <v>412</v>
      </c>
    </row>
    <row r="13" spans="1:53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462</v>
      </c>
      <c r="S13" s="382" t="s">
        <v>549</v>
      </c>
      <c r="T13" s="382" t="s">
        <v>548</v>
      </c>
      <c r="U13" s="409" t="s">
        <v>591</v>
      </c>
      <c r="V13" s="410">
        <v>8</v>
      </c>
      <c r="W13" s="409" t="s">
        <v>476</v>
      </c>
      <c r="X13" s="411" t="s">
        <v>585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228"/>
      <c r="BA13" s="450" t="s">
        <v>395</v>
      </c>
    </row>
    <row r="14" spans="1:53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 t="s">
        <v>464</v>
      </c>
      <c r="S14" s="383" t="s">
        <v>542</v>
      </c>
      <c r="T14" s="383" t="s">
        <v>44</v>
      </c>
      <c r="U14" s="409" t="s">
        <v>589</v>
      </c>
      <c r="V14" s="410">
        <v>9</v>
      </c>
      <c r="W14" s="409" t="s">
        <v>476</v>
      </c>
      <c r="X14" s="411" t="s">
        <v>585</v>
      </c>
      <c r="Z14" s="412"/>
      <c r="AA14" s="412"/>
      <c r="AB14" s="394"/>
      <c r="AC14" s="394"/>
      <c r="AD14" s="394"/>
      <c r="AE14" s="412"/>
      <c r="AF14" s="377"/>
      <c r="AG14" s="391" t="s">
        <v>423</v>
      </c>
      <c r="AH14" s="228"/>
      <c r="BA14" s="450" t="s">
        <v>363</v>
      </c>
    </row>
    <row r="15" spans="1:53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627</v>
      </c>
      <c r="S15" s="382" t="s">
        <v>570</v>
      </c>
      <c r="T15" s="382" t="s">
        <v>569</v>
      </c>
      <c r="U15" s="415" t="s">
        <v>569</v>
      </c>
      <c r="V15" s="414">
        <v>10</v>
      </c>
      <c r="W15" s="415" t="s">
        <v>478</v>
      </c>
      <c r="X15" s="413" t="s">
        <v>661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228"/>
      <c r="BA15" s="450" t="s">
        <v>624</v>
      </c>
    </row>
    <row r="16" spans="1:53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465</v>
      </c>
      <c r="S16" s="383" t="s">
        <v>551</v>
      </c>
      <c r="T16" s="383" t="s">
        <v>550</v>
      </c>
      <c r="U16" s="409" t="s">
        <v>592</v>
      </c>
      <c r="V16" s="410">
        <v>10</v>
      </c>
      <c r="W16" s="409" t="s">
        <v>476</v>
      </c>
      <c r="X16" s="411" t="s">
        <v>585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228"/>
      <c r="BA16" s="450" t="s">
        <v>423</v>
      </c>
    </row>
    <row r="17" spans="2:53" ht="29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601</v>
      </c>
      <c r="S17" s="382" t="s">
        <v>543</v>
      </c>
      <c r="T17" s="382" t="s">
        <v>573</v>
      </c>
      <c r="U17" s="411" t="s">
        <v>602</v>
      </c>
      <c r="V17" s="410">
        <v>11</v>
      </c>
      <c r="W17" s="409" t="s">
        <v>476</v>
      </c>
      <c r="X17" s="411" t="s">
        <v>609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228"/>
      <c r="BA17" s="450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469</v>
      </c>
      <c r="S18" s="383" t="s">
        <v>530</v>
      </c>
      <c r="T18" s="383" t="s">
        <v>529</v>
      </c>
      <c r="U18" s="409" t="s">
        <v>584</v>
      </c>
      <c r="V18" s="410">
        <v>12</v>
      </c>
      <c r="W18" s="409" t="s">
        <v>476</v>
      </c>
      <c r="X18" s="411" t="s">
        <v>585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228"/>
      <c r="BA18" s="450" t="s">
        <v>361</v>
      </c>
    </row>
    <row r="19" spans="2:53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470</v>
      </c>
      <c r="S19" s="382" t="s">
        <v>558</v>
      </c>
      <c r="T19" s="382" t="s">
        <v>557</v>
      </c>
      <c r="U19" s="409" t="s">
        <v>594</v>
      </c>
      <c r="V19" s="410">
        <v>12</v>
      </c>
      <c r="W19" s="409" t="s">
        <v>476</v>
      </c>
      <c r="X19" s="411" t="s">
        <v>585</v>
      </c>
      <c r="Z19" s="412"/>
      <c r="AA19" s="412"/>
      <c r="AB19" s="394"/>
      <c r="AC19" s="394"/>
      <c r="AD19" s="394"/>
      <c r="AE19" s="412"/>
      <c r="AF19" s="394"/>
      <c r="AG19" s="412"/>
      <c r="AH19" s="228"/>
      <c r="BA19" s="450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471</v>
      </c>
      <c r="S20" s="383" t="s">
        <v>556</v>
      </c>
      <c r="T20" s="383" t="s">
        <v>555</v>
      </c>
      <c r="U20" s="409" t="s">
        <v>355</v>
      </c>
      <c r="V20" s="410" t="s">
        <v>616</v>
      </c>
      <c r="W20" s="409" t="s">
        <v>476</v>
      </c>
      <c r="X20" s="411" t="s">
        <v>585</v>
      </c>
      <c r="Z20" s="412"/>
      <c r="AA20" s="412"/>
      <c r="AB20" s="394"/>
      <c r="AC20" s="394"/>
      <c r="AD20" s="394"/>
      <c r="AE20" s="412"/>
      <c r="AF20" s="394"/>
      <c r="AG20" s="412"/>
      <c r="AH20" s="228"/>
      <c r="BA20" s="450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625</v>
      </c>
      <c r="S21" s="382" t="s">
        <v>535</v>
      </c>
      <c r="T21" s="382" t="s">
        <v>534</v>
      </c>
      <c r="U21" s="409" t="s">
        <v>534</v>
      </c>
      <c r="V21" s="410"/>
      <c r="W21" s="409" t="s">
        <v>427</v>
      </c>
      <c r="X21" s="411" t="s">
        <v>608</v>
      </c>
      <c r="Z21" s="412"/>
      <c r="AA21" s="412"/>
      <c r="AB21" s="394"/>
      <c r="AC21" s="394"/>
      <c r="AD21" s="394"/>
      <c r="AE21" s="412"/>
      <c r="AF21" s="394"/>
      <c r="AG21" s="412"/>
      <c r="AH21" s="228"/>
      <c r="BA21" s="450" t="s">
        <v>431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626</v>
      </c>
      <c r="S22" s="383" t="s">
        <v>541</v>
      </c>
      <c r="T22" s="383" t="s">
        <v>583</v>
      </c>
      <c r="U22" s="409" t="s">
        <v>583</v>
      </c>
      <c r="V22" s="410"/>
      <c r="W22" s="409" t="s">
        <v>427</v>
      </c>
      <c r="X22" s="411" t="s">
        <v>611</v>
      </c>
      <c r="Z22" s="412"/>
      <c r="AA22" s="412"/>
      <c r="AB22" s="394"/>
      <c r="AC22" s="394"/>
      <c r="AD22" s="394"/>
      <c r="AE22" s="412"/>
      <c r="AF22" s="394"/>
      <c r="AG22" s="412"/>
      <c r="AH22" s="228"/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628</v>
      </c>
      <c r="S23" s="382" t="s">
        <v>562</v>
      </c>
      <c r="T23" s="382" t="s">
        <v>561</v>
      </c>
      <c r="U23" s="409" t="s">
        <v>561</v>
      </c>
      <c r="V23" s="410"/>
      <c r="W23" s="409" t="s">
        <v>427</v>
      </c>
      <c r="X23" s="411" t="s">
        <v>612</v>
      </c>
      <c r="Z23" s="412"/>
      <c r="AA23" s="412"/>
      <c r="AB23" s="394"/>
      <c r="AC23" s="394"/>
      <c r="AD23" s="394"/>
      <c r="AE23" s="412"/>
      <c r="AF23" s="394"/>
      <c r="AG23" s="412"/>
      <c r="AH23" s="228"/>
    </row>
    <row r="24" spans="2:53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629</v>
      </c>
      <c r="S24" s="383" t="s">
        <v>533</v>
      </c>
      <c r="T24" s="383" t="s">
        <v>581</v>
      </c>
      <c r="U24" s="409" t="s">
        <v>581</v>
      </c>
      <c r="V24" s="410"/>
      <c r="W24" s="409" t="s">
        <v>427</v>
      </c>
      <c r="X24" s="411" t="s">
        <v>607</v>
      </c>
      <c r="Z24" s="412"/>
      <c r="AA24" s="412"/>
      <c r="AB24" s="394"/>
      <c r="AC24" s="394"/>
      <c r="AD24" s="394"/>
      <c r="AE24" s="412"/>
      <c r="AF24" s="394"/>
      <c r="AG24" s="412"/>
      <c r="AH24" s="228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632</v>
      </c>
      <c r="S25" s="382" t="s">
        <v>540</v>
      </c>
      <c r="T25" s="382" t="s">
        <v>582</v>
      </c>
      <c r="U25" s="409" t="s">
        <v>588</v>
      </c>
      <c r="V25" s="410"/>
      <c r="W25" s="409" t="s">
        <v>427</v>
      </c>
      <c r="X25" s="411" t="s">
        <v>610</v>
      </c>
      <c r="Z25" s="412"/>
      <c r="AA25" s="412"/>
      <c r="AB25" s="394"/>
      <c r="AC25" s="394"/>
      <c r="AD25" s="394"/>
      <c r="AE25" s="412"/>
      <c r="AF25" s="394"/>
      <c r="AG25" s="412"/>
      <c r="AH25" s="228"/>
    </row>
    <row r="26" spans="2:53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634</v>
      </c>
      <c r="S26" s="383" t="s">
        <v>572</v>
      </c>
      <c r="T26" s="383" t="s">
        <v>571</v>
      </c>
      <c r="U26" s="409" t="s">
        <v>571</v>
      </c>
      <c r="V26" s="410"/>
      <c r="W26" s="409" t="s">
        <v>427</v>
      </c>
      <c r="X26" s="411" t="s">
        <v>613</v>
      </c>
      <c r="Z26" s="412"/>
      <c r="AA26" s="412"/>
      <c r="AB26" s="394"/>
      <c r="AC26" s="394"/>
      <c r="AD26" s="394"/>
      <c r="AE26" s="412"/>
      <c r="AF26" s="394"/>
      <c r="AG26" s="412"/>
      <c r="AH26" s="228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635</v>
      </c>
      <c r="S27" s="382" t="s">
        <v>575</v>
      </c>
      <c r="T27" s="382" t="s">
        <v>574</v>
      </c>
      <c r="U27" s="409" t="s">
        <v>605</v>
      </c>
      <c r="V27" s="410"/>
      <c r="W27" s="409" t="s">
        <v>427</v>
      </c>
      <c r="X27" s="411" t="s">
        <v>615</v>
      </c>
      <c r="Z27" s="412"/>
      <c r="AA27" s="412"/>
      <c r="AB27" s="394"/>
      <c r="AC27" s="394"/>
      <c r="AD27" s="394"/>
      <c r="AE27" s="412"/>
      <c r="AF27" s="394"/>
      <c r="AG27" s="412"/>
      <c r="AH27" s="228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636</v>
      </c>
      <c r="S28" s="383" t="s">
        <v>532</v>
      </c>
      <c r="T28" s="383" t="s">
        <v>531</v>
      </c>
      <c r="U28" s="409" t="s">
        <v>531</v>
      </c>
      <c r="V28" s="410"/>
      <c r="W28" s="409" t="s">
        <v>427</v>
      </c>
      <c r="X28" s="411" t="s">
        <v>606</v>
      </c>
      <c r="Z28" s="412"/>
      <c r="AA28" s="412"/>
      <c r="AB28" s="394"/>
      <c r="AC28" s="394"/>
      <c r="AD28" s="394"/>
      <c r="AE28" s="412"/>
      <c r="AF28" s="394"/>
      <c r="AG28" s="412"/>
      <c r="AH28" s="228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630</v>
      </c>
      <c r="S29" s="382">
        <v>0</v>
      </c>
      <c r="T29" s="382" t="s">
        <v>578</v>
      </c>
      <c r="U29" s="409" t="s">
        <v>614</v>
      </c>
      <c r="V29" s="410"/>
      <c r="W29" s="409" t="s">
        <v>428</v>
      </c>
      <c r="X29" s="411" t="s">
        <v>603</v>
      </c>
      <c r="Z29" s="412"/>
      <c r="AA29" s="412"/>
      <c r="AB29" s="394"/>
      <c r="AC29" s="394"/>
      <c r="AD29" s="394"/>
      <c r="AE29" s="412"/>
      <c r="AF29" s="394"/>
      <c r="AG29" s="412"/>
      <c r="AH29" s="228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631</v>
      </c>
      <c r="S30" s="383">
        <v>3529000972</v>
      </c>
      <c r="T30" s="383"/>
      <c r="U30" s="409" t="s">
        <v>614</v>
      </c>
      <c r="V30" s="410"/>
      <c r="W30" s="409" t="s">
        <v>428</v>
      </c>
      <c r="X30" s="411" t="s">
        <v>604</v>
      </c>
      <c r="Z30" s="412"/>
      <c r="AA30" s="412"/>
      <c r="AB30" s="394"/>
      <c r="AC30" s="394"/>
      <c r="AD30" s="394"/>
      <c r="AE30" s="412"/>
      <c r="AF30" s="394"/>
      <c r="AG30" s="412"/>
      <c r="AH30" s="228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633</v>
      </c>
      <c r="S31" s="382" t="s">
        <v>577</v>
      </c>
      <c r="T31" s="382" t="s">
        <v>576</v>
      </c>
      <c r="U31" s="409" t="s">
        <v>576</v>
      </c>
      <c r="V31" s="410"/>
      <c r="W31" s="409" t="s">
        <v>597</v>
      </c>
      <c r="X31" s="411" t="s">
        <v>598</v>
      </c>
      <c r="Z31" s="412"/>
      <c r="AA31" s="412"/>
      <c r="AB31" s="394"/>
      <c r="AC31" s="394"/>
      <c r="AD31" s="394"/>
      <c r="AE31" s="412"/>
      <c r="AF31" s="394"/>
      <c r="AG31" s="412"/>
      <c r="AH31" s="228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643</v>
      </c>
      <c r="S32" s="383" t="s">
        <v>564</v>
      </c>
      <c r="T32" s="383" t="s">
        <v>563</v>
      </c>
      <c r="U32" s="409" t="s">
        <v>563</v>
      </c>
      <c r="V32" s="410"/>
      <c r="W32" s="409" t="s">
        <v>597</v>
      </c>
      <c r="X32" s="411" t="s">
        <v>644</v>
      </c>
      <c r="Z32" s="412"/>
      <c r="AA32" s="412"/>
      <c r="AB32" s="394"/>
      <c r="AC32" s="394"/>
      <c r="AD32" s="394"/>
      <c r="AE32" s="412"/>
      <c r="AF32" s="394"/>
      <c r="AG32" s="412"/>
      <c r="AH32" s="228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222"/>
      <c r="S33" s="222"/>
      <c r="T33" s="222"/>
      <c r="U33" s="222"/>
      <c r="V33" s="222"/>
      <c r="W33" s="222"/>
      <c r="X33" s="222"/>
      <c r="Z33" s="412"/>
      <c r="AA33" s="412"/>
      <c r="AB33" s="394"/>
      <c r="AC33" s="394"/>
      <c r="AD33" s="394"/>
      <c r="AE33" s="412"/>
      <c r="AF33" s="394"/>
      <c r="AG33" s="412"/>
      <c r="AH33" s="228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405"/>
      <c r="S34" s="405"/>
      <c r="T34" s="405"/>
      <c r="U34" s="405"/>
      <c r="V34" s="405"/>
      <c r="W34" s="405"/>
      <c r="X34" s="405"/>
      <c r="Z34" s="412"/>
      <c r="AA34" s="412"/>
      <c r="AB34" s="394"/>
      <c r="AC34" s="394"/>
      <c r="AD34" s="394"/>
      <c r="AE34" s="412"/>
      <c r="AF34" s="394"/>
      <c r="AG34" s="412"/>
      <c r="AH34" s="228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405"/>
      <c r="S35" s="405"/>
      <c r="T35" s="405"/>
      <c r="U35" s="405"/>
      <c r="V35" s="405"/>
      <c r="W35" s="405"/>
      <c r="X35" s="405"/>
      <c r="Z35" s="412"/>
      <c r="AA35" s="412"/>
      <c r="AB35" s="394"/>
      <c r="AC35" s="394"/>
      <c r="AD35" s="394"/>
      <c r="AE35" s="412"/>
      <c r="AF35" s="394"/>
      <c r="AG35" s="412"/>
      <c r="AH35" s="228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405"/>
      <c r="S36" s="405"/>
      <c r="T36" s="405"/>
      <c r="U36" s="405"/>
      <c r="V36" s="405"/>
      <c r="W36" s="405"/>
      <c r="X36" s="405"/>
      <c r="Z36" s="412"/>
      <c r="AA36" s="412"/>
      <c r="AB36" s="394"/>
      <c r="AC36" s="394"/>
      <c r="AD36" s="394"/>
      <c r="AE36" s="412"/>
      <c r="AF36" s="394"/>
      <c r="AG36" s="412"/>
      <c r="AH36" s="228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405"/>
      <c r="S37" s="405"/>
      <c r="T37" s="405"/>
      <c r="U37" s="405"/>
      <c r="V37" s="405"/>
      <c r="W37" s="405"/>
      <c r="X37" s="405"/>
      <c r="Z37" s="412"/>
      <c r="AA37" s="412"/>
      <c r="AB37" s="394"/>
      <c r="AC37" s="394"/>
      <c r="AD37" s="394"/>
      <c r="AE37" s="412"/>
      <c r="AF37" s="394"/>
      <c r="AG37" s="412"/>
      <c r="AH37" s="228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405"/>
      <c r="S38" s="405"/>
      <c r="T38" s="405"/>
      <c r="U38" s="405"/>
      <c r="V38" s="405"/>
      <c r="W38" s="405"/>
      <c r="X38" s="405"/>
      <c r="Z38" s="412"/>
      <c r="AA38" s="412"/>
      <c r="AB38" s="394"/>
      <c r="AC38" s="394"/>
      <c r="AD38" s="394"/>
      <c r="AE38" s="412"/>
      <c r="AF38" s="394"/>
      <c r="AG38" s="412"/>
      <c r="AH38" s="228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405"/>
      <c r="S39" s="405"/>
      <c r="T39" s="405"/>
      <c r="U39" s="405"/>
      <c r="V39" s="405"/>
      <c r="W39" s="405"/>
      <c r="X39" s="405"/>
      <c r="Z39" s="412"/>
      <c r="AA39" s="412"/>
      <c r="AB39" s="394"/>
      <c r="AC39" s="394"/>
      <c r="AD39" s="394"/>
      <c r="AE39" s="412"/>
      <c r="AF39" s="394"/>
      <c r="AG39" s="412"/>
      <c r="AH39" s="228"/>
    </row>
    <row r="40" spans="2:34" ht="29" x14ac:dyDescent="0.35">
      <c r="B40" s="395"/>
      <c r="D40" s="395"/>
      <c r="F40" s="396"/>
      <c r="H40" s="395"/>
      <c r="J40" s="402" t="s">
        <v>624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405"/>
      <c r="S40" s="405"/>
      <c r="T40" s="405"/>
      <c r="U40" s="405"/>
      <c r="V40" s="405"/>
      <c r="W40" s="405"/>
      <c r="X40" s="405"/>
      <c r="Z40" s="412"/>
      <c r="AA40" s="412"/>
      <c r="AB40" s="394"/>
      <c r="AC40" s="394"/>
      <c r="AD40" s="394"/>
      <c r="AE40" s="412"/>
      <c r="AF40" s="394"/>
      <c r="AG40" s="412"/>
      <c r="AH40" s="228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580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228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228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579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228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637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228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638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228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639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228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228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228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228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228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228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228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228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228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</row>
    <row r="60" spans="2:34" x14ac:dyDescent="0.35">
      <c r="B60" s="395"/>
      <c r="D60" s="405"/>
      <c r="F60" s="396"/>
      <c r="J60" s="402" t="s">
        <v>431</v>
      </c>
      <c r="K60" s="403" t="s">
        <v>369</v>
      </c>
      <c r="L60" s="423" t="s">
        <v>407</v>
      </c>
      <c r="M60" s="403">
        <v>1</v>
      </c>
      <c r="N60" s="402" t="s">
        <v>10</v>
      </c>
      <c r="O60" s="402" t="s">
        <v>374</v>
      </c>
      <c r="P60" s="404" t="s">
        <v>406</v>
      </c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</row>
    <row r="61" spans="2:34" x14ac:dyDescent="0.35">
      <c r="B61" s="395"/>
      <c r="F61" s="396"/>
      <c r="J61" s="378" t="s">
        <v>431</v>
      </c>
      <c r="K61" s="380" t="s">
        <v>369</v>
      </c>
      <c r="L61" s="424" t="s">
        <v>153</v>
      </c>
      <c r="M61" s="380">
        <v>6</v>
      </c>
      <c r="N61" s="378" t="s">
        <v>10</v>
      </c>
      <c r="O61" s="378" t="s">
        <v>374</v>
      </c>
      <c r="P61" s="381" t="s">
        <v>406</v>
      </c>
      <c r="R61" s="405"/>
      <c r="S61" s="405"/>
      <c r="T61" s="405"/>
      <c r="U61" s="405"/>
      <c r="V61" s="405"/>
      <c r="W61" s="405"/>
      <c r="X61" s="405"/>
      <c r="AA61" s="412"/>
      <c r="AC61" s="450"/>
      <c r="AD61" s="394"/>
      <c r="AF61" s="394"/>
      <c r="AG61" s="412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167</v>
      </c>
      <c r="M62" s="403">
        <v>2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50"/>
      <c r="AD62" s="228"/>
      <c r="AF62" s="394"/>
      <c r="AG62" s="412"/>
    </row>
    <row r="63" spans="2:34" x14ac:dyDescent="0.35">
      <c r="B63" s="395"/>
      <c r="F63" s="396"/>
      <c r="J63" s="376"/>
      <c r="K63" s="379"/>
      <c r="L63" s="376"/>
      <c r="M63" s="379"/>
      <c r="N63" s="376"/>
      <c r="O63" s="376"/>
      <c r="P63" s="376"/>
      <c r="R63" s="405"/>
      <c r="S63" s="405"/>
      <c r="T63" s="405"/>
      <c r="U63" s="405"/>
      <c r="V63" s="405"/>
      <c r="W63" s="405"/>
      <c r="X63" s="405"/>
      <c r="AA63" s="412"/>
      <c r="AC63" s="450"/>
      <c r="AF63" s="394"/>
      <c r="AG63" s="412"/>
    </row>
    <row r="64" spans="2:34" x14ac:dyDescent="0.35">
      <c r="F64" s="396"/>
      <c r="J64" s="395"/>
      <c r="K64" s="396"/>
      <c r="L64" s="395"/>
      <c r="M64" s="396"/>
      <c r="N64" s="395"/>
      <c r="O64" s="395"/>
      <c r="P64" s="395"/>
      <c r="R64" s="405"/>
      <c r="S64" s="405"/>
      <c r="T64" s="405"/>
      <c r="U64" s="405"/>
      <c r="V64" s="405"/>
      <c r="W64" s="405"/>
      <c r="X64" s="405"/>
      <c r="AC64" s="450"/>
      <c r="AF64" s="394"/>
      <c r="AG64" s="412"/>
    </row>
    <row r="65" spans="6:33" x14ac:dyDescent="0.35">
      <c r="F65" s="396"/>
      <c r="J65" s="395"/>
      <c r="K65" s="396"/>
      <c r="L65" s="395"/>
      <c r="M65" s="396"/>
      <c r="N65" s="395"/>
      <c r="O65" s="395"/>
      <c r="P65" s="395"/>
      <c r="R65" s="405"/>
      <c r="S65" s="405"/>
      <c r="T65" s="405"/>
      <c r="U65" s="405"/>
      <c r="V65" s="405"/>
      <c r="W65" s="405"/>
      <c r="X65" s="405"/>
      <c r="AC65" s="450"/>
      <c r="AF65" s="394"/>
      <c r="AG65" s="412"/>
    </row>
    <row r="66" spans="6:33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50"/>
      <c r="AF66" s="394"/>
      <c r="AG66" s="412"/>
    </row>
    <row r="67" spans="6:33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50"/>
      <c r="AF67" s="228"/>
      <c r="AG67" s="412"/>
    </row>
    <row r="68" spans="6:33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50"/>
      <c r="AG68" s="412"/>
    </row>
    <row r="69" spans="6:33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50"/>
    </row>
    <row r="70" spans="6:33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50"/>
    </row>
    <row r="71" spans="6:33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50"/>
    </row>
    <row r="72" spans="6:33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50"/>
    </row>
    <row r="73" spans="6:33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50"/>
    </row>
    <row r="74" spans="6:33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50"/>
    </row>
    <row r="75" spans="6:33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50"/>
    </row>
    <row r="76" spans="6:33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50"/>
    </row>
    <row r="77" spans="6:33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50"/>
    </row>
    <row r="78" spans="6:33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50"/>
    </row>
    <row r="79" spans="6:33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50"/>
    </row>
    <row r="80" spans="6:33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50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50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50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50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50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50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50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50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50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50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50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50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50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50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50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50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50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50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50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50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50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50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50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50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50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50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50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50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50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50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50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50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50"/>
    </row>
    <row r="113" spans="10:29" x14ac:dyDescent="0.35">
      <c r="J113" s="405"/>
      <c r="K113" s="401"/>
      <c r="L113" s="405"/>
      <c r="M113" s="401"/>
      <c r="N113" s="405"/>
      <c r="O113" s="405"/>
      <c r="P113" s="405"/>
      <c r="R113" s="405"/>
      <c r="S113" s="405"/>
      <c r="T113" s="405"/>
      <c r="U113" s="405"/>
      <c r="V113" s="405"/>
      <c r="W113" s="405"/>
      <c r="X113" s="405"/>
      <c r="AC113" s="450"/>
    </row>
    <row r="114" spans="10:29" x14ac:dyDescent="0.35">
      <c r="L114" s="231"/>
      <c r="R114" s="405"/>
      <c r="S114" s="405"/>
      <c r="T114" s="405"/>
      <c r="U114" s="405"/>
      <c r="V114" s="405"/>
      <c r="W114" s="405"/>
      <c r="X114" s="405"/>
      <c r="AC114" s="450"/>
    </row>
    <row r="115" spans="10:29" x14ac:dyDescent="0.35">
      <c r="L115" s="231"/>
      <c r="R115" s="405"/>
      <c r="S115" s="405"/>
      <c r="T115" s="405"/>
      <c r="U115" s="405"/>
      <c r="V115" s="405"/>
      <c r="W115" s="405"/>
      <c r="X115" s="405"/>
      <c r="AC115" s="450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50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50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50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50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50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50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50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50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50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50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50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50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50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50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50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50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50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50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50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50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50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50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50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50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6454016F-92E6-4123-B9B2-3C9DA8091747}">
      <formula1>"E,A"</formula1>
    </dataValidation>
    <dataValidation type="list" errorStyle="warning" allowBlank="1" showErrorMessage="1" sqref="M63" xr:uid="{9B4FFD75-AFA1-48D4-9C02-BC8289651178}">
      <formula1>$AA$4:$AA$13</formula1>
    </dataValidation>
    <dataValidation type="list" errorStyle="warning" allowBlank="1" showErrorMessage="1" sqref="O63" xr:uid="{D63C850C-9988-428F-9008-2B7F7084E93E}">
      <formula1>$AC$4:$AC$9</formula1>
    </dataValidation>
    <dataValidation type="list" errorStyle="warning" allowBlank="1" showErrorMessage="1" sqref="W33" xr:uid="{4E220487-3BDD-4C4D-B7CB-DE0C44C7955F}">
      <formula1>$AD$4:$AD$11</formula1>
    </dataValidation>
    <dataValidation type="list" errorStyle="warning" allowBlank="1" showErrorMessage="1" sqref="W4" xr:uid="{5DDB5ADB-6739-4C75-99DE-9CABAD399C63}">
      <formula1>$AD$4:$AD$11</formula1>
    </dataValidation>
    <dataValidation type="list" errorStyle="warning" allowBlank="1" showErrorMessage="1" sqref="W5" xr:uid="{DCEBADA4-733D-4343-BDD7-963DA8AFA9AD}">
      <formula1>$AD$4:$AD$11</formula1>
    </dataValidation>
    <dataValidation type="list" errorStyle="warning" allowBlank="1" showErrorMessage="1" sqref="W6" xr:uid="{7D29E404-DC59-483B-9653-6088E2414B91}">
      <formula1>$AD$4:$AD$11</formula1>
    </dataValidation>
    <dataValidation type="list" errorStyle="warning" allowBlank="1" showErrorMessage="1" sqref="W7" xr:uid="{24899D22-FC12-4551-888B-4FA53ABDCC04}">
      <formula1>$AD$4:$AD$11</formula1>
    </dataValidation>
    <dataValidation type="list" errorStyle="warning" allowBlank="1" showErrorMessage="1" sqref="W8" xr:uid="{267F4924-C3D8-4A85-9D08-C9B7BFFB501E}">
      <formula1>$AD$4:$AD$11</formula1>
    </dataValidation>
    <dataValidation type="list" errorStyle="warning" allowBlank="1" showErrorMessage="1" sqref="W9" xr:uid="{1F7B5E0D-8738-4205-9E49-10C7665AA11C}">
      <formula1>$AD$4:$AD$11</formula1>
    </dataValidation>
    <dataValidation type="list" errorStyle="warning" allowBlank="1" showErrorMessage="1" sqref="W10" xr:uid="{CEC1021E-607E-442C-8AEA-95526D13DB6C}">
      <formula1>$AD$4:$AD$11</formula1>
    </dataValidation>
    <dataValidation type="list" errorStyle="warning" allowBlank="1" showErrorMessage="1" sqref="W11" xr:uid="{04B786EF-D32B-4867-BF71-7BB6A3B9008E}">
      <formula1>$AD$4:$AD$11</formula1>
    </dataValidation>
    <dataValidation type="list" errorStyle="warning" allowBlank="1" showErrorMessage="1" sqref="W12" xr:uid="{45B903F7-5AF2-40A0-9FE0-4CC3A848CC46}">
      <formula1>$AD$4:$AD$11</formula1>
    </dataValidation>
    <dataValidation type="list" errorStyle="warning" allowBlank="1" showErrorMessage="1" sqref="W13" xr:uid="{3741A9B2-C85F-469E-B772-5B9DE2A95954}">
      <formula1>$AD$4:$AD$11</formula1>
    </dataValidation>
    <dataValidation type="list" errorStyle="warning" allowBlank="1" showErrorMessage="1" sqref="W14" xr:uid="{9A4C011E-518C-4224-BB30-2A005C386D7D}">
      <formula1>$AD$4:$AD$11</formula1>
    </dataValidation>
    <dataValidation type="list" errorStyle="warning" allowBlank="1" showErrorMessage="1" sqref="W15" xr:uid="{8B9EA09F-F88B-4D75-96CF-6F73A0818657}">
      <formula1>$AD$4:$AD$11</formula1>
    </dataValidation>
    <dataValidation type="list" errorStyle="warning" allowBlank="1" showErrorMessage="1" sqref="V15" xr:uid="{4A1656A2-947E-4A70-BA1F-05CB96D99C14}">
      <formula1>$F$4:$F$18</formula1>
    </dataValidation>
    <dataValidation type="list" errorStyle="warning" allowBlank="1" showErrorMessage="1" sqref="W16" xr:uid="{CB1D5F1E-E969-4BD1-A9A6-F7E304B29D52}">
      <formula1>$AD$4:$AD$11</formula1>
    </dataValidation>
    <dataValidation type="list" errorStyle="warning" allowBlank="1" showErrorMessage="1" sqref="W17" xr:uid="{7A37ADA0-34BD-402C-A101-8911CDD2EC57}">
      <formula1>$AD$4:$AD$11</formula1>
    </dataValidation>
    <dataValidation type="list" errorStyle="warning" allowBlank="1" showErrorMessage="1" sqref="W18" xr:uid="{2AAED562-3B7F-4C2B-9E53-F200C4C31F4B}">
      <formula1>$AD$4:$AD$11</formula1>
    </dataValidation>
    <dataValidation type="list" errorStyle="warning" allowBlank="1" showErrorMessage="1" sqref="W19" xr:uid="{D0173A75-C11D-4FE6-930A-0F2F899154C5}">
      <formula1>$AD$4:$AD$11</formula1>
    </dataValidation>
    <dataValidation type="list" errorStyle="warning" allowBlank="1" showErrorMessage="1" sqref="W20" xr:uid="{AA5BEB37-3F7F-431C-A67A-FA9D1B4DE456}">
      <formula1>$AD$4:$AD$11</formula1>
    </dataValidation>
    <dataValidation type="list" errorStyle="warning" allowBlank="1" showErrorMessage="1" sqref="W21" xr:uid="{AE85D2F4-1C08-421F-8C93-55C53C23021C}">
      <formula1>$AD$4:$AD$11</formula1>
    </dataValidation>
    <dataValidation type="list" errorStyle="warning" allowBlank="1" showErrorMessage="1" sqref="W22" xr:uid="{6086BF5D-188F-451C-9067-EF60352781E7}">
      <formula1>$AD$4:$AD$11</formula1>
    </dataValidation>
    <dataValidation type="list" errorStyle="warning" allowBlank="1" showErrorMessage="1" sqref="W23" xr:uid="{051C3036-C1D7-4C40-A7AE-1F930B08D84F}">
      <formula1>$AD$4:$AD$11</formula1>
    </dataValidation>
    <dataValidation type="list" errorStyle="warning" allowBlank="1" showErrorMessage="1" sqref="W24" xr:uid="{AAC2C462-B5D8-44C1-AF0D-4659FAAED909}">
      <formula1>$AD$4:$AD$11</formula1>
    </dataValidation>
    <dataValidation type="list" errorStyle="warning" allowBlank="1" showErrorMessage="1" sqref="W25" xr:uid="{0760E18D-F7CA-4872-9C7F-B0B7C347BFF8}">
      <formula1>$AD$4:$AD$11</formula1>
    </dataValidation>
    <dataValidation type="list" errorStyle="warning" allowBlank="1" showErrorMessage="1" sqref="W26" xr:uid="{D6DFF225-5300-4F1D-8064-4B4E88241568}">
      <formula1>$AD$4:$AD$11</formula1>
    </dataValidation>
    <dataValidation type="list" errorStyle="warning" allowBlank="1" showErrorMessage="1" sqref="W27" xr:uid="{DC52CF46-AC07-4DE4-AE25-6A8D37ED5DB4}">
      <formula1>$AD$4:$AD$11</formula1>
    </dataValidation>
    <dataValidation type="list" errorStyle="warning" allowBlank="1" showErrorMessage="1" sqref="W28" xr:uid="{6072BE5F-0BC4-49CD-A764-15E42774985D}">
      <formula1>$AD$4:$AD$11</formula1>
    </dataValidation>
    <dataValidation type="list" errorStyle="warning" allowBlank="1" showErrorMessage="1" sqref="W29" xr:uid="{12B11323-0342-41F0-8C11-E048A1962191}">
      <formula1>$AD$4:$AD$11</formula1>
    </dataValidation>
    <dataValidation type="list" errorStyle="warning" allowBlank="1" showErrorMessage="1" sqref="W30" xr:uid="{742C73B4-8A32-40E5-A9EA-821FDD1252CD}">
      <formula1>$AD$4:$AD$11</formula1>
    </dataValidation>
    <dataValidation type="list" errorStyle="warning" allowBlank="1" showErrorMessage="1" sqref="W31" xr:uid="{6B33C4CE-74FF-4041-9402-1C4CD77843F2}">
      <formula1>$AD$4:$AD$11</formula1>
    </dataValidation>
    <dataValidation type="list" errorStyle="warning" allowBlank="1" showErrorMessage="1" sqref="W32" xr:uid="{A46B422D-1462-4574-9A47-BD8A030A4C67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5853F542-8C72-4965-B362-853EFA1C2379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AA2C09BB-643C-4B1C-9645-865A49EB2443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FDEAB10A-3488-4643-BB53-E68C13894C76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50"/>
  </cols>
  <sheetData>
    <row r="1" spans="1:1" x14ac:dyDescent="0.35">
      <c r="A1" s="309" t="s">
        <v>528</v>
      </c>
    </row>
    <row r="2" spans="1:1" x14ac:dyDescent="0.35">
      <c r="A2" s="309" t="s">
        <v>526</v>
      </c>
    </row>
    <row r="3" spans="1:1" x14ac:dyDescent="0.35">
      <c r="A3" s="309" t="s">
        <v>515</v>
      </c>
    </row>
    <row r="4" spans="1:1" x14ac:dyDescent="0.35">
      <c r="A4" s="309" t="s">
        <v>518</v>
      </c>
    </row>
    <row r="5" spans="1:1" x14ac:dyDescent="0.35">
      <c r="A5" s="309" t="s">
        <v>514</v>
      </c>
    </row>
    <row r="6" spans="1:1" x14ac:dyDescent="0.35">
      <c r="A6" s="309" t="s">
        <v>527</v>
      </c>
    </row>
    <row r="7" spans="1:1" x14ac:dyDescent="0.35">
      <c r="A7" s="309" t="s">
        <v>526</v>
      </c>
    </row>
    <row r="8" spans="1:1" x14ac:dyDescent="0.35">
      <c r="A8" s="309" t="s">
        <v>515</v>
      </c>
    </row>
    <row r="9" spans="1:1" x14ac:dyDescent="0.35">
      <c r="A9" s="309" t="s">
        <v>518</v>
      </c>
    </row>
    <row r="10" spans="1:1" x14ac:dyDescent="0.35">
      <c r="A10" s="309" t="s">
        <v>514</v>
      </c>
    </row>
    <row r="11" spans="1:1" x14ac:dyDescent="0.35">
      <c r="A11" s="309" t="s">
        <v>525</v>
      </c>
    </row>
    <row r="12" spans="1:1" x14ac:dyDescent="0.35">
      <c r="A12" s="309" t="s">
        <v>526</v>
      </c>
    </row>
    <row r="13" spans="1:1" x14ac:dyDescent="0.35">
      <c r="A13" s="309" t="s">
        <v>515</v>
      </c>
    </row>
    <row r="14" spans="1:1" x14ac:dyDescent="0.35">
      <c r="A14" s="309" t="s">
        <v>518</v>
      </c>
    </row>
    <row r="15" spans="1:1" x14ac:dyDescent="0.35">
      <c r="A15" s="309" t="s">
        <v>514</v>
      </c>
    </row>
    <row r="16" spans="1:1" x14ac:dyDescent="0.35">
      <c r="A16" s="309" t="s">
        <v>524</v>
      </c>
    </row>
    <row r="17" spans="1:1" x14ac:dyDescent="0.35">
      <c r="A17" s="309" t="s">
        <v>519</v>
      </c>
    </row>
    <row r="18" spans="1:1" x14ac:dyDescent="0.35">
      <c r="A18" s="309" t="s">
        <v>515</v>
      </c>
    </row>
    <row r="19" spans="1:1" x14ac:dyDescent="0.35">
      <c r="A19" s="309" t="s">
        <v>516</v>
      </c>
    </row>
    <row r="20" spans="1:1" x14ac:dyDescent="0.35">
      <c r="A20" s="309" t="s">
        <v>514</v>
      </c>
    </row>
    <row r="21" spans="1:1" x14ac:dyDescent="0.35">
      <c r="A21" s="309" t="s">
        <v>523</v>
      </c>
    </row>
    <row r="22" spans="1:1" x14ac:dyDescent="0.35">
      <c r="A22" s="309" t="s">
        <v>519</v>
      </c>
    </row>
    <row r="23" spans="1:1" x14ac:dyDescent="0.35">
      <c r="A23" s="309" t="s">
        <v>515</v>
      </c>
    </row>
    <row r="24" spans="1:1" x14ac:dyDescent="0.35">
      <c r="A24" s="309" t="s">
        <v>516</v>
      </c>
    </row>
    <row r="25" spans="1:1" x14ac:dyDescent="0.35">
      <c r="A25" s="309" t="s">
        <v>514</v>
      </c>
    </row>
    <row r="26" spans="1:1" x14ac:dyDescent="0.35">
      <c r="A26" s="309" t="s">
        <v>522</v>
      </c>
    </row>
    <row r="27" spans="1:1" x14ac:dyDescent="0.35">
      <c r="A27" s="309" t="s">
        <v>519</v>
      </c>
    </row>
    <row r="28" spans="1:1" x14ac:dyDescent="0.35">
      <c r="A28" s="309" t="s">
        <v>515</v>
      </c>
    </row>
    <row r="29" spans="1:1" x14ac:dyDescent="0.35">
      <c r="A29" s="309" t="s">
        <v>518</v>
      </c>
    </row>
    <row r="30" spans="1:1" x14ac:dyDescent="0.35">
      <c r="A30" s="309" t="s">
        <v>514</v>
      </c>
    </row>
    <row r="31" spans="1:1" x14ac:dyDescent="0.35">
      <c r="A31" s="309" t="s">
        <v>522</v>
      </c>
    </row>
    <row r="32" spans="1:1" x14ac:dyDescent="0.35">
      <c r="A32" s="309" t="s">
        <v>519</v>
      </c>
    </row>
    <row r="33" spans="1:1" x14ac:dyDescent="0.35">
      <c r="A33" s="309" t="s">
        <v>515</v>
      </c>
    </row>
    <row r="34" spans="1:1" x14ac:dyDescent="0.35">
      <c r="A34" s="309" t="s">
        <v>516</v>
      </c>
    </row>
    <row r="35" spans="1:1" x14ac:dyDescent="0.35">
      <c r="A35" s="309" t="s">
        <v>514</v>
      </c>
    </row>
    <row r="36" spans="1:1" x14ac:dyDescent="0.35">
      <c r="A36" s="309" t="s">
        <v>521</v>
      </c>
    </row>
    <row r="37" spans="1:1" x14ac:dyDescent="0.35">
      <c r="A37" s="309" t="s">
        <v>519</v>
      </c>
    </row>
    <row r="38" spans="1:1" x14ac:dyDescent="0.35">
      <c r="A38" s="309" t="s">
        <v>515</v>
      </c>
    </row>
    <row r="39" spans="1:1" x14ac:dyDescent="0.35">
      <c r="A39" s="309" t="s">
        <v>518</v>
      </c>
    </row>
    <row r="40" spans="1:1" x14ac:dyDescent="0.35">
      <c r="A40" s="309" t="s">
        <v>514</v>
      </c>
    </row>
    <row r="41" spans="1:1" x14ac:dyDescent="0.35">
      <c r="A41" s="309" t="s">
        <v>521</v>
      </c>
    </row>
    <row r="42" spans="1:1" x14ac:dyDescent="0.35">
      <c r="A42" s="309" t="s">
        <v>519</v>
      </c>
    </row>
    <row r="43" spans="1:1" x14ac:dyDescent="0.35">
      <c r="A43" s="309" t="s">
        <v>515</v>
      </c>
    </row>
    <row r="44" spans="1:1" x14ac:dyDescent="0.35">
      <c r="A44" s="309" t="s">
        <v>516</v>
      </c>
    </row>
    <row r="45" spans="1:1" x14ac:dyDescent="0.35">
      <c r="A45" s="309" t="s">
        <v>514</v>
      </c>
    </row>
    <row r="46" spans="1:1" x14ac:dyDescent="0.35">
      <c r="A46" s="309" t="s">
        <v>520</v>
      </c>
    </row>
    <row r="47" spans="1:1" x14ac:dyDescent="0.35">
      <c r="A47" s="309" t="s">
        <v>519</v>
      </c>
    </row>
    <row r="48" spans="1:1" x14ac:dyDescent="0.35">
      <c r="A48" s="309" t="s">
        <v>515</v>
      </c>
    </row>
    <row r="49" spans="1:1" x14ac:dyDescent="0.35">
      <c r="A49" s="309" t="s">
        <v>518</v>
      </c>
    </row>
    <row r="50" spans="1:1" x14ac:dyDescent="0.35">
      <c r="A50" s="309" t="s">
        <v>514</v>
      </c>
    </row>
    <row r="51" spans="1:1" x14ac:dyDescent="0.35">
      <c r="A51" s="309" t="s">
        <v>520</v>
      </c>
    </row>
    <row r="52" spans="1:1" x14ac:dyDescent="0.35">
      <c r="A52" s="309" t="s">
        <v>519</v>
      </c>
    </row>
    <row r="53" spans="1:1" x14ac:dyDescent="0.35">
      <c r="A53" s="309" t="s">
        <v>515</v>
      </c>
    </row>
    <row r="54" spans="1:1" x14ac:dyDescent="0.35">
      <c r="A54" s="309" t="s">
        <v>516</v>
      </c>
    </row>
    <row r="55" spans="1:1" x14ac:dyDescent="0.35">
      <c r="A55" s="309" t="s">
        <v>514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10</vt:i4>
      </vt:variant>
    </vt:vector>
  </HeadingPairs>
  <TitlesOfParts>
    <vt:vector size="20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2026-03-01T19:33:37Z</dcterms:modified>
</cp:coreProperties>
</file>