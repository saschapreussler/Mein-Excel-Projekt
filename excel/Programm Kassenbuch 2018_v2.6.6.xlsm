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80D62A1B-7550-4C6F-9D81-A9BAEDB30E55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6" i="7" l="1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<sst xmlns="http://schemas.openxmlformats.org/spreadsheetml/2006/main" count="1312" uniqueCount="682">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</sst>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6" borderId="90" xfId="0" applyFill="1" applyBorder="1" applyAlignment="1" applyProtection="1">
      <alignment horizontal="left" vertical="center"/>
    </xf>
    <xf numFmtId="0" fontId="43" fillId="24" borderId="91" xfId="0" applyFont="1" applyFill="1" applyBorder="1" applyAlignment="1">
      <alignment horizontal="left" vertical="center" wrapText="1"/>
    </xf>
    <xf numFmtId="0" fontId="43" fillId="24" borderId="91" xfId="0" applyFont="1" applyFill="1" applyBorder="1" applyAlignment="1">
      <alignment horizontal="center" vertical="center" wrapText="1"/>
    </xf>
    <xf numFmtId="0" fontId="43" fillId="24" borderId="91" xfId="0" applyFont="1" applyFill="1" applyBorder="1" applyAlignment="1">
      <alignment horizontal="left" vertical="center"/>
    </xf>
    <xf numFmtId="49" fontId="43" fillId="24" borderId="91" xfId="0" applyNumberFormat="1" applyFont="1" applyFill="1" applyBorder="1" applyAlignment="1">
      <alignment horizontal="left" vertical="center"/>
    </xf>
    <xf numFmtId="0" fontId="43" fillId="24" borderId="91" xfId="0" applyFont="1" applyFill="1" applyBorder="1" applyAlignment="1">
      <alignment horizontal="center" vertical="center"/>
    </xf>
    <xf numFmtId="0" fontId="0" fillId="26" borderId="94" xfId="0" applyFill="1" applyBorder="1" applyAlignment="1">
      <alignment horizontal="center" vertical="center"/>
    </xf>
    <xf numFmtId="0" fontId="45" fillId="24" borderId="91" xfId="0" applyFont="1" applyFill="1" applyBorder="1" applyAlignment="1">
      <alignment horizontal="center" vertical="center" wrapText="1"/>
    </xf>
    <xf numFmtId="0" fontId="0" fillId="26" borderId="94" xfId="0" applyFill="1" applyBorder="1" applyAlignment="1">
      <alignment vertical="center"/>
    </xf>
    <xf numFmtId="0" fontId="0" fillId="26" borderId="95" xfId="0" applyFill="1" applyBorder="1" applyAlignment="1">
      <alignment vertical="center"/>
    </xf>
    <xf numFmtId="0" fontId="0" fillId="26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6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6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6" borderId="90" xfId="0" applyFill="1" applyBorder="1" applyAlignment="1" applyProtection="1">
      <alignment horizontal="left" vertical="center"/>
      <protection locked="0"/>
    </xf>
    <xf numFmtId="0" fontId="0" fillId="26" borderId="90" xfId="0" applyFill="1" applyBorder="1" applyAlignment="1" applyProtection="1">
      <alignment horizontal="center" vertical="center"/>
      <protection locked="0"/>
    </xf>
    <xf numFmtId="0" fontId="0" fillId="26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6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6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 wrapText="1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28" borderId="90" xfId="0" applyFill="1" applyBorder="1" applyAlignment="1" applyProtection="1">
      <alignment horizontal="center" vertical="center" wrapText="1"/>
      <protection locked="0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6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29" borderId="97" xfId="0" applyFont="1" applyFill="1" applyBorder="1" applyAlignment="1" applyProtection="1">
      <alignment horizontal="center" vertical="center" wrapText="1"/>
    </xf>
    <xf numFmtId="0" fontId="45" fillId="29" borderId="98" xfId="0" applyFont="1" applyFill="1" applyBorder="1" applyAlignment="1" applyProtection="1">
      <alignment horizontal="center" vertical="center" wrapText="1"/>
    </xf>
    <xf numFmtId="0" fontId="45" fillId="29" borderId="99" xfId="0" applyFont="1" applyFill="1" applyBorder="1" applyAlignment="1" applyProtection="1">
      <alignment horizontal="center" vertical="center" wrapText="1"/>
    </xf>
    <xf numFmtId="172" fontId="0" fillId="26" borderId="90" xfId="0" applyNumberFormat="1" applyFill="1" applyBorder="1" applyAlignment="1" applyProtection="1">
      <alignment horizontal="right" vertical="center"/>
      <protection locked="0"/>
    </xf>
    <xf numFmtId="1" fontId="0" fillId="26" borderId="90" xfId="0" applyNumberFormat="1" applyFill="1" applyBorder="1" applyAlignment="1" applyProtection="1">
      <alignment horizontal="center" vertical="center"/>
      <protection locked="0"/>
    </xf>
    <xf numFmtId="49" fontId="0" fillId="26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5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6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6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158749</xdr:rowOff>
        </xdr:from>
        <xdr:to>
          <xdr:col>6</xdr:col>
          <xdr:colOff>1390649</xdr:colOff>
          <xdr:row>14</xdr:row>
          <xdr:rowOff>120649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58"/>
  </cols>
  <sheetData>
    <row r="1" spans="2:6" x14ac:dyDescent="0.35">
      <c r="B1" s="458" t="s">
        <v>334</v>
      </c>
      <c r="F1" s="458">
        <v>2025</v>
      </c>
    </row>
    <row r="2" spans="2:6" x14ac:dyDescent="0.35">
      <c r="B2" s="458" t="s">
        <v>3</v>
      </c>
      <c r="F2" s="458">
        <v>13</v>
      </c>
    </row>
    <row r="3" spans="2:6" x14ac:dyDescent="0.35">
      <c r="B3" s="458" t="s">
        <v>2</v>
      </c>
      <c r="F3" s="458">
        <v>21</v>
      </c>
    </row>
    <row r="4" spans="2:6" x14ac:dyDescent="0.35">
      <c r="B4" s="458" t="s">
        <v>380</v>
      </c>
      <c r="F4" s="465">
        <v>8686.86</v>
      </c>
    </row>
    <row r="5" spans="2:6" x14ac:dyDescent="0.35">
      <c r="B5" s="458" t="s">
        <v>333</v>
      </c>
    </row>
    <row r="7" spans="2:6" x14ac:dyDescent="0.35">
      <c r="B7" s="458" t="s">
        <v>1</v>
      </c>
    </row>
    <row r="8" spans="2:6" x14ac:dyDescent="0.35">
      <c r="B8" s="458" t="s">
        <v>0</v>
      </c>
    </row>
    <row r="9" spans="2:6" x14ac:dyDescent="0.35">
      <c r="B9" s="458" t="s">
        <v>312</v>
      </c>
    </row>
    <row r="10" spans="2:6" x14ac:dyDescent="0.35">
      <c r="B10" s="458" t="s">
        <v>313</v>
      </c>
    </row>
    <row r="11" spans="2:6" x14ac:dyDescent="0.35">
      <c r="B11" s="45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58" customWidth="1"/>
    <col min="2" max="2" width="16.453125" style="268" customWidth="1"/>
    <col min="3" max="3" width="19.26953125" style="269" customWidth="1"/>
    <col min="4" max="4" width="24.7265625" style="458" customWidth="1"/>
    <col min="5" max="16384" width="11.453125" style="458"/>
  </cols>
  <sheetData>
    <row r="1" spans="2:17" ht="9.75" customHeight="1" thickBot="1" x14ac:dyDescent="0.4">
      <c r="B1" s="458"/>
      <c r="C1" s="14"/>
    </row>
    <row r="2" spans="2:17" ht="16.5" thickTop="1" x14ac:dyDescent="0.35">
      <c r="B2" s="496" t="s">
        <v>82</v>
      </c>
      <c r="C2" s="497"/>
      <c r="D2" s="497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2"/>
    </row>
    <row r="3" spans="2:17" ht="15" customHeight="1" x14ac:dyDescent="0.35">
      <c r="B3" s="498" t="s">
        <v>81</v>
      </c>
      <c r="C3" s="499"/>
      <c r="D3" s="50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4"/>
    </row>
    <row r="5" spans="2:17" ht="15" customHeight="1" thickTop="1" x14ac:dyDescent="0.35">
      <c r="B5" s="490" t="s">
        <v>67</v>
      </c>
      <c r="C5" s="493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1"/>
      <c r="C6" s="494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1"/>
      <c r="C7" s="494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1"/>
      <c r="C8" s="494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1"/>
      <c r="C9" s="494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1"/>
      <c r="C10" s="494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1"/>
      <c r="C11" s="494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2"/>
      <c r="C12" s="495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0" t="s">
        <v>64</v>
      </c>
      <c r="C13" s="493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1"/>
      <c r="C14" s="494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1"/>
      <c r="C15" s="494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1"/>
      <c r="C16" s="494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1"/>
      <c r="C17" s="494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1"/>
      <c r="C18" s="494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1"/>
      <c r="C19" s="494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2"/>
      <c r="C20" s="495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0" t="s">
        <v>63</v>
      </c>
      <c r="C21" s="493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1"/>
      <c r="C22" s="494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1"/>
      <c r="C23" s="494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1"/>
      <c r="C24" s="494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1"/>
      <c r="C25" s="494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1"/>
      <c r="C26" s="494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1"/>
      <c r="C27" s="494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2"/>
      <c r="C28" s="495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0" t="s">
        <v>61</v>
      </c>
      <c r="C29" s="493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1"/>
      <c r="C30" s="494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1"/>
      <c r="C31" s="494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1"/>
      <c r="C32" s="494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1"/>
      <c r="C33" s="494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1"/>
      <c r="C34" s="494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1"/>
      <c r="C35" s="494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2"/>
      <c r="C36" s="495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0" t="s">
        <v>59</v>
      </c>
      <c r="C37" s="493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1"/>
      <c r="C38" s="494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1"/>
      <c r="C39" s="494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1"/>
      <c r="C40" s="494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1"/>
      <c r="C41" s="494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1"/>
      <c r="C42" s="494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1"/>
      <c r="C43" s="494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2"/>
      <c r="C44" s="495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0" t="s">
        <v>57</v>
      </c>
      <c r="C45" s="493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1"/>
      <c r="C46" s="494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1"/>
      <c r="C47" s="494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1"/>
      <c r="C48" s="494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1"/>
      <c r="C49" s="494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1"/>
      <c r="C50" s="494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1"/>
      <c r="C51" s="494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2"/>
      <c r="C52" s="495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0" t="s">
        <v>55</v>
      </c>
      <c r="C53" s="493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1"/>
      <c r="C54" s="494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1"/>
      <c r="C55" s="494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1"/>
      <c r="C56" s="494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1"/>
      <c r="C57" s="494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1"/>
      <c r="C58" s="494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1"/>
      <c r="C59" s="494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2"/>
      <c r="C60" s="495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0" t="s">
        <v>53</v>
      </c>
      <c r="C61" s="493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1"/>
      <c r="C62" s="494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1"/>
      <c r="C63" s="494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1"/>
      <c r="C64" s="494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1"/>
      <c r="C65" s="494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1"/>
      <c r="C66" s="494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1"/>
      <c r="C67" s="494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2"/>
      <c r="C68" s="495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0" t="s">
        <v>52</v>
      </c>
      <c r="C69" s="493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1"/>
      <c r="C70" s="494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1"/>
      <c r="C71" s="494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1"/>
      <c r="C72" s="494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1"/>
      <c r="C73" s="494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1"/>
      <c r="C74" s="494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1"/>
      <c r="C75" s="494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2"/>
      <c r="C76" s="495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0" t="s">
        <v>50</v>
      </c>
      <c r="C77" s="493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1"/>
      <c r="C78" s="494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1"/>
      <c r="C79" s="494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1"/>
      <c r="C80" s="494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1"/>
      <c r="C81" s="494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1"/>
      <c r="C82" s="494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1"/>
      <c r="C83" s="494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2"/>
      <c r="C84" s="495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0" t="s">
        <v>49</v>
      </c>
      <c r="C85" s="493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1"/>
      <c r="C86" s="494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1"/>
      <c r="C87" s="494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1"/>
      <c r="C88" s="494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1"/>
      <c r="C89" s="494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1"/>
      <c r="C90" s="494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1"/>
      <c r="C91" s="494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2"/>
      <c r="C92" s="495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0" t="s">
        <v>47</v>
      </c>
      <c r="C93" s="493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1"/>
      <c r="C94" s="494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1"/>
      <c r="C95" s="494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1"/>
      <c r="C96" s="494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1"/>
      <c r="C97" s="494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1"/>
      <c r="C98" s="494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1"/>
      <c r="C99" s="494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2"/>
      <c r="C100" s="495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0" t="s">
        <v>46</v>
      </c>
      <c r="C101" s="493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1"/>
      <c r="C102" s="494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1"/>
      <c r="C103" s="494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1"/>
      <c r="C104" s="494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1"/>
      <c r="C105" s="494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1"/>
      <c r="C106" s="494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1"/>
      <c r="C107" s="494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2"/>
      <c r="C108" s="495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0" t="s">
        <v>44</v>
      </c>
      <c r="C109" s="493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1"/>
      <c r="C110" s="494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1"/>
      <c r="C111" s="494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1"/>
      <c r="C112" s="494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1"/>
      <c r="C113" s="494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1"/>
      <c r="C114" s="494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1"/>
      <c r="C115" s="494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2"/>
      <c r="C116" s="495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0" t="s">
        <v>43</v>
      </c>
      <c r="C117" s="493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1"/>
      <c r="C118" s="494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1"/>
      <c r="C119" s="494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1"/>
      <c r="C120" s="494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1"/>
      <c r="C121" s="494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1"/>
      <c r="C122" s="494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1"/>
      <c r="C123" s="494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2"/>
      <c r="C124" s="495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zoomScale="70" zoomScaleNormal="70" zoomScaleSheetLayoutView="85" workbookViewId="0">
      <selection activeCell="H15" sqref="H15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58" customWidth="1"/>
    <col min="8" max="8" width="47.26953125" style="272" bestFit="1" customWidth="1"/>
    <col min="9" max="9" width="19" style="458" customWidth="1"/>
    <col min="10" max="10" width="15.54296875" style="458" customWidth="1"/>
    <col min="11" max="11" width="17.54296875" style="272" customWidth="1"/>
    <col min="12" max="12" width="32.1796875" style="458" customWidth="1"/>
    <col min="13" max="13" width="18.26953125" style="336" customWidth="1"/>
    <col min="14" max="14" width="10.7265625" style="458" customWidth="1"/>
    <col min="15" max="15" width="11.453125" style="458" customWidth="1"/>
    <col min="16" max="16" width="12.7265625" style="458" customWidth="1"/>
    <col min="17" max="17" width="11.81640625" style="458" customWidth="1"/>
    <col min="18" max="18" width="17.453125" style="458" customWidth="1"/>
    <col min="19" max="19" width="21" style="458" customWidth="1"/>
    <col min="20" max="20" width="14.54296875" style="458" customWidth="1"/>
    <col min="21" max="21" width="13.26953125" style="458" customWidth="1"/>
    <col min="22" max="22" width="16" style="458" customWidth="1"/>
    <col min="23" max="23" width="13" style="458" customWidth="1"/>
    <col min="24" max="24" width="26.269531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48" thickBot="1" x14ac:dyDescent="0.4">
      <c r="A1" s="261"/>
      <c r="B1" s="514" t="s">
        <v>42</v>
      </c>
      <c r="C1" s="515"/>
      <c r="D1" s="515"/>
      <c r="E1" s="515"/>
      <c r="G1" s="453"/>
      <c r="I1" s="453"/>
      <c r="J1" s="453"/>
      <c r="L1" s="453"/>
      <c r="M1" s="453"/>
    </row>
    <row r="2" spans="1:18" ht="21.75" customHeight="1" x14ac:dyDescent="0.35">
      <c r="C2" s="45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5"/>
    </row>
    <row r="3" spans="1:18" ht="21.75" customHeight="1" thickBot="1" x14ac:dyDescent="0.4">
      <c r="C3" s="457" t="str">
        <f>IF(Daten!$AE$4=0,IF(COUNT(Bankkonto!$A$28:$A$2986)=0,"","Kontostand nach der letzten Buchung im Monat am: " &amp; TEXT(MAX(Bankkonto!$A$28:$A$4553),"TT.MM.JJJJ")),IF(COUNTIFS(Bankkonto!$A$28:$A$4553,"&gt;=" &amp; DATE(Startmenü!$F$1,Daten!$AE$4,1),Bankkonto!$A$28:$A$4553,"&lt;=" &amp; DATE(Startmenü!$F$1,Daten!$AE$4+1,0))=0,"","Kontostand nach der letzten Buchung im Monat am: " &amp; TEXT(_xlfn.MAXIFS(Bankkonto!$A$28:$A$4553,Bankkonto!$A$28:$A$4553,"&gt;=" &amp; DATE(Startmenü!$F$1,Daten!$AE$4,1),Bankkonto!$A$28:$A$4553,"&lt;=" &amp; DATE(Startmenü!$F$1,Daten!$AE$4+1,0)),"TT.MM.JJJJ")))</f>
        <v/>
      </c>
      <c r="D3" s="271"/>
      <c r="E3" s="274">
        <f>IF(E23="",E2+E15+E22,E2+E15+E22+E23)</f>
        <v>8686.86</v>
      </c>
      <c r="M3" s="465"/>
    </row>
    <row r="4" spans="1:18" ht="7" customHeight="1" x14ac:dyDescent="0.35">
      <c r="M4" s="458"/>
    </row>
    <row r="5" spans="1:18" ht="7" customHeight="1" x14ac:dyDescent="0.35">
      <c r="M5" s="458"/>
    </row>
    <row r="6" spans="1:18" ht="50.25" customHeight="1" x14ac:dyDescent="0.35">
      <c r="C6" s="516" t="s">
        <v>41</v>
      </c>
      <c r="D6" s="516"/>
      <c r="E6" s="516"/>
      <c r="G6" s="453"/>
      <c r="M6" s="458"/>
      <c r="R6" s="299" t="str">
        <f>C25</f>
        <v>Auszug: ganzes Jahr 2025</v>
      </c>
    </row>
    <row r="7" spans="1:18" ht="10.5" customHeight="1" x14ac:dyDescent="0.35">
      <c r="M7" s="458"/>
    </row>
    <row r="8" spans="1:18" ht="15" customHeight="1" x14ac:dyDescent="0.35">
      <c r="B8" s="517" t="s">
        <v>24</v>
      </c>
      <c r="C8" s="12" t="s">
        <v>40</v>
      </c>
      <c r="D8" s="12"/>
      <c r="E8" s="275" t="str">
        <f>IF(SUMIFS(M28:M4553,G28:G4553,TRUE)=0,"",SUMIFS(M28:M4553,G28:G4553,TRUE))</f>
        <v/>
      </c>
      <c r="M8" s="458"/>
    </row>
    <row r="9" spans="1:18" x14ac:dyDescent="0.35">
      <c r="B9" s="517"/>
      <c r="C9" s="13" t="s">
        <v>39</v>
      </c>
      <c r="D9" s="13"/>
      <c r="E9" s="276" t="str">
        <f>IF(SUMIFS(N28:N4553,G28:G4553,TRUE)=0,"",SUMIFS(N28:N4553,G28:G4553,TRUE))</f>
        <v/>
      </c>
      <c r="M9" s="458"/>
      <c r="P9" s="325"/>
    </row>
    <row r="10" spans="1:18" x14ac:dyDescent="0.35">
      <c r="B10" s="517"/>
      <c r="C10" s="12" t="s">
        <v>38</v>
      </c>
      <c r="D10" s="12"/>
      <c r="E10" s="275" t="str">
        <f>IF(SUMIFS(O28:O4553,G28:G4553,TRUE)=0,"",SUMIFS(O28:O4553,G28:G4553,TRUE))</f>
        <v/>
      </c>
      <c r="M10" s="458"/>
      <c r="P10" s="325"/>
    </row>
    <row r="11" spans="1:18" x14ac:dyDescent="0.35">
      <c r="B11" s="517"/>
      <c r="C11" s="13" t="s">
        <v>37</v>
      </c>
      <c r="D11" s="13"/>
      <c r="E11" s="276" t="str">
        <f>IF(SUMIFS(P28:P4553,G28:G4553,TRUE)=0,"",SUMIFS(P28:P4553,G28:G4553,TRUE))</f>
        <v/>
      </c>
      <c r="M11" s="458"/>
    </row>
    <row r="12" spans="1:18" x14ac:dyDescent="0.35">
      <c r="B12" s="517"/>
      <c r="C12" s="12" t="s">
        <v>36</v>
      </c>
      <c r="D12" s="12"/>
      <c r="E12" s="275" t="str">
        <f>IF(SUMIFS(Q28:Q4553,G28:G4553,TRUE)=0,"",SUMIFS(Q28:Q4553,G28:G4553,TRUE))</f>
        <v/>
      </c>
      <c r="M12" s="458"/>
      <c r="P12" s="325"/>
    </row>
    <row r="13" spans="1:18" x14ac:dyDescent="0.35">
      <c r="B13" s="517"/>
      <c r="C13" s="13" t="s">
        <v>32</v>
      </c>
      <c r="D13" s="13"/>
      <c r="E13" s="276" t="str">
        <f>IF(SUMIFS(R28:R4553,G28:G4553,TRUE)=0,"",SUMIFS(R28:R4553,G28:G4553,TRUE))</f>
        <v/>
      </c>
      <c r="M13" s="458"/>
      <c r="P13" s="325"/>
    </row>
    <row r="14" spans="1:18" ht="15" thickBot="1" x14ac:dyDescent="0.4">
      <c r="B14" s="517"/>
      <c r="C14" s="12" t="s">
        <v>35</v>
      </c>
      <c r="D14" s="12"/>
      <c r="E14" s="275" t="str">
        <f>IF(SUMIFS(S28:S4553,G28:G4553,TRUE)=0,"",SUMIFS(S28:S4553,G28:G4553,TRUE))</f>
        <v/>
      </c>
      <c r="M14" s="458"/>
      <c r="P14" s="325"/>
    </row>
    <row r="15" spans="1:18" ht="19.5" thickTop="1" thickBot="1" x14ac:dyDescent="0.4">
      <c r="B15" s="518"/>
      <c r="C15" s="11" t="s">
        <v>28</v>
      </c>
      <c r="D15" s="11"/>
      <c r="E15" s="277">
        <f>SUM(E8:E14)</f>
        <v>0</v>
      </c>
      <c r="M15" s="458"/>
    </row>
    <row r="16" spans="1:18" ht="15" customHeight="1" x14ac:dyDescent="0.35">
      <c r="B16" s="519" t="s">
        <v>23</v>
      </c>
      <c r="C16" s="10" t="s">
        <v>34</v>
      </c>
      <c r="D16" s="10"/>
      <c r="E16" s="8" t="str">
        <f>IF(SUMIFS(T28:T4553,G28:G4553,TRUE)=0,"",SUMIFS(T28:T4553,G28:G4553,TRUE))</f>
        <v/>
      </c>
      <c r="M16" s="458"/>
    </row>
    <row r="17" spans="1:26" x14ac:dyDescent="0.35">
      <c r="B17" s="520"/>
      <c r="C17" s="5" t="s">
        <v>33</v>
      </c>
      <c r="D17" s="5"/>
      <c r="E17" s="3" t="str">
        <f>IF(SUMIFS(U28:U4553,G28:G4553,TRUE)=0,"",SUMIFS(U28:U4553,G28:G4553,TRUE))</f>
        <v/>
      </c>
      <c r="M17" s="458"/>
    </row>
    <row r="18" spans="1:26" x14ac:dyDescent="0.35">
      <c r="B18" s="520"/>
      <c r="C18" s="1" t="s">
        <v>32</v>
      </c>
      <c r="D18" s="1"/>
      <c r="E18" s="6" t="str">
        <f>IF(SUMIFS(V28:V4553,G28:G4553,TRUE)=0,"",SUMIFS(V28:V4553,G28:G4553,TRUE))</f>
        <v/>
      </c>
      <c r="M18" s="458"/>
    </row>
    <row r="19" spans="1:26" x14ac:dyDescent="0.35">
      <c r="B19" s="520"/>
      <c r="C19" s="5" t="s">
        <v>31</v>
      </c>
      <c r="D19" s="5"/>
      <c r="E19" s="3" t="str">
        <f>IF(SUMIFS(W28:W4553,G28:G4553,TRUE)=0,"",SUMIFS(W28:W4553,G28:G4553,TRUE))</f>
        <v/>
      </c>
      <c r="M19" s="458"/>
    </row>
    <row r="20" spans="1:26" x14ac:dyDescent="0.35">
      <c r="B20" s="520"/>
      <c r="C20" s="1" t="s">
        <v>30</v>
      </c>
      <c r="D20" s="1"/>
      <c r="E20" s="6" t="str">
        <f>IF(SUMIFS(X28:X4553,G28:G4553,TRUE)=0,"",SUMIFS(X28:X4553,G28:G4553,TRUE))</f>
        <v/>
      </c>
      <c r="M20" s="458"/>
    </row>
    <row r="21" spans="1:26" x14ac:dyDescent="0.35">
      <c r="B21" s="520"/>
      <c r="C21" s="5" t="s">
        <v>29</v>
      </c>
      <c r="D21" s="5"/>
      <c r="E21" s="3" t="str">
        <f>IF(SUMIFS(Y28:Y4553,G28:G4553,TRUE)=0,"",SUMIFS(Y28:Y4553,G28:G4553,TRUE))</f>
        <v/>
      </c>
      <c r="M21" s="458"/>
    </row>
    <row r="22" spans="1:26" ht="18.5" x14ac:dyDescent="0.35">
      <c r="B22" s="520"/>
      <c r="C22" s="2" t="s">
        <v>28</v>
      </c>
      <c r="D22" s="263"/>
      <c r="E22" s="278">
        <f>SUM(E16:E21)</f>
        <v>0</v>
      </c>
      <c r="M22" s="458"/>
    </row>
    <row r="23" spans="1:26" x14ac:dyDescent="0.35">
      <c r="B23" s="520"/>
      <c r="C23" s="1" t="s">
        <v>27</v>
      </c>
      <c r="D23" s="1"/>
      <c r="E23" s="6" t="str">
        <f>IF(SUMIFS(Z28:Z4553,G28:G4553,TRUE)=0,"",SUMIFS(Z28:Z4553,G28:G4553,TRUE))</f>
        <v/>
      </c>
      <c r="M23" s="458"/>
    </row>
    <row r="24" spans="1:26" x14ac:dyDescent="0.35">
      <c r="M24" s="458"/>
    </row>
    <row r="25" spans="1:26" ht="26" x14ac:dyDescent="0.35">
      <c r="A25" s="521" t="s">
        <v>26</v>
      </c>
      <c r="B25" s="522"/>
      <c r="C25" s="523" t="s">
        <v>466</v>
      </c>
      <c r="D25" s="524"/>
      <c r="E25" s="524"/>
      <c r="F25" s="506"/>
      <c r="G25" s="506"/>
      <c r="H25" s="506"/>
      <c r="I25" s="506"/>
      <c r="J25" s="506"/>
      <c r="K25" s="506"/>
      <c r="L25" s="507"/>
      <c r="M25" s="505" t="str">
        <f>C6</f>
        <v>Konto Sparkasse</v>
      </c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7"/>
    </row>
    <row r="26" spans="1:26" s="326" customFormat="1" ht="21" x14ac:dyDescent="0.35">
      <c r="A26" s="508" t="s">
        <v>25</v>
      </c>
      <c r="B26" s="509"/>
      <c r="C26" s="510"/>
      <c r="D26" s="510"/>
      <c r="E26" s="511"/>
      <c r="F26" s="264"/>
      <c r="G26" s="452"/>
      <c r="H26" s="264"/>
      <c r="I26" s="452"/>
      <c r="J26" s="452"/>
      <c r="K26" s="264"/>
      <c r="L26" s="452"/>
      <c r="M26" s="512" t="s">
        <v>24</v>
      </c>
      <c r="N26" s="506"/>
      <c r="O26" s="506"/>
      <c r="P26" s="506"/>
      <c r="Q26" s="506"/>
      <c r="R26" s="506"/>
      <c r="S26" s="506"/>
      <c r="T26" s="513" t="s">
        <v>23</v>
      </c>
      <c r="U26" s="506"/>
      <c r="V26" s="506"/>
      <c r="W26" s="506"/>
      <c r="X26" s="506"/>
      <c r="Y26" s="506"/>
      <c r="Z26" s="50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</sheetData>
  <sheetProtection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7</xdr:row>
                <xdr:rowOff>158750</xdr:rowOff>
              </from>
              <to>
                <xdr:col>6</xdr:col>
                <xdr:colOff>1390650</xdr:colOff>
                <xdr:row>14</xdr:row>
                <xdr:rowOff>120650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336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15" thickBot="1" x14ac:dyDescent="0.4">
      <c r="F1" s="458"/>
    </row>
    <row r="2" spans="1:13" ht="21.75" customHeight="1" x14ac:dyDescent="0.35">
      <c r="B2" s="525" t="s">
        <v>475</v>
      </c>
      <c r="C2" s="526"/>
      <c r="D2" s="57">
        <v>0</v>
      </c>
      <c r="F2" s="458"/>
    </row>
    <row r="3" spans="1:13" ht="21.75" customHeight="1" thickBot="1" x14ac:dyDescent="0.4">
      <c r="B3" s="527" t="s">
        <v>476</v>
      </c>
      <c r="C3" s="528"/>
      <c r="D3" s="56" t="s">
        <v>477</v>
      </c>
      <c r="F3" s="458"/>
    </row>
    <row r="4" spans="1:13" x14ac:dyDescent="0.35">
      <c r="F4" s="458"/>
    </row>
    <row r="5" spans="1:13" ht="50.25" customHeight="1" x14ac:dyDescent="0.35">
      <c r="B5" s="529" t="s">
        <v>86</v>
      </c>
      <c r="C5" s="529"/>
      <c r="D5" s="529"/>
      <c r="F5" s="458"/>
      <c r="M5" s="55" t="str">
        <f>C24</f>
        <v>xxx  2024</v>
      </c>
    </row>
    <row r="6" spans="1:13" ht="10.5" customHeight="1" x14ac:dyDescent="0.35">
      <c r="F6" s="458"/>
    </row>
    <row r="7" spans="1:13" x14ac:dyDescent="0.35">
      <c r="A7" s="530" t="s">
        <v>24</v>
      </c>
      <c r="B7" s="12" t="s">
        <v>40</v>
      </c>
      <c r="C7" s="327"/>
      <c r="D7" s="328" t="str">
        <f>IF(SUM(G27:G1048576)=0,"",SUM(G27:G1048576))</f>
        <v/>
      </c>
      <c r="F7" s="458"/>
    </row>
    <row r="8" spans="1:13" x14ac:dyDescent="0.35">
      <c r="A8" s="530"/>
      <c r="B8" s="13" t="s">
        <v>39</v>
      </c>
      <c r="C8" s="329"/>
      <c r="D8" s="330" t="str">
        <f>IF(SUM(H27:H1048576)=0,"",SUM(H27:H1048576))</f>
        <v/>
      </c>
      <c r="F8" s="458"/>
      <c r="I8" s="325"/>
    </row>
    <row r="9" spans="1:13" x14ac:dyDescent="0.35">
      <c r="A9" s="530"/>
      <c r="B9" s="12" t="s">
        <v>38</v>
      </c>
      <c r="C9" s="327"/>
      <c r="D9" s="328" t="str">
        <f>IF(SUM(I27:I1048576)=0,"",SUM(I27:I1048576))</f>
        <v/>
      </c>
      <c r="F9" s="458"/>
      <c r="I9" s="325"/>
    </row>
    <row r="10" spans="1:13" x14ac:dyDescent="0.35">
      <c r="A10" s="530"/>
      <c r="B10" s="13" t="s">
        <v>37</v>
      </c>
      <c r="C10" s="329"/>
      <c r="D10" s="330" t="str">
        <f>IF(SUM(J27:J1048576)=0,"",SUM(J27:J1048576))</f>
        <v/>
      </c>
      <c r="F10" s="458"/>
    </row>
    <row r="11" spans="1:13" x14ac:dyDescent="0.35">
      <c r="A11" s="530"/>
      <c r="B11" s="12" t="s">
        <v>36</v>
      </c>
      <c r="C11" s="327"/>
      <c r="D11" s="328" t="str">
        <f>IF(SUM(K27:K1048576)=0,"",SUM(K27:K1048576))</f>
        <v/>
      </c>
      <c r="F11" s="458"/>
      <c r="I11" s="325"/>
    </row>
    <row r="12" spans="1:13" x14ac:dyDescent="0.35">
      <c r="A12" s="530"/>
      <c r="B12" s="13" t="s">
        <v>32</v>
      </c>
      <c r="C12" s="329"/>
      <c r="D12" s="330" t="str">
        <f>IF(SUM(L27:L1048576)=0,"",SUM(L27:L1048576))</f>
        <v/>
      </c>
      <c r="F12" s="458"/>
      <c r="I12" s="325"/>
    </row>
    <row r="13" spans="1:13" ht="15" thickBot="1" x14ac:dyDescent="0.4">
      <c r="A13" s="530"/>
      <c r="B13" s="12" t="s">
        <v>35</v>
      </c>
      <c r="C13" s="327"/>
      <c r="D13" s="328" t="str">
        <f>IF(SUM(N27:N1048576)=0,"",SUM(N27:N1048576))</f>
        <v/>
      </c>
      <c r="F13" s="458"/>
      <c r="I13" s="325"/>
    </row>
    <row r="14" spans="1:13" ht="19" thickTop="1" x14ac:dyDescent="0.35">
      <c r="A14" s="530"/>
      <c r="B14" s="11" t="s">
        <v>28</v>
      </c>
      <c r="C14" s="331"/>
      <c r="D14" s="332">
        <f>SUM(D7:D13)</f>
        <v>0</v>
      </c>
      <c r="F14" s="458"/>
    </row>
    <row r="15" spans="1:13" ht="15" thickBot="1" x14ac:dyDescent="0.4">
      <c r="A15" s="455"/>
      <c r="B15" s="13" t="s">
        <v>27</v>
      </c>
      <c r="C15" s="329"/>
      <c r="D15" s="330" t="str">
        <f>IF(SUM(N27:N1048576)=0,"",SUM(N27:N1048576))</f>
        <v/>
      </c>
      <c r="F15" s="458"/>
    </row>
    <row r="16" spans="1:13" x14ac:dyDescent="0.35">
      <c r="A16" s="531" t="s">
        <v>23</v>
      </c>
      <c r="B16" s="10" t="s">
        <v>34</v>
      </c>
      <c r="C16" s="9"/>
      <c r="D16" s="8" t="str">
        <f>IF(SUM(O27:O1048576)=0,"",SUM(O27:O1048576))</f>
        <v/>
      </c>
      <c r="F16" s="458"/>
    </row>
    <row r="17" spans="1:20" x14ac:dyDescent="0.35">
      <c r="A17" s="532"/>
      <c r="B17" s="5" t="s">
        <v>33</v>
      </c>
      <c r="C17" s="4"/>
      <c r="D17" s="3" t="str">
        <f>IF(SUM(P27:P1048576)=0,"",SUM(P27:P1048576))</f>
        <v/>
      </c>
      <c r="F17" s="458"/>
    </row>
    <row r="18" spans="1:20" x14ac:dyDescent="0.35">
      <c r="A18" s="532"/>
      <c r="B18" s="1" t="s">
        <v>32</v>
      </c>
      <c r="C18" s="7"/>
      <c r="D18" s="6" t="str">
        <f>IF(SUM(Q27:Q1048576)=0,"",SUM(Q27:Q1048576))</f>
        <v/>
      </c>
      <c r="F18" s="458"/>
    </row>
    <row r="19" spans="1:20" x14ac:dyDescent="0.35">
      <c r="A19" s="532"/>
      <c r="B19" s="5" t="s">
        <v>31</v>
      </c>
      <c r="C19" s="4"/>
      <c r="D19" s="3" t="str">
        <f>IF(SUM(R27:R1048576)=0,"",SUM(R27:R1048576))</f>
        <v/>
      </c>
      <c r="F19" s="458"/>
    </row>
    <row r="20" spans="1:20" x14ac:dyDescent="0.35">
      <c r="A20" s="532"/>
      <c r="B20" s="1" t="s">
        <v>30</v>
      </c>
      <c r="C20" s="7"/>
      <c r="D20" s="6" t="str">
        <f>IF(SUM(S27:S1048576)=0,"",SUM(S27:S1048576))</f>
        <v/>
      </c>
      <c r="F20" s="458"/>
    </row>
    <row r="21" spans="1:20" x14ac:dyDescent="0.35">
      <c r="A21" s="532"/>
      <c r="B21" s="5" t="s">
        <v>29</v>
      </c>
      <c r="C21" s="4"/>
      <c r="D21" s="3" t="str">
        <f>IF(SUM(T27:T1048576)=0,"",SUM(T27:T1048576))</f>
        <v/>
      </c>
      <c r="F21" s="458"/>
    </row>
    <row r="22" spans="1:20" ht="18.5" x14ac:dyDescent="0.35">
      <c r="A22" s="532"/>
      <c r="B22" s="2" t="s">
        <v>28</v>
      </c>
      <c r="C22" s="333"/>
      <c r="D22" s="334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85</v>
      </c>
      <c r="C24" s="533" t="s">
        <v>478</v>
      </c>
      <c r="D24" s="506"/>
      <c r="E24" s="506"/>
      <c r="F24" s="534"/>
      <c r="G24" s="535" t="str">
        <f>B5</f>
        <v>Vereinskasse</v>
      </c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</row>
    <row r="25" spans="1:20" s="326" customFormat="1" ht="21" x14ac:dyDescent="0.35">
      <c r="B25" s="217"/>
      <c r="C25" s="335"/>
      <c r="D25" s="335"/>
      <c r="E25" s="335"/>
      <c r="F25" s="335"/>
      <c r="G25" s="537" t="s">
        <v>24</v>
      </c>
      <c r="H25" s="538"/>
      <c r="I25" s="538"/>
      <c r="J25" s="538"/>
      <c r="K25" s="538"/>
      <c r="L25" s="538"/>
      <c r="M25" s="538"/>
      <c r="N25" s="539"/>
      <c r="O25" s="540" t="s">
        <v>23</v>
      </c>
      <c r="P25" s="541"/>
      <c r="Q25" s="541"/>
      <c r="R25" s="541"/>
      <c r="S25" s="541"/>
      <c r="T25" s="541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5"/>
    </row>
    <row r="28" spans="1:20" x14ac:dyDescent="0.35"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2" t="s">
        <v>111</v>
      </c>
      <c r="B2" s="543"/>
      <c r="C2" s="543"/>
      <c r="D2" s="543"/>
      <c r="E2" s="543"/>
      <c r="F2" s="543"/>
      <c r="G2" s="543"/>
      <c r="H2" s="543"/>
      <c r="I2" s="54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59"/>
      <c r="K24" s="176"/>
      <c r="L24" s="176"/>
      <c r="M24" s="178"/>
      <c r="N24" s="176"/>
    </row>
    <row r="25" spans="1:17" ht="53.15" customHeight="1" x14ac:dyDescent="0.35">
      <c r="A25" s="549" t="s">
        <v>91</v>
      </c>
      <c r="B25" s="550"/>
      <c r="C25" s="55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5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5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5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5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5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6"/>
      <c r="C35" s="546"/>
      <c r="D35" s="547"/>
      <c r="E35" s="547"/>
      <c r="F35" s="547"/>
      <c r="G35" s="547"/>
      <c r="H35" s="547"/>
      <c r="I35" s="547"/>
      <c r="J35" s="547"/>
      <c r="K35" s="54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8"/>
      <c r="B37" s="547"/>
      <c r="C37" s="547"/>
      <c r="D37" s="547"/>
      <c r="E37" s="547"/>
      <c r="F37" s="547"/>
      <c r="G37" s="547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58" t="s">
        <v>177</v>
      </c>
      <c r="D4" s="45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5"/>
      <c r="N6" s="465"/>
    </row>
    <row r="7" spans="1:27" ht="28" customHeight="1" x14ac:dyDescent="0.35">
      <c r="M7" s="465"/>
      <c r="N7" s="46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5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58">
        <v>61.32</v>
      </c>
      <c r="R11" s="465">
        <f>Q11*7/100</f>
        <v>4.2923999999999998</v>
      </c>
      <c r="S11" s="458">
        <f>SUM(Q11:R11)</f>
        <v>65.612399999999994</v>
      </c>
      <c r="T11" s="45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58">
        <v>294</v>
      </c>
      <c r="R12" s="465">
        <f>Q12*7/100</f>
        <v>20.58</v>
      </c>
      <c r="T12" s="45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5"/>
      <c r="T13" s="45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5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3" t="s">
        <v>182</v>
      </c>
      <c r="P15" s="564"/>
      <c r="Q15" s="360" t="s">
        <v>181</v>
      </c>
      <c r="R15" s="361"/>
      <c r="S15" s="362"/>
      <c r="T15" s="552">
        <v>6</v>
      </c>
      <c r="U15" s="55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5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5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2">
        <v>14</v>
      </c>
      <c r="U20" s="55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1">
        <v>25</v>
      </c>
      <c r="U21" s="461">
        <v>2021</v>
      </c>
      <c r="X21" s="45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5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5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4"/>
      <c r="N29" s="105"/>
      <c r="O29" s="394">
        <v>3.19</v>
      </c>
      <c r="P29" s="395" t="s">
        <v>162</v>
      </c>
      <c r="R29" s="85"/>
      <c r="T29" s="45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4"/>
      <c r="M35" s="46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0" t="s">
        <v>154</v>
      </c>
      <c r="E44" s="560"/>
      <c r="F44" s="560"/>
      <c r="G44" s="110">
        <v>2025</v>
      </c>
      <c r="H44" s="111">
        <v>773.5</v>
      </c>
      <c r="I44" s="46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1" t="s">
        <v>125</v>
      </c>
      <c r="E45" s="561"/>
      <c r="F45" s="56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1" t="s">
        <v>152</v>
      </c>
      <c r="E46" s="561"/>
      <c r="F46" s="562"/>
      <c r="G46" s="46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5"/>
      <c r="D55" s="54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0"/>
      <c r="G67" s="412"/>
      <c r="H67" s="412"/>
      <c r="I67" s="460"/>
      <c r="J67" s="412"/>
      <c r="K67" s="412"/>
    </row>
    <row r="68" spans="1:11" ht="23.5" customHeight="1" thickTop="1" x14ac:dyDescent="0.35">
      <c r="A68" s="460">
        <v>1</v>
      </c>
      <c r="B68" s="413">
        <v>1711509</v>
      </c>
      <c r="C68" s="412"/>
      <c r="D68" s="412"/>
      <c r="E68" s="412"/>
      <c r="F68" s="460"/>
      <c r="G68" s="412"/>
      <c r="H68" s="412"/>
      <c r="I68" s="46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6"/>
      <c r="C83" s="556"/>
      <c r="D83" s="556"/>
      <c r="E83" s="556"/>
      <c r="F83" s="556"/>
      <c r="G83" s="55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7">
        <f>SUM(G92:G101)</f>
        <v>231.20999999999995</v>
      </c>
      <c r="C102" s="558"/>
      <c r="D102" s="558"/>
      <c r="E102" s="558"/>
      <c r="F102" s="558"/>
      <c r="G102" s="559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58"/>
  </cols>
  <sheetData>
    <row r="1" spans="1:17" ht="9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7" x14ac:dyDescent="0.35">
      <c r="A2" s="453"/>
      <c r="B2" s="284" t="s">
        <v>296</v>
      </c>
      <c r="C2" s="458"/>
      <c r="D2" s="285">
        <v>46052.984398148146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7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7" ht="18.5" x14ac:dyDescent="0.35">
      <c r="A4" s="453"/>
      <c r="B4" s="458"/>
      <c r="C4" s="458"/>
      <c r="D4" s="565" t="s">
        <v>19</v>
      </c>
      <c r="E4" s="506"/>
      <c r="F4" s="507"/>
      <c r="G4" s="565" t="s">
        <v>295</v>
      </c>
      <c r="H4" s="506"/>
      <c r="I4" s="506"/>
      <c r="J4" s="507"/>
      <c r="K4" s="565" t="s">
        <v>294</v>
      </c>
      <c r="L4" s="507"/>
      <c r="M4" s="458"/>
      <c r="N4" s="458"/>
      <c r="O4" s="458"/>
      <c r="P4" s="458"/>
      <c r="Q4" s="45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58" customWidth="1"/>
    <col min="12" max="16384" width="10.90625" style="458"/>
  </cols>
  <sheetData>
    <row r="1" spans="1:10" x14ac:dyDescent="0.35">
      <c r="A1" s="458"/>
      <c r="B1" s="458"/>
      <c r="C1" s="458"/>
      <c r="D1" s="458"/>
      <c r="E1" s="272"/>
      <c r="F1" s="458"/>
      <c r="G1" s="458"/>
      <c r="H1" s="458"/>
      <c r="I1" s="458"/>
      <c r="J1" s="458"/>
    </row>
    <row r="2" spans="1:10" x14ac:dyDescent="0.35">
      <c r="A2" s="458"/>
      <c r="B2" s="458"/>
      <c r="C2" s="458"/>
      <c r="D2" s="458"/>
      <c r="E2" s="272"/>
      <c r="F2" s="458"/>
      <c r="G2" s="458"/>
      <c r="H2" s="458"/>
      <c r="I2" s="458"/>
      <c r="J2" s="45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8"/>
  <sheetViews>
    <sheetView workbookViewId="0">
      <selection activeCell="D9" sqref="D9"/>
    </sheetView>
  </sheetViews>
  <sheetFormatPr baseColWidth="10" defaultRowHeight="14.5" x14ac:dyDescent="0.35"/>
  <cols>
    <col min="1" max="1" width="3.1796875" style="268" customWidth="1"/>
    <col min="2" max="2" width="36.7265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4"/>
    </row>
    <row r="2" spans="2:8" ht="21" x14ac:dyDescent="0.35">
      <c r="B2" s="566" t="s">
        <v>657</v>
      </c>
      <c r="C2" s="567"/>
      <c r="D2" s="567"/>
      <c r="E2" s="567"/>
      <c r="F2" s="567"/>
      <c r="G2" s="567"/>
      <c r="H2" s="568"/>
    </row>
    <row r="3" spans="2:8" ht="36" customHeight="1" x14ac:dyDescent="0.35">
      <c r="B3" s="481" t="s">
        <v>656</v>
      </c>
      <c r="C3" s="482" t="s">
        <v>652</v>
      </c>
      <c r="D3" s="482" t="s">
        <v>653</v>
      </c>
      <c r="E3" s="482" t="s">
        <v>659</v>
      </c>
      <c r="F3" s="482" t="s">
        <v>654</v>
      </c>
      <c r="G3" s="482" t="s">
        <v>655</v>
      </c>
      <c r="H3" s="483" t="s">
        <v>679</v>
      </c>
    </row>
    <row r="4" spans="2:8" x14ac:dyDescent="0.35">
      <c r="B4" s="445" t="s">
        <v>306</v>
      </c>
      <c r="C4" s="484">
        <v>7.5</v>
      </c>
      <c r="D4" s="485">
        <v>5</v>
      </c>
      <c r="E4" s="486"/>
      <c r="F4" s="485">
        <v>10</v>
      </c>
      <c r="G4" s="485">
        <v>0</v>
      </c>
      <c r="H4" s="484">
        <v>2.5</v>
      </c>
    </row>
    <row r="5" spans="2:8" x14ac:dyDescent="0.35">
      <c r="B5" s="419" t="s">
        <v>419</v>
      </c>
      <c r="C5" s="487">
        <v>108.63</v>
      </c>
      <c r="D5" s="488"/>
      <c r="E5" s="489" t="s">
        <v>658</v>
      </c>
      <c r="F5" s="488">
        <v>10</v>
      </c>
      <c r="G5" s="488">
        <v>0</v>
      </c>
      <c r="H5" s="487">
        <v>2.5</v>
      </c>
    </row>
    <row r="6" spans="2:8" x14ac:dyDescent="0.35">
      <c r="B6" s="445" t="s">
        <v>415</v>
      </c>
      <c r="C6" s="484">
        <v>15</v>
      </c>
      <c r="D6" s="485">
        <v>5</v>
      </c>
      <c r="E6" s="486"/>
      <c r="F6" s="485">
        <v>10</v>
      </c>
      <c r="G6" s="485">
        <v>0</v>
      </c>
      <c r="H6" s="484">
        <v>2.5</v>
      </c>
    </row>
    <row r="7" spans="2:8" x14ac:dyDescent="0.35">
      <c r="B7" s="419" t="s">
        <v>440</v>
      </c>
      <c r="C7" s="487">
        <v>6</v>
      </c>
      <c r="D7" s="488"/>
      <c r="E7" s="489"/>
      <c r="F7" s="488"/>
      <c r="G7" s="488"/>
      <c r="H7" s="487"/>
    </row>
    <row r="8" spans="2:8" x14ac:dyDescent="0.35">
      <c r="B8" s="445" t="s">
        <v>425</v>
      </c>
      <c r="C8" s="484"/>
      <c r="D8" s="485">
        <v>5</v>
      </c>
      <c r="E8" s="486"/>
      <c r="F8" s="485">
        <v>10</v>
      </c>
      <c r="G8" s="485"/>
      <c r="H8" s="484"/>
    </row>
    <row r="9" spans="2:8" x14ac:dyDescent="0.35">
      <c r="B9" s="417"/>
      <c r="C9" s="475"/>
      <c r="D9" s="476"/>
      <c r="E9" s="477"/>
      <c r="F9" s="476"/>
      <c r="G9" s="476"/>
      <c r="H9" s="475"/>
    </row>
    <row r="10" spans="2:8" x14ac:dyDescent="0.35">
      <c r="B10" s="438"/>
      <c r="C10" s="478"/>
      <c r="D10" s="479"/>
      <c r="E10" s="480"/>
      <c r="F10" s="479"/>
      <c r="G10" s="479"/>
      <c r="H10" s="478"/>
    </row>
    <row r="11" spans="2:8" x14ac:dyDescent="0.35">
      <c r="B11" s="438"/>
      <c r="C11" s="478"/>
      <c r="D11" s="479"/>
      <c r="E11" s="480"/>
      <c r="F11" s="479"/>
      <c r="G11" s="479"/>
      <c r="H11" s="478"/>
    </row>
    <row r="12" spans="2:8" x14ac:dyDescent="0.35">
      <c r="B12" s="438"/>
      <c r="C12" s="478"/>
      <c r="D12" s="479"/>
      <c r="E12" s="480"/>
      <c r="F12" s="479"/>
      <c r="G12" s="479"/>
      <c r="H12" s="478"/>
    </row>
    <row r="13" spans="2:8" x14ac:dyDescent="0.35">
      <c r="B13" s="438"/>
      <c r="C13" s="478"/>
      <c r="D13" s="479"/>
      <c r="E13" s="480"/>
      <c r="F13" s="479"/>
      <c r="G13" s="479"/>
      <c r="H13" s="478"/>
    </row>
    <row r="14" spans="2:8" x14ac:dyDescent="0.35">
      <c r="B14" s="438"/>
      <c r="C14" s="478"/>
      <c r="D14" s="479"/>
      <c r="E14" s="480"/>
      <c r="F14" s="479"/>
      <c r="G14" s="479"/>
      <c r="H14" s="478"/>
    </row>
    <row r="15" spans="2:8" x14ac:dyDescent="0.35">
      <c r="B15" s="438"/>
      <c r="C15" s="478"/>
      <c r="D15" s="479"/>
      <c r="E15" s="480"/>
      <c r="F15" s="479"/>
      <c r="G15" s="479"/>
      <c r="H15" s="478"/>
    </row>
    <row r="16" spans="2:8" x14ac:dyDescent="0.35">
      <c r="B16" s="438"/>
      <c r="C16" s="478"/>
      <c r="D16" s="479"/>
      <c r="E16" s="480"/>
      <c r="F16" s="479"/>
      <c r="G16" s="479"/>
      <c r="H16" s="478"/>
    </row>
    <row r="17" spans="2:8" x14ac:dyDescent="0.35">
      <c r="B17" s="438"/>
      <c r="C17" s="478"/>
      <c r="D17" s="479"/>
      <c r="E17" s="480"/>
      <c r="F17" s="479"/>
      <c r="G17" s="479"/>
      <c r="H17" s="478"/>
    </row>
    <row r="18" spans="2:8" x14ac:dyDescent="0.35">
      <c r="B18" s="438"/>
      <c r="C18" s="478"/>
      <c r="D18" s="479"/>
      <c r="E18" s="480"/>
      <c r="F18" s="479"/>
      <c r="G18" s="479"/>
      <c r="H18" s="478"/>
    </row>
    <row r="19" spans="2:8" x14ac:dyDescent="0.35">
      <c r="B19" s="438"/>
      <c r="C19" s="478"/>
      <c r="D19" s="479"/>
      <c r="E19" s="480"/>
      <c r="F19" s="479"/>
      <c r="G19" s="479"/>
      <c r="H19" s="478"/>
    </row>
    <row r="20" spans="2:8" x14ac:dyDescent="0.35">
      <c r="B20" s="438"/>
      <c r="C20" s="478"/>
      <c r="D20" s="479"/>
      <c r="E20" s="480"/>
      <c r="F20" s="479"/>
      <c r="G20" s="479"/>
      <c r="H20" s="478"/>
    </row>
    <row r="21" spans="2:8" x14ac:dyDescent="0.35">
      <c r="B21" s="438"/>
      <c r="C21" s="478"/>
      <c r="D21" s="479"/>
      <c r="E21" s="480"/>
      <c r="F21" s="479"/>
      <c r="G21" s="479"/>
      <c r="H21" s="478"/>
    </row>
    <row r="22" spans="2:8" x14ac:dyDescent="0.35">
      <c r="B22" s="438"/>
      <c r="C22" s="478"/>
      <c r="D22" s="479"/>
      <c r="E22" s="480"/>
      <c r="F22" s="479"/>
      <c r="G22" s="479"/>
      <c r="H22" s="478"/>
    </row>
    <row r="23" spans="2:8" x14ac:dyDescent="0.35">
      <c r="B23" s="438"/>
      <c r="C23" s="478"/>
      <c r="D23" s="479"/>
      <c r="E23" s="480"/>
      <c r="F23" s="479"/>
      <c r="G23" s="479"/>
      <c r="H23" s="478"/>
    </row>
    <row r="24" spans="2:8" x14ac:dyDescent="0.35">
      <c r="B24" s="438"/>
      <c r="C24" s="478"/>
      <c r="D24" s="479"/>
      <c r="E24" s="480"/>
      <c r="F24" s="479"/>
      <c r="G24" s="479"/>
      <c r="H24" s="478"/>
    </row>
    <row r="25" spans="2:8" x14ac:dyDescent="0.35">
      <c r="B25" s="438"/>
      <c r="C25" s="478"/>
      <c r="D25" s="479"/>
      <c r="E25" s="480"/>
      <c r="F25" s="479"/>
      <c r="G25" s="479"/>
      <c r="H25" s="478"/>
    </row>
    <row r="26" spans="2:8" x14ac:dyDescent="0.35">
      <c r="B26" s="438"/>
      <c r="C26" s="478"/>
      <c r="D26" s="479"/>
      <c r="E26" s="480"/>
      <c r="F26" s="479"/>
      <c r="G26" s="479"/>
      <c r="H26" s="478"/>
    </row>
    <row r="27" spans="2:8" x14ac:dyDescent="0.35">
      <c r="B27" s="438"/>
      <c r="C27" s="478"/>
      <c r="D27" s="479"/>
      <c r="E27" s="480"/>
      <c r="F27" s="479"/>
      <c r="G27" s="479"/>
      <c r="H27" s="478"/>
    </row>
    <row r="28" spans="2:8" x14ac:dyDescent="0.35">
      <c r="B28" s="438"/>
      <c r="C28" s="478"/>
      <c r="D28" s="479"/>
      <c r="E28" s="480"/>
      <c r="F28" s="479"/>
      <c r="G28" s="479"/>
      <c r="H28" s="478"/>
    </row>
    <row r="29" spans="2:8" x14ac:dyDescent="0.35">
      <c r="B29" s="438"/>
      <c r="C29" s="478"/>
      <c r="D29" s="479"/>
      <c r="E29" s="480"/>
      <c r="F29" s="479"/>
      <c r="G29" s="479"/>
      <c r="H29" s="478"/>
    </row>
    <row r="30" spans="2:8" x14ac:dyDescent="0.35">
      <c r="B30" s="438"/>
      <c r="C30" s="478"/>
      <c r="D30" s="479"/>
      <c r="E30" s="480"/>
      <c r="F30" s="479"/>
      <c r="G30" s="479"/>
      <c r="H30" s="478"/>
    </row>
    <row r="31" spans="2:8" x14ac:dyDescent="0.35">
      <c r="B31" s="438"/>
      <c r="C31" s="478"/>
      <c r="D31" s="479"/>
      <c r="E31" s="480"/>
      <c r="F31" s="479"/>
      <c r="G31" s="479"/>
      <c r="H31" s="478"/>
    </row>
    <row r="32" spans="2:8" x14ac:dyDescent="0.35">
      <c r="B32" s="438"/>
      <c r="C32" s="478"/>
      <c r="D32" s="479"/>
      <c r="E32" s="480"/>
      <c r="F32" s="479"/>
      <c r="G32" s="479"/>
      <c r="H32" s="478"/>
    </row>
    <row r="33" spans="2:8" x14ac:dyDescent="0.35">
      <c r="B33" s="438"/>
      <c r="C33" s="478"/>
      <c r="D33" s="479"/>
      <c r="E33" s="480"/>
      <c r="F33" s="479"/>
      <c r="G33" s="479"/>
      <c r="H33" s="478"/>
    </row>
    <row r="34" spans="2:8" x14ac:dyDescent="0.35">
      <c r="B34" s="438"/>
      <c r="C34" s="478"/>
      <c r="D34" s="479"/>
      <c r="E34" s="480"/>
      <c r="F34" s="479"/>
      <c r="G34" s="479"/>
      <c r="H34" s="478"/>
    </row>
    <row r="35" spans="2:8" x14ac:dyDescent="0.35">
      <c r="B35" s="438"/>
      <c r="C35" s="478"/>
      <c r="D35" s="479"/>
      <c r="E35" s="480"/>
      <c r="F35" s="479"/>
      <c r="G35" s="479"/>
      <c r="H35" s="478"/>
    </row>
    <row r="36" spans="2:8" x14ac:dyDescent="0.35">
      <c r="B36" s="438"/>
      <c r="C36" s="478"/>
      <c r="D36" s="479"/>
      <c r="E36" s="480"/>
      <c r="F36" s="479"/>
      <c r="G36" s="479"/>
      <c r="H36" s="478"/>
    </row>
    <row r="37" spans="2:8" x14ac:dyDescent="0.35">
      <c r="B37" s="438"/>
      <c r="C37" s="478"/>
      <c r="D37" s="479"/>
      <c r="E37" s="480"/>
      <c r="F37" s="479"/>
      <c r="G37" s="479"/>
      <c r="H37" s="478"/>
    </row>
    <row r="38" spans="2:8" x14ac:dyDescent="0.35">
      <c r="B38" s="438"/>
      <c r="C38" s="478"/>
      <c r="D38" s="479"/>
      <c r="E38" s="480"/>
      <c r="F38" s="479"/>
      <c r="G38" s="479"/>
      <c r="H38" s="478"/>
    </row>
    <row r="39" spans="2:8" x14ac:dyDescent="0.35">
      <c r="B39" s="438"/>
      <c r="C39" s="478"/>
      <c r="D39" s="479"/>
      <c r="E39" s="480"/>
      <c r="F39" s="479"/>
      <c r="G39" s="479"/>
      <c r="H39" s="478"/>
    </row>
    <row r="40" spans="2:8" x14ac:dyDescent="0.35">
      <c r="B40" s="438"/>
      <c r="C40" s="478"/>
      <c r="D40" s="479"/>
      <c r="E40" s="480"/>
      <c r="F40" s="479"/>
      <c r="G40" s="479"/>
      <c r="H40" s="478"/>
    </row>
    <row r="41" spans="2:8" x14ac:dyDescent="0.35">
      <c r="B41" s="438"/>
      <c r="C41" s="478"/>
      <c r="D41" s="479"/>
      <c r="E41" s="480"/>
      <c r="F41" s="479"/>
      <c r="G41" s="479"/>
      <c r="H41" s="478"/>
    </row>
    <row r="42" spans="2:8" x14ac:dyDescent="0.35">
      <c r="B42" s="438"/>
      <c r="C42" s="478"/>
      <c r="D42" s="479"/>
      <c r="E42" s="480"/>
      <c r="F42" s="479"/>
      <c r="G42" s="479"/>
      <c r="H42" s="478"/>
    </row>
    <row r="43" spans="2:8" x14ac:dyDescent="0.35">
      <c r="B43" s="438"/>
      <c r="C43" s="478"/>
      <c r="D43" s="479"/>
      <c r="E43" s="480"/>
      <c r="F43" s="479"/>
      <c r="G43" s="479"/>
      <c r="H43" s="478"/>
    </row>
    <row r="44" spans="2:8" x14ac:dyDescent="0.35">
      <c r="B44" s="438"/>
      <c r="C44" s="478"/>
      <c r="D44" s="479"/>
      <c r="E44" s="480"/>
      <c r="F44" s="479"/>
      <c r="G44" s="479"/>
      <c r="H44" s="478"/>
    </row>
    <row r="45" spans="2:8" x14ac:dyDescent="0.35">
      <c r="B45" s="438"/>
      <c r="C45" s="478"/>
      <c r="D45" s="479"/>
      <c r="E45" s="480"/>
      <c r="F45" s="479"/>
      <c r="G45" s="479"/>
      <c r="H45" s="478"/>
    </row>
    <row r="46" spans="2:8" x14ac:dyDescent="0.35">
      <c r="B46" s="438"/>
      <c r="C46" s="478"/>
      <c r="D46" s="479"/>
      <c r="E46" s="480"/>
      <c r="F46" s="479"/>
      <c r="G46" s="479"/>
      <c r="H46" s="478"/>
    </row>
    <row r="47" spans="2:8" x14ac:dyDescent="0.35">
      <c r="B47" s="438"/>
      <c r="C47" s="478"/>
      <c r="D47" s="479"/>
      <c r="E47" s="480"/>
      <c r="F47" s="479"/>
      <c r="G47" s="479"/>
      <c r="H47" s="478"/>
    </row>
    <row r="48" spans="2:8" x14ac:dyDescent="0.35">
      <c r="B48" s="438"/>
      <c r="C48" s="478"/>
      <c r="D48" s="479"/>
      <c r="E48" s="480"/>
      <c r="F48" s="479"/>
      <c r="G48" s="479"/>
      <c r="H48" s="478"/>
    </row>
    <row r="49" spans="2:8" x14ac:dyDescent="0.35">
      <c r="B49" s="438"/>
      <c r="C49" s="478"/>
      <c r="D49" s="479"/>
      <c r="E49" s="480"/>
      <c r="F49" s="479"/>
      <c r="G49" s="479"/>
      <c r="H49" s="478"/>
    </row>
    <row r="50" spans="2:8" x14ac:dyDescent="0.35">
      <c r="B50" s="438"/>
      <c r="C50" s="478"/>
      <c r="D50" s="479"/>
      <c r="E50" s="480"/>
      <c r="F50" s="479"/>
      <c r="G50" s="479"/>
      <c r="H50" s="478"/>
    </row>
    <row r="51" spans="2:8" x14ac:dyDescent="0.35">
      <c r="B51" s="438"/>
      <c r="C51" s="478"/>
      <c r="D51" s="479"/>
      <c r="E51" s="480"/>
      <c r="F51" s="479"/>
      <c r="G51" s="479"/>
      <c r="H51" s="478"/>
    </row>
    <row r="52" spans="2:8" x14ac:dyDescent="0.35">
      <c r="B52" s="438"/>
      <c r="C52" s="478"/>
      <c r="D52" s="479"/>
      <c r="E52" s="480"/>
      <c r="F52" s="479"/>
      <c r="G52" s="479"/>
      <c r="H52" s="478"/>
    </row>
    <row r="53" spans="2:8" x14ac:dyDescent="0.35">
      <c r="B53" s="438"/>
      <c r="C53" s="478"/>
      <c r="D53" s="479"/>
      <c r="E53" s="480"/>
      <c r="F53" s="479"/>
      <c r="G53" s="479"/>
      <c r="H53" s="478"/>
    </row>
    <row r="54" spans="2:8" x14ac:dyDescent="0.35">
      <c r="B54" s="438"/>
      <c r="C54" s="478"/>
      <c r="D54" s="479"/>
      <c r="E54" s="480"/>
      <c r="F54" s="479"/>
      <c r="G54" s="479"/>
      <c r="H54" s="478"/>
    </row>
    <row r="55" spans="2:8" x14ac:dyDescent="0.35">
      <c r="B55" s="438"/>
      <c r="C55" s="478"/>
      <c r="D55" s="479"/>
      <c r="E55" s="480"/>
      <c r="F55" s="479"/>
      <c r="G55" s="479"/>
      <c r="H55" s="478"/>
    </row>
    <row r="56" spans="2:8" x14ac:dyDescent="0.35">
      <c r="B56" s="438"/>
      <c r="C56" s="478"/>
      <c r="D56" s="479"/>
      <c r="E56" s="480"/>
      <c r="F56" s="479"/>
      <c r="G56" s="479"/>
      <c r="H56" s="478"/>
    </row>
    <row r="57" spans="2:8" x14ac:dyDescent="0.35">
      <c r="B57" s="438"/>
      <c r="C57" s="478"/>
      <c r="D57" s="479"/>
      <c r="E57" s="480"/>
      <c r="F57" s="479"/>
      <c r="G57" s="479"/>
      <c r="H57" s="478"/>
    </row>
    <row r="58" spans="2:8" x14ac:dyDescent="0.35">
      <c r="B58" s="438"/>
      <c r="C58" s="478"/>
      <c r="D58" s="479"/>
      <c r="E58" s="480"/>
      <c r="F58" s="479"/>
      <c r="G58" s="479"/>
      <c r="H58" s="478"/>
    </row>
  </sheetData>
  <sheetProtection sheet="1" objects="1" scenarios="1" selectLockedCells="1"/>
  <mergeCells count="1">
    <mergeCell ref="B2:H2"/>
  </mergeCells>
  <dataValidations count="18">
    <dataValidation type="list" allowBlank="1" showErrorMessage="1" sqref="D4" xr:uid="{848C7A08-A7CF-4D0E-97ED-E1346F557F26}">
      <formula1>"1,2,3,4,5,6,7,8,9,10,11,12,13,14,15,16,17,18,19,20,21,22,23,24,25,26,27,28,29,30,31"</formula1>
    </dataValidation>
    <dataValidation type="list" allowBlank="1" showErrorMessage="1" sqref="D5" xr:uid="{9E99A858-4087-4544-8DD6-148FA8CAD43B}">
      <formula1>"1,2,3,4,5,6,7,8,9,10,11,12,13,14,15,16,17,18,19,20,21,22,23,24,25,26,27,28,29,30,31"</formula1>
    </dataValidation>
    <dataValidation type="list" allowBlank="1" showErrorMessage="1" sqref="D6" xr:uid="{4AD31067-C497-4987-BA67-03431497B280}">
      <formula1>"1,2,3,4,5,6,7,8,9,10,11,12,13,14,15,16,17,18,19,20,21,22,23,24,25,26,27,28,29,30,31"</formula1>
    </dataValidation>
    <dataValidation type="list" allowBlank="1" showErrorMessage="1" sqref="D7" xr:uid="{9CD5DCC3-A1AA-43A5-9E03-B12B0D8B17A1}">
      <formula1>"1,2,3,4,5,6,7,8,9,10,11,12,13,14,15,16,17,18,19,20,21,22,23,24,25,26,27,28,29,30,31"</formula1>
    </dataValidation>
    <dataValidation type="list" allowBlank="1" showErrorMessage="1" sqref="D8" xr:uid="{3090F1CE-1BD0-4DDB-B162-89A4190E22EE}">
      <formula1>"1,2,3,4,5,6,7,8,9,10,11,12,13,14,15,16,17,18,19,20,21,22,23,24,25,26,27,28,29,30,31"</formula1>
    </dataValidation>
    <dataValidation type="list" allowBlank="1" showErrorMessage="1" sqref="D9" xr:uid="{6D8CE067-07FE-4C9B-A130-097BCFD4D7C3}">
      <formula1>"1,2,3,4,5,6,7,8,9,10,11,12,13,14,15,16,17,18,19,20,21,22,23,24,25,26,27,28,29,30,31"</formula1>
    </dataValidation>
    <dataValidation type="list" allowBlank="1" showErrorMessage="1" sqref="F4" xr:uid="{37646E7B-6166-4EAF-9224-CCEA6E99E2F3}">
      <formula1>"0,1,2,3,4,5,6,7,8,9,10,11,12,13,14,15,16,17,18,19,20,21,22,23,24,25,26,27,28,29,30,31"</formula1>
    </dataValidation>
    <dataValidation type="list" allowBlank="1" showErrorMessage="1" sqref="F5" xr:uid="{353D80BF-425D-4728-AC27-ADD580414112}">
      <formula1>"0,1,2,3,4,5,6,7,8,9,10,11,12,13,14,15,16,17,18,19,20,21,22,23,24,25,26,27,28,29,30,31"</formula1>
    </dataValidation>
    <dataValidation type="list" allowBlank="1" showErrorMessage="1" sqref="F6" xr:uid="{B5F9FD6A-EA9E-4404-B669-D2E399ED01E4}">
      <formula1>"0,1,2,3,4,5,6,7,8,9,10,11,12,13,14,15,16,17,18,19,20,21,22,23,24,25,26,27,28,29,30,31"</formula1>
    </dataValidation>
    <dataValidation type="list" allowBlank="1" showErrorMessage="1" sqref="F7" xr:uid="{477E4814-5449-43E1-A819-64E1F0C2A0B0}">
      <formula1>"0,1,2,3,4,5,6,7,8,9,10,11,12,13,14,15,16,17,18,19,20,21,22,23,24,25,26,27,28,29,30,31"</formula1>
    </dataValidation>
    <dataValidation type="list" allowBlank="1" showErrorMessage="1" sqref="F8" xr:uid="{7A53AF5D-6753-45FE-8909-D3C94CCB6F9A}">
      <formula1>"0,1,2,3,4,5,6,7,8,9,10,11,12,13,14,15,16,17,18,19,20,21,22,23,24,25,26,27,28,29,30,31"</formula1>
    </dataValidation>
    <dataValidation type="list" allowBlank="1" showErrorMessage="1" sqref="F9" xr:uid="{FBB27A9C-9E0A-4A7A-9C3D-549793ED70BF}">
      <formula1>"0,1,2,3,4,5,6,7,8,9,10,11,12,13,14,15,16,17,18,19,20,21,22,23,24,25,26,27,28,29,30,31"</formula1>
    </dataValidation>
    <dataValidation type="list" allowBlank="1" showErrorMessage="1" sqref="G4" xr:uid="{10DCC0B5-36E4-4779-8B90-EF9A7381D53C}">
      <formula1>"0,1,2,3,4,5,6,7,8,9,10,11,12,13,14,15,16,17,18,19,20,21,22,23,24,25,26,27,28,29,30,31"</formula1>
    </dataValidation>
    <dataValidation type="list" allowBlank="1" showErrorMessage="1" sqref="G5" xr:uid="{270BF516-F336-460A-815B-C4223DFA2F6D}">
      <formula1>"0,1,2,3,4,5,6,7,8,9,10,11,12,13,14,15,16,17,18,19,20,21,22,23,24,25,26,27,28,29,30,31"</formula1>
    </dataValidation>
    <dataValidation type="list" allowBlank="1" showErrorMessage="1" sqref="G6" xr:uid="{1D598056-4D3B-474F-B1D0-2F10D5770AB5}">
      <formula1>"0,1,2,3,4,5,6,7,8,9,10,11,12,13,14,15,16,17,18,19,20,21,22,23,24,25,26,27,28,29,30,31"</formula1>
    </dataValidation>
    <dataValidation type="list" allowBlank="1" showErrorMessage="1" sqref="G7" xr:uid="{EA5E8859-A64D-44A7-A4BE-BE3A60E2E839}">
      <formula1>"0,1,2,3,4,5,6,7,8,9,10,11,12,13,14,15,16,17,18,19,20,21,22,23,24,25,26,27,28,29,30,31"</formula1>
    </dataValidation>
    <dataValidation type="list" allowBlank="1" showErrorMessage="1" sqref="G8" xr:uid="{7B119612-65BA-47DA-A2E8-9B94E1B5E8D5}">
      <formula1>"0,1,2,3,4,5,6,7,8,9,10,11,12,13,14,15,16,17,18,19,20,21,22,23,24,25,26,27,28,29,30,31"</formula1>
    </dataValidation>
    <dataValidation type="list" allowBlank="1" showErrorMessage="1" sqref="G9" xr:uid="{044D26A5-B6F8-4107-9ABE-FDB5225890F3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xr:uid="{029DBD1D-445D-48ED-B31F-5BB73CE73E9C}">
          <x14:formula1>
            <xm:f>Daten!$J$4:$J$62</xm:f>
          </x14:formula1>
          <xm:sqref>B4</xm:sqref>
        </x14:dataValidation>
        <x14:dataValidation type="list" allowBlank="1" showErrorMessage="1" xr:uid="{ECE4710F-0DEB-4919-9DC6-24581A8FC78F}">
          <x14:formula1>
            <xm:f>Daten!$J$4:$J$62</xm:f>
          </x14:formula1>
          <xm:sqref>B5</xm:sqref>
        </x14:dataValidation>
        <x14:dataValidation type="list" allowBlank="1" showErrorMessage="1" xr:uid="{2F2FA67D-7932-41DA-B673-AEADC094DC6A}">
          <x14:formula1>
            <xm:f>Daten!$J$4:$J$62</xm:f>
          </x14:formula1>
          <xm:sqref>B6</xm:sqref>
        </x14:dataValidation>
        <x14:dataValidation type="list" allowBlank="1" showErrorMessage="1" xr:uid="{E6B8EA17-AD73-4705-A6A5-E1ADAB4E334C}">
          <x14:formula1>
            <xm:f>Daten!$J$4:$J$62</xm:f>
          </x14:formula1>
          <xm:sqref>B7</xm:sqref>
        </x14:dataValidation>
        <x14:dataValidation type="list" allowBlank="1" showErrorMessage="1" xr:uid="{BE62B63C-ECA4-4C62-AF7B-F03B54C8A379}">
          <x14:formula1>
            <xm:f>Daten!$J$4:$J$62</xm:f>
          </x14:formula1>
          <xm:sqref>B8</xm:sqref>
        </x14:dataValidation>
        <x14:dataValidation type="list" allowBlank="1" showErrorMessage="1" xr:uid="{D132A72E-7298-4E8A-9FA6-AFE665D3ABF4}">
          <x14:formula1>
            <xm:f>Daten!$J$4:$J$62</xm:f>
          </x14:formula1>
          <xm:sqref>B9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B1" zoomScale="80" zoomScaleNormal="80" workbookViewId="0">
      <pane ySplit="3" topLeftCell="A4" activePane="bottomLeft" state="frozen"/>
      <selection activeCell="F1" sqref="F1"/>
      <selection pane="bottomLeft" activeCell="U5" sqref="U5"/>
    </sheetView>
  </sheetViews>
  <sheetFormatPr baseColWidth="10" defaultColWidth="11.453125" defaultRowHeight="14.5" x14ac:dyDescent="0.35"/>
  <cols>
    <col min="1" max="1" width="3.54296875" style="458" customWidth="1"/>
    <col min="2" max="2" width="20.54296875" style="272" bestFit="1" customWidth="1"/>
    <col min="3" max="3" width="3.54296875" style="458" customWidth="1"/>
    <col min="4" max="4" width="16.1796875" style="272" hidden="1" customWidth="1"/>
    <col min="5" max="5" width="3.54296875" style="458" hidden="1" customWidth="1"/>
    <col min="6" max="6" width="9.54296875" style="453" hidden="1" customWidth="1"/>
    <col min="7" max="7" width="3.54296875" style="458" hidden="1" customWidth="1"/>
    <col min="8" max="8" width="6.54296875" style="272" hidden="1" customWidth="1"/>
    <col min="9" max="9" width="3.54296875" style="458" hidden="1" customWidth="1"/>
    <col min="10" max="10" width="38.7265625" style="272" bestFit="1" customWidth="1"/>
    <col min="11" max="11" width="12.6328125" style="453" customWidth="1"/>
    <col min="12" max="12" width="27.81640625" style="267" bestFit="1" customWidth="1"/>
    <col min="13" max="13" width="9.453125" style="45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58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3" customWidth="1"/>
    <col min="23" max="23" width="20.54296875" style="272" bestFit="1" customWidth="1"/>
    <col min="24" max="24" width="65.6328125" style="272" customWidth="1"/>
    <col min="25" max="25" width="3.453125" style="458" customWidth="1"/>
    <col min="26" max="26" width="32" style="458" hidden="1" customWidth="1"/>
    <col min="27" max="27" width="18.81640625" style="458" hidden="1" customWidth="1"/>
    <col min="28" max="28" width="23.26953125" style="458" hidden="1" customWidth="1"/>
    <col min="29" max="29" width="20.1796875" style="453" bestFit="1" customWidth="1"/>
    <col min="30" max="30" width="21.26953125" style="458" bestFit="1" customWidth="1"/>
    <col min="31" max="31" width="15.453125" style="458" hidden="1" customWidth="1"/>
    <col min="32" max="32" width="38.7265625" style="458" bestFit="1" customWidth="1"/>
    <col min="33" max="33" width="38.26953125" style="458" bestFit="1" customWidth="1"/>
    <col min="34" max="34" width="16.6328125" style="458" bestFit="1" customWidth="1"/>
    <col min="35" max="16384" width="11.453125" style="458"/>
  </cols>
  <sheetData>
    <row r="1" spans="1:34" ht="22" customHeight="1" x14ac:dyDescent="0.35"/>
    <row r="2" spans="1:34" ht="23" customHeight="1" x14ac:dyDescent="0.35">
      <c r="J2" s="569" t="s">
        <v>632</v>
      </c>
      <c r="K2" s="569"/>
      <c r="L2" s="569"/>
      <c r="M2" s="569"/>
      <c r="N2" s="569"/>
      <c r="O2" s="569"/>
      <c r="P2" s="569"/>
      <c r="R2" s="570" t="s">
        <v>633</v>
      </c>
      <c r="S2" s="571"/>
      <c r="T2" s="571"/>
      <c r="U2" s="571"/>
      <c r="V2" s="571"/>
      <c r="W2" s="571"/>
      <c r="X2" s="572"/>
    </row>
    <row r="3" spans="1:34" ht="74" x14ac:dyDescent="0.35">
      <c r="A3" s="159"/>
      <c r="B3" s="425" t="s">
        <v>308</v>
      </c>
      <c r="C3" s="159"/>
      <c r="D3" s="425" t="s">
        <v>307</v>
      </c>
      <c r="E3" s="159"/>
      <c r="F3" s="426" t="s">
        <v>293</v>
      </c>
      <c r="G3" s="159"/>
      <c r="H3" s="425" t="s">
        <v>292</v>
      </c>
      <c r="I3" s="159"/>
      <c r="J3" s="427" t="s">
        <v>20</v>
      </c>
      <c r="K3" s="426" t="s">
        <v>392</v>
      </c>
      <c r="L3" s="428" t="s">
        <v>393</v>
      </c>
      <c r="M3" s="429" t="s">
        <v>394</v>
      </c>
      <c r="N3" s="425" t="s">
        <v>464</v>
      </c>
      <c r="O3" s="427" t="s">
        <v>406</v>
      </c>
      <c r="P3" s="425" t="s">
        <v>395</v>
      </c>
      <c r="Q3" s="159"/>
      <c r="R3" s="425" t="s">
        <v>372</v>
      </c>
      <c r="S3" s="425" t="s">
        <v>373</v>
      </c>
      <c r="T3" s="425" t="s">
        <v>374</v>
      </c>
      <c r="U3" s="425" t="s">
        <v>375</v>
      </c>
      <c r="V3" s="431" t="s">
        <v>376</v>
      </c>
      <c r="W3" s="425" t="s">
        <v>458</v>
      </c>
      <c r="X3" s="425" t="s">
        <v>377</v>
      </c>
      <c r="Z3" s="425" t="s">
        <v>398</v>
      </c>
      <c r="AA3" s="425" t="s">
        <v>399</v>
      </c>
      <c r="AB3" s="425" t="s">
        <v>509</v>
      </c>
      <c r="AC3" s="425" t="s">
        <v>407</v>
      </c>
      <c r="AD3" s="425" t="s">
        <v>453</v>
      </c>
      <c r="AE3" s="425" t="s">
        <v>465</v>
      </c>
      <c r="AF3" s="425" t="s">
        <v>473</v>
      </c>
      <c r="AG3" s="425" t="s">
        <v>474</v>
      </c>
      <c r="AH3" s="425" t="s">
        <v>634</v>
      </c>
    </row>
    <row r="4" spans="1:34" x14ac:dyDescent="0.35">
      <c r="B4" s="440" t="s">
        <v>305</v>
      </c>
      <c r="C4" s="280"/>
      <c r="D4" s="440" t="s">
        <v>216</v>
      </c>
      <c r="E4" s="280"/>
      <c r="F4" s="442">
        <v>1</v>
      </c>
      <c r="G4" s="280"/>
      <c r="H4" s="440" t="s">
        <v>213</v>
      </c>
      <c r="I4" s="280"/>
      <c r="J4" s="445" t="s">
        <v>390</v>
      </c>
      <c r="K4" s="446" t="s">
        <v>397</v>
      </c>
      <c r="L4" s="573" t="s">
        <v>410</v>
      </c>
      <c r="M4" s="446">
        <v>2</v>
      </c>
      <c r="N4" s="445" t="s">
        <v>10</v>
      </c>
      <c r="O4" s="445" t="s">
        <v>409</v>
      </c>
      <c r="P4" s="447" t="s">
        <v>411</v>
      </c>
      <c r="R4" s="424" t="s">
        <v>482</v>
      </c>
      <c r="S4" s="424" t="s">
        <v>577</v>
      </c>
      <c r="T4" s="424" t="s">
        <v>66</v>
      </c>
      <c r="U4" s="466" t="s">
        <v>599</v>
      </c>
      <c r="V4" s="467">
        <v>1</v>
      </c>
      <c r="W4" s="466" t="s">
        <v>506</v>
      </c>
      <c r="X4" s="468" t="s">
        <v>617</v>
      </c>
      <c r="Z4" s="434" t="s">
        <v>396</v>
      </c>
      <c r="AA4" s="434">
        <v>1</v>
      </c>
      <c r="AB4" s="449" t="s">
        <v>400</v>
      </c>
      <c r="AC4" s="449" t="s">
        <v>402</v>
      </c>
      <c r="AD4" s="449" t="s">
        <v>506</v>
      </c>
      <c r="AE4" s="434">
        <v>0</v>
      </c>
      <c r="AF4" s="433" t="s">
        <v>467</v>
      </c>
      <c r="AG4" s="432">
        <v>0</v>
      </c>
      <c r="AH4" s="473" t="s">
        <v>79</v>
      </c>
    </row>
    <row r="5" spans="1:34" ht="29" x14ac:dyDescent="0.35">
      <c r="B5" s="441" t="s">
        <v>214</v>
      </c>
      <c r="C5" s="280"/>
      <c r="D5" s="441" t="s">
        <v>212</v>
      </c>
      <c r="E5" s="280"/>
      <c r="F5" s="443">
        <v>2</v>
      </c>
      <c r="G5" s="280"/>
      <c r="H5" s="441" t="s">
        <v>230</v>
      </c>
      <c r="I5" s="280"/>
      <c r="J5" s="419" t="s">
        <v>390</v>
      </c>
      <c r="K5" s="421" t="s">
        <v>397</v>
      </c>
      <c r="L5" s="574">
        <v>1312478</v>
      </c>
      <c r="M5" s="421">
        <v>3</v>
      </c>
      <c r="N5" s="419" t="s">
        <v>10</v>
      </c>
      <c r="O5" s="419" t="s">
        <v>409</v>
      </c>
      <c r="P5" s="422" t="s">
        <v>411</v>
      </c>
      <c r="R5" s="423" t="s">
        <v>619</v>
      </c>
      <c r="S5" s="423" t="s">
        <v>571</v>
      </c>
      <c r="T5" s="423" t="s">
        <v>570</v>
      </c>
      <c r="U5" s="468" t="s">
        <v>620</v>
      </c>
      <c r="V5" s="467">
        <v>2</v>
      </c>
      <c r="W5" s="466" t="s">
        <v>506</v>
      </c>
      <c r="X5" s="468" t="s">
        <v>644</v>
      </c>
      <c r="Z5" s="435" t="s">
        <v>397</v>
      </c>
      <c r="AA5" s="435">
        <v>2</v>
      </c>
      <c r="AB5" s="450" t="s">
        <v>401</v>
      </c>
      <c r="AC5" s="450" t="s">
        <v>404</v>
      </c>
      <c r="AD5" s="301" t="s">
        <v>507</v>
      </c>
      <c r="AE5" s="469"/>
      <c r="AF5" s="436" t="s">
        <v>304</v>
      </c>
      <c r="AG5" s="296" t="s">
        <v>472</v>
      </c>
      <c r="AH5" s="474" t="s">
        <v>78</v>
      </c>
    </row>
    <row r="6" spans="1:34" x14ac:dyDescent="0.35">
      <c r="B6" s="440" t="s">
        <v>252</v>
      </c>
      <c r="C6" s="280"/>
      <c r="D6" s="440" t="s">
        <v>303</v>
      </c>
      <c r="E6" s="280"/>
      <c r="F6" s="442">
        <v>3</v>
      </c>
      <c r="G6" s="280"/>
      <c r="H6" s="440" t="s">
        <v>205</v>
      </c>
      <c r="I6" s="280"/>
      <c r="J6" s="445" t="s">
        <v>467</v>
      </c>
      <c r="K6" s="446" t="s">
        <v>396</v>
      </c>
      <c r="L6" s="573" t="s">
        <v>468</v>
      </c>
      <c r="M6" s="446">
        <v>2</v>
      </c>
      <c r="N6" s="445" t="s">
        <v>11</v>
      </c>
      <c r="O6" s="445" t="s">
        <v>409</v>
      </c>
      <c r="P6" s="445" t="s">
        <v>469</v>
      </c>
      <c r="R6" s="424" t="s">
        <v>484</v>
      </c>
      <c r="S6" s="424" t="s">
        <v>601</v>
      </c>
      <c r="T6" s="424" t="s">
        <v>600</v>
      </c>
      <c r="U6" s="466" t="s">
        <v>629</v>
      </c>
      <c r="V6" s="467">
        <v>2</v>
      </c>
      <c r="W6" s="466" t="s">
        <v>506</v>
      </c>
      <c r="X6" s="468" t="s">
        <v>617</v>
      </c>
      <c r="Z6" s="469"/>
      <c r="AA6" s="430">
        <v>3</v>
      </c>
      <c r="AB6" s="418"/>
      <c r="AC6" s="449" t="s">
        <v>405</v>
      </c>
      <c r="AD6" s="451" t="s">
        <v>508</v>
      </c>
      <c r="AE6" s="469"/>
      <c r="AF6" s="433" t="s">
        <v>415</v>
      </c>
      <c r="AG6" s="432" t="s">
        <v>336</v>
      </c>
      <c r="AH6" s="473" t="s">
        <v>77</v>
      </c>
    </row>
    <row r="7" spans="1:34" x14ac:dyDescent="0.35">
      <c r="B7" s="441" t="s">
        <v>301</v>
      </c>
      <c r="C7" s="280"/>
      <c r="D7" s="441" t="s">
        <v>300</v>
      </c>
      <c r="E7" s="280"/>
      <c r="F7" s="443">
        <v>4</v>
      </c>
      <c r="G7" s="280"/>
      <c r="H7" s="417"/>
      <c r="I7" s="280"/>
      <c r="J7" s="419" t="s">
        <v>472</v>
      </c>
      <c r="K7" s="421" t="s">
        <v>397</v>
      </c>
      <c r="L7" s="574" t="s">
        <v>677</v>
      </c>
      <c r="M7" s="421">
        <v>5</v>
      </c>
      <c r="N7" s="419" t="s">
        <v>10</v>
      </c>
      <c r="O7" s="419" t="s">
        <v>409</v>
      </c>
      <c r="P7" s="422" t="s">
        <v>471</v>
      </c>
      <c r="R7" s="423" t="s">
        <v>485</v>
      </c>
      <c r="S7" s="423" t="s">
        <v>576</v>
      </c>
      <c r="T7" s="423" t="s">
        <v>637</v>
      </c>
      <c r="U7" s="466" t="s">
        <v>544</v>
      </c>
      <c r="V7" s="467">
        <v>3</v>
      </c>
      <c r="W7" s="466" t="s">
        <v>506</v>
      </c>
      <c r="X7" s="468" t="s">
        <v>617</v>
      </c>
      <c r="Z7" s="469"/>
      <c r="AA7" s="294">
        <v>4</v>
      </c>
      <c r="AB7" s="437"/>
      <c r="AC7" s="450" t="s">
        <v>403</v>
      </c>
      <c r="AD7" s="301" t="s">
        <v>454</v>
      </c>
      <c r="AE7" s="469"/>
      <c r="AF7" s="436" t="s">
        <v>299</v>
      </c>
      <c r="AG7" s="296" t="s">
        <v>445</v>
      </c>
      <c r="AH7" s="474" t="s">
        <v>76</v>
      </c>
    </row>
    <row r="8" spans="1:34" x14ac:dyDescent="0.35">
      <c r="B8" s="440" t="s">
        <v>503</v>
      </c>
      <c r="C8" s="280"/>
      <c r="D8" s="440" t="s">
        <v>298</v>
      </c>
      <c r="E8" s="280"/>
      <c r="F8" s="442">
        <v>5</v>
      </c>
      <c r="G8" s="280"/>
      <c r="H8" s="438"/>
      <c r="I8" s="280"/>
      <c r="J8" s="445" t="s">
        <v>472</v>
      </c>
      <c r="K8" s="446" t="s">
        <v>397</v>
      </c>
      <c r="L8" s="573" t="s">
        <v>678</v>
      </c>
      <c r="M8" s="446">
        <v>5</v>
      </c>
      <c r="N8" s="445" t="s">
        <v>10</v>
      </c>
      <c r="O8" s="445" t="s">
        <v>409</v>
      </c>
      <c r="P8" s="447" t="s">
        <v>471</v>
      </c>
      <c r="R8" s="424" t="s">
        <v>486</v>
      </c>
      <c r="S8" s="424" t="s">
        <v>569</v>
      </c>
      <c r="T8" s="424" t="s">
        <v>568</v>
      </c>
      <c r="U8" s="466" t="s">
        <v>618</v>
      </c>
      <c r="V8" s="467">
        <v>4</v>
      </c>
      <c r="W8" s="466" t="s">
        <v>506</v>
      </c>
      <c r="X8" s="468" t="s">
        <v>617</v>
      </c>
      <c r="Z8" s="469"/>
      <c r="AA8" s="430">
        <v>5</v>
      </c>
      <c r="AB8" s="437"/>
      <c r="AC8" s="449" t="s">
        <v>408</v>
      </c>
      <c r="AD8" s="451" t="s">
        <v>455</v>
      </c>
      <c r="AE8" s="469"/>
      <c r="AF8" s="433" t="s">
        <v>302</v>
      </c>
      <c r="AG8" s="432" t="s">
        <v>388</v>
      </c>
      <c r="AH8" s="473" t="s">
        <v>75</v>
      </c>
    </row>
    <row r="9" spans="1:34" x14ac:dyDescent="0.35">
      <c r="B9" s="441" t="s">
        <v>504</v>
      </c>
      <c r="C9" s="280"/>
      <c r="D9" s="441" t="s">
        <v>297</v>
      </c>
      <c r="E9" s="280"/>
      <c r="F9" s="443">
        <v>6</v>
      </c>
      <c r="G9" s="280"/>
      <c r="H9" s="438"/>
      <c r="I9" s="280"/>
      <c r="J9" s="419" t="s">
        <v>472</v>
      </c>
      <c r="K9" s="421" t="s">
        <v>397</v>
      </c>
      <c r="L9" s="574" t="s">
        <v>470</v>
      </c>
      <c r="M9" s="421">
        <v>2</v>
      </c>
      <c r="N9" s="419" t="s">
        <v>10</v>
      </c>
      <c r="O9" s="419" t="s">
        <v>409</v>
      </c>
      <c r="P9" s="422" t="s">
        <v>471</v>
      </c>
      <c r="R9" s="423" t="s">
        <v>488</v>
      </c>
      <c r="S9" s="423" t="s">
        <v>592</v>
      </c>
      <c r="T9" s="423" t="s">
        <v>591</v>
      </c>
      <c r="U9" s="466" t="s">
        <v>628</v>
      </c>
      <c r="V9" s="467">
        <v>5</v>
      </c>
      <c r="W9" s="466" t="s">
        <v>507</v>
      </c>
      <c r="X9" s="468" t="s">
        <v>617</v>
      </c>
      <c r="Z9" s="469"/>
      <c r="AA9" s="294">
        <v>6</v>
      </c>
      <c r="AB9" s="437"/>
      <c r="AC9" s="450" t="s">
        <v>409</v>
      </c>
      <c r="AD9" s="301" t="s">
        <v>456</v>
      </c>
      <c r="AE9" s="469"/>
      <c r="AF9" s="436" t="s">
        <v>306</v>
      </c>
      <c r="AG9" s="296" t="s">
        <v>452</v>
      </c>
      <c r="AH9" s="474" t="s">
        <v>74</v>
      </c>
    </row>
    <row r="10" spans="1:34" x14ac:dyDescent="0.35">
      <c r="B10" s="440" t="s">
        <v>480</v>
      </c>
      <c r="C10" s="280"/>
      <c r="D10" s="417"/>
      <c r="E10" s="280"/>
      <c r="F10" s="442">
        <v>7</v>
      </c>
      <c r="G10" s="280"/>
      <c r="H10" s="438"/>
      <c r="I10" s="280"/>
      <c r="J10" s="445" t="s">
        <v>336</v>
      </c>
      <c r="K10" s="446" t="s">
        <v>397</v>
      </c>
      <c r="L10" s="573" t="s">
        <v>412</v>
      </c>
      <c r="M10" s="446">
        <v>2</v>
      </c>
      <c r="N10" s="445" t="s">
        <v>4</v>
      </c>
      <c r="O10" s="445" t="s">
        <v>409</v>
      </c>
      <c r="P10" s="447" t="s">
        <v>413</v>
      </c>
      <c r="R10" s="424" t="s">
        <v>487</v>
      </c>
      <c r="S10" s="424" t="s">
        <v>586</v>
      </c>
      <c r="T10" s="424" t="s">
        <v>585</v>
      </c>
      <c r="U10" s="466" t="s">
        <v>626</v>
      </c>
      <c r="V10" s="467">
        <v>5</v>
      </c>
      <c r="W10" s="466" t="s">
        <v>506</v>
      </c>
      <c r="X10" s="468" t="s">
        <v>617</v>
      </c>
      <c r="Z10" s="469"/>
      <c r="AA10" s="430">
        <v>7</v>
      </c>
      <c r="AB10" s="437"/>
      <c r="AC10" s="418"/>
      <c r="AD10" s="451" t="s">
        <v>630</v>
      </c>
      <c r="AE10" s="469"/>
      <c r="AF10" s="433" t="s">
        <v>419</v>
      </c>
      <c r="AG10" s="432" t="s">
        <v>436</v>
      </c>
      <c r="AH10" s="473" t="s">
        <v>73</v>
      </c>
    </row>
    <row r="11" spans="1:34" x14ac:dyDescent="0.35">
      <c r="B11" s="441" t="s">
        <v>258</v>
      </c>
      <c r="C11" s="280"/>
      <c r="D11" s="438"/>
      <c r="E11" s="280"/>
      <c r="F11" s="443">
        <v>8</v>
      </c>
      <c r="G11" s="280"/>
      <c r="H11" s="438"/>
      <c r="I11" s="280"/>
      <c r="J11" s="419" t="s">
        <v>336</v>
      </c>
      <c r="K11" s="421" t="s">
        <v>397</v>
      </c>
      <c r="L11" s="574" t="s">
        <v>444</v>
      </c>
      <c r="M11" s="421">
        <v>6</v>
      </c>
      <c r="N11" s="419" t="s">
        <v>4</v>
      </c>
      <c r="O11" s="419" t="s">
        <v>409</v>
      </c>
      <c r="P11" s="422" t="s">
        <v>413</v>
      </c>
      <c r="R11" s="423" t="s">
        <v>489</v>
      </c>
      <c r="S11" s="423" t="s">
        <v>584</v>
      </c>
      <c r="T11" s="423" t="s">
        <v>56</v>
      </c>
      <c r="U11" s="466" t="s">
        <v>598</v>
      </c>
      <c r="V11" s="467">
        <v>6</v>
      </c>
      <c r="W11" s="466" t="s">
        <v>506</v>
      </c>
      <c r="X11" s="468" t="s">
        <v>617</v>
      </c>
      <c r="Z11" s="469"/>
      <c r="AA11" s="294">
        <v>8</v>
      </c>
      <c r="AB11" s="437"/>
      <c r="AC11" s="437"/>
      <c r="AD11" s="301" t="s">
        <v>457</v>
      </c>
      <c r="AE11" s="469"/>
      <c r="AF11" s="436" t="s">
        <v>660</v>
      </c>
      <c r="AG11" s="296" t="s">
        <v>440</v>
      </c>
      <c r="AH11" s="474" t="s">
        <v>72</v>
      </c>
    </row>
    <row r="12" spans="1:34" x14ac:dyDescent="0.35">
      <c r="B12" s="440" t="s">
        <v>206</v>
      </c>
      <c r="C12" s="280"/>
      <c r="D12" s="438"/>
      <c r="E12" s="280"/>
      <c r="F12" s="442">
        <v>9</v>
      </c>
      <c r="G12" s="280"/>
      <c r="H12" s="438"/>
      <c r="I12" s="280"/>
      <c r="J12" s="445" t="s">
        <v>335</v>
      </c>
      <c r="K12" s="446" t="s">
        <v>396</v>
      </c>
      <c r="L12" s="573" t="s">
        <v>304</v>
      </c>
      <c r="M12" s="446">
        <v>1</v>
      </c>
      <c r="N12" s="445" t="s">
        <v>11</v>
      </c>
      <c r="O12" s="445" t="s">
        <v>403</v>
      </c>
      <c r="P12" s="447" t="s">
        <v>414</v>
      </c>
      <c r="R12" s="424" t="s">
        <v>490</v>
      </c>
      <c r="S12" s="424" t="s">
        <v>579</v>
      </c>
      <c r="T12" s="424" t="s">
        <v>578</v>
      </c>
      <c r="U12" s="466" t="s">
        <v>623</v>
      </c>
      <c r="V12" s="467">
        <v>7</v>
      </c>
      <c r="W12" s="466" t="s">
        <v>506</v>
      </c>
      <c r="X12" s="468" t="s">
        <v>617</v>
      </c>
      <c r="Z12" s="469"/>
      <c r="AA12" s="430">
        <v>9</v>
      </c>
      <c r="AB12" s="437"/>
      <c r="AC12" s="437"/>
      <c r="AD12" s="418"/>
      <c r="AE12" s="469"/>
      <c r="AF12" s="433" t="s">
        <v>425</v>
      </c>
      <c r="AG12" s="432" t="s">
        <v>423</v>
      </c>
      <c r="AH12" s="473" t="s">
        <v>71</v>
      </c>
    </row>
    <row r="13" spans="1:34" x14ac:dyDescent="0.35">
      <c r="B13" s="417"/>
      <c r="C13" s="280"/>
      <c r="D13" s="438"/>
      <c r="E13" s="280"/>
      <c r="F13" s="443">
        <v>10</v>
      </c>
      <c r="G13" s="280"/>
      <c r="H13" s="438"/>
      <c r="I13" s="280"/>
      <c r="J13" s="419" t="s">
        <v>415</v>
      </c>
      <c r="K13" s="421" t="s">
        <v>396</v>
      </c>
      <c r="L13" s="574" t="s">
        <v>385</v>
      </c>
      <c r="M13" s="421">
        <v>1</v>
      </c>
      <c r="N13" s="419" t="s">
        <v>11</v>
      </c>
      <c r="O13" s="419" t="s">
        <v>402</v>
      </c>
      <c r="P13" s="422"/>
      <c r="R13" s="423" t="s">
        <v>492</v>
      </c>
      <c r="S13" s="423" t="s">
        <v>581</v>
      </c>
      <c r="T13" s="423" t="s">
        <v>580</v>
      </c>
      <c r="U13" s="466" t="s">
        <v>624</v>
      </c>
      <c r="V13" s="467">
        <v>8</v>
      </c>
      <c r="W13" s="466" t="s">
        <v>506</v>
      </c>
      <c r="X13" s="468" t="s">
        <v>617</v>
      </c>
      <c r="Z13" s="469"/>
      <c r="AA13" s="294">
        <v>10</v>
      </c>
      <c r="AB13" s="437"/>
      <c r="AC13" s="437"/>
      <c r="AD13" s="437"/>
      <c r="AE13" s="469"/>
      <c r="AF13" s="436" t="s">
        <v>460</v>
      </c>
      <c r="AG13" s="296" t="s">
        <v>391</v>
      </c>
      <c r="AH13" s="474" t="s">
        <v>70</v>
      </c>
    </row>
    <row r="14" spans="1:34" x14ac:dyDescent="0.35">
      <c r="B14" s="438"/>
      <c r="C14" s="280"/>
      <c r="D14" s="438"/>
      <c r="E14" s="280"/>
      <c r="F14" s="442">
        <v>11</v>
      </c>
      <c r="G14" s="280"/>
      <c r="H14" s="438"/>
      <c r="I14" s="280"/>
      <c r="J14" s="445" t="s">
        <v>415</v>
      </c>
      <c r="K14" s="446" t="s">
        <v>396</v>
      </c>
      <c r="L14" s="573" t="s">
        <v>416</v>
      </c>
      <c r="M14" s="446">
        <v>2</v>
      </c>
      <c r="N14" s="445" t="s">
        <v>11</v>
      </c>
      <c r="O14" s="445" t="s">
        <v>402</v>
      </c>
      <c r="P14" s="447"/>
      <c r="R14" s="424" t="s">
        <v>494</v>
      </c>
      <c r="S14" s="424" t="s">
        <v>574</v>
      </c>
      <c r="T14" s="424" t="s">
        <v>51</v>
      </c>
      <c r="U14" s="466" t="s">
        <v>622</v>
      </c>
      <c r="V14" s="467">
        <v>9</v>
      </c>
      <c r="W14" s="466" t="s">
        <v>506</v>
      </c>
      <c r="X14" s="468" t="s">
        <v>617</v>
      </c>
      <c r="Z14" s="469"/>
      <c r="AA14" s="469"/>
      <c r="AB14" s="437"/>
      <c r="AC14" s="437"/>
      <c r="AD14" s="437"/>
      <c r="AE14" s="469"/>
      <c r="AF14" s="469"/>
      <c r="AG14" s="432" t="s">
        <v>451</v>
      </c>
      <c r="AH14" s="473" t="s">
        <v>69</v>
      </c>
    </row>
    <row r="15" spans="1:34" x14ac:dyDescent="0.35">
      <c r="B15" s="438"/>
      <c r="C15" s="280"/>
      <c r="D15" s="438"/>
      <c r="E15" s="280"/>
      <c r="F15" s="443">
        <v>12</v>
      </c>
      <c r="G15" s="280"/>
      <c r="H15" s="438"/>
      <c r="I15" s="280"/>
      <c r="J15" s="419" t="s">
        <v>415</v>
      </c>
      <c r="K15" s="421" t="s">
        <v>396</v>
      </c>
      <c r="L15" s="574" t="s">
        <v>417</v>
      </c>
      <c r="M15" s="421">
        <v>2</v>
      </c>
      <c r="N15" s="419" t="s">
        <v>11</v>
      </c>
      <c r="O15" s="419" t="s">
        <v>402</v>
      </c>
      <c r="P15" s="422"/>
      <c r="R15" s="423" t="s">
        <v>663</v>
      </c>
      <c r="S15" s="423" t="s">
        <v>603</v>
      </c>
      <c r="T15" s="423" t="s">
        <v>602</v>
      </c>
      <c r="U15" s="472" t="s">
        <v>602</v>
      </c>
      <c r="V15" s="471">
        <v>10</v>
      </c>
      <c r="W15" s="472" t="s">
        <v>508</v>
      </c>
      <c r="X15" s="470" t="s">
        <v>664</v>
      </c>
      <c r="Z15" s="469"/>
      <c r="AA15" s="469"/>
      <c r="AB15" s="437"/>
      <c r="AC15" s="437"/>
      <c r="AD15" s="437"/>
      <c r="AE15" s="469"/>
      <c r="AF15" s="469"/>
      <c r="AG15" s="296" t="s">
        <v>389</v>
      </c>
      <c r="AH15" s="474" t="s">
        <v>68</v>
      </c>
    </row>
    <row r="16" spans="1:34" x14ac:dyDescent="0.35">
      <c r="B16" s="438"/>
      <c r="C16" s="280"/>
      <c r="D16" s="438"/>
      <c r="E16" s="280"/>
      <c r="F16" s="442">
        <v>13</v>
      </c>
      <c r="G16" s="280"/>
      <c r="H16" s="438"/>
      <c r="I16" s="280"/>
      <c r="J16" s="445" t="s">
        <v>415</v>
      </c>
      <c r="K16" s="446" t="s">
        <v>396</v>
      </c>
      <c r="L16" s="573" t="s">
        <v>384</v>
      </c>
      <c r="M16" s="446">
        <v>3</v>
      </c>
      <c r="N16" s="445" t="s">
        <v>11</v>
      </c>
      <c r="O16" s="445" t="s">
        <v>402</v>
      </c>
      <c r="P16" s="447"/>
      <c r="R16" s="424" t="s">
        <v>495</v>
      </c>
      <c r="S16" s="424" t="s">
        <v>583</v>
      </c>
      <c r="T16" s="424" t="s">
        <v>582</v>
      </c>
      <c r="U16" s="466" t="s">
        <v>625</v>
      </c>
      <c r="V16" s="467">
        <v>10</v>
      </c>
      <c r="W16" s="466" t="s">
        <v>506</v>
      </c>
      <c r="X16" s="468" t="s">
        <v>617</v>
      </c>
      <c r="Z16" s="469"/>
      <c r="AA16" s="469"/>
      <c r="AB16" s="437"/>
      <c r="AC16" s="437"/>
      <c r="AD16" s="437"/>
      <c r="AE16" s="469"/>
      <c r="AF16" s="469"/>
      <c r="AG16" s="432" t="s">
        <v>12</v>
      </c>
      <c r="AH16" s="418"/>
    </row>
    <row r="17" spans="2:34" ht="29" x14ac:dyDescent="0.35">
      <c r="B17" s="438"/>
      <c r="C17" s="280"/>
      <c r="D17" s="438"/>
      <c r="E17" s="280"/>
      <c r="F17" s="443">
        <v>14</v>
      </c>
      <c r="G17" s="280"/>
      <c r="H17" s="438"/>
      <c r="I17" s="280"/>
      <c r="J17" s="419" t="s">
        <v>445</v>
      </c>
      <c r="K17" s="421" t="s">
        <v>397</v>
      </c>
      <c r="L17" s="574" t="s">
        <v>446</v>
      </c>
      <c r="M17" s="421">
        <v>1</v>
      </c>
      <c r="N17" s="419" t="s">
        <v>10</v>
      </c>
      <c r="O17" s="419" t="s">
        <v>408</v>
      </c>
      <c r="P17" s="422" t="s">
        <v>448</v>
      </c>
      <c r="R17" s="423" t="s">
        <v>635</v>
      </c>
      <c r="S17" s="423" t="s">
        <v>575</v>
      </c>
      <c r="T17" s="423" t="s">
        <v>595</v>
      </c>
      <c r="U17" s="468" t="s">
        <v>636</v>
      </c>
      <c r="V17" s="467">
        <v>11</v>
      </c>
      <c r="W17" s="466" t="s">
        <v>506</v>
      </c>
      <c r="X17" s="468" t="s">
        <v>644</v>
      </c>
      <c r="Z17" s="469"/>
      <c r="AA17" s="469"/>
      <c r="AB17" s="437"/>
      <c r="AC17" s="437"/>
      <c r="AD17" s="437"/>
      <c r="AE17" s="469"/>
      <c r="AF17" s="469"/>
      <c r="AG17" s="296" t="s">
        <v>379</v>
      </c>
      <c r="AH17" s="437"/>
    </row>
    <row r="18" spans="2:34" x14ac:dyDescent="0.35">
      <c r="B18" s="438"/>
      <c r="C18" s="280"/>
      <c r="D18" s="438"/>
      <c r="E18" s="280"/>
      <c r="F18" s="442" t="s">
        <v>206</v>
      </c>
      <c r="G18" s="280"/>
      <c r="H18" s="438"/>
      <c r="I18" s="280"/>
      <c r="J18" s="445" t="s">
        <v>445</v>
      </c>
      <c r="K18" s="446" t="s">
        <v>397</v>
      </c>
      <c r="L18" s="573" t="s">
        <v>447</v>
      </c>
      <c r="M18" s="446">
        <v>1</v>
      </c>
      <c r="N18" s="445" t="s">
        <v>10</v>
      </c>
      <c r="O18" s="445" t="s">
        <v>408</v>
      </c>
      <c r="P18" s="447" t="s">
        <v>448</v>
      </c>
      <c r="R18" s="424" t="s">
        <v>499</v>
      </c>
      <c r="S18" s="424" t="s">
        <v>562</v>
      </c>
      <c r="T18" s="424" t="s">
        <v>561</v>
      </c>
      <c r="U18" s="466" t="s">
        <v>616</v>
      </c>
      <c r="V18" s="467">
        <v>12</v>
      </c>
      <c r="W18" s="466" t="s">
        <v>506</v>
      </c>
      <c r="X18" s="468" t="s">
        <v>617</v>
      </c>
      <c r="Z18" s="469"/>
      <c r="AA18" s="469"/>
      <c r="AB18" s="437"/>
      <c r="AC18" s="437"/>
      <c r="AD18" s="437"/>
      <c r="AE18" s="469"/>
      <c r="AF18" s="469"/>
      <c r="AG18" s="432" t="s">
        <v>459</v>
      </c>
      <c r="AH18" s="437"/>
    </row>
    <row r="19" spans="2:34" x14ac:dyDescent="0.35">
      <c r="B19" s="438"/>
      <c r="C19" s="280"/>
      <c r="D19" s="438"/>
      <c r="E19" s="280"/>
      <c r="F19" s="420"/>
      <c r="G19" s="280"/>
      <c r="H19" s="438"/>
      <c r="I19" s="280"/>
      <c r="J19" s="419" t="s">
        <v>388</v>
      </c>
      <c r="K19" s="421" t="s">
        <v>397</v>
      </c>
      <c r="L19" s="574" t="s">
        <v>337</v>
      </c>
      <c r="M19" s="421">
        <v>4</v>
      </c>
      <c r="N19" s="419" t="s">
        <v>7</v>
      </c>
      <c r="O19" s="419" t="s">
        <v>409</v>
      </c>
      <c r="P19" s="422" t="s">
        <v>413</v>
      </c>
      <c r="R19" s="423" t="s">
        <v>500</v>
      </c>
      <c r="S19" s="423" t="s">
        <v>590</v>
      </c>
      <c r="T19" s="423" t="s">
        <v>589</v>
      </c>
      <c r="U19" s="466" t="s">
        <v>627</v>
      </c>
      <c r="V19" s="467">
        <v>12</v>
      </c>
      <c r="W19" s="466" t="s">
        <v>506</v>
      </c>
      <c r="X19" s="468" t="s">
        <v>617</v>
      </c>
      <c r="Z19" s="469"/>
      <c r="AA19" s="469"/>
      <c r="AB19" s="437"/>
      <c r="AC19" s="437"/>
      <c r="AD19" s="437"/>
      <c r="AE19" s="469"/>
      <c r="AF19" s="469"/>
      <c r="AG19" s="469"/>
      <c r="AH19" s="437"/>
    </row>
    <row r="20" spans="2:34" x14ac:dyDescent="0.35">
      <c r="B20" s="438"/>
      <c r="D20" s="438"/>
      <c r="F20" s="439"/>
      <c r="H20" s="438"/>
      <c r="J20" s="445" t="s">
        <v>299</v>
      </c>
      <c r="K20" s="446" t="s">
        <v>396</v>
      </c>
      <c r="L20" s="573" t="s">
        <v>299</v>
      </c>
      <c r="M20" s="446">
        <v>1</v>
      </c>
      <c r="N20" s="445" t="s">
        <v>11</v>
      </c>
      <c r="O20" s="445" t="s">
        <v>403</v>
      </c>
      <c r="P20" s="447" t="s">
        <v>421</v>
      </c>
      <c r="R20" s="424" t="s">
        <v>501</v>
      </c>
      <c r="S20" s="424" t="s">
        <v>588</v>
      </c>
      <c r="T20" s="424" t="s">
        <v>587</v>
      </c>
      <c r="U20" s="466" t="s">
        <v>383</v>
      </c>
      <c r="V20" s="467" t="s">
        <v>651</v>
      </c>
      <c r="W20" s="466" t="s">
        <v>506</v>
      </c>
      <c r="X20" s="468" t="s">
        <v>617</v>
      </c>
      <c r="Z20" s="469"/>
      <c r="AA20" s="469"/>
      <c r="AB20" s="437"/>
      <c r="AC20" s="437"/>
      <c r="AD20" s="437"/>
      <c r="AE20" s="469"/>
      <c r="AF20" s="469"/>
      <c r="AG20" s="469"/>
      <c r="AH20" s="437"/>
    </row>
    <row r="21" spans="2:34" x14ac:dyDescent="0.35">
      <c r="B21" s="438"/>
      <c r="D21" s="438"/>
      <c r="F21" s="439"/>
      <c r="H21" s="438"/>
      <c r="J21" s="419" t="s">
        <v>452</v>
      </c>
      <c r="K21" s="421" t="s">
        <v>397</v>
      </c>
      <c r="L21" s="574" t="s">
        <v>381</v>
      </c>
      <c r="M21" s="421">
        <v>1</v>
      </c>
      <c r="N21" s="419" t="s">
        <v>5</v>
      </c>
      <c r="O21" s="419" t="s">
        <v>409</v>
      </c>
      <c r="P21" s="422"/>
      <c r="R21" s="423" t="s">
        <v>661</v>
      </c>
      <c r="S21" s="423" t="s">
        <v>567</v>
      </c>
      <c r="T21" s="423" t="s">
        <v>566</v>
      </c>
      <c r="U21" s="466" t="s">
        <v>566</v>
      </c>
      <c r="V21" s="467"/>
      <c r="W21" s="466" t="s">
        <v>455</v>
      </c>
      <c r="X21" s="468" t="s">
        <v>643</v>
      </c>
      <c r="Z21" s="469"/>
      <c r="AA21" s="469"/>
      <c r="AB21" s="437"/>
      <c r="AC21" s="437"/>
      <c r="AD21" s="437"/>
      <c r="AE21" s="469"/>
      <c r="AF21" s="469"/>
      <c r="AG21" s="469"/>
      <c r="AH21" s="437"/>
    </row>
    <row r="22" spans="2:34" x14ac:dyDescent="0.35">
      <c r="B22" s="438"/>
      <c r="D22" s="438"/>
      <c r="F22" s="439"/>
      <c r="H22" s="438"/>
      <c r="J22" s="445" t="s">
        <v>452</v>
      </c>
      <c r="K22" s="446" t="s">
        <v>397</v>
      </c>
      <c r="L22" s="573" t="s">
        <v>382</v>
      </c>
      <c r="M22" s="446">
        <v>2</v>
      </c>
      <c r="N22" s="445" t="s">
        <v>5</v>
      </c>
      <c r="O22" s="445" t="s">
        <v>409</v>
      </c>
      <c r="P22" s="447"/>
      <c r="R22" s="424" t="s">
        <v>662</v>
      </c>
      <c r="S22" s="424" t="s">
        <v>573</v>
      </c>
      <c r="T22" s="424" t="s">
        <v>615</v>
      </c>
      <c r="U22" s="466" t="s">
        <v>615</v>
      </c>
      <c r="V22" s="467"/>
      <c r="W22" s="466" t="s">
        <v>455</v>
      </c>
      <c r="X22" s="468" t="s">
        <v>646</v>
      </c>
      <c r="Z22" s="469"/>
      <c r="AA22" s="469"/>
      <c r="AB22" s="437"/>
      <c r="AC22" s="437"/>
      <c r="AD22" s="437"/>
      <c r="AE22" s="469"/>
      <c r="AF22" s="469"/>
      <c r="AG22" s="469"/>
      <c r="AH22" s="437"/>
    </row>
    <row r="23" spans="2:34" x14ac:dyDescent="0.35">
      <c r="B23" s="438"/>
      <c r="D23" s="438"/>
      <c r="F23" s="439"/>
      <c r="H23" s="438"/>
      <c r="J23" s="419" t="s">
        <v>302</v>
      </c>
      <c r="K23" s="421" t="s">
        <v>396</v>
      </c>
      <c r="L23" s="574" t="s">
        <v>302</v>
      </c>
      <c r="M23" s="421">
        <v>1</v>
      </c>
      <c r="N23" s="419" t="s">
        <v>11</v>
      </c>
      <c r="O23" s="419" t="s">
        <v>403</v>
      </c>
      <c r="P23" s="422" t="s">
        <v>414</v>
      </c>
      <c r="R23" s="423" t="s">
        <v>665</v>
      </c>
      <c r="S23" s="423" t="s">
        <v>594</v>
      </c>
      <c r="T23" s="423" t="s">
        <v>593</v>
      </c>
      <c r="U23" s="466" t="s">
        <v>593</v>
      </c>
      <c r="V23" s="467"/>
      <c r="W23" s="466" t="s">
        <v>455</v>
      </c>
      <c r="X23" s="468" t="s">
        <v>647</v>
      </c>
      <c r="Z23" s="469"/>
      <c r="AA23" s="469"/>
      <c r="AB23" s="437"/>
      <c r="AC23" s="437"/>
      <c r="AD23" s="437"/>
      <c r="AE23" s="469"/>
      <c r="AF23" s="469"/>
      <c r="AG23" s="469"/>
      <c r="AH23" s="437"/>
    </row>
    <row r="24" spans="2:34" x14ac:dyDescent="0.35">
      <c r="B24" s="438"/>
      <c r="D24" s="438"/>
      <c r="F24" s="439"/>
      <c r="H24" s="438"/>
      <c r="J24" s="445" t="s">
        <v>436</v>
      </c>
      <c r="K24" s="446" t="s">
        <v>397</v>
      </c>
      <c r="L24" s="573" t="s">
        <v>437</v>
      </c>
      <c r="M24" s="446">
        <v>3</v>
      </c>
      <c r="N24" s="445" t="s">
        <v>10</v>
      </c>
      <c r="O24" s="445" t="s">
        <v>403</v>
      </c>
      <c r="P24" s="447"/>
      <c r="R24" s="424" t="s">
        <v>666</v>
      </c>
      <c r="S24" s="424" t="s">
        <v>565</v>
      </c>
      <c r="T24" s="424" t="s">
        <v>613</v>
      </c>
      <c r="U24" s="466" t="s">
        <v>613</v>
      </c>
      <c r="V24" s="467"/>
      <c r="W24" s="466" t="s">
        <v>455</v>
      </c>
      <c r="X24" s="468" t="s">
        <v>642</v>
      </c>
      <c r="Z24" s="469"/>
      <c r="AA24" s="469"/>
      <c r="AB24" s="437"/>
      <c r="AC24" s="437"/>
      <c r="AD24" s="437"/>
      <c r="AE24" s="469"/>
      <c r="AF24" s="469"/>
      <c r="AG24" s="469"/>
      <c r="AH24" s="437"/>
    </row>
    <row r="25" spans="2:34" x14ac:dyDescent="0.35">
      <c r="B25" s="438"/>
      <c r="D25" s="438"/>
      <c r="F25" s="439"/>
      <c r="H25" s="438"/>
      <c r="J25" s="419" t="s">
        <v>436</v>
      </c>
      <c r="K25" s="421" t="s">
        <v>397</v>
      </c>
      <c r="L25" s="574" t="s">
        <v>438</v>
      </c>
      <c r="M25" s="421">
        <v>1</v>
      </c>
      <c r="N25" s="419" t="s">
        <v>10</v>
      </c>
      <c r="O25" s="419" t="s">
        <v>403</v>
      </c>
      <c r="P25" s="422"/>
      <c r="R25" s="423" t="s">
        <v>669</v>
      </c>
      <c r="S25" s="423" t="s">
        <v>572</v>
      </c>
      <c r="T25" s="423" t="s">
        <v>614</v>
      </c>
      <c r="U25" s="466" t="s">
        <v>621</v>
      </c>
      <c r="V25" s="467"/>
      <c r="W25" s="466" t="s">
        <v>455</v>
      </c>
      <c r="X25" s="468" t="s">
        <v>645</v>
      </c>
      <c r="Z25" s="469"/>
      <c r="AA25" s="469"/>
      <c r="AB25" s="437"/>
      <c r="AC25" s="437"/>
      <c r="AD25" s="437"/>
      <c r="AE25" s="469"/>
      <c r="AF25" s="469"/>
      <c r="AG25" s="469"/>
      <c r="AH25" s="437"/>
    </row>
    <row r="26" spans="2:34" x14ac:dyDescent="0.35">
      <c r="B26" s="438"/>
      <c r="D26" s="438"/>
      <c r="F26" s="439"/>
      <c r="H26" s="438"/>
      <c r="J26" s="445" t="s">
        <v>436</v>
      </c>
      <c r="K26" s="446" t="s">
        <v>397</v>
      </c>
      <c r="L26" s="573" t="s">
        <v>439</v>
      </c>
      <c r="M26" s="446">
        <v>1</v>
      </c>
      <c r="N26" s="445" t="s">
        <v>10</v>
      </c>
      <c r="O26" s="445" t="s">
        <v>403</v>
      </c>
      <c r="P26" s="447"/>
      <c r="R26" s="424" t="s">
        <v>671</v>
      </c>
      <c r="S26" s="424" t="s">
        <v>605</v>
      </c>
      <c r="T26" s="424" t="s">
        <v>604</v>
      </c>
      <c r="U26" s="466" t="s">
        <v>604</v>
      </c>
      <c r="V26" s="467"/>
      <c r="W26" s="466" t="s">
        <v>455</v>
      </c>
      <c r="X26" s="468" t="s">
        <v>648</v>
      </c>
      <c r="Z26" s="469"/>
      <c r="AA26" s="469"/>
      <c r="AB26" s="437"/>
      <c r="AC26" s="437"/>
      <c r="AD26" s="437"/>
      <c r="AE26" s="469"/>
      <c r="AF26" s="469"/>
      <c r="AG26" s="469"/>
      <c r="AH26" s="437"/>
    </row>
    <row r="27" spans="2:34" x14ac:dyDescent="0.35">
      <c r="B27" s="438"/>
      <c r="D27" s="438"/>
      <c r="F27" s="439"/>
      <c r="H27" s="438"/>
      <c r="J27" s="419" t="s">
        <v>440</v>
      </c>
      <c r="K27" s="421" t="s">
        <v>397</v>
      </c>
      <c r="L27" s="574" t="s">
        <v>441</v>
      </c>
      <c r="M27" s="421">
        <v>2</v>
      </c>
      <c r="N27" s="419" t="s">
        <v>10</v>
      </c>
      <c r="O27" s="419" t="s">
        <v>403</v>
      </c>
      <c r="P27" s="422"/>
      <c r="R27" s="423" t="s">
        <v>672</v>
      </c>
      <c r="S27" s="423" t="s">
        <v>607</v>
      </c>
      <c r="T27" s="423" t="s">
        <v>606</v>
      </c>
      <c r="U27" s="466" t="s">
        <v>640</v>
      </c>
      <c r="V27" s="467"/>
      <c r="W27" s="466" t="s">
        <v>455</v>
      </c>
      <c r="X27" s="468" t="s">
        <v>650</v>
      </c>
      <c r="Z27" s="469"/>
      <c r="AA27" s="469"/>
      <c r="AB27" s="437"/>
      <c r="AC27" s="437"/>
      <c r="AD27" s="437"/>
      <c r="AE27" s="469"/>
      <c r="AF27" s="469"/>
      <c r="AG27" s="469"/>
      <c r="AH27" s="437"/>
    </row>
    <row r="28" spans="2:34" x14ac:dyDescent="0.35">
      <c r="B28" s="438"/>
      <c r="D28" s="438"/>
      <c r="F28" s="439"/>
      <c r="H28" s="438"/>
      <c r="J28" s="445" t="s">
        <v>440</v>
      </c>
      <c r="K28" s="446" t="s">
        <v>397</v>
      </c>
      <c r="L28" s="573" t="s">
        <v>443</v>
      </c>
      <c r="M28" s="446">
        <v>2</v>
      </c>
      <c r="N28" s="445" t="s">
        <v>10</v>
      </c>
      <c r="O28" s="445" t="s">
        <v>403</v>
      </c>
      <c r="P28" s="447"/>
      <c r="R28" s="424" t="s">
        <v>673</v>
      </c>
      <c r="S28" s="424" t="s">
        <v>564</v>
      </c>
      <c r="T28" s="424" t="s">
        <v>563</v>
      </c>
      <c r="U28" s="466" t="s">
        <v>563</v>
      </c>
      <c r="V28" s="467"/>
      <c r="W28" s="466" t="s">
        <v>455</v>
      </c>
      <c r="X28" s="468" t="s">
        <v>641</v>
      </c>
      <c r="Z28" s="469"/>
      <c r="AA28" s="469"/>
      <c r="AB28" s="437"/>
      <c r="AC28" s="437"/>
      <c r="AD28" s="437"/>
      <c r="AE28" s="469"/>
      <c r="AF28" s="469"/>
      <c r="AG28" s="469"/>
      <c r="AH28" s="437"/>
    </row>
    <row r="29" spans="2:34" x14ac:dyDescent="0.35">
      <c r="B29" s="438"/>
      <c r="D29" s="438"/>
      <c r="F29" s="439"/>
      <c r="H29" s="438"/>
      <c r="J29" s="419" t="s">
        <v>440</v>
      </c>
      <c r="K29" s="421" t="s">
        <v>397</v>
      </c>
      <c r="L29" s="574" t="s">
        <v>442</v>
      </c>
      <c r="M29" s="421">
        <v>4</v>
      </c>
      <c r="N29" s="419" t="s">
        <v>7</v>
      </c>
      <c r="O29" s="419" t="s">
        <v>403</v>
      </c>
      <c r="P29" s="422"/>
      <c r="R29" s="423" t="s">
        <v>667</v>
      </c>
      <c r="S29" s="423">
        <v>0</v>
      </c>
      <c r="T29" s="423" t="s">
        <v>610</v>
      </c>
      <c r="U29" s="466" t="s">
        <v>649</v>
      </c>
      <c r="V29" s="467"/>
      <c r="W29" s="466" t="s">
        <v>456</v>
      </c>
      <c r="X29" s="468" t="s">
        <v>638</v>
      </c>
      <c r="Z29" s="469"/>
      <c r="AA29" s="469"/>
      <c r="AB29" s="437"/>
      <c r="AC29" s="437"/>
      <c r="AD29" s="437"/>
      <c r="AE29" s="469"/>
      <c r="AF29" s="469"/>
      <c r="AG29" s="469"/>
      <c r="AH29" s="437"/>
    </row>
    <row r="30" spans="2:34" x14ac:dyDescent="0.35">
      <c r="B30" s="438"/>
      <c r="D30" s="438"/>
      <c r="F30" s="439"/>
      <c r="H30" s="438"/>
      <c r="J30" s="445" t="s">
        <v>423</v>
      </c>
      <c r="K30" s="446" t="s">
        <v>397</v>
      </c>
      <c r="L30" s="573" t="s">
        <v>424</v>
      </c>
      <c r="M30" s="446">
        <v>2</v>
      </c>
      <c r="N30" s="445" t="s">
        <v>10</v>
      </c>
      <c r="O30" s="445" t="s">
        <v>403</v>
      </c>
      <c r="P30" s="447"/>
      <c r="R30" s="424" t="s">
        <v>668</v>
      </c>
      <c r="S30" s="424">
        <v>3529000972</v>
      </c>
      <c r="T30" s="424"/>
      <c r="U30" s="466" t="s">
        <v>649</v>
      </c>
      <c r="V30" s="467"/>
      <c r="W30" s="466" t="s">
        <v>456</v>
      </c>
      <c r="X30" s="468" t="s">
        <v>639</v>
      </c>
      <c r="Z30" s="469"/>
      <c r="AA30" s="469"/>
      <c r="AB30" s="437"/>
      <c r="AC30" s="437"/>
      <c r="AD30" s="437"/>
      <c r="AE30" s="469"/>
      <c r="AF30" s="469"/>
      <c r="AG30" s="469"/>
      <c r="AH30" s="437"/>
    </row>
    <row r="31" spans="2:34" x14ac:dyDescent="0.35">
      <c r="B31" s="438"/>
      <c r="D31" s="438"/>
      <c r="F31" s="439"/>
      <c r="H31" s="438"/>
      <c r="J31" s="419" t="s">
        <v>423</v>
      </c>
      <c r="K31" s="421" t="s">
        <v>397</v>
      </c>
      <c r="L31" s="574">
        <v>406900101</v>
      </c>
      <c r="M31" s="421">
        <v>2</v>
      </c>
      <c r="N31" s="419" t="s">
        <v>10</v>
      </c>
      <c r="O31" s="419" t="s">
        <v>403</v>
      </c>
      <c r="P31" s="422"/>
      <c r="R31" s="423" t="s">
        <v>670</v>
      </c>
      <c r="S31" s="423" t="s">
        <v>609</v>
      </c>
      <c r="T31" s="423" t="s">
        <v>608</v>
      </c>
      <c r="U31" s="466" t="s">
        <v>608</v>
      </c>
      <c r="V31" s="467"/>
      <c r="W31" s="466" t="s">
        <v>630</v>
      </c>
      <c r="X31" s="468" t="s">
        <v>631</v>
      </c>
      <c r="Z31" s="469"/>
      <c r="AA31" s="469"/>
      <c r="AB31" s="437"/>
      <c r="AC31" s="437"/>
      <c r="AD31" s="437"/>
      <c r="AE31" s="469"/>
      <c r="AF31" s="469"/>
      <c r="AG31" s="469"/>
      <c r="AH31" s="437"/>
    </row>
    <row r="32" spans="2:34" x14ac:dyDescent="0.35">
      <c r="B32" s="438"/>
      <c r="D32" s="438"/>
      <c r="F32" s="439"/>
      <c r="H32" s="438"/>
      <c r="J32" s="445" t="s">
        <v>306</v>
      </c>
      <c r="K32" s="446" t="s">
        <v>396</v>
      </c>
      <c r="L32" s="573" t="s">
        <v>306</v>
      </c>
      <c r="M32" s="446">
        <v>1</v>
      </c>
      <c r="N32" s="445" t="s">
        <v>17</v>
      </c>
      <c r="O32" s="445" t="s">
        <v>402</v>
      </c>
      <c r="P32" s="447" t="s">
        <v>422</v>
      </c>
      <c r="R32" s="424" t="s">
        <v>680</v>
      </c>
      <c r="S32" s="424" t="s">
        <v>597</v>
      </c>
      <c r="T32" s="424" t="s">
        <v>596</v>
      </c>
      <c r="U32" s="466" t="s">
        <v>596</v>
      </c>
      <c r="V32" s="467"/>
      <c r="W32" s="466" t="s">
        <v>630</v>
      </c>
      <c r="X32" s="468" t="s">
        <v>681</v>
      </c>
      <c r="Z32" s="469"/>
      <c r="AA32" s="469"/>
      <c r="AB32" s="437"/>
      <c r="AC32" s="437"/>
      <c r="AD32" s="437"/>
      <c r="AE32" s="469"/>
      <c r="AF32" s="469"/>
      <c r="AG32" s="469"/>
      <c r="AH32" s="437"/>
    </row>
    <row r="33" spans="2:34" x14ac:dyDescent="0.35">
      <c r="B33" s="438"/>
      <c r="D33" s="438"/>
      <c r="F33" s="439"/>
      <c r="H33" s="438"/>
      <c r="J33" s="419" t="s">
        <v>306</v>
      </c>
      <c r="K33" s="421" t="s">
        <v>396</v>
      </c>
      <c r="L33" s="574" t="s">
        <v>450</v>
      </c>
      <c r="M33" s="421">
        <v>1</v>
      </c>
      <c r="N33" s="419" t="s">
        <v>17</v>
      </c>
      <c r="O33" s="419" t="s">
        <v>402</v>
      </c>
      <c r="P33" s="422" t="s">
        <v>422</v>
      </c>
      <c r="R33" s="262"/>
      <c r="S33" s="262"/>
      <c r="T33" s="262"/>
      <c r="U33" s="262"/>
      <c r="V33" s="262"/>
      <c r="W33" s="262"/>
      <c r="X33" s="262"/>
      <c r="Z33" s="469"/>
      <c r="AA33" s="469"/>
      <c r="AB33" s="437"/>
      <c r="AC33" s="437"/>
      <c r="AD33" s="437"/>
      <c r="AE33" s="469"/>
      <c r="AF33" s="469"/>
      <c r="AG33" s="469"/>
      <c r="AH33" s="437"/>
    </row>
    <row r="34" spans="2:34" x14ac:dyDescent="0.35">
      <c r="B34" s="438"/>
      <c r="D34" s="438"/>
      <c r="F34" s="439"/>
      <c r="H34" s="438"/>
      <c r="J34" s="445" t="s">
        <v>306</v>
      </c>
      <c r="K34" s="446" t="s">
        <v>396</v>
      </c>
      <c r="L34" s="573" t="s">
        <v>386</v>
      </c>
      <c r="M34" s="446">
        <v>1</v>
      </c>
      <c r="N34" s="445" t="s">
        <v>17</v>
      </c>
      <c r="O34" s="445" t="s">
        <v>402</v>
      </c>
      <c r="P34" s="447" t="s">
        <v>422</v>
      </c>
      <c r="R34" s="448"/>
      <c r="S34" s="448"/>
      <c r="T34" s="448"/>
      <c r="U34" s="448"/>
      <c r="V34" s="448"/>
      <c r="W34" s="448"/>
      <c r="X34" s="448"/>
      <c r="Z34" s="469"/>
      <c r="AA34" s="469"/>
      <c r="AB34" s="437"/>
      <c r="AC34" s="437"/>
      <c r="AD34" s="437"/>
      <c r="AE34" s="469"/>
      <c r="AF34" s="469"/>
      <c r="AG34" s="469"/>
      <c r="AH34" s="437"/>
    </row>
    <row r="35" spans="2:34" x14ac:dyDescent="0.35">
      <c r="B35" s="438"/>
      <c r="D35" s="438"/>
      <c r="F35" s="439"/>
      <c r="H35" s="438"/>
      <c r="J35" s="419" t="s">
        <v>306</v>
      </c>
      <c r="K35" s="421" t="s">
        <v>396</v>
      </c>
      <c r="L35" s="574" t="s">
        <v>449</v>
      </c>
      <c r="M35" s="421">
        <v>2</v>
      </c>
      <c r="N35" s="419" t="s">
        <v>17</v>
      </c>
      <c r="O35" s="419" t="s">
        <v>402</v>
      </c>
      <c r="P35" s="422" t="s">
        <v>422</v>
      </c>
      <c r="R35" s="448"/>
      <c r="S35" s="448"/>
      <c r="T35" s="448"/>
      <c r="U35" s="448"/>
      <c r="V35" s="448"/>
      <c r="W35" s="448"/>
      <c r="X35" s="448"/>
      <c r="Z35" s="469"/>
      <c r="AA35" s="469"/>
      <c r="AB35" s="437"/>
      <c r="AC35" s="437"/>
      <c r="AD35" s="437"/>
      <c r="AE35" s="469"/>
      <c r="AF35" s="469"/>
      <c r="AG35" s="469"/>
      <c r="AH35" s="437"/>
    </row>
    <row r="36" spans="2:34" x14ac:dyDescent="0.35">
      <c r="B36" s="438"/>
      <c r="D36" s="438"/>
      <c r="F36" s="439"/>
      <c r="H36" s="438"/>
      <c r="J36" s="445" t="s">
        <v>306</v>
      </c>
      <c r="K36" s="446" t="s">
        <v>396</v>
      </c>
      <c r="L36" s="573" t="s">
        <v>418</v>
      </c>
      <c r="M36" s="446">
        <v>3</v>
      </c>
      <c r="N36" s="445" t="s">
        <v>17</v>
      </c>
      <c r="O36" s="445" t="s">
        <v>402</v>
      </c>
      <c r="P36" s="447" t="s">
        <v>422</v>
      </c>
      <c r="R36" s="448"/>
      <c r="S36" s="448"/>
      <c r="T36" s="448"/>
      <c r="U36" s="448"/>
      <c r="V36" s="448"/>
      <c r="W36" s="448"/>
      <c r="X36" s="448"/>
      <c r="Z36" s="469"/>
      <c r="AA36" s="469"/>
      <c r="AB36" s="437"/>
      <c r="AC36" s="437"/>
      <c r="AD36" s="437"/>
      <c r="AE36" s="469"/>
      <c r="AF36" s="469"/>
      <c r="AG36" s="469"/>
      <c r="AH36" s="437"/>
    </row>
    <row r="37" spans="2:34" x14ac:dyDescent="0.35">
      <c r="B37" s="438"/>
      <c r="D37" s="438"/>
      <c r="F37" s="439"/>
      <c r="H37" s="438"/>
      <c r="J37" s="419" t="s">
        <v>391</v>
      </c>
      <c r="K37" s="421" t="s">
        <v>397</v>
      </c>
      <c r="L37" s="574" t="s">
        <v>337</v>
      </c>
      <c r="M37" s="421">
        <v>2</v>
      </c>
      <c r="N37" s="419" t="s">
        <v>5</v>
      </c>
      <c r="O37" s="419" t="s">
        <v>409</v>
      </c>
      <c r="P37" s="422" t="s">
        <v>413</v>
      </c>
      <c r="R37" s="448"/>
      <c r="S37" s="448"/>
      <c r="T37" s="448"/>
      <c r="U37" s="448"/>
      <c r="V37" s="448"/>
      <c r="W37" s="448"/>
      <c r="X37" s="448"/>
      <c r="Z37" s="469"/>
      <c r="AA37" s="469"/>
      <c r="AB37" s="437"/>
      <c r="AC37" s="437"/>
      <c r="AD37" s="437"/>
      <c r="AE37" s="469"/>
      <c r="AF37" s="469"/>
      <c r="AG37" s="469"/>
      <c r="AH37" s="437"/>
    </row>
    <row r="38" spans="2:34" x14ac:dyDescent="0.35">
      <c r="B38" s="438"/>
      <c r="D38" s="438"/>
      <c r="F38" s="439"/>
      <c r="H38" s="438"/>
      <c r="J38" s="445" t="s">
        <v>419</v>
      </c>
      <c r="K38" s="446" t="s">
        <v>396</v>
      </c>
      <c r="L38" s="573" t="s">
        <v>128</v>
      </c>
      <c r="M38" s="446">
        <v>1</v>
      </c>
      <c r="N38" s="445" t="s">
        <v>11</v>
      </c>
      <c r="O38" s="445" t="s">
        <v>403</v>
      </c>
      <c r="P38" s="447" t="s">
        <v>420</v>
      </c>
      <c r="R38" s="448"/>
      <c r="S38" s="448"/>
      <c r="T38" s="448"/>
      <c r="U38" s="448"/>
      <c r="V38" s="448"/>
      <c r="W38" s="448"/>
      <c r="X38" s="448"/>
      <c r="Z38" s="469"/>
      <c r="AA38" s="469"/>
      <c r="AB38" s="437"/>
      <c r="AC38" s="437"/>
      <c r="AD38" s="437"/>
      <c r="AE38" s="469"/>
      <c r="AF38" s="469"/>
      <c r="AG38" s="469"/>
      <c r="AH38" s="437"/>
    </row>
    <row r="39" spans="2:34" x14ac:dyDescent="0.35">
      <c r="B39" s="438"/>
      <c r="D39" s="438"/>
      <c r="F39" s="439"/>
      <c r="H39" s="438"/>
      <c r="J39" s="419" t="s">
        <v>419</v>
      </c>
      <c r="K39" s="421" t="s">
        <v>396</v>
      </c>
      <c r="L39" s="574" t="s">
        <v>426</v>
      </c>
      <c r="M39" s="421">
        <v>1</v>
      </c>
      <c r="N39" s="419" t="s">
        <v>11</v>
      </c>
      <c r="O39" s="419" t="s">
        <v>403</v>
      </c>
      <c r="P39" s="422" t="s">
        <v>420</v>
      </c>
      <c r="R39" s="448"/>
      <c r="S39" s="448"/>
      <c r="T39" s="448"/>
      <c r="U39" s="448"/>
      <c r="V39" s="448"/>
      <c r="W39" s="448"/>
      <c r="X39" s="448"/>
      <c r="Z39" s="469"/>
      <c r="AA39" s="469"/>
      <c r="AB39" s="437"/>
      <c r="AC39" s="437"/>
      <c r="AD39" s="437"/>
      <c r="AE39" s="469"/>
      <c r="AF39" s="469"/>
      <c r="AG39" s="469"/>
      <c r="AH39" s="437"/>
    </row>
    <row r="40" spans="2:34" ht="29" x14ac:dyDescent="0.35">
      <c r="B40" s="438"/>
      <c r="D40" s="438"/>
      <c r="F40" s="439"/>
      <c r="H40" s="438"/>
      <c r="J40" s="445" t="s">
        <v>660</v>
      </c>
      <c r="K40" s="446" t="s">
        <v>396</v>
      </c>
      <c r="L40" s="573" t="s">
        <v>463</v>
      </c>
      <c r="M40" s="446">
        <v>10</v>
      </c>
      <c r="N40" s="445"/>
      <c r="O40" s="445" t="s">
        <v>403</v>
      </c>
      <c r="P40" s="447" t="s">
        <v>462</v>
      </c>
      <c r="R40" s="448"/>
      <c r="S40" s="448"/>
      <c r="T40" s="448"/>
      <c r="U40" s="448"/>
      <c r="V40" s="448"/>
      <c r="W40" s="448"/>
      <c r="X40" s="448"/>
      <c r="Z40" s="469"/>
      <c r="AA40" s="469"/>
      <c r="AB40" s="437"/>
      <c r="AC40" s="437"/>
      <c r="AD40" s="437"/>
      <c r="AE40" s="469"/>
      <c r="AF40" s="469"/>
      <c r="AG40" s="469"/>
      <c r="AH40" s="437"/>
    </row>
    <row r="41" spans="2:34" x14ac:dyDescent="0.35">
      <c r="B41" s="438"/>
      <c r="D41" s="438"/>
      <c r="F41" s="439"/>
      <c r="H41" s="438"/>
      <c r="J41" s="419" t="s">
        <v>425</v>
      </c>
      <c r="K41" s="421" t="s">
        <v>396</v>
      </c>
      <c r="L41" s="574" t="s">
        <v>612</v>
      </c>
      <c r="M41" s="421">
        <v>3</v>
      </c>
      <c r="N41" s="419" t="s">
        <v>11</v>
      </c>
      <c r="O41" s="419" t="s">
        <v>402</v>
      </c>
      <c r="P41" s="422"/>
      <c r="R41" s="448"/>
      <c r="S41" s="448"/>
      <c r="T41" s="448"/>
      <c r="U41" s="448"/>
      <c r="V41" s="448"/>
      <c r="W41" s="448"/>
      <c r="X41" s="448"/>
      <c r="Z41" s="469"/>
      <c r="AA41" s="469"/>
      <c r="AB41" s="437"/>
      <c r="AC41" s="437"/>
      <c r="AD41" s="437"/>
      <c r="AE41" s="469"/>
      <c r="AF41" s="469"/>
      <c r="AG41" s="469"/>
      <c r="AH41" s="437"/>
    </row>
    <row r="42" spans="2:34" x14ac:dyDescent="0.35">
      <c r="B42" s="438"/>
      <c r="D42" s="438"/>
      <c r="F42" s="439"/>
      <c r="H42" s="438"/>
      <c r="J42" s="445" t="s">
        <v>425</v>
      </c>
      <c r="K42" s="446" t="s">
        <v>396</v>
      </c>
      <c r="L42" s="573" t="s">
        <v>387</v>
      </c>
      <c r="M42" s="446">
        <v>1</v>
      </c>
      <c r="N42" s="445" t="s">
        <v>11</v>
      </c>
      <c r="O42" s="445" t="s">
        <v>402</v>
      </c>
      <c r="P42" s="447"/>
      <c r="R42" s="448"/>
      <c r="S42" s="448"/>
      <c r="T42" s="448"/>
      <c r="U42" s="448"/>
      <c r="V42" s="448"/>
      <c r="W42" s="448"/>
      <c r="X42" s="448"/>
      <c r="Z42" s="469"/>
      <c r="AA42" s="469"/>
      <c r="AB42" s="437"/>
      <c r="AC42" s="437"/>
      <c r="AD42" s="437"/>
      <c r="AE42" s="469"/>
      <c r="AF42" s="469"/>
      <c r="AG42" s="469"/>
      <c r="AH42" s="437"/>
    </row>
    <row r="43" spans="2:34" x14ac:dyDescent="0.35">
      <c r="B43" s="438"/>
      <c r="D43" s="438"/>
      <c r="F43" s="439"/>
      <c r="H43" s="438"/>
      <c r="J43" s="419" t="s">
        <v>425</v>
      </c>
      <c r="K43" s="421" t="s">
        <v>396</v>
      </c>
      <c r="L43" s="574" t="s">
        <v>611</v>
      </c>
      <c r="M43" s="421">
        <v>3</v>
      </c>
      <c r="N43" s="419" t="s">
        <v>11</v>
      </c>
      <c r="O43" s="419" t="s">
        <v>402</v>
      </c>
      <c r="P43" s="422"/>
      <c r="R43" s="448"/>
      <c r="S43" s="448"/>
      <c r="T43" s="448"/>
      <c r="U43" s="448"/>
      <c r="V43" s="448"/>
      <c r="W43" s="448"/>
      <c r="X43" s="448"/>
      <c r="Z43" s="469"/>
      <c r="AA43" s="469"/>
      <c r="AB43" s="437"/>
      <c r="AC43" s="437"/>
      <c r="AD43" s="437"/>
      <c r="AE43" s="469"/>
      <c r="AF43" s="469"/>
      <c r="AG43" s="469"/>
      <c r="AH43" s="437"/>
    </row>
    <row r="44" spans="2:34" x14ac:dyDescent="0.35">
      <c r="B44" s="438"/>
      <c r="D44" s="438"/>
      <c r="F44" s="439"/>
      <c r="H44" s="438"/>
      <c r="J44" s="445" t="s">
        <v>425</v>
      </c>
      <c r="K44" s="446" t="s">
        <v>396</v>
      </c>
      <c r="L44" s="573" t="s">
        <v>674</v>
      </c>
      <c r="M44" s="446">
        <v>1</v>
      </c>
      <c r="N44" s="445" t="s">
        <v>11</v>
      </c>
      <c r="O44" s="445" t="s">
        <v>402</v>
      </c>
      <c r="P44" s="447"/>
      <c r="R44" s="448"/>
      <c r="S44" s="448"/>
      <c r="T44" s="448"/>
      <c r="U44" s="448"/>
      <c r="V44" s="448"/>
      <c r="W44" s="448"/>
      <c r="X44" s="448"/>
      <c r="Z44" s="469"/>
      <c r="AA44" s="469"/>
      <c r="AB44" s="437"/>
      <c r="AC44" s="437"/>
      <c r="AD44" s="437"/>
      <c r="AE44" s="469"/>
      <c r="AF44" s="469"/>
      <c r="AG44" s="469"/>
      <c r="AH44" s="437"/>
    </row>
    <row r="45" spans="2:34" x14ac:dyDescent="0.35">
      <c r="B45" s="438"/>
      <c r="D45" s="438"/>
      <c r="F45" s="439"/>
      <c r="H45" s="438"/>
      <c r="J45" s="419" t="s">
        <v>425</v>
      </c>
      <c r="K45" s="421" t="s">
        <v>396</v>
      </c>
      <c r="L45" s="574" t="s">
        <v>675</v>
      </c>
      <c r="M45" s="421">
        <v>2</v>
      </c>
      <c r="N45" s="419" t="s">
        <v>11</v>
      </c>
      <c r="O45" s="419" t="s">
        <v>402</v>
      </c>
      <c r="P45" s="422"/>
      <c r="R45" s="448"/>
      <c r="S45" s="448"/>
      <c r="T45" s="448"/>
      <c r="U45" s="448"/>
      <c r="V45" s="448"/>
      <c r="W45" s="448"/>
      <c r="X45" s="448"/>
      <c r="Z45" s="469"/>
      <c r="AA45" s="469"/>
      <c r="AB45" s="437"/>
      <c r="AC45" s="437"/>
      <c r="AD45" s="437"/>
      <c r="AE45" s="469"/>
      <c r="AF45" s="469"/>
      <c r="AG45" s="469"/>
      <c r="AH45" s="437"/>
    </row>
    <row r="46" spans="2:34" x14ac:dyDescent="0.35">
      <c r="B46" s="438"/>
      <c r="D46" s="438"/>
      <c r="F46" s="439"/>
      <c r="H46" s="438"/>
      <c r="J46" s="445" t="s">
        <v>425</v>
      </c>
      <c r="K46" s="446" t="s">
        <v>396</v>
      </c>
      <c r="L46" s="575" t="s">
        <v>676</v>
      </c>
      <c r="M46" s="446">
        <v>1</v>
      </c>
      <c r="N46" s="445" t="s">
        <v>11</v>
      </c>
      <c r="O46" s="445" t="s">
        <v>402</v>
      </c>
      <c r="P46" s="445"/>
      <c r="R46" s="448"/>
      <c r="S46" s="448"/>
      <c r="T46" s="448"/>
      <c r="U46" s="448"/>
      <c r="V46" s="448"/>
      <c r="W46" s="448"/>
      <c r="X46" s="448"/>
      <c r="Z46" s="469"/>
      <c r="AA46" s="469"/>
      <c r="AB46" s="437"/>
      <c r="AC46" s="437"/>
      <c r="AD46" s="437"/>
      <c r="AE46" s="469"/>
      <c r="AF46" s="469"/>
      <c r="AG46" s="469"/>
      <c r="AH46" s="437"/>
    </row>
    <row r="47" spans="2:34" x14ac:dyDescent="0.35">
      <c r="B47" s="438"/>
      <c r="D47" s="438"/>
      <c r="F47" s="439"/>
      <c r="H47" s="438"/>
      <c r="J47" s="419" t="s">
        <v>425</v>
      </c>
      <c r="K47" s="421" t="s">
        <v>396</v>
      </c>
      <c r="L47" s="574" t="s">
        <v>179</v>
      </c>
      <c r="M47" s="421">
        <v>3</v>
      </c>
      <c r="N47" s="419" t="s">
        <v>11</v>
      </c>
      <c r="O47" s="419" t="s">
        <v>402</v>
      </c>
      <c r="P47" s="422"/>
      <c r="R47" s="448"/>
      <c r="S47" s="448"/>
      <c r="T47" s="448"/>
      <c r="U47" s="448"/>
      <c r="V47" s="448"/>
      <c r="W47" s="448"/>
      <c r="X47" s="448"/>
      <c r="Z47" s="469"/>
      <c r="AA47" s="469"/>
      <c r="AB47" s="437"/>
      <c r="AC47" s="437"/>
      <c r="AD47" s="437"/>
      <c r="AE47" s="469"/>
      <c r="AF47" s="469"/>
      <c r="AG47" s="469"/>
      <c r="AH47" s="437"/>
    </row>
    <row r="48" spans="2:34" x14ac:dyDescent="0.35">
      <c r="B48" s="438"/>
      <c r="D48" s="438"/>
      <c r="F48" s="439"/>
      <c r="H48" s="438"/>
      <c r="J48" s="445" t="s">
        <v>425</v>
      </c>
      <c r="K48" s="446" t="s">
        <v>396</v>
      </c>
      <c r="L48" s="575" t="s">
        <v>177</v>
      </c>
      <c r="M48" s="446">
        <v>6</v>
      </c>
      <c r="N48" s="445" t="s">
        <v>11</v>
      </c>
      <c r="O48" s="445" t="s">
        <v>402</v>
      </c>
      <c r="P48" s="445"/>
      <c r="R48" s="448"/>
      <c r="S48" s="448"/>
      <c r="T48" s="448"/>
      <c r="U48" s="448"/>
      <c r="V48" s="448"/>
      <c r="W48" s="448"/>
      <c r="X48" s="448"/>
      <c r="Z48" s="469"/>
      <c r="AA48" s="469"/>
      <c r="AB48" s="437"/>
      <c r="AC48" s="437"/>
      <c r="AD48" s="437"/>
      <c r="AE48" s="469"/>
      <c r="AF48" s="469"/>
      <c r="AG48" s="469"/>
      <c r="AH48" s="437"/>
    </row>
    <row r="49" spans="2:34" x14ac:dyDescent="0.35">
      <c r="B49" s="438"/>
      <c r="D49" s="438"/>
      <c r="F49" s="439"/>
      <c r="H49" s="438"/>
      <c r="J49" s="419" t="s">
        <v>451</v>
      </c>
      <c r="K49" s="421" t="s">
        <v>397</v>
      </c>
      <c r="L49" s="574" t="s">
        <v>432</v>
      </c>
      <c r="M49" s="421">
        <v>1</v>
      </c>
      <c r="N49" s="419" t="s">
        <v>10</v>
      </c>
      <c r="O49" s="419" t="s">
        <v>402</v>
      </c>
      <c r="P49" s="422" t="s">
        <v>434</v>
      </c>
      <c r="R49" s="448"/>
      <c r="S49" s="448"/>
      <c r="T49" s="448"/>
      <c r="U49" s="448"/>
      <c r="V49" s="448"/>
      <c r="W49" s="448"/>
      <c r="X49" s="448"/>
      <c r="Z49" s="469"/>
      <c r="AA49" s="469"/>
      <c r="AB49" s="437"/>
      <c r="AC49" s="437"/>
      <c r="AD49" s="437"/>
      <c r="AE49" s="469"/>
      <c r="AF49" s="469"/>
      <c r="AG49" s="469"/>
      <c r="AH49" s="437"/>
    </row>
    <row r="50" spans="2:34" x14ac:dyDescent="0.35">
      <c r="B50" s="438"/>
      <c r="D50" s="438"/>
      <c r="F50" s="439"/>
      <c r="H50" s="438"/>
      <c r="J50" s="445" t="s">
        <v>451</v>
      </c>
      <c r="K50" s="446" t="s">
        <v>397</v>
      </c>
      <c r="L50" s="573" t="s">
        <v>433</v>
      </c>
      <c r="M50" s="446">
        <v>1</v>
      </c>
      <c r="N50" s="445" t="s">
        <v>10</v>
      </c>
      <c r="O50" s="445" t="s">
        <v>402</v>
      </c>
      <c r="P50" s="447" t="s">
        <v>434</v>
      </c>
      <c r="R50" s="448"/>
      <c r="S50" s="448"/>
      <c r="T50" s="448"/>
      <c r="U50" s="448"/>
      <c r="V50" s="448"/>
      <c r="W50" s="448"/>
      <c r="X50" s="448"/>
      <c r="Z50" s="469"/>
      <c r="AA50" s="469"/>
      <c r="AB50" s="437"/>
      <c r="AC50" s="437"/>
      <c r="AD50" s="437"/>
      <c r="AE50" s="469"/>
      <c r="AF50" s="469"/>
      <c r="AG50" s="469"/>
      <c r="AH50" s="437"/>
    </row>
    <row r="51" spans="2:34" x14ac:dyDescent="0.35">
      <c r="B51" s="438"/>
      <c r="D51" s="438"/>
      <c r="F51" s="439"/>
      <c r="H51" s="438"/>
      <c r="J51" s="419" t="s">
        <v>460</v>
      </c>
      <c r="K51" s="421" t="s">
        <v>396</v>
      </c>
      <c r="L51" s="574" t="s">
        <v>461</v>
      </c>
      <c r="M51" s="421">
        <v>3</v>
      </c>
      <c r="N51" s="419" t="s">
        <v>11</v>
      </c>
      <c r="O51" s="419"/>
      <c r="P51" s="422"/>
      <c r="R51" s="448"/>
      <c r="S51" s="448"/>
      <c r="T51" s="448"/>
      <c r="U51" s="448"/>
      <c r="V51" s="448"/>
      <c r="W51" s="448"/>
      <c r="X51" s="448"/>
      <c r="Z51" s="469"/>
      <c r="AA51" s="469"/>
      <c r="AB51" s="437"/>
      <c r="AC51" s="437"/>
      <c r="AD51" s="437"/>
      <c r="AE51" s="469"/>
      <c r="AF51" s="469"/>
      <c r="AG51" s="469"/>
      <c r="AH51" s="437"/>
    </row>
    <row r="52" spans="2:34" x14ac:dyDescent="0.35">
      <c r="B52" s="438"/>
      <c r="D52" s="438"/>
      <c r="F52" s="439"/>
      <c r="H52" s="438"/>
      <c r="J52" s="445" t="s">
        <v>389</v>
      </c>
      <c r="K52" s="446" t="s">
        <v>397</v>
      </c>
      <c r="L52" s="573" t="s">
        <v>427</v>
      </c>
      <c r="M52" s="446">
        <v>1</v>
      </c>
      <c r="N52" s="445" t="s">
        <v>10</v>
      </c>
      <c r="O52" s="445" t="s">
        <v>402</v>
      </c>
      <c r="P52" s="447" t="s">
        <v>428</v>
      </c>
      <c r="R52" s="448"/>
      <c r="S52" s="448"/>
      <c r="T52" s="448"/>
      <c r="U52" s="448"/>
      <c r="V52" s="448"/>
      <c r="W52" s="448"/>
      <c r="X52" s="448"/>
      <c r="Z52" s="469"/>
      <c r="AA52" s="469"/>
      <c r="AB52" s="437"/>
      <c r="AC52" s="437"/>
      <c r="AD52" s="437"/>
      <c r="AE52" s="469"/>
      <c r="AF52" s="469"/>
      <c r="AG52" s="469"/>
      <c r="AH52" s="437"/>
    </row>
    <row r="53" spans="2:34" x14ac:dyDescent="0.35">
      <c r="B53" s="438"/>
      <c r="D53" s="438"/>
      <c r="F53" s="439"/>
      <c r="H53" s="438"/>
      <c r="J53" s="419" t="s">
        <v>389</v>
      </c>
      <c r="K53" s="421" t="s">
        <v>397</v>
      </c>
      <c r="L53" s="574">
        <v>5629763010</v>
      </c>
      <c r="M53" s="421">
        <v>1</v>
      </c>
      <c r="N53" s="419" t="s">
        <v>10</v>
      </c>
      <c r="O53" s="419" t="s">
        <v>402</v>
      </c>
      <c r="P53" s="422" t="s">
        <v>428</v>
      </c>
      <c r="R53" s="448"/>
      <c r="S53" s="448"/>
      <c r="T53" s="448"/>
      <c r="U53" s="448"/>
      <c r="V53" s="448"/>
      <c r="W53" s="448"/>
      <c r="X53" s="448"/>
      <c r="Z53" s="469"/>
      <c r="AA53" s="469"/>
      <c r="AB53" s="437"/>
      <c r="AC53" s="437"/>
      <c r="AD53" s="437"/>
      <c r="AE53" s="469"/>
      <c r="AF53" s="469"/>
      <c r="AG53" s="469"/>
      <c r="AH53" s="437"/>
    </row>
    <row r="54" spans="2:34" x14ac:dyDescent="0.35">
      <c r="B54" s="438"/>
      <c r="D54" s="438"/>
      <c r="F54" s="439"/>
      <c r="H54" s="438"/>
      <c r="J54" s="445" t="s">
        <v>389</v>
      </c>
      <c r="K54" s="446" t="s">
        <v>397</v>
      </c>
      <c r="L54" s="573">
        <v>7717757261</v>
      </c>
      <c r="M54" s="446">
        <v>2</v>
      </c>
      <c r="N54" s="445" t="s">
        <v>10</v>
      </c>
      <c r="O54" s="445" t="s">
        <v>402</v>
      </c>
      <c r="P54" s="447" t="s">
        <v>428</v>
      </c>
      <c r="R54" s="448"/>
      <c r="S54" s="448"/>
      <c r="T54" s="448"/>
      <c r="U54" s="448"/>
      <c r="V54" s="448"/>
      <c r="W54" s="448"/>
      <c r="X54" s="448"/>
      <c r="Z54" s="469"/>
      <c r="AA54" s="469"/>
      <c r="AB54" s="437"/>
      <c r="AC54" s="437"/>
      <c r="AD54" s="437"/>
      <c r="AE54" s="469"/>
      <c r="AF54" s="469"/>
      <c r="AG54" s="469"/>
      <c r="AH54" s="437"/>
    </row>
    <row r="55" spans="2:34" x14ac:dyDescent="0.35">
      <c r="B55" s="438"/>
      <c r="D55" s="438"/>
      <c r="F55" s="439"/>
      <c r="H55" s="438"/>
      <c r="J55" s="419" t="s">
        <v>389</v>
      </c>
      <c r="K55" s="421" t="s">
        <v>397</v>
      </c>
      <c r="L55" s="574" t="s">
        <v>429</v>
      </c>
      <c r="M55" s="421">
        <v>5</v>
      </c>
      <c r="N55" s="419" t="s">
        <v>10</v>
      </c>
      <c r="O55" s="419" t="s">
        <v>402</v>
      </c>
      <c r="P55" s="422" t="s">
        <v>428</v>
      </c>
      <c r="R55" s="448"/>
      <c r="S55" s="448"/>
      <c r="T55" s="448"/>
      <c r="U55" s="448"/>
      <c r="V55" s="448"/>
      <c r="W55" s="448"/>
      <c r="X55" s="448"/>
      <c r="Z55" s="469"/>
      <c r="AA55" s="469"/>
      <c r="AB55" s="437"/>
      <c r="AC55" s="437"/>
      <c r="AD55" s="437"/>
      <c r="AF55" s="469"/>
      <c r="AG55" s="469"/>
      <c r="AH55" s="437"/>
    </row>
    <row r="56" spans="2:34" x14ac:dyDescent="0.35">
      <c r="B56" s="438"/>
      <c r="D56" s="438"/>
      <c r="F56" s="439"/>
      <c r="H56" s="438"/>
      <c r="J56" s="445" t="s">
        <v>12</v>
      </c>
      <c r="K56" s="446" t="s">
        <v>397</v>
      </c>
      <c r="L56" s="573" t="s">
        <v>378</v>
      </c>
      <c r="M56" s="446">
        <v>4</v>
      </c>
      <c r="N56" s="445" t="s">
        <v>8</v>
      </c>
      <c r="O56" s="445" t="s">
        <v>409</v>
      </c>
      <c r="P56" s="447" t="s">
        <v>413</v>
      </c>
      <c r="R56" s="448"/>
      <c r="S56" s="448"/>
      <c r="T56" s="448"/>
      <c r="U56" s="448"/>
      <c r="V56" s="448"/>
      <c r="W56" s="448"/>
      <c r="X56" s="448"/>
      <c r="AA56" s="469"/>
      <c r="AB56" s="268"/>
      <c r="AC56" s="437"/>
      <c r="AD56" s="437"/>
      <c r="AF56" s="469"/>
      <c r="AG56" s="469"/>
      <c r="AH56" s="437"/>
    </row>
    <row r="57" spans="2:34" x14ac:dyDescent="0.35">
      <c r="B57" s="438"/>
      <c r="D57" s="438"/>
      <c r="F57" s="439"/>
      <c r="H57" s="448"/>
      <c r="J57" s="419" t="s">
        <v>379</v>
      </c>
      <c r="K57" s="421" t="s">
        <v>397</v>
      </c>
      <c r="L57" s="574" t="s">
        <v>379</v>
      </c>
      <c r="M57" s="421">
        <v>1</v>
      </c>
      <c r="N57" s="419" t="s">
        <v>10</v>
      </c>
      <c r="O57" s="419" t="s">
        <v>403</v>
      </c>
      <c r="P57" s="422" t="s">
        <v>430</v>
      </c>
      <c r="R57" s="448"/>
      <c r="S57" s="448"/>
      <c r="T57" s="448"/>
      <c r="U57" s="448"/>
      <c r="V57" s="448"/>
      <c r="W57" s="448"/>
      <c r="X57" s="448"/>
      <c r="AA57" s="469"/>
      <c r="AC57" s="437"/>
      <c r="AD57" s="437"/>
      <c r="AF57" s="469"/>
      <c r="AG57" s="469"/>
      <c r="AH57" s="437"/>
    </row>
    <row r="58" spans="2:34" x14ac:dyDescent="0.35">
      <c r="B58" s="438"/>
      <c r="D58" s="438"/>
      <c r="F58" s="439"/>
      <c r="J58" s="445" t="s">
        <v>379</v>
      </c>
      <c r="K58" s="446" t="s">
        <v>397</v>
      </c>
      <c r="L58" s="573">
        <v>10240612781</v>
      </c>
      <c r="M58" s="446">
        <v>1</v>
      </c>
      <c r="N58" s="445" t="s">
        <v>10</v>
      </c>
      <c r="O58" s="445" t="s">
        <v>403</v>
      </c>
      <c r="P58" s="447" t="s">
        <v>430</v>
      </c>
      <c r="R58" s="448"/>
      <c r="S58" s="448"/>
      <c r="T58" s="448"/>
      <c r="U58" s="448"/>
      <c r="V58" s="448"/>
      <c r="W58" s="448"/>
      <c r="X58" s="448"/>
      <c r="AA58" s="469"/>
      <c r="AC58" s="437"/>
      <c r="AD58" s="437"/>
      <c r="AF58" s="469"/>
      <c r="AG58" s="469"/>
      <c r="AH58" s="437"/>
    </row>
    <row r="59" spans="2:34" x14ac:dyDescent="0.35">
      <c r="B59" s="438"/>
      <c r="D59" s="438"/>
      <c r="F59" s="439"/>
      <c r="J59" s="419" t="s">
        <v>379</v>
      </c>
      <c r="K59" s="421" t="s">
        <v>397</v>
      </c>
      <c r="L59" s="574" t="s">
        <v>431</v>
      </c>
      <c r="M59" s="421">
        <v>1</v>
      </c>
      <c r="N59" s="419" t="s">
        <v>10</v>
      </c>
      <c r="O59" s="419" t="s">
        <v>403</v>
      </c>
      <c r="P59" s="422" t="s">
        <v>430</v>
      </c>
      <c r="R59" s="448"/>
      <c r="S59" s="448"/>
      <c r="T59" s="448"/>
      <c r="U59" s="448"/>
      <c r="V59" s="448"/>
      <c r="W59" s="448"/>
      <c r="X59" s="448"/>
      <c r="AA59" s="469"/>
      <c r="AC59" s="437"/>
      <c r="AD59" s="437"/>
      <c r="AF59" s="469"/>
      <c r="AG59" s="469"/>
      <c r="AH59" s="437"/>
    </row>
    <row r="60" spans="2:34" x14ac:dyDescent="0.35">
      <c r="B60" s="438"/>
      <c r="D60" s="448"/>
      <c r="F60" s="439"/>
      <c r="J60" s="445" t="s">
        <v>459</v>
      </c>
      <c r="K60" s="446" t="s">
        <v>397</v>
      </c>
      <c r="L60" s="573" t="s">
        <v>435</v>
      </c>
      <c r="M60" s="446">
        <v>1</v>
      </c>
      <c r="N60" s="445" t="s">
        <v>10</v>
      </c>
      <c r="O60" s="445" t="s">
        <v>402</v>
      </c>
      <c r="P60" s="447" t="s">
        <v>434</v>
      </c>
      <c r="R60" s="448"/>
      <c r="S60" s="448"/>
      <c r="T60" s="448"/>
      <c r="U60" s="448"/>
      <c r="V60" s="448"/>
      <c r="W60" s="448"/>
      <c r="X60" s="448"/>
      <c r="AA60" s="469"/>
      <c r="AC60" s="268"/>
      <c r="AD60" s="437"/>
      <c r="AF60" s="469"/>
      <c r="AG60" s="469"/>
      <c r="AH60" s="437"/>
    </row>
    <row r="61" spans="2:34" x14ac:dyDescent="0.35">
      <c r="B61" s="438"/>
      <c r="F61" s="439"/>
      <c r="J61" s="419" t="s">
        <v>459</v>
      </c>
      <c r="K61" s="421" t="s">
        <v>397</v>
      </c>
      <c r="L61" s="574" t="s">
        <v>177</v>
      </c>
      <c r="M61" s="421">
        <v>6</v>
      </c>
      <c r="N61" s="419" t="s">
        <v>10</v>
      </c>
      <c r="O61" s="419" t="s">
        <v>402</v>
      </c>
      <c r="P61" s="422" t="s">
        <v>434</v>
      </c>
      <c r="R61" s="448"/>
      <c r="S61" s="448"/>
      <c r="T61" s="448"/>
      <c r="U61" s="448"/>
      <c r="V61" s="448"/>
      <c r="W61" s="448"/>
      <c r="X61" s="448"/>
      <c r="AA61" s="469"/>
      <c r="AC61" s="458"/>
      <c r="AD61" s="437"/>
      <c r="AF61" s="469"/>
      <c r="AG61" s="469"/>
      <c r="AH61" s="437"/>
    </row>
    <row r="62" spans="2:34" x14ac:dyDescent="0.35">
      <c r="B62" s="438"/>
      <c r="F62" s="439"/>
      <c r="J62" s="445" t="s">
        <v>459</v>
      </c>
      <c r="K62" s="446" t="s">
        <v>397</v>
      </c>
      <c r="L62" s="573" t="s">
        <v>191</v>
      </c>
      <c r="M62" s="446">
        <v>2</v>
      </c>
      <c r="N62" s="445" t="s">
        <v>10</v>
      </c>
      <c r="O62" s="445" t="s">
        <v>402</v>
      </c>
      <c r="P62" s="447" t="s">
        <v>434</v>
      </c>
      <c r="R62" s="448"/>
      <c r="S62" s="448"/>
      <c r="T62" s="448"/>
      <c r="U62" s="448"/>
      <c r="V62" s="448"/>
      <c r="W62" s="448"/>
      <c r="X62" s="448"/>
      <c r="AA62" s="469"/>
      <c r="AC62" s="458"/>
      <c r="AD62" s="268"/>
      <c r="AF62" s="469"/>
      <c r="AG62" s="469"/>
      <c r="AH62" s="437"/>
    </row>
    <row r="63" spans="2:34" x14ac:dyDescent="0.35">
      <c r="B63" s="438"/>
      <c r="F63" s="439"/>
      <c r="J63" s="417"/>
      <c r="K63" s="420"/>
      <c r="L63" s="417"/>
      <c r="M63" s="420"/>
      <c r="N63" s="417"/>
      <c r="O63" s="417"/>
      <c r="P63" s="417"/>
      <c r="R63" s="448"/>
      <c r="S63" s="448"/>
      <c r="T63" s="448"/>
      <c r="U63" s="448"/>
      <c r="V63" s="448"/>
      <c r="W63" s="448"/>
      <c r="X63" s="448"/>
      <c r="AA63" s="469"/>
      <c r="AC63" s="458"/>
      <c r="AF63" s="469"/>
      <c r="AG63" s="469"/>
      <c r="AH63" s="437"/>
    </row>
    <row r="64" spans="2:34" x14ac:dyDescent="0.35">
      <c r="F64" s="439"/>
      <c r="J64" s="438"/>
      <c r="K64" s="439"/>
      <c r="L64" s="438"/>
      <c r="M64" s="439"/>
      <c r="N64" s="438"/>
      <c r="O64" s="438"/>
      <c r="P64" s="438"/>
      <c r="R64" s="448"/>
      <c r="S64" s="448"/>
      <c r="T64" s="448"/>
      <c r="U64" s="448"/>
      <c r="V64" s="448"/>
      <c r="W64" s="448"/>
      <c r="X64" s="448"/>
      <c r="AC64" s="458"/>
      <c r="AF64" s="469"/>
      <c r="AG64" s="469"/>
      <c r="AH64" s="437"/>
    </row>
    <row r="65" spans="6:34" x14ac:dyDescent="0.35">
      <c r="F65" s="439"/>
      <c r="J65" s="438"/>
      <c r="K65" s="439"/>
      <c r="L65" s="438"/>
      <c r="M65" s="439"/>
      <c r="N65" s="438"/>
      <c r="O65" s="438"/>
      <c r="P65" s="438"/>
      <c r="R65" s="448"/>
      <c r="S65" s="448"/>
      <c r="T65" s="448"/>
      <c r="U65" s="448"/>
      <c r="V65" s="448"/>
      <c r="W65" s="448"/>
      <c r="X65" s="448"/>
      <c r="AC65" s="458"/>
      <c r="AG65" s="469"/>
      <c r="AH65" s="437"/>
    </row>
    <row r="66" spans="6:34" x14ac:dyDescent="0.35">
      <c r="F66" s="439"/>
      <c r="J66" s="438"/>
      <c r="K66" s="439"/>
      <c r="L66" s="438"/>
      <c r="M66" s="439"/>
      <c r="N66" s="438"/>
      <c r="O66" s="438"/>
      <c r="P66" s="438"/>
      <c r="R66" s="448"/>
      <c r="S66" s="448"/>
      <c r="T66" s="448"/>
      <c r="U66" s="448"/>
      <c r="V66" s="448"/>
      <c r="W66" s="448"/>
      <c r="X66" s="448"/>
      <c r="AC66" s="458"/>
      <c r="AG66" s="469"/>
      <c r="AH66" s="437"/>
    </row>
    <row r="67" spans="6:34" x14ac:dyDescent="0.35">
      <c r="F67" s="439"/>
      <c r="J67" s="438"/>
      <c r="K67" s="439"/>
      <c r="L67" s="438"/>
      <c r="M67" s="439"/>
      <c r="N67" s="438"/>
      <c r="O67" s="438"/>
      <c r="P67" s="438"/>
      <c r="R67" s="448"/>
      <c r="S67" s="448"/>
      <c r="T67" s="448"/>
      <c r="U67" s="448"/>
      <c r="V67" s="448"/>
      <c r="W67" s="448"/>
      <c r="X67" s="448"/>
      <c r="AC67" s="458"/>
      <c r="AG67" s="469"/>
      <c r="AH67" s="268"/>
    </row>
    <row r="68" spans="6:34" x14ac:dyDescent="0.35">
      <c r="F68" s="439"/>
      <c r="J68" s="438"/>
      <c r="K68" s="439"/>
      <c r="L68" s="438"/>
      <c r="M68" s="439"/>
      <c r="N68" s="438"/>
      <c r="O68" s="438"/>
      <c r="P68" s="438"/>
      <c r="R68" s="448"/>
      <c r="S68" s="448"/>
      <c r="T68" s="448"/>
      <c r="U68" s="448"/>
      <c r="V68" s="448"/>
      <c r="W68" s="448"/>
      <c r="X68" s="448"/>
      <c r="AC68" s="458"/>
      <c r="AG68" s="469"/>
    </row>
    <row r="69" spans="6:34" x14ac:dyDescent="0.35">
      <c r="F69" s="444"/>
      <c r="J69" s="438"/>
      <c r="K69" s="439"/>
      <c r="L69" s="438"/>
      <c r="M69" s="439"/>
      <c r="N69" s="438"/>
      <c r="O69" s="438"/>
      <c r="P69" s="438"/>
      <c r="R69" s="448"/>
      <c r="S69" s="448"/>
      <c r="T69" s="448"/>
      <c r="U69" s="448"/>
      <c r="V69" s="448"/>
      <c r="W69" s="448"/>
      <c r="X69" s="448"/>
      <c r="AC69" s="458"/>
      <c r="AG69" s="469"/>
    </row>
    <row r="70" spans="6:34" x14ac:dyDescent="0.35">
      <c r="J70" s="438"/>
      <c r="K70" s="439"/>
      <c r="L70" s="438"/>
      <c r="M70" s="439"/>
      <c r="N70" s="438"/>
      <c r="O70" s="438"/>
      <c r="P70" s="438"/>
      <c r="R70" s="448"/>
      <c r="S70" s="448"/>
      <c r="T70" s="448"/>
      <c r="U70" s="448"/>
      <c r="V70" s="448"/>
      <c r="W70" s="448"/>
      <c r="X70" s="448"/>
      <c r="AC70" s="458"/>
    </row>
    <row r="71" spans="6:34" x14ac:dyDescent="0.35">
      <c r="J71" s="438"/>
      <c r="K71" s="439"/>
      <c r="L71" s="438"/>
      <c r="M71" s="439"/>
      <c r="N71" s="438"/>
      <c r="O71" s="438"/>
      <c r="P71" s="438"/>
      <c r="R71" s="448"/>
      <c r="S71" s="448"/>
      <c r="T71" s="448"/>
      <c r="U71" s="448"/>
      <c r="V71" s="448"/>
      <c r="W71" s="448"/>
      <c r="X71" s="448"/>
      <c r="AC71" s="458"/>
    </row>
    <row r="72" spans="6:34" x14ac:dyDescent="0.35">
      <c r="J72" s="438"/>
      <c r="K72" s="439"/>
      <c r="L72" s="438"/>
      <c r="M72" s="439"/>
      <c r="N72" s="438"/>
      <c r="O72" s="438"/>
      <c r="P72" s="438"/>
      <c r="R72" s="448"/>
      <c r="S72" s="448"/>
      <c r="T72" s="448"/>
      <c r="U72" s="448"/>
      <c r="V72" s="448"/>
      <c r="W72" s="448"/>
      <c r="X72" s="448"/>
      <c r="AC72" s="458"/>
    </row>
    <row r="73" spans="6:34" x14ac:dyDescent="0.35">
      <c r="J73" s="438"/>
      <c r="K73" s="439"/>
      <c r="L73" s="438"/>
      <c r="M73" s="439"/>
      <c r="N73" s="438"/>
      <c r="O73" s="438"/>
      <c r="P73" s="438"/>
      <c r="R73" s="448"/>
      <c r="S73" s="448"/>
      <c r="T73" s="448"/>
      <c r="U73" s="448"/>
      <c r="V73" s="448"/>
      <c r="W73" s="448"/>
      <c r="X73" s="448"/>
      <c r="AC73" s="458"/>
    </row>
    <row r="74" spans="6:34" x14ac:dyDescent="0.35">
      <c r="J74" s="438"/>
      <c r="K74" s="439"/>
      <c r="L74" s="438"/>
      <c r="M74" s="439"/>
      <c r="N74" s="438"/>
      <c r="O74" s="438"/>
      <c r="P74" s="438"/>
      <c r="R74" s="448"/>
      <c r="S74" s="448"/>
      <c r="T74" s="448"/>
      <c r="U74" s="448"/>
      <c r="V74" s="448"/>
      <c r="W74" s="448"/>
      <c r="X74" s="448"/>
      <c r="AC74" s="458"/>
    </row>
    <row r="75" spans="6:34" x14ac:dyDescent="0.35">
      <c r="J75" s="438"/>
      <c r="K75" s="439"/>
      <c r="L75" s="438"/>
      <c r="M75" s="439"/>
      <c r="N75" s="438"/>
      <c r="O75" s="438"/>
      <c r="P75" s="438"/>
      <c r="R75" s="448"/>
      <c r="S75" s="448"/>
      <c r="T75" s="448"/>
      <c r="U75" s="448"/>
      <c r="V75" s="448"/>
      <c r="W75" s="448"/>
      <c r="X75" s="448"/>
      <c r="AC75" s="458"/>
    </row>
    <row r="76" spans="6:34" x14ac:dyDescent="0.35">
      <c r="J76" s="438"/>
      <c r="K76" s="439"/>
      <c r="L76" s="438"/>
      <c r="M76" s="439"/>
      <c r="N76" s="438"/>
      <c r="O76" s="438"/>
      <c r="P76" s="438"/>
      <c r="R76" s="448"/>
      <c r="S76" s="448"/>
      <c r="T76" s="448"/>
      <c r="U76" s="448"/>
      <c r="V76" s="448"/>
      <c r="W76" s="448"/>
      <c r="X76" s="448"/>
      <c r="AC76" s="458"/>
    </row>
    <row r="77" spans="6:34" x14ac:dyDescent="0.35">
      <c r="J77" s="438"/>
      <c r="K77" s="439"/>
      <c r="L77" s="438"/>
      <c r="M77" s="439"/>
      <c r="N77" s="438"/>
      <c r="O77" s="438"/>
      <c r="P77" s="438"/>
      <c r="R77" s="448"/>
      <c r="S77" s="448"/>
      <c r="T77" s="448"/>
      <c r="U77" s="448"/>
      <c r="V77" s="448"/>
      <c r="W77" s="448"/>
      <c r="X77" s="448"/>
      <c r="AC77" s="458"/>
    </row>
    <row r="78" spans="6:34" x14ac:dyDescent="0.35">
      <c r="J78" s="438"/>
      <c r="K78" s="439"/>
      <c r="L78" s="438"/>
      <c r="M78" s="439"/>
      <c r="N78" s="438"/>
      <c r="O78" s="438"/>
      <c r="P78" s="438"/>
      <c r="R78" s="448"/>
      <c r="S78" s="448"/>
      <c r="T78" s="448"/>
      <c r="U78" s="448"/>
      <c r="V78" s="448"/>
      <c r="W78" s="448"/>
      <c r="X78" s="448"/>
      <c r="AC78" s="458"/>
    </row>
    <row r="79" spans="6:34" x14ac:dyDescent="0.35">
      <c r="J79" s="438"/>
      <c r="K79" s="439"/>
      <c r="L79" s="438"/>
      <c r="M79" s="439"/>
      <c r="N79" s="438"/>
      <c r="O79" s="438"/>
      <c r="P79" s="438"/>
      <c r="R79" s="448"/>
      <c r="S79" s="448"/>
      <c r="T79" s="448"/>
      <c r="U79" s="448"/>
      <c r="V79" s="448"/>
      <c r="W79" s="448"/>
      <c r="X79" s="448"/>
      <c r="AC79" s="458"/>
    </row>
    <row r="80" spans="6:34" x14ac:dyDescent="0.35">
      <c r="J80" s="438"/>
      <c r="K80" s="439"/>
      <c r="L80" s="438"/>
      <c r="M80" s="439"/>
      <c r="N80" s="438"/>
      <c r="O80" s="438"/>
      <c r="P80" s="438"/>
      <c r="R80" s="448"/>
      <c r="S80" s="448"/>
      <c r="T80" s="448"/>
      <c r="U80" s="448"/>
      <c r="V80" s="448"/>
      <c r="W80" s="448"/>
      <c r="X80" s="448"/>
      <c r="AC80" s="458"/>
    </row>
    <row r="81" spans="10:29" x14ac:dyDescent="0.35">
      <c r="J81" s="438"/>
      <c r="K81" s="439"/>
      <c r="L81" s="438"/>
      <c r="M81" s="439"/>
      <c r="N81" s="438"/>
      <c r="O81" s="438"/>
      <c r="P81" s="438"/>
      <c r="R81" s="448"/>
      <c r="S81" s="448"/>
      <c r="T81" s="448"/>
      <c r="U81" s="448"/>
      <c r="V81" s="448"/>
      <c r="W81" s="448"/>
      <c r="X81" s="448"/>
      <c r="AC81" s="458"/>
    </row>
    <row r="82" spans="10:29" x14ac:dyDescent="0.35">
      <c r="J82" s="438"/>
      <c r="K82" s="439"/>
      <c r="L82" s="438"/>
      <c r="M82" s="439"/>
      <c r="N82" s="438"/>
      <c r="O82" s="438"/>
      <c r="P82" s="438"/>
      <c r="R82" s="448"/>
      <c r="S82" s="448"/>
      <c r="T82" s="448"/>
      <c r="U82" s="448"/>
      <c r="V82" s="448"/>
      <c r="W82" s="448"/>
      <c r="X82" s="448"/>
      <c r="AC82" s="458"/>
    </row>
    <row r="83" spans="10:29" x14ac:dyDescent="0.35">
      <c r="J83" s="438"/>
      <c r="K83" s="439"/>
      <c r="L83" s="438"/>
      <c r="M83" s="439"/>
      <c r="N83" s="438"/>
      <c r="O83" s="438"/>
      <c r="P83" s="438"/>
      <c r="R83" s="448"/>
      <c r="S83" s="448"/>
      <c r="T83" s="448"/>
      <c r="U83" s="448"/>
      <c r="V83" s="448"/>
      <c r="W83" s="448"/>
      <c r="X83" s="448"/>
      <c r="AC83" s="458"/>
    </row>
    <row r="84" spans="10:29" x14ac:dyDescent="0.35">
      <c r="J84" s="438"/>
      <c r="K84" s="439"/>
      <c r="L84" s="438"/>
      <c r="M84" s="439"/>
      <c r="N84" s="438"/>
      <c r="O84" s="438"/>
      <c r="P84" s="438"/>
      <c r="R84" s="448"/>
      <c r="S84" s="448"/>
      <c r="T84" s="448"/>
      <c r="U84" s="448"/>
      <c r="V84" s="448"/>
      <c r="W84" s="448"/>
      <c r="X84" s="448"/>
      <c r="AC84" s="458"/>
    </row>
    <row r="85" spans="10:29" x14ac:dyDescent="0.35">
      <c r="J85" s="438"/>
      <c r="K85" s="439"/>
      <c r="L85" s="438"/>
      <c r="M85" s="439"/>
      <c r="N85" s="438"/>
      <c r="O85" s="438"/>
      <c r="P85" s="438"/>
      <c r="R85" s="448"/>
      <c r="S85" s="448"/>
      <c r="T85" s="448"/>
      <c r="U85" s="448"/>
      <c r="V85" s="448"/>
      <c r="W85" s="448"/>
      <c r="X85" s="448"/>
      <c r="AC85" s="458"/>
    </row>
    <row r="86" spans="10:29" x14ac:dyDescent="0.35">
      <c r="J86" s="438"/>
      <c r="K86" s="439"/>
      <c r="L86" s="438"/>
      <c r="M86" s="439"/>
      <c r="N86" s="438"/>
      <c r="O86" s="438"/>
      <c r="P86" s="438"/>
      <c r="R86" s="448"/>
      <c r="S86" s="448"/>
      <c r="T86" s="448"/>
      <c r="U86" s="448"/>
      <c r="V86" s="448"/>
      <c r="W86" s="448"/>
      <c r="X86" s="448"/>
      <c r="AC86" s="458"/>
    </row>
    <row r="87" spans="10:29" x14ac:dyDescent="0.35">
      <c r="J87" s="438"/>
      <c r="K87" s="439"/>
      <c r="L87" s="438"/>
      <c r="M87" s="439"/>
      <c r="N87" s="438"/>
      <c r="O87" s="438"/>
      <c r="P87" s="438"/>
      <c r="R87" s="448"/>
      <c r="S87" s="448"/>
      <c r="T87" s="448"/>
      <c r="U87" s="448"/>
      <c r="V87" s="448"/>
      <c r="W87" s="448"/>
      <c r="X87" s="448"/>
      <c r="AC87" s="458"/>
    </row>
    <row r="88" spans="10:29" x14ac:dyDescent="0.35">
      <c r="J88" s="438"/>
      <c r="K88" s="439"/>
      <c r="L88" s="438"/>
      <c r="M88" s="439"/>
      <c r="N88" s="438"/>
      <c r="O88" s="438"/>
      <c r="P88" s="438"/>
      <c r="R88" s="448"/>
      <c r="S88" s="448"/>
      <c r="T88" s="448"/>
      <c r="U88" s="448"/>
      <c r="V88" s="448"/>
      <c r="W88" s="448"/>
      <c r="X88" s="448"/>
      <c r="AC88" s="458"/>
    </row>
    <row r="89" spans="10:29" x14ac:dyDescent="0.35">
      <c r="J89" s="438"/>
      <c r="K89" s="439"/>
      <c r="L89" s="438"/>
      <c r="M89" s="439"/>
      <c r="N89" s="438"/>
      <c r="O89" s="438"/>
      <c r="P89" s="438"/>
      <c r="R89" s="448"/>
      <c r="S89" s="448"/>
      <c r="T89" s="448"/>
      <c r="U89" s="448"/>
      <c r="V89" s="448"/>
      <c r="W89" s="448"/>
      <c r="X89" s="448"/>
      <c r="AC89" s="458"/>
    </row>
    <row r="90" spans="10:29" x14ac:dyDescent="0.35">
      <c r="J90" s="438"/>
      <c r="K90" s="439"/>
      <c r="L90" s="438"/>
      <c r="M90" s="439"/>
      <c r="N90" s="438"/>
      <c r="O90" s="438"/>
      <c r="P90" s="438"/>
      <c r="R90" s="448"/>
      <c r="S90" s="448"/>
      <c r="T90" s="448"/>
      <c r="U90" s="448"/>
      <c r="V90" s="448"/>
      <c r="W90" s="448"/>
      <c r="X90" s="448"/>
      <c r="AC90" s="458"/>
    </row>
    <row r="91" spans="10:29" x14ac:dyDescent="0.35">
      <c r="J91" s="438"/>
      <c r="K91" s="439"/>
      <c r="L91" s="438"/>
      <c r="M91" s="439"/>
      <c r="N91" s="438"/>
      <c r="O91" s="438"/>
      <c r="P91" s="438"/>
      <c r="R91" s="448"/>
      <c r="S91" s="448"/>
      <c r="T91" s="448"/>
      <c r="U91" s="448"/>
      <c r="V91" s="448"/>
      <c r="W91" s="448"/>
      <c r="X91" s="448"/>
      <c r="AC91" s="458"/>
    </row>
    <row r="92" spans="10:29" x14ac:dyDescent="0.35">
      <c r="J92" s="438"/>
      <c r="K92" s="439"/>
      <c r="L92" s="438"/>
      <c r="M92" s="439"/>
      <c r="N92" s="438"/>
      <c r="O92" s="438"/>
      <c r="P92" s="438"/>
      <c r="R92" s="448"/>
      <c r="S92" s="448"/>
      <c r="T92" s="448"/>
      <c r="U92" s="448"/>
      <c r="V92" s="448"/>
      <c r="W92" s="448"/>
      <c r="X92" s="448"/>
      <c r="AC92" s="458"/>
    </row>
    <row r="93" spans="10:29" x14ac:dyDescent="0.35">
      <c r="J93" s="438"/>
      <c r="K93" s="439"/>
      <c r="L93" s="438"/>
      <c r="M93" s="439"/>
      <c r="N93" s="438"/>
      <c r="O93" s="438"/>
      <c r="P93" s="438"/>
      <c r="R93" s="448"/>
      <c r="S93" s="448"/>
      <c r="T93" s="448"/>
      <c r="U93" s="448"/>
      <c r="V93" s="448"/>
      <c r="W93" s="448"/>
      <c r="X93" s="448"/>
      <c r="AC93" s="458"/>
    </row>
    <row r="94" spans="10:29" x14ac:dyDescent="0.35">
      <c r="J94" s="438"/>
      <c r="K94" s="439"/>
      <c r="L94" s="438"/>
      <c r="M94" s="439"/>
      <c r="N94" s="438"/>
      <c r="O94" s="438"/>
      <c r="P94" s="438"/>
      <c r="R94" s="448"/>
      <c r="S94" s="448"/>
      <c r="T94" s="448"/>
      <c r="U94" s="448"/>
      <c r="V94" s="448"/>
      <c r="W94" s="448"/>
      <c r="X94" s="448"/>
      <c r="AC94" s="458"/>
    </row>
    <row r="95" spans="10:29" x14ac:dyDescent="0.35">
      <c r="J95" s="438"/>
      <c r="K95" s="439"/>
      <c r="L95" s="438"/>
      <c r="M95" s="439"/>
      <c r="N95" s="438"/>
      <c r="O95" s="438"/>
      <c r="P95" s="438"/>
      <c r="R95" s="448"/>
      <c r="S95" s="448"/>
      <c r="T95" s="448"/>
      <c r="U95" s="448"/>
      <c r="V95" s="448"/>
      <c r="W95" s="448"/>
      <c r="X95" s="448"/>
      <c r="AC95" s="458"/>
    </row>
    <row r="96" spans="10:29" x14ac:dyDescent="0.35">
      <c r="J96" s="438"/>
      <c r="K96" s="439"/>
      <c r="L96" s="438"/>
      <c r="M96" s="439"/>
      <c r="N96" s="438"/>
      <c r="O96" s="438"/>
      <c r="P96" s="438"/>
      <c r="R96" s="448"/>
      <c r="S96" s="448"/>
      <c r="T96" s="448"/>
      <c r="U96" s="448"/>
      <c r="V96" s="448"/>
      <c r="W96" s="448"/>
      <c r="X96" s="448"/>
      <c r="AC96" s="458"/>
    </row>
    <row r="97" spans="10:29" x14ac:dyDescent="0.35">
      <c r="J97" s="438"/>
      <c r="K97" s="439"/>
      <c r="L97" s="438"/>
      <c r="M97" s="439"/>
      <c r="N97" s="438"/>
      <c r="O97" s="438"/>
      <c r="P97" s="438"/>
      <c r="R97" s="448"/>
      <c r="S97" s="448"/>
      <c r="T97" s="448"/>
      <c r="U97" s="448"/>
      <c r="V97" s="448"/>
      <c r="W97" s="448"/>
      <c r="X97" s="448"/>
      <c r="AC97" s="458"/>
    </row>
    <row r="98" spans="10:29" x14ac:dyDescent="0.35">
      <c r="J98" s="438"/>
      <c r="K98" s="439"/>
      <c r="L98" s="438"/>
      <c r="M98" s="439"/>
      <c r="N98" s="438"/>
      <c r="O98" s="438"/>
      <c r="P98" s="438"/>
      <c r="R98" s="448"/>
      <c r="S98" s="448"/>
      <c r="T98" s="448"/>
      <c r="U98" s="448"/>
      <c r="V98" s="448"/>
      <c r="W98" s="448"/>
      <c r="X98" s="448"/>
      <c r="AC98" s="458"/>
    </row>
    <row r="99" spans="10:29" x14ac:dyDescent="0.35">
      <c r="J99" s="438"/>
      <c r="K99" s="439"/>
      <c r="L99" s="438"/>
      <c r="M99" s="439"/>
      <c r="N99" s="438"/>
      <c r="O99" s="438"/>
      <c r="P99" s="438"/>
      <c r="R99" s="448"/>
      <c r="S99" s="448"/>
      <c r="T99" s="448"/>
      <c r="U99" s="448"/>
      <c r="V99" s="448"/>
      <c r="W99" s="448"/>
      <c r="X99" s="448"/>
      <c r="AC99" s="458"/>
    </row>
    <row r="100" spans="10:29" x14ac:dyDescent="0.35">
      <c r="J100" s="438"/>
      <c r="K100" s="439"/>
      <c r="L100" s="438"/>
      <c r="M100" s="439"/>
      <c r="N100" s="438"/>
      <c r="O100" s="438"/>
      <c r="P100" s="438"/>
      <c r="R100" s="448"/>
      <c r="S100" s="448"/>
      <c r="T100" s="448"/>
      <c r="U100" s="448"/>
      <c r="V100" s="448"/>
      <c r="W100" s="448"/>
      <c r="X100" s="448"/>
      <c r="Y100" s="14"/>
      <c r="AC100" s="458"/>
    </row>
    <row r="101" spans="10:29" x14ac:dyDescent="0.35">
      <c r="J101" s="438"/>
      <c r="K101" s="439"/>
      <c r="L101" s="438"/>
      <c r="M101" s="439"/>
      <c r="N101" s="438"/>
      <c r="O101" s="438"/>
      <c r="P101" s="438"/>
      <c r="R101" s="448"/>
      <c r="S101" s="448"/>
      <c r="T101" s="448"/>
      <c r="U101" s="448"/>
      <c r="V101" s="448"/>
      <c r="W101" s="448"/>
      <c r="X101" s="448"/>
      <c r="AC101" s="458"/>
    </row>
    <row r="102" spans="10:29" x14ac:dyDescent="0.35">
      <c r="J102" s="438"/>
      <c r="K102" s="439"/>
      <c r="L102" s="438"/>
      <c r="M102" s="439"/>
      <c r="N102" s="438"/>
      <c r="O102" s="438"/>
      <c r="P102" s="438"/>
      <c r="R102" s="448"/>
      <c r="S102" s="448"/>
      <c r="T102" s="448"/>
      <c r="U102" s="448"/>
      <c r="V102" s="448"/>
      <c r="W102" s="448"/>
      <c r="X102" s="448"/>
      <c r="AC102" s="458"/>
    </row>
    <row r="103" spans="10:29" x14ac:dyDescent="0.35">
      <c r="J103" s="438"/>
      <c r="K103" s="439"/>
      <c r="L103" s="438"/>
      <c r="M103" s="439"/>
      <c r="N103" s="438"/>
      <c r="O103" s="438"/>
      <c r="P103" s="438"/>
      <c r="R103" s="448"/>
      <c r="S103" s="448"/>
      <c r="T103" s="448"/>
      <c r="U103" s="448"/>
      <c r="V103" s="448"/>
      <c r="W103" s="448"/>
      <c r="X103" s="448"/>
      <c r="AC103" s="458"/>
    </row>
    <row r="104" spans="10:29" x14ac:dyDescent="0.35">
      <c r="J104" s="438"/>
      <c r="K104" s="439"/>
      <c r="L104" s="438"/>
      <c r="M104" s="439"/>
      <c r="N104" s="438"/>
      <c r="O104" s="438"/>
      <c r="P104" s="438"/>
      <c r="R104" s="448"/>
      <c r="S104" s="448"/>
      <c r="T104" s="448"/>
      <c r="U104" s="448"/>
      <c r="V104" s="448"/>
      <c r="W104" s="448"/>
      <c r="X104" s="448"/>
      <c r="AC104" s="458"/>
    </row>
    <row r="105" spans="10:29" x14ac:dyDescent="0.35">
      <c r="J105" s="438"/>
      <c r="K105" s="439"/>
      <c r="L105" s="438"/>
      <c r="M105" s="439"/>
      <c r="N105" s="438"/>
      <c r="O105" s="438"/>
      <c r="P105" s="438"/>
      <c r="R105" s="448"/>
      <c r="S105" s="448"/>
      <c r="T105" s="448"/>
      <c r="U105" s="448"/>
      <c r="V105" s="448"/>
      <c r="W105" s="448"/>
      <c r="X105" s="448"/>
      <c r="AC105" s="458"/>
    </row>
    <row r="106" spans="10:29" x14ac:dyDescent="0.35">
      <c r="J106" s="438"/>
      <c r="K106" s="439"/>
      <c r="L106" s="438"/>
      <c r="M106" s="439"/>
      <c r="N106" s="438"/>
      <c r="O106" s="438"/>
      <c r="P106" s="438"/>
      <c r="R106" s="448"/>
      <c r="S106" s="448"/>
      <c r="T106" s="448"/>
      <c r="U106" s="448"/>
      <c r="V106" s="448"/>
      <c r="W106" s="448"/>
      <c r="X106" s="448"/>
      <c r="AC106" s="458"/>
    </row>
    <row r="107" spans="10:29" x14ac:dyDescent="0.35">
      <c r="J107" s="438"/>
      <c r="K107" s="439"/>
      <c r="L107" s="438"/>
      <c r="M107" s="439"/>
      <c r="N107" s="438"/>
      <c r="O107" s="438"/>
      <c r="P107" s="438"/>
      <c r="R107" s="448"/>
      <c r="S107" s="448"/>
      <c r="T107" s="448"/>
      <c r="U107" s="448"/>
      <c r="V107" s="448"/>
      <c r="W107" s="448"/>
      <c r="X107" s="448"/>
      <c r="AC107" s="458"/>
    </row>
    <row r="108" spans="10:29" x14ac:dyDescent="0.35">
      <c r="J108" s="438"/>
      <c r="K108" s="439"/>
      <c r="L108" s="438"/>
      <c r="M108" s="439"/>
      <c r="N108" s="438"/>
      <c r="O108" s="438"/>
      <c r="P108" s="438"/>
      <c r="R108" s="448"/>
      <c r="S108" s="448"/>
      <c r="T108" s="448"/>
      <c r="U108" s="448"/>
      <c r="V108" s="448"/>
      <c r="W108" s="448"/>
      <c r="X108" s="448"/>
      <c r="AC108" s="458"/>
    </row>
    <row r="109" spans="10:29" x14ac:dyDescent="0.35">
      <c r="J109" s="438"/>
      <c r="K109" s="439"/>
      <c r="L109" s="438"/>
      <c r="M109" s="439"/>
      <c r="N109" s="438"/>
      <c r="O109" s="438"/>
      <c r="P109" s="438"/>
      <c r="R109" s="448"/>
      <c r="S109" s="448"/>
      <c r="T109" s="448"/>
      <c r="U109" s="448"/>
      <c r="V109" s="448"/>
      <c r="W109" s="448"/>
      <c r="X109" s="448"/>
      <c r="AC109" s="458"/>
    </row>
    <row r="110" spans="10:29" x14ac:dyDescent="0.35">
      <c r="J110" s="438"/>
      <c r="K110" s="439"/>
      <c r="L110" s="438"/>
      <c r="M110" s="439"/>
      <c r="N110" s="438"/>
      <c r="O110" s="438"/>
      <c r="P110" s="438"/>
      <c r="R110" s="448"/>
      <c r="S110" s="448"/>
      <c r="T110" s="448"/>
      <c r="U110" s="448"/>
      <c r="V110" s="448"/>
      <c r="W110" s="448"/>
      <c r="X110" s="448"/>
      <c r="AC110" s="458"/>
    </row>
    <row r="111" spans="10:29" x14ac:dyDescent="0.35">
      <c r="J111" s="438"/>
      <c r="K111" s="439"/>
      <c r="L111" s="438"/>
      <c r="M111" s="439"/>
      <c r="N111" s="438"/>
      <c r="O111" s="438"/>
      <c r="P111" s="438"/>
      <c r="R111" s="448"/>
      <c r="S111" s="448"/>
      <c r="T111" s="448"/>
      <c r="U111" s="448"/>
      <c r="V111" s="448"/>
      <c r="W111" s="448"/>
      <c r="X111" s="448"/>
      <c r="AC111" s="458"/>
    </row>
    <row r="112" spans="10:29" x14ac:dyDescent="0.35">
      <c r="J112" s="438"/>
      <c r="K112" s="439"/>
      <c r="L112" s="438"/>
      <c r="M112" s="439"/>
      <c r="N112" s="438"/>
      <c r="O112" s="438"/>
      <c r="P112" s="438"/>
      <c r="R112" s="448"/>
      <c r="S112" s="448"/>
      <c r="T112" s="448"/>
      <c r="U112" s="448"/>
      <c r="V112" s="448"/>
      <c r="W112" s="448"/>
      <c r="X112" s="448"/>
      <c r="AC112" s="458"/>
    </row>
    <row r="113" spans="10:29" x14ac:dyDescent="0.35">
      <c r="J113" s="448"/>
      <c r="K113" s="444"/>
      <c r="L113" s="448"/>
      <c r="M113" s="444"/>
      <c r="N113" s="448"/>
      <c r="O113" s="448"/>
      <c r="P113" s="448"/>
      <c r="R113" s="448"/>
      <c r="S113" s="448"/>
      <c r="T113" s="448"/>
      <c r="U113" s="448"/>
      <c r="V113" s="448"/>
      <c r="W113" s="448"/>
      <c r="X113" s="448"/>
      <c r="AC113" s="458"/>
    </row>
    <row r="114" spans="10:29" x14ac:dyDescent="0.35">
      <c r="L114" s="272"/>
      <c r="R114" s="448"/>
      <c r="S114" s="448"/>
      <c r="T114" s="448"/>
      <c r="U114" s="448"/>
      <c r="V114" s="448"/>
      <c r="W114" s="448"/>
      <c r="X114" s="448"/>
      <c r="AC114" s="458"/>
    </row>
    <row r="115" spans="10:29" x14ac:dyDescent="0.35">
      <c r="L115" s="272"/>
      <c r="R115" s="448"/>
      <c r="S115" s="448"/>
      <c r="T115" s="448"/>
      <c r="U115" s="448"/>
      <c r="V115" s="448"/>
      <c r="W115" s="448"/>
      <c r="X115" s="448"/>
      <c r="AC115" s="458"/>
    </row>
    <row r="116" spans="10:29" x14ac:dyDescent="0.35">
      <c r="L116" s="272"/>
      <c r="R116" s="448"/>
      <c r="S116" s="448"/>
      <c r="T116" s="448"/>
      <c r="U116" s="448"/>
      <c r="V116" s="448"/>
      <c r="W116" s="448"/>
      <c r="X116" s="448"/>
      <c r="AC116" s="458"/>
    </row>
    <row r="117" spans="10:29" x14ac:dyDescent="0.35">
      <c r="L117" s="272"/>
      <c r="R117" s="448"/>
      <c r="S117" s="448"/>
      <c r="T117" s="448"/>
      <c r="U117" s="448"/>
      <c r="V117" s="448"/>
      <c r="W117" s="448"/>
      <c r="X117" s="448"/>
      <c r="AC117" s="458"/>
    </row>
    <row r="118" spans="10:29" x14ac:dyDescent="0.35">
      <c r="L118" s="272"/>
      <c r="R118" s="448"/>
      <c r="S118" s="448"/>
      <c r="T118" s="448"/>
      <c r="U118" s="448"/>
      <c r="V118" s="448"/>
      <c r="W118" s="448"/>
      <c r="X118" s="448"/>
      <c r="AC118" s="458"/>
    </row>
    <row r="119" spans="10:29" x14ac:dyDescent="0.35">
      <c r="L119" s="272"/>
      <c r="R119" s="448"/>
      <c r="S119" s="448"/>
      <c r="T119" s="448"/>
      <c r="U119" s="448"/>
      <c r="V119" s="448"/>
      <c r="W119" s="448"/>
      <c r="X119" s="448"/>
      <c r="AC119" s="458"/>
    </row>
    <row r="120" spans="10:29" x14ac:dyDescent="0.35">
      <c r="L120" s="272"/>
      <c r="R120" s="448"/>
      <c r="S120" s="448"/>
      <c r="T120" s="448"/>
      <c r="U120" s="448"/>
      <c r="V120" s="448"/>
      <c r="W120" s="448"/>
      <c r="X120" s="448"/>
      <c r="AC120" s="458"/>
    </row>
    <row r="121" spans="10:29" x14ac:dyDescent="0.35">
      <c r="L121" s="272"/>
      <c r="R121" s="448"/>
      <c r="S121" s="448"/>
      <c r="T121" s="448"/>
      <c r="U121" s="448"/>
      <c r="V121" s="448"/>
      <c r="W121" s="448"/>
      <c r="X121" s="448"/>
      <c r="AC121" s="458"/>
    </row>
    <row r="122" spans="10:29" x14ac:dyDescent="0.35">
      <c r="L122" s="272"/>
      <c r="R122" s="448"/>
      <c r="S122" s="448"/>
      <c r="T122" s="448"/>
      <c r="U122" s="448"/>
      <c r="V122" s="448"/>
      <c r="W122" s="448"/>
      <c r="X122" s="448"/>
      <c r="AC122" s="458"/>
    </row>
    <row r="123" spans="10:29" x14ac:dyDescent="0.35">
      <c r="L123" s="272"/>
      <c r="R123" s="448"/>
      <c r="S123" s="448"/>
      <c r="T123" s="448"/>
      <c r="U123" s="448"/>
      <c r="V123" s="448"/>
      <c r="W123" s="448"/>
      <c r="X123" s="448"/>
      <c r="AC123" s="458"/>
    </row>
    <row r="124" spans="10:29" x14ac:dyDescent="0.35">
      <c r="L124" s="272"/>
      <c r="R124" s="448"/>
      <c r="S124" s="448"/>
      <c r="T124" s="448"/>
      <c r="U124" s="448"/>
      <c r="V124" s="448"/>
      <c r="W124" s="448"/>
      <c r="X124" s="448"/>
      <c r="AC124" s="458"/>
    </row>
    <row r="125" spans="10:29" x14ac:dyDescent="0.35">
      <c r="L125" s="272"/>
      <c r="R125" s="448"/>
      <c r="S125" s="448"/>
      <c r="T125" s="448"/>
      <c r="U125" s="448"/>
      <c r="V125" s="448"/>
      <c r="W125" s="448"/>
      <c r="X125" s="448"/>
      <c r="AC125" s="458"/>
    </row>
    <row r="126" spans="10:29" x14ac:dyDescent="0.35">
      <c r="L126" s="272"/>
      <c r="R126" s="448"/>
      <c r="S126" s="448"/>
      <c r="T126" s="448"/>
      <c r="U126" s="448"/>
      <c r="V126" s="448"/>
      <c r="W126" s="448"/>
      <c r="X126" s="448"/>
      <c r="AC126" s="458"/>
    </row>
    <row r="127" spans="10:29" x14ac:dyDescent="0.35">
      <c r="L127" s="272"/>
      <c r="R127" s="448"/>
      <c r="S127" s="448"/>
      <c r="T127" s="448"/>
      <c r="U127" s="448"/>
      <c r="V127" s="448"/>
      <c r="W127" s="448"/>
      <c r="X127" s="448"/>
      <c r="AC127" s="458"/>
    </row>
    <row r="128" spans="10:29" x14ac:dyDescent="0.35">
      <c r="L128" s="272"/>
      <c r="R128" s="448"/>
      <c r="S128" s="448"/>
      <c r="T128" s="448"/>
      <c r="U128" s="448"/>
      <c r="V128" s="448"/>
      <c r="W128" s="448"/>
      <c r="X128" s="448"/>
      <c r="AC128" s="458"/>
    </row>
    <row r="129" spans="12:29" x14ac:dyDescent="0.35">
      <c r="L129" s="272"/>
      <c r="R129" s="448"/>
      <c r="S129" s="448"/>
      <c r="T129" s="448"/>
      <c r="U129" s="448"/>
      <c r="V129" s="448"/>
      <c r="W129" s="448"/>
      <c r="X129" s="448"/>
      <c r="AC129" s="458"/>
    </row>
    <row r="130" spans="12:29" x14ac:dyDescent="0.35">
      <c r="L130" s="272"/>
      <c r="R130" s="448"/>
      <c r="S130" s="448"/>
      <c r="T130" s="448"/>
      <c r="U130" s="448"/>
      <c r="V130" s="448"/>
      <c r="W130" s="448"/>
      <c r="X130" s="448"/>
      <c r="AC130" s="458"/>
    </row>
    <row r="131" spans="12:29" x14ac:dyDescent="0.35">
      <c r="L131" s="272"/>
      <c r="R131" s="448"/>
      <c r="S131" s="448"/>
      <c r="T131" s="448"/>
      <c r="U131" s="448"/>
      <c r="V131" s="448"/>
      <c r="W131" s="448"/>
      <c r="X131" s="448"/>
      <c r="AC131" s="458"/>
    </row>
    <row r="132" spans="12:29" x14ac:dyDescent="0.35">
      <c r="L132" s="272"/>
      <c r="R132" s="448"/>
      <c r="S132" s="448"/>
      <c r="T132" s="448"/>
      <c r="U132" s="448"/>
      <c r="V132" s="448"/>
      <c r="W132" s="448"/>
      <c r="X132" s="448"/>
      <c r="AC132" s="458"/>
    </row>
    <row r="133" spans="12:29" x14ac:dyDescent="0.35">
      <c r="L133" s="272"/>
      <c r="R133" s="448"/>
      <c r="S133" s="448"/>
      <c r="T133" s="448"/>
      <c r="U133" s="448"/>
      <c r="V133" s="448"/>
      <c r="W133" s="448"/>
      <c r="X133" s="448"/>
      <c r="AC133" s="458"/>
    </row>
    <row r="134" spans="12:29" x14ac:dyDescent="0.35">
      <c r="L134" s="272"/>
      <c r="R134" s="448"/>
      <c r="S134" s="448"/>
      <c r="T134" s="448"/>
      <c r="U134" s="448"/>
      <c r="V134" s="448"/>
      <c r="W134" s="448"/>
      <c r="X134" s="448"/>
      <c r="AC134" s="458"/>
    </row>
    <row r="135" spans="12:29" x14ac:dyDescent="0.35">
      <c r="L135" s="272"/>
      <c r="R135" s="448"/>
      <c r="S135" s="448"/>
      <c r="T135" s="448"/>
      <c r="U135" s="448"/>
      <c r="V135" s="448"/>
      <c r="W135" s="448"/>
      <c r="X135" s="448"/>
      <c r="AC135" s="458"/>
    </row>
    <row r="136" spans="12:29" x14ac:dyDescent="0.35">
      <c r="L136" s="272"/>
      <c r="R136" s="448"/>
      <c r="S136" s="448"/>
      <c r="T136" s="448"/>
      <c r="U136" s="448"/>
      <c r="V136" s="448"/>
      <c r="W136" s="448"/>
      <c r="X136" s="448"/>
      <c r="AC136" s="458"/>
    </row>
    <row r="137" spans="12:29" x14ac:dyDescent="0.35">
      <c r="L137" s="272"/>
      <c r="R137" s="448"/>
      <c r="S137" s="448"/>
      <c r="T137" s="448"/>
      <c r="U137" s="448"/>
      <c r="V137" s="448"/>
      <c r="W137" s="448"/>
      <c r="X137" s="448"/>
      <c r="AC137" s="458"/>
    </row>
    <row r="138" spans="12:29" x14ac:dyDescent="0.35">
      <c r="L138" s="272"/>
      <c r="R138" s="448"/>
      <c r="S138" s="448"/>
      <c r="T138" s="448"/>
      <c r="U138" s="448"/>
      <c r="V138" s="448"/>
      <c r="W138" s="448"/>
      <c r="X138" s="448"/>
      <c r="AC138" s="458"/>
    </row>
    <row r="139" spans="12:29" x14ac:dyDescent="0.35">
      <c r="L139" s="272"/>
      <c r="R139" s="448"/>
      <c r="S139" s="448"/>
      <c r="T139" s="448"/>
      <c r="U139" s="448"/>
      <c r="V139" s="448"/>
      <c r="W139" s="448"/>
      <c r="X139" s="448"/>
      <c r="AC139" s="458"/>
    </row>
    <row r="140" spans="12:29" x14ac:dyDescent="0.35">
      <c r="L140" s="272"/>
      <c r="R140" s="448"/>
      <c r="S140" s="448"/>
      <c r="T140" s="448"/>
      <c r="U140" s="448"/>
      <c r="V140" s="448"/>
      <c r="W140" s="448"/>
      <c r="X140" s="448"/>
    </row>
    <row r="141" spans="12:29" x14ac:dyDescent="0.35">
      <c r="L141" s="272"/>
      <c r="R141" s="448"/>
      <c r="S141" s="448"/>
      <c r="T141" s="448"/>
      <c r="U141" s="448"/>
      <c r="V141" s="448"/>
      <c r="W141" s="448"/>
      <c r="X141" s="448"/>
    </row>
    <row r="142" spans="12:29" x14ac:dyDescent="0.35">
      <c r="L142" s="272"/>
      <c r="R142" s="448"/>
      <c r="S142" s="448"/>
      <c r="T142" s="448"/>
      <c r="U142" s="448"/>
      <c r="V142" s="448"/>
      <c r="W142" s="448"/>
      <c r="X142" s="448"/>
    </row>
    <row r="143" spans="12:29" x14ac:dyDescent="0.35">
      <c r="L143" s="272"/>
      <c r="R143" s="448"/>
      <c r="S143" s="448"/>
      <c r="T143" s="448"/>
      <c r="U143" s="448"/>
      <c r="V143" s="448"/>
      <c r="W143" s="448"/>
      <c r="X143" s="448"/>
    </row>
    <row r="144" spans="12:29" x14ac:dyDescent="0.35">
      <c r="L144" s="272"/>
      <c r="R144" s="448"/>
      <c r="S144" s="448"/>
      <c r="T144" s="448"/>
      <c r="U144" s="448"/>
      <c r="V144" s="448"/>
      <c r="W144" s="448"/>
      <c r="X144" s="448"/>
    </row>
    <row r="145" spans="12:24" x14ac:dyDescent="0.35">
      <c r="L145" s="272"/>
      <c r="R145" s="448"/>
      <c r="S145" s="448"/>
      <c r="T145" s="448"/>
      <c r="U145" s="448"/>
      <c r="V145" s="448"/>
      <c r="W145" s="448"/>
      <c r="X145" s="448"/>
    </row>
    <row r="146" spans="12:24" x14ac:dyDescent="0.35">
      <c r="L146" s="272"/>
      <c r="R146" s="448"/>
      <c r="S146" s="448"/>
      <c r="T146" s="448"/>
      <c r="U146" s="448"/>
      <c r="V146" s="448"/>
      <c r="W146" s="448"/>
      <c r="X146" s="44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759576CB-3BE0-4EFB-AAA9-096B94FDA18C}">
      <formula1>"E,A"</formula1>
    </dataValidation>
    <dataValidation type="list" errorStyle="warning" allowBlank="1" showErrorMessage="1" sqref="M63" xr:uid="{5E730D8B-9BFE-47B1-B5B7-DECF5CA9D140}">
      <formula1>$AA$4:$AA$13</formula1>
    </dataValidation>
    <dataValidation type="list" errorStyle="warning" allowBlank="1" showErrorMessage="1" sqref="O63" xr:uid="{567E0C99-041E-4043-9953-BC061B648269}">
      <formula1>$AC$4:$AC$9</formula1>
    </dataValidation>
    <dataValidation type="list" errorStyle="warning" allowBlank="1" showErrorMessage="1" sqref="W33" xr:uid="{6C6BB38C-9AF2-4122-86CD-1A2E5930B5CF}">
      <formula1>$AD$4:$AD$11</formula1>
    </dataValidation>
    <dataValidation type="list" errorStyle="warning" allowBlank="1" showErrorMessage="1" sqref="W4" xr:uid="{AA85034E-1812-4022-AB8F-EAA3D9CC4167}">
      <formula1>$AD$4:$AD$11</formula1>
    </dataValidation>
    <dataValidation type="list" errorStyle="warning" allowBlank="1" showErrorMessage="1" sqref="W5" xr:uid="{FE6F031A-BB37-4931-8E8B-D6D2EFD3A204}">
      <formula1>$AD$4:$AD$11</formula1>
    </dataValidation>
    <dataValidation type="list" errorStyle="warning" allowBlank="1" showErrorMessage="1" sqref="W6" xr:uid="{EB86A6B3-0821-42DF-AD83-1F4A61A10C7D}">
      <formula1>$AD$4:$AD$11</formula1>
    </dataValidation>
    <dataValidation type="list" errorStyle="warning" allowBlank="1" showErrorMessage="1" sqref="W7" xr:uid="{909E7773-592B-42F7-A3DA-0EBB175DD61A}">
      <formula1>$AD$4:$AD$11</formula1>
    </dataValidation>
    <dataValidation type="list" errorStyle="warning" allowBlank="1" showErrorMessage="1" sqref="W8" xr:uid="{B1AA056E-E8A0-4325-B1D6-F90A569732A7}">
      <formula1>$AD$4:$AD$11</formula1>
    </dataValidation>
    <dataValidation type="list" errorStyle="warning" allowBlank="1" showErrorMessage="1" sqref="W9" xr:uid="{C57CBBE5-3027-4B3E-920A-7B1E4305F9E6}">
      <formula1>$AD$4:$AD$11</formula1>
    </dataValidation>
    <dataValidation type="list" errorStyle="warning" allowBlank="1" showErrorMessage="1" sqref="W10" xr:uid="{E58374B8-3797-4905-B9AE-05B9B40F1ED9}">
      <formula1>$AD$4:$AD$11</formula1>
    </dataValidation>
    <dataValidation type="list" errorStyle="warning" allowBlank="1" showErrorMessage="1" sqref="W11" xr:uid="{F15CDFFD-93AE-40F2-941C-489F0E320DF8}">
      <formula1>$AD$4:$AD$11</formula1>
    </dataValidation>
    <dataValidation type="list" errorStyle="warning" allowBlank="1" showErrorMessage="1" sqref="W12" xr:uid="{37D0CB5E-FC9F-4C6E-B7A2-9B0203E4C606}">
      <formula1>$AD$4:$AD$11</formula1>
    </dataValidation>
    <dataValidation type="list" errorStyle="warning" allowBlank="1" showErrorMessage="1" sqref="W13" xr:uid="{3ACB70B2-5E8E-4974-AF83-938B5D0BE111}">
      <formula1>$AD$4:$AD$11</formula1>
    </dataValidation>
    <dataValidation type="list" errorStyle="warning" allowBlank="1" showErrorMessage="1" sqref="W14" xr:uid="{4946BA15-7504-49E8-BB66-D9812F1F8159}">
      <formula1>$AD$4:$AD$11</formula1>
    </dataValidation>
    <dataValidation type="list" errorStyle="warning" allowBlank="1" showErrorMessage="1" sqref="W15" xr:uid="{6F8387B1-AAB2-46A3-9D4C-39E0E91898D2}">
      <formula1>$AD$4:$AD$11</formula1>
    </dataValidation>
    <dataValidation type="list" errorStyle="warning" allowBlank="1" showErrorMessage="1" sqref="V15" xr:uid="{13BF184C-15E9-4FB9-B608-6544A94DB521}">
      <formula1>$F$4:$F$18</formula1>
    </dataValidation>
    <dataValidation type="list" errorStyle="warning" allowBlank="1" showErrorMessage="1" sqref="W16" xr:uid="{98B17099-C96D-418C-8BEF-C66B337EA8BB}">
      <formula1>$AD$4:$AD$11</formula1>
    </dataValidation>
    <dataValidation type="list" errorStyle="warning" allowBlank="1" showErrorMessage="1" sqref="W17" xr:uid="{991596D7-91FC-418E-AB81-0FB4CC69B310}">
      <formula1>$AD$4:$AD$11</formula1>
    </dataValidation>
    <dataValidation type="list" errorStyle="warning" allowBlank="1" showErrorMessage="1" sqref="W18" xr:uid="{C6A805C4-984D-4D65-B415-07B563A287D5}">
      <formula1>$AD$4:$AD$11</formula1>
    </dataValidation>
    <dataValidation type="list" errorStyle="warning" allowBlank="1" showErrorMessage="1" sqref="W19" xr:uid="{0280D523-B477-4344-9A58-578B90FBC127}">
      <formula1>$AD$4:$AD$11</formula1>
    </dataValidation>
    <dataValidation type="list" errorStyle="warning" allowBlank="1" showErrorMessage="1" sqref="W20" xr:uid="{B7A3C321-BB07-4B43-B0CB-C8B173FD9040}">
      <formula1>$AD$4:$AD$11</formula1>
    </dataValidation>
    <dataValidation type="list" errorStyle="warning" allowBlank="1" showErrorMessage="1" sqref="W21" xr:uid="{15C92FE3-4C8F-422A-A817-E4E81C442C08}">
      <formula1>$AD$4:$AD$11</formula1>
    </dataValidation>
    <dataValidation type="list" errorStyle="warning" allowBlank="1" showErrorMessage="1" sqref="W22" xr:uid="{4BFF56D6-4CB3-48A1-A069-2BC84079E7FE}">
      <formula1>$AD$4:$AD$11</formula1>
    </dataValidation>
    <dataValidation type="list" errorStyle="warning" allowBlank="1" showErrorMessage="1" sqref="W23" xr:uid="{7D932107-AB91-4670-9281-112882B80EEE}">
      <formula1>$AD$4:$AD$11</formula1>
    </dataValidation>
    <dataValidation type="list" errorStyle="warning" allowBlank="1" showErrorMessage="1" sqref="W24" xr:uid="{109B8C43-2C96-4C54-880F-F1B4DB95BC11}">
      <formula1>$AD$4:$AD$11</formula1>
    </dataValidation>
    <dataValidation type="list" errorStyle="warning" allowBlank="1" showErrorMessage="1" sqref="W25" xr:uid="{A9B4764E-EE46-4459-A391-0CB627833514}">
      <formula1>$AD$4:$AD$11</formula1>
    </dataValidation>
    <dataValidation type="list" errorStyle="warning" allowBlank="1" showErrorMessage="1" sqref="W26" xr:uid="{9B4E8F9F-08BB-437F-B6CB-F8799BD6412A}">
      <formula1>$AD$4:$AD$11</formula1>
    </dataValidation>
    <dataValidation type="list" errorStyle="warning" allowBlank="1" showErrorMessage="1" sqref="W27" xr:uid="{D4E3941D-3652-4B29-BC17-64B205E23137}">
      <formula1>$AD$4:$AD$11</formula1>
    </dataValidation>
    <dataValidation type="list" errorStyle="warning" allowBlank="1" showErrorMessage="1" sqref="W28" xr:uid="{14C226FB-18D7-4262-AC23-3D8DCC0E6721}">
      <formula1>$AD$4:$AD$11</formula1>
    </dataValidation>
    <dataValidation type="list" errorStyle="warning" allowBlank="1" showErrorMessage="1" sqref="W29" xr:uid="{1F6A5A28-C4B2-423D-A9D7-14BF38AD417F}">
      <formula1>$AD$4:$AD$11</formula1>
    </dataValidation>
    <dataValidation type="list" errorStyle="warning" allowBlank="1" showErrorMessage="1" sqref="W30" xr:uid="{0331B8CD-471A-43FA-A15E-BD40746109AF}">
      <formula1>$AD$4:$AD$11</formula1>
    </dataValidation>
    <dataValidation type="list" errorStyle="warning" allowBlank="1" showErrorMessage="1" sqref="W31" xr:uid="{8D5230AA-FBC6-4C86-BD8D-5F36B246FDB0}">
      <formula1>$AD$4:$AD$11</formula1>
    </dataValidation>
    <dataValidation type="list" errorStyle="warning" allowBlank="1" showErrorMessage="1" sqref="W32" xr:uid="{8EA1DC46-FCA1-4EFF-895E-523D37C62C9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A63CE09C-FD90-47F8-BD24-4F8C764D5E0B}">
          <x14:formula1>
            <xm:f>Bankkonto!$T$27:$Z$27</xm:f>
          </x14:formula1>
          <xm:sqref>N4</xm:sqref>
        </x14:dataValidation>
        <x14:dataValidation type="list" errorStyle="warning" allowBlank="1" showErrorMessage="1" xr:uid="{494117BB-711D-4B7D-8FF3-2E7330EE9A9B}">
          <x14:formula1>
            <xm:f>Bankkonto!$T$27:$Z$27</xm:f>
          </x14:formula1>
          <xm:sqref>N5</xm:sqref>
        </x14:dataValidation>
        <x14:dataValidation type="list" errorStyle="warning" allowBlank="1" showErrorMessage="1" xr:uid="{17BE26F4-C681-4AC9-9EC7-C99151B34FFB}">
          <x14:formula1>
            <xm:f>Bankkonto!$M$27:$S$27</xm:f>
          </x14:formula1>
          <xm:sqref>N6</xm:sqref>
        </x14:dataValidation>
        <x14:dataValidation type="list" errorStyle="warning" allowBlank="1" showErrorMessage="1" xr:uid="{F2A3180A-F6F2-49AB-B8F8-112D16C41883}">
          <x14:formula1>
            <xm:f>Bankkonto!$T$27:$Z$27</xm:f>
          </x14:formula1>
          <xm:sqref>N7</xm:sqref>
        </x14:dataValidation>
        <x14:dataValidation type="list" errorStyle="warning" allowBlank="1" showErrorMessage="1" xr:uid="{C7EF9DA7-8F73-417F-9751-89C315720CDA}">
          <x14:formula1>
            <xm:f>Bankkonto!$T$27:$Z$27</xm:f>
          </x14:formula1>
          <xm:sqref>N8</xm:sqref>
        </x14:dataValidation>
        <x14:dataValidation type="list" errorStyle="warning" allowBlank="1" showErrorMessage="1" xr:uid="{80BFDD6B-9B44-4451-AB0D-35F2D277FD1A}">
          <x14:formula1>
            <xm:f>Bankkonto!$T$27:$Z$27</xm:f>
          </x14:formula1>
          <xm:sqref>N9</xm:sqref>
        </x14:dataValidation>
        <x14:dataValidation type="list" errorStyle="warning" allowBlank="1" showErrorMessage="1" xr:uid="{CD8BB576-1DB3-4F5B-A82F-CA88B42975C5}">
          <x14:formula1>
            <xm:f>Bankkonto!$T$27:$Z$27</xm:f>
          </x14:formula1>
          <xm:sqref>N10</xm:sqref>
        </x14:dataValidation>
        <x14:dataValidation type="list" errorStyle="warning" allowBlank="1" showErrorMessage="1" xr:uid="{DD407A12-3B23-42D7-98D2-645CF3CD22B2}">
          <x14:formula1>
            <xm:f>Bankkonto!$T$27:$Z$27</xm:f>
          </x14:formula1>
          <xm:sqref>N11</xm:sqref>
        </x14:dataValidation>
        <x14:dataValidation type="list" errorStyle="warning" allowBlank="1" showErrorMessage="1" xr:uid="{1A6A5143-3B70-43EB-9823-A9926EA2CF47}">
          <x14:formula1>
            <xm:f>Bankkonto!$M$27:$S$27</xm:f>
          </x14:formula1>
          <xm:sqref>N12</xm:sqref>
        </x14:dataValidation>
        <x14:dataValidation type="list" errorStyle="warning" allowBlank="1" showErrorMessage="1" xr:uid="{0120733E-3D15-4050-AAB0-F79BE6431122}">
          <x14:formula1>
            <xm:f>Bankkonto!$M$27:$S$27</xm:f>
          </x14:formula1>
          <xm:sqref>N13</xm:sqref>
        </x14:dataValidation>
        <x14:dataValidation type="list" errorStyle="warning" allowBlank="1" showErrorMessage="1" xr:uid="{83D58253-3651-49B7-8E31-FDCE3D5D8657}">
          <x14:formula1>
            <xm:f>Bankkonto!$M$27:$S$27</xm:f>
          </x14:formula1>
          <xm:sqref>N14</xm:sqref>
        </x14:dataValidation>
        <x14:dataValidation type="list" errorStyle="warning" allowBlank="1" showErrorMessage="1" xr:uid="{B81258B1-9A3F-41C6-BE0C-266700AF3664}">
          <x14:formula1>
            <xm:f>Bankkonto!$M$27:$S$27</xm:f>
          </x14:formula1>
          <xm:sqref>N15</xm:sqref>
        </x14:dataValidation>
        <x14:dataValidation type="list" errorStyle="warning" allowBlank="1" showErrorMessage="1" xr:uid="{7DD83B2D-0FC7-445E-B15B-86C85C320871}">
          <x14:formula1>
            <xm:f>Bankkonto!$M$27:$S$27</xm:f>
          </x14:formula1>
          <xm:sqref>N16</xm:sqref>
        </x14:dataValidation>
        <x14:dataValidation type="list" errorStyle="warning" allowBlank="1" showErrorMessage="1" xr:uid="{1ABFF40A-C448-4EA7-9A27-6310DC7A355D}">
          <x14:formula1>
            <xm:f>Bankkonto!$T$27:$Z$27</xm:f>
          </x14:formula1>
          <xm:sqref>N17</xm:sqref>
        </x14:dataValidation>
        <x14:dataValidation type="list" errorStyle="warning" allowBlank="1" showErrorMessage="1" xr:uid="{881570EF-670E-4076-95BB-0A2498C938F3}">
          <x14:formula1>
            <xm:f>Bankkonto!$T$27:$Z$27</xm:f>
          </x14:formula1>
          <xm:sqref>N18</xm:sqref>
        </x14:dataValidation>
        <x14:dataValidation type="list" errorStyle="warning" allowBlank="1" showErrorMessage="1" xr:uid="{55F99AD9-79CD-48CA-8E22-1D58052C746D}">
          <x14:formula1>
            <xm:f>Bankkonto!$T$27:$Z$27</xm:f>
          </x14:formula1>
          <xm:sqref>N19</xm:sqref>
        </x14:dataValidation>
        <x14:dataValidation type="list" errorStyle="warning" allowBlank="1" showErrorMessage="1" xr:uid="{B283DE7D-AF38-4C45-8B52-D1BC2086A95A}">
          <x14:formula1>
            <xm:f>Bankkonto!$M$27:$S$27</xm:f>
          </x14:formula1>
          <xm:sqref>N20</xm:sqref>
        </x14:dataValidation>
        <x14:dataValidation type="list" errorStyle="warning" allowBlank="1" showErrorMessage="1" xr:uid="{0C949B2B-61F3-4FAB-9A1C-EADD5BDEC9BC}">
          <x14:formula1>
            <xm:f>Bankkonto!$T$27:$Z$27</xm:f>
          </x14:formula1>
          <xm:sqref>N21</xm:sqref>
        </x14:dataValidation>
        <x14:dataValidation type="list" errorStyle="warning" allowBlank="1" showErrorMessage="1" xr:uid="{50333D28-67E2-4879-877D-DE4BFFFC76CA}">
          <x14:formula1>
            <xm:f>Bankkonto!$T$27:$Z$27</xm:f>
          </x14:formula1>
          <xm:sqref>N22</xm:sqref>
        </x14:dataValidation>
        <x14:dataValidation type="list" errorStyle="warning" allowBlank="1" showErrorMessage="1" xr:uid="{13880501-1682-4425-B68E-1AC63A706418}">
          <x14:formula1>
            <xm:f>Bankkonto!$M$27:$S$27</xm:f>
          </x14:formula1>
          <xm:sqref>N23</xm:sqref>
        </x14:dataValidation>
        <x14:dataValidation type="list" errorStyle="warning" allowBlank="1" showErrorMessage="1" xr:uid="{BB3AD71D-6E73-40F4-BEDE-DAD195470AE2}">
          <x14:formula1>
            <xm:f>Bankkonto!$T$27:$Z$27</xm:f>
          </x14:formula1>
          <xm:sqref>N24</xm:sqref>
        </x14:dataValidation>
        <x14:dataValidation type="list" errorStyle="warning" allowBlank="1" showErrorMessage="1" xr:uid="{31E6345C-53F2-4AEA-B354-116F54E4AF56}">
          <x14:formula1>
            <xm:f>Bankkonto!$T$27:$Z$27</xm:f>
          </x14:formula1>
          <xm:sqref>N25</xm:sqref>
        </x14:dataValidation>
        <x14:dataValidation type="list" errorStyle="warning" allowBlank="1" showErrorMessage="1" xr:uid="{EA8FC444-9A11-4232-B413-BFF36FA6B9F0}">
          <x14:formula1>
            <xm:f>Bankkonto!$T$27:$Z$27</xm:f>
          </x14:formula1>
          <xm:sqref>N26</xm:sqref>
        </x14:dataValidation>
        <x14:dataValidation type="list" errorStyle="warning" allowBlank="1" showErrorMessage="1" xr:uid="{125F6F92-AC12-4A27-A24C-ED31A1550D35}">
          <x14:formula1>
            <xm:f>Bankkonto!$T$27:$Z$27</xm:f>
          </x14:formula1>
          <xm:sqref>N27</xm:sqref>
        </x14:dataValidation>
        <x14:dataValidation type="list" errorStyle="warning" allowBlank="1" showErrorMessage="1" xr:uid="{8F16693E-4D3F-4EB3-96A8-7CAE790B4AE2}">
          <x14:formula1>
            <xm:f>Bankkonto!$T$27:$Z$27</xm:f>
          </x14:formula1>
          <xm:sqref>N28</xm:sqref>
        </x14:dataValidation>
        <x14:dataValidation type="list" errorStyle="warning" allowBlank="1" showErrorMessage="1" xr:uid="{0B67B267-5ECC-4DAB-8C93-86ECB03C8CCC}">
          <x14:formula1>
            <xm:f>Bankkonto!$T$27:$Z$27</xm:f>
          </x14:formula1>
          <xm:sqref>N29</xm:sqref>
        </x14:dataValidation>
        <x14:dataValidation type="list" errorStyle="warning" allowBlank="1" showErrorMessage="1" xr:uid="{5D364D86-3202-46B1-9744-6467CC9F9972}">
          <x14:formula1>
            <xm:f>Bankkonto!$T$27:$Z$27</xm:f>
          </x14:formula1>
          <xm:sqref>N30</xm:sqref>
        </x14:dataValidation>
        <x14:dataValidation type="list" errorStyle="warning" allowBlank="1" showErrorMessage="1" xr:uid="{444B0998-58E9-4632-9F5B-861758DA79C9}">
          <x14:formula1>
            <xm:f>Bankkonto!$T$27:$Z$27</xm:f>
          </x14:formula1>
          <xm:sqref>N31</xm:sqref>
        </x14:dataValidation>
        <x14:dataValidation type="list" errorStyle="warning" allowBlank="1" showErrorMessage="1" xr:uid="{DE8215AF-140E-4A68-9A9F-53FD58D97821}">
          <x14:formula1>
            <xm:f>Bankkonto!$M$27:$S$27</xm:f>
          </x14:formula1>
          <xm:sqref>N32</xm:sqref>
        </x14:dataValidation>
        <x14:dataValidation type="list" errorStyle="warning" allowBlank="1" showErrorMessage="1" xr:uid="{AC0927F3-7D89-47D0-9A98-A9B87E3F3766}">
          <x14:formula1>
            <xm:f>Bankkonto!$M$27:$S$27</xm:f>
          </x14:formula1>
          <xm:sqref>N33</xm:sqref>
        </x14:dataValidation>
        <x14:dataValidation type="list" errorStyle="warning" allowBlank="1" showErrorMessage="1" xr:uid="{59F840AC-2A83-496E-8B60-41F4BA67094F}">
          <x14:formula1>
            <xm:f>Bankkonto!$M$27:$S$27</xm:f>
          </x14:formula1>
          <xm:sqref>N34</xm:sqref>
        </x14:dataValidation>
        <x14:dataValidation type="list" errorStyle="warning" allowBlank="1" showErrorMessage="1" xr:uid="{567CC882-335E-4D6D-80BB-B61D15519D1B}">
          <x14:formula1>
            <xm:f>Bankkonto!$M$27:$S$27</xm:f>
          </x14:formula1>
          <xm:sqref>N35</xm:sqref>
        </x14:dataValidation>
        <x14:dataValidation type="list" errorStyle="warning" allowBlank="1" showErrorMessage="1" xr:uid="{5050D5C5-3E53-4457-A5CE-D124557C7D4D}">
          <x14:formula1>
            <xm:f>Bankkonto!$M$27:$S$27</xm:f>
          </x14:formula1>
          <xm:sqref>N36</xm:sqref>
        </x14:dataValidation>
        <x14:dataValidation type="list" errorStyle="warning" allowBlank="1" showErrorMessage="1" xr:uid="{10BC2B1B-C682-4A0A-82C6-453476CCCD2D}">
          <x14:formula1>
            <xm:f>Bankkonto!$T$27:$Z$27</xm:f>
          </x14:formula1>
          <xm:sqref>N37</xm:sqref>
        </x14:dataValidation>
        <x14:dataValidation type="list" errorStyle="warning" allowBlank="1" showErrorMessage="1" xr:uid="{7D34FE24-5EFE-421A-9BA5-D301C9BD9A93}">
          <x14:formula1>
            <xm:f>Bankkonto!$M$27:$S$27</xm:f>
          </x14:formula1>
          <xm:sqref>N38</xm:sqref>
        </x14:dataValidation>
        <x14:dataValidation type="list" errorStyle="warning" allowBlank="1" showErrorMessage="1" xr:uid="{09E2564F-5540-4765-80E7-D57127CF5391}">
          <x14:formula1>
            <xm:f>Bankkonto!$M$27:$S$27</xm:f>
          </x14:formula1>
          <xm:sqref>N39</xm:sqref>
        </x14:dataValidation>
        <x14:dataValidation type="list" errorStyle="warning" allowBlank="1" showErrorMessage="1" xr:uid="{5BBB1F62-FEE7-44AE-BE22-9A71D29F6290}">
          <x14:formula1>
            <xm:f>Bankkonto!$M$27:$S$27</xm:f>
          </x14:formula1>
          <xm:sqref>N40</xm:sqref>
        </x14:dataValidation>
        <x14:dataValidation type="list" errorStyle="warning" allowBlank="1" showErrorMessage="1" xr:uid="{AF848573-28DB-45CE-B007-3A25C62D0BB8}">
          <x14:formula1>
            <xm:f>Bankkonto!$M$27:$S$27</xm:f>
          </x14:formula1>
          <xm:sqref>N41</xm:sqref>
        </x14:dataValidation>
        <x14:dataValidation type="list" errorStyle="warning" allowBlank="1" showErrorMessage="1" xr:uid="{FAACDCF2-93AB-4246-9CFD-2849F845FB29}">
          <x14:formula1>
            <xm:f>Bankkonto!$M$27:$S$27</xm:f>
          </x14:formula1>
          <xm:sqref>N42</xm:sqref>
        </x14:dataValidation>
        <x14:dataValidation type="list" errorStyle="warning" allowBlank="1" showErrorMessage="1" xr:uid="{F960A006-4925-4672-AC70-4DEFF18AF0B4}">
          <x14:formula1>
            <xm:f>Bankkonto!$M$27:$S$27</xm:f>
          </x14:formula1>
          <xm:sqref>N43</xm:sqref>
        </x14:dataValidation>
        <x14:dataValidation type="list" errorStyle="warning" allowBlank="1" showErrorMessage="1" xr:uid="{209C4F04-D455-4725-BCCD-0E6E62B7B5A0}">
          <x14:formula1>
            <xm:f>Bankkonto!$M$27:$S$27</xm:f>
          </x14:formula1>
          <xm:sqref>N44</xm:sqref>
        </x14:dataValidation>
        <x14:dataValidation type="list" errorStyle="warning" allowBlank="1" showErrorMessage="1" xr:uid="{4C0E86F9-7155-45A0-99C1-0404C553EDC5}">
          <x14:formula1>
            <xm:f>Bankkonto!$M$27:$S$27</xm:f>
          </x14:formula1>
          <xm:sqref>N45</xm:sqref>
        </x14:dataValidation>
        <x14:dataValidation type="list" errorStyle="warning" allowBlank="1" showErrorMessage="1" xr:uid="{F2E95ADF-661A-4DF5-8B3F-333F762BA99F}">
          <x14:formula1>
            <xm:f>Bankkonto!$M$27:$S$27</xm:f>
          </x14:formula1>
          <xm:sqref>N46</xm:sqref>
        </x14:dataValidation>
        <x14:dataValidation type="list" errorStyle="warning" allowBlank="1" showErrorMessage="1" xr:uid="{D40EAE61-37DE-4868-B7A6-3A09899B3E5C}">
          <x14:formula1>
            <xm:f>Bankkonto!$M$27:$S$27</xm:f>
          </x14:formula1>
          <xm:sqref>N47</xm:sqref>
        </x14:dataValidation>
        <x14:dataValidation type="list" errorStyle="warning" allowBlank="1" showErrorMessage="1" xr:uid="{F23D83C5-B7FD-4661-A1F5-4BF0835EA44B}">
          <x14:formula1>
            <xm:f>Bankkonto!$M$27:$S$27</xm:f>
          </x14:formula1>
          <xm:sqref>N48</xm:sqref>
        </x14:dataValidation>
        <x14:dataValidation type="list" errorStyle="warning" allowBlank="1" showErrorMessage="1" xr:uid="{EBE696B2-1144-444B-B53B-5D799B8C43E7}">
          <x14:formula1>
            <xm:f>Bankkonto!$T$27:$Z$27</xm:f>
          </x14:formula1>
          <xm:sqref>N49</xm:sqref>
        </x14:dataValidation>
        <x14:dataValidation type="list" errorStyle="warning" allowBlank="1" showErrorMessage="1" xr:uid="{347D820D-9972-4EA9-89A0-94840630959B}">
          <x14:formula1>
            <xm:f>Bankkonto!$T$27:$Z$27</xm:f>
          </x14:formula1>
          <xm:sqref>N50</xm:sqref>
        </x14:dataValidation>
        <x14:dataValidation type="list" errorStyle="warning" allowBlank="1" showErrorMessage="1" xr:uid="{C40E38E8-2B13-44EA-8A6B-A9BBED8BD39A}">
          <x14:formula1>
            <xm:f>Bankkonto!$M$27:$S$27</xm:f>
          </x14:formula1>
          <xm:sqref>N51</xm:sqref>
        </x14:dataValidation>
        <x14:dataValidation type="list" errorStyle="warning" allowBlank="1" showErrorMessage="1" xr:uid="{0D74192E-B229-47EB-B590-CD7761620961}">
          <x14:formula1>
            <xm:f>Bankkonto!$T$27:$Z$27</xm:f>
          </x14:formula1>
          <xm:sqref>N52</xm:sqref>
        </x14:dataValidation>
        <x14:dataValidation type="list" errorStyle="warning" allowBlank="1" showErrorMessage="1" xr:uid="{6F403314-E1CB-4C26-A88F-F44BAE52C4B0}">
          <x14:formula1>
            <xm:f>Bankkonto!$T$27:$Z$27</xm:f>
          </x14:formula1>
          <xm:sqref>N53</xm:sqref>
        </x14:dataValidation>
        <x14:dataValidation type="list" errorStyle="warning" allowBlank="1" showErrorMessage="1" xr:uid="{001A3BBA-E5A1-4EB0-BE9B-34B696BDED27}">
          <x14:formula1>
            <xm:f>Bankkonto!$T$27:$Z$27</xm:f>
          </x14:formula1>
          <xm:sqref>N54</xm:sqref>
        </x14:dataValidation>
        <x14:dataValidation type="list" errorStyle="warning" allowBlank="1" showErrorMessage="1" xr:uid="{B6F3E104-A3FE-4EF8-817B-B85E200A1167}">
          <x14:formula1>
            <xm:f>Bankkonto!$T$27:$Z$27</xm:f>
          </x14:formula1>
          <xm:sqref>N55</xm:sqref>
        </x14:dataValidation>
        <x14:dataValidation type="list" errorStyle="warning" allowBlank="1" showErrorMessage="1" xr:uid="{76CC5113-9EF9-4569-AC54-A0EC4D3368D3}">
          <x14:formula1>
            <xm:f>Bankkonto!$T$27:$Z$27</xm:f>
          </x14:formula1>
          <xm:sqref>N56</xm:sqref>
        </x14:dataValidation>
        <x14:dataValidation type="list" errorStyle="warning" allowBlank="1" showErrorMessage="1" xr:uid="{0A705A06-EAF1-4922-A4F5-B0C3F0C5DB34}">
          <x14:formula1>
            <xm:f>Bankkonto!$T$27:$Z$27</xm:f>
          </x14:formula1>
          <xm:sqref>N57</xm:sqref>
        </x14:dataValidation>
        <x14:dataValidation type="list" errorStyle="warning" allowBlank="1" showErrorMessage="1" xr:uid="{E0733E9E-3436-4051-B900-6DEB0CD104E6}">
          <x14:formula1>
            <xm:f>Bankkonto!$T$27:$Z$27</xm:f>
          </x14:formula1>
          <xm:sqref>N58</xm:sqref>
        </x14:dataValidation>
        <x14:dataValidation type="list" errorStyle="warning" allowBlank="1" showErrorMessage="1" xr:uid="{F783A1C9-581A-473B-A9C5-398A65017524}">
          <x14:formula1>
            <xm:f>Bankkonto!$T$27:$Z$27</xm:f>
          </x14:formula1>
          <xm:sqref>N59</xm:sqref>
        </x14:dataValidation>
        <x14:dataValidation type="list" errorStyle="warning" allowBlank="1" showErrorMessage="1" xr:uid="{B78D5273-8097-4A98-9D87-EC9746627BAC}">
          <x14:formula1>
            <xm:f>Bankkonto!$T$27:$Z$27</xm:f>
          </x14:formula1>
          <xm:sqref>N60</xm:sqref>
        </x14:dataValidation>
        <x14:dataValidation type="list" errorStyle="warning" allowBlank="1" showErrorMessage="1" xr:uid="{4A4BFB5A-CEFE-484B-A78B-69D88A84200E}">
          <x14:formula1>
            <xm:f>Bankkonto!$T$27:$Z$27</xm:f>
          </x14:formula1>
          <xm:sqref>N61</xm:sqref>
        </x14:dataValidation>
        <x14:dataValidation type="list" errorStyle="warning" allowBlank="1" showErrorMessage="1" xr:uid="{75DA8530-700B-445B-8391-31421A21F32B}">
          <x14:formula1>
            <xm:f>Bankkonto!$T$27:$Z$27</xm:f>
          </x14:formula1>
          <xm:sqref>N62</xm:sqref>
        </x14:dataValidation>
        <x14:dataValidation type="list" errorStyle="warning" allowBlank="1" showErrorMessage="1" xr:uid="{22EBEBE8-97BF-42A3-B49D-D986E0C8ADC9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58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2026-02-08T20:41:04Z</dcterms:modified>
</cp:coreProperties>
</file>